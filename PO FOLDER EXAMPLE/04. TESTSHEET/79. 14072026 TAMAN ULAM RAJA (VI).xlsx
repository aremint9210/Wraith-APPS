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emi\Desktop\REPORT CBM\PO 42234207 - JOHOR - JBU - 400 PE IR US TEV\04. TESTSHEET\"/>
    </mc:Choice>
  </mc:AlternateContent>
  <xr:revisionPtr revIDLastSave="0" documentId="13_ncr:1_{BD18B6A3-71A5-4B9B-A150-B0DBF66ED743}" xr6:coauthVersionLast="47" xr6:coauthVersionMax="47" xr10:uidLastSave="{00000000-0000-0000-0000-000000000000}"/>
  <bookViews>
    <workbookView xWindow="2186" yWindow="12240" windowWidth="24891" windowHeight="14914" xr2:uid="{00000000-000D-0000-FFFF-FFFF00000000}"/>
  </bookViews>
  <sheets>
    <sheet name="PCE Testsheet" sheetId="1" r:id="rId1"/>
    <sheet name="PCE VI" sheetId="2" r:id="rId2"/>
    <sheet name="RAW DATA" sheetId="3" r:id="rId3"/>
    <sheet name="vi_library" sheetId="4" state="hidden" r:id="rId4"/>
    <sheet name="substation_library" sheetId="5" state="hidden" r:id="rId5"/>
    <sheet name="equipment_library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2" l="1"/>
  <c r="I44" i="2"/>
  <c r="I43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K6" i="2"/>
  <c r="C6" i="2"/>
  <c r="C5" i="2"/>
  <c r="O1" i="2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T42" i="1"/>
  <c r="S42" i="1"/>
  <c r="I42" i="1"/>
  <c r="H42" i="1"/>
  <c r="T41" i="1"/>
  <c r="S41" i="1"/>
  <c r="I41" i="1"/>
  <c r="H41" i="1"/>
  <c r="T40" i="1"/>
  <c r="S40" i="1"/>
  <c r="I40" i="1"/>
  <c r="H40" i="1"/>
  <c r="T39" i="1"/>
  <c r="S39" i="1"/>
  <c r="I39" i="1"/>
  <c r="H39" i="1"/>
  <c r="T38" i="1"/>
  <c r="S38" i="1"/>
  <c r="N38" i="1"/>
  <c r="I38" i="1"/>
  <c r="H38" i="1"/>
  <c r="B38" i="1"/>
  <c r="T37" i="1"/>
  <c r="S37" i="1"/>
  <c r="I37" i="1"/>
  <c r="H37" i="1"/>
  <c r="T36" i="1"/>
  <c r="S36" i="1"/>
  <c r="I36" i="1"/>
  <c r="H36" i="1"/>
  <c r="T35" i="1"/>
  <c r="S35" i="1"/>
  <c r="I35" i="1"/>
  <c r="H35" i="1"/>
  <c r="T34" i="1"/>
  <c r="S34" i="1"/>
  <c r="I34" i="1"/>
  <c r="H34" i="1"/>
  <c r="T33" i="1"/>
  <c r="S33" i="1"/>
  <c r="N33" i="1"/>
  <c r="I33" i="1"/>
  <c r="H33" i="1"/>
  <c r="B33" i="1"/>
  <c r="U25" i="1"/>
  <c r="N25" i="1"/>
  <c r="M25" i="1"/>
  <c r="U24" i="1"/>
  <c r="N24" i="1"/>
  <c r="M24" i="1"/>
  <c r="U23" i="1"/>
  <c r="N23" i="1"/>
  <c r="M23" i="1"/>
  <c r="U22" i="1"/>
  <c r="N22" i="1"/>
  <c r="M22" i="1"/>
  <c r="U21" i="1"/>
  <c r="N21" i="1"/>
  <c r="M21" i="1"/>
  <c r="U20" i="1"/>
  <c r="N20" i="1"/>
  <c r="M20" i="1"/>
  <c r="U19" i="1"/>
  <c r="N19" i="1"/>
  <c r="M19" i="1"/>
  <c r="U18" i="1"/>
  <c r="N18" i="1"/>
  <c r="M18" i="1"/>
  <c r="U17" i="1"/>
  <c r="N17" i="1"/>
  <c r="M17" i="1"/>
  <c r="U16" i="1"/>
  <c r="N16" i="1"/>
  <c r="M16" i="1"/>
  <c r="U15" i="1"/>
  <c r="N15" i="1"/>
  <c r="M15" i="1"/>
  <c r="U14" i="1"/>
  <c r="N14" i="1"/>
  <c r="M14" i="1"/>
  <c r="U13" i="1"/>
  <c r="N13" i="1"/>
  <c r="M13" i="1"/>
  <c r="U12" i="1"/>
  <c r="N12" i="1"/>
  <c r="M12" i="1"/>
  <c r="U11" i="1"/>
  <c r="N11" i="1"/>
  <c r="M11" i="1"/>
  <c r="U10" i="1"/>
  <c r="N10" i="1"/>
  <c r="M10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P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ID#AAAB__nLh4Q
tc={82553E5C-51BD-4126-8C45-02F3CBDD3B0E}    (2026-07-14 09:59:25)
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  </r>
      </text>
    </comment>
    <comment ref="B4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ID#AAAB__nLh3s
Author    (2026-07-14 09:59:25)
Tambahan</t>
        </r>
      </text>
    </comment>
    <comment ref="B5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ID#AAAB__nLh34
Author    (2026-07-14 09:59:25)
Tambahan</t>
        </r>
      </text>
    </comment>
    <comment ref="B5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ID#AAAB__nLh3o
Author    (2026-07-14 09:59:25)
Tambahan</t>
        </r>
      </text>
    </comment>
    <comment ref="B5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ID#AAAB__nLh30
Author    (2026-07-14 09:59:25)
Tambahan</t>
        </r>
      </text>
    </comment>
    <comment ref="B5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ID#AAAB__nLh38
Author    (2026-07-14 09:59:25)
Tambahan</t>
        </r>
      </text>
    </comment>
    <comment ref="B5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ID#AAAB__nLh4I
Author    (2026-07-14 09:59:25)
Tambahan</t>
        </r>
      </text>
    </comment>
    <comment ref="B55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ID#AAAB__nLh3w
Author    (2026-07-14 09:59:25)
Tambahan</t>
        </r>
      </text>
    </comment>
    <comment ref="B5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ID#AAAB__nLh4M
Author    (2026-07-14 09:59:25)
Tambahan</t>
        </r>
      </text>
    </comment>
    <comment ref="B62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ID#AAAB__nLh4E
Author    (2026-07-14 09:59:25)
Tambahan</t>
        </r>
      </text>
    </comment>
    <comment ref="B6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ID#AAAB__nLh4A
Author    (2026-07-14 09:59:25)
Tambahan</t>
        </r>
      </text>
    </comment>
    <comment ref="B65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ID#AAAB__nLh4U
Author    (2026-07-14 09:59:25)
Tambahan</t>
        </r>
      </text>
    </comment>
  </commentList>
</comments>
</file>

<file path=xl/sharedStrings.xml><?xml version="1.0" encoding="utf-8"?>
<sst xmlns="http://schemas.openxmlformats.org/spreadsheetml/2006/main" count="507" uniqueCount="265">
  <si>
    <t>CBM CONDITION</t>
  </si>
  <si>
    <t>NORMAL</t>
  </si>
  <si>
    <t>DISTRIBUTION SUBSTATION (PCE) CBA TEST SHEET</t>
  </si>
  <si>
    <t>STATE / AREA:</t>
  </si>
  <si>
    <t>JOHOR / JOHOR BAHRU</t>
  </si>
  <si>
    <t xml:space="preserve">DATE </t>
  </si>
  <si>
    <t>14/07/26</t>
  </si>
  <si>
    <t>FUNCTIONAL LOCATION:</t>
  </si>
  <si>
    <t>PE NAME:</t>
  </si>
  <si>
    <t>TAMAN ULAM RAJA</t>
  </si>
  <si>
    <t>TIME IN / OUT</t>
  </si>
  <si>
    <t>/</t>
  </si>
  <si>
    <t>JJBU/PCE/H01031</t>
  </si>
  <si>
    <t>V.I REF. NO</t>
  </si>
  <si>
    <t>TEV BACK GROUND / HUMIDITY</t>
  </si>
  <si>
    <t>dB</t>
  </si>
  <si>
    <t>%</t>
  </si>
  <si>
    <t>BACKGROUND TEMP : 32.3°C</t>
  </si>
  <si>
    <t>SWITCHGEAR</t>
  </si>
  <si>
    <t>DETAIL</t>
  </si>
  <si>
    <t>TEMPERATURE</t>
  </si>
  <si>
    <t>ULTRASOUND</t>
  </si>
  <si>
    <t>TEV</t>
  </si>
  <si>
    <t>REMARK</t>
  </si>
  <si>
    <t>NO.</t>
  </si>
  <si>
    <t>FDR. NO</t>
  </si>
  <si>
    <t xml:space="preserve">                   FEEDER NAME                                            </t>
  </si>
  <si>
    <t>STATUS (TRIP / CLOSE)</t>
  </si>
  <si>
    <t>LOAD (A)</t>
  </si>
  <si>
    <t>CABLE TYPE/SIZE</t>
  </si>
  <si>
    <t>HEATER (A)</t>
  </si>
  <si>
    <t>SERIAL NO (ONLY BREAKER &amp; OLU)</t>
  </si>
  <si>
    <t>COMP</t>
  </si>
  <si>
    <t>Tmin
(°C)</t>
  </si>
  <si>
    <t>Tmax
(°C)</t>
  </si>
  <si>
    <t>ΔT</t>
  </si>
  <si>
    <t>Avg (°C)</t>
  </si>
  <si>
    <t>FILE</t>
  </si>
  <si>
    <t>REMARKS</t>
  </si>
  <si>
    <t>TYPE CHAR.</t>
  </si>
  <si>
    <t>PULSE/ CYCLE</t>
  </si>
  <si>
    <t>JJB96240</t>
  </si>
  <si>
    <t>SK KG MAJU JAYA</t>
  </si>
  <si>
    <t>CLOSE</t>
  </si>
  <si>
    <t>XLPE</t>
  </si>
  <si>
    <t>CABLE</t>
  </si>
  <si>
    <t>BREAKER</t>
  </si>
  <si>
    <t>TOP PANEL</t>
  </si>
  <si>
    <t>PT</t>
  </si>
  <si>
    <t>JJB96241</t>
  </si>
  <si>
    <t>TX 500 KVA</t>
  </si>
  <si>
    <t>JJB96242</t>
  </si>
  <si>
    <t>PPU SETIA TROPIKA CB 06</t>
  </si>
  <si>
    <t>OVERVIEW</t>
  </si>
  <si>
    <t>LOCAL TRANSFORMER</t>
  </si>
  <si>
    <t>DETAILS</t>
  </si>
  <si>
    <t>THERMOGRAHY</t>
  </si>
  <si>
    <t>TX ID</t>
  </si>
  <si>
    <t>SERIAL NO</t>
  </si>
  <si>
    <t>COMP.</t>
  </si>
  <si>
    <t>Tmin(°C)</t>
  </si>
  <si>
    <t>Tmax(°C)</t>
  </si>
  <si>
    <t>TX1</t>
  </si>
  <si>
    <t>HT CABLE</t>
  </si>
  <si>
    <t>TX3</t>
  </si>
  <si>
    <t>HT BUSHING</t>
  </si>
  <si>
    <t>LV CABLE</t>
  </si>
  <si>
    <t>LV BUSHING</t>
  </si>
  <si>
    <t>BODY</t>
  </si>
  <si>
    <t>TX2</t>
  </si>
  <si>
    <t>TX4</t>
  </si>
  <si>
    <t>LV DISTRIBUTION BOARD/FEEDER PILLAR/OTHERS</t>
  </si>
  <si>
    <t>LVDB / FP 1</t>
  </si>
  <si>
    <t xml:space="preserve">INC. 1 </t>
  </si>
  <si>
    <t xml:space="preserve">INC. 2 </t>
  </si>
  <si>
    <t>INC. 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</si>
  <si>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</si>
  <si>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</si>
  <si>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</si>
  <si>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</si>
  <si>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</si>
  <si>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</si>
  <si>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</si>
  <si>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</si>
  <si>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</si>
  <si>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</si>
  <si>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CABLE TYPE / SIZE</t>
  </si>
  <si>
    <t>LVDB / FP 2</t>
  </si>
  <si>
    <t>NO</t>
  </si>
  <si>
    <t>LVDB / FP</t>
  </si>
  <si>
    <t xml:space="preserve">      DEFECTIVE FEEDER NAME                                            </t>
  </si>
  <si>
    <t>LVDB</t>
  </si>
  <si>
    <t>J-SLOTTED</t>
  </si>
  <si>
    <t>INC 1</t>
  </si>
  <si>
    <t>Manufacturer :</t>
  </si>
  <si>
    <t>SSE</t>
  </si>
  <si>
    <t>INC 2</t>
  </si>
  <si>
    <t>Serial No. :</t>
  </si>
  <si>
    <t>LV974-1999</t>
  </si>
  <si>
    <t>Rating :</t>
  </si>
  <si>
    <t>1600A</t>
  </si>
  <si>
    <t>Battery Bank 1</t>
  </si>
  <si>
    <t>BC1: SUNPOWER M:SPS 30-10 L SN:11193-9638</t>
  </si>
  <si>
    <t>Battery Bank 2</t>
  </si>
  <si>
    <t>BC2: BERKAT INSAF M:SEB100-30-10UL  SN:B21219</t>
  </si>
  <si>
    <t>Black Box 2</t>
  </si>
  <si>
    <t>Lightning Arrester</t>
  </si>
  <si>
    <t>Dropout Fuse</t>
  </si>
  <si>
    <t>Auto Recloser</t>
  </si>
  <si>
    <t>LBS</t>
  </si>
  <si>
    <t>Tested by (Name &amp; Signature) :</t>
  </si>
  <si>
    <t>TNB Supervisor/Engineer (Name &amp; Signature) :</t>
  </si>
  <si>
    <t>Ver. : 1-2019</t>
  </si>
  <si>
    <t>Vi no mat, n p lock swg r</t>
  </si>
  <si>
    <t>TYPE</t>
  </si>
  <si>
    <t>PCE</t>
  </si>
  <si>
    <t>VISUAL INSPECTION CHECKLIST FOR 11kV SUBSTATION</t>
  </si>
  <si>
    <t>DATE:</t>
  </si>
  <si>
    <t>P/E Name (ERMS):</t>
  </si>
  <si>
    <t>F/L NO (ERMS):</t>
  </si>
  <si>
    <t>P/E Name (SITE):</t>
  </si>
  <si>
    <t>TAMAN ULAM RAJA JOHOR BAHRU</t>
  </si>
  <si>
    <t>F/L NO (SITE):</t>
  </si>
  <si>
    <t>GPS Coordinate:</t>
  </si>
  <si>
    <t>1.579336, 103.718377</t>
  </si>
  <si>
    <t xml:space="preserve">PCE Type: </t>
  </si>
  <si>
    <t>INDOOR</t>
  </si>
  <si>
    <t>✅</t>
  </si>
  <si>
    <t>OUTDOOR</t>
  </si>
  <si>
    <t>COMPACT</t>
  </si>
  <si>
    <t>ATTACH BUILDING</t>
  </si>
  <si>
    <t>PAT</t>
  </si>
  <si>
    <t>OTHER</t>
  </si>
  <si>
    <t>PCE Area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</si>
  <si>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</si>
  <si>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</si>
  <si>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</si>
  <si>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</si>
  <si>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</si>
  <si>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</si>
  <si>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</si>
  <si>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</si>
  <si>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</si>
  <si>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EPE</t>
  </si>
  <si>
    <t>CFC 2S+1F</t>
  </si>
  <si>
    <t>Switchgear Manufactured Date:</t>
  </si>
  <si>
    <t>Switchgear Rating :</t>
  </si>
  <si>
    <t>12kV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</si>
  <si>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</si>
  <si>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</si>
  <si>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</si>
  <si>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</si>
  <si>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</si>
  <si>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</si>
  <si>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H/S</t>
  </si>
  <si>
    <t>KVA</t>
  </si>
  <si>
    <t>500kVA</t>
  </si>
  <si>
    <t>Construction Yr:</t>
  </si>
  <si>
    <t>Manufacturer:</t>
  </si>
  <si>
    <t>EWT</t>
  </si>
  <si>
    <t>S/N :</t>
  </si>
  <si>
    <t>EWT/91260</t>
  </si>
  <si>
    <t>Tx 2:</t>
  </si>
  <si>
    <t>Tx 3:</t>
  </si>
  <si>
    <t>Tx 4:</t>
  </si>
  <si>
    <t>KEJANGGALAN</t>
  </si>
  <si>
    <t>1. Signboard:</t>
  </si>
  <si>
    <t>Good</t>
  </si>
  <si>
    <t>Not Good</t>
  </si>
  <si>
    <t>Remarks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</si>
  <si>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</si>
  <si>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</si>
  <si>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</si>
  <si>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</si>
  <si>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</si>
  <si>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</si>
  <si>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</si>
  <si>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YES</t>
  </si>
  <si>
    <t>9. Tx Oil Level (conservator tank):</t>
  </si>
  <si>
    <t>10. Tx Oil Leak:</t>
  </si>
  <si>
    <t>11. Tx Bushing: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</si>
  <si>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</si>
  <si>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</si>
  <si>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</si>
  <si>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</si>
  <si>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</si>
  <si>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</si>
  <si>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</si>
  <si>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</si>
  <si>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</si>
  <si>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Valid</t>
  </si>
  <si>
    <t>Expired</t>
  </si>
  <si>
    <t>Expiry Date: 11/10/2026</t>
  </si>
  <si>
    <t>No. of missing portable :</t>
  </si>
  <si>
    <t>-</t>
  </si>
  <si>
    <t xml:space="preserve">                                        </t>
  </si>
  <si>
    <t>21. Fence/door condition:</t>
  </si>
  <si>
    <t>22. Cleanliness/Bushes:</t>
  </si>
  <si>
    <t>23. Vandalisme</t>
  </si>
  <si>
    <t>24. Other Findings:</t>
  </si>
  <si>
    <t>TNB Supervisor / Engineer (Name &amp; Signature) :</t>
  </si>
  <si>
    <t>Date :</t>
  </si>
  <si>
    <t>START</t>
  </si>
  <si>
    <t>END</t>
  </si>
  <si>
    <t>IR</t>
  </si>
  <si>
    <t>DG</t>
  </si>
  <si>
    <t>SUBSTATION_TYPE</t>
  </si>
  <si>
    <t>CHECKMARK</t>
  </si>
  <si>
    <t>ATTACHED BUILDING</t>
  </si>
  <si>
    <t>INDOOR/COMPACT</t>
  </si>
  <si>
    <t>OUTDOOR/COMPACT</t>
  </si>
  <si>
    <t>AREA</t>
  </si>
  <si>
    <t>STATE</t>
  </si>
  <si>
    <t>JOHOR BAHRU</t>
  </si>
  <si>
    <t>JOHOR</t>
  </si>
  <si>
    <t>SWITCHGEAR_TYPE</t>
  </si>
  <si>
    <t>CB_POSITION_RMU</t>
  </si>
  <si>
    <t>CB_POSITION_VCB</t>
  </si>
  <si>
    <t>BUSBAR_POSITION</t>
  </si>
  <si>
    <t>CABLE_TYPE</t>
  </si>
  <si>
    <t>SWG_MANUFACTURER</t>
  </si>
  <si>
    <t>SWG_MODEL</t>
  </si>
  <si>
    <t>SWG_RATING</t>
  </si>
  <si>
    <t>TX_MANUFACTURER</t>
  </si>
  <si>
    <t>TX_MODEL</t>
  </si>
  <si>
    <t>TX_RATING</t>
  </si>
  <si>
    <t>TX_AREA</t>
  </si>
  <si>
    <t>LV_MANUFACTURER</t>
  </si>
  <si>
    <t>LV_MODEL</t>
  </si>
  <si>
    <t>LV_RATING</t>
  </si>
  <si>
    <t>BATT_MANUFACTURER</t>
  </si>
  <si>
    <t>BATT_MODEL</t>
  </si>
  <si>
    <t>SERVICE/CLOSE</t>
  </si>
  <si>
    <t>MAIN</t>
  </si>
  <si>
    <t>6.6kV</t>
  </si>
  <si>
    <t>100kVA</t>
  </si>
  <si>
    <t>DIN TYPE</t>
  </si>
  <si>
    <t>BERKAT INSAF</t>
  </si>
  <si>
    <t>SEB100-30-10</t>
  </si>
  <si>
    <t>MRMU SF6</t>
  </si>
  <si>
    <t>TRIP</t>
  </si>
  <si>
    <t>SERVICE/TRIP</t>
  </si>
  <si>
    <t>RESERVE</t>
  </si>
  <si>
    <t>PILC</t>
  </si>
  <si>
    <t>C/T</t>
  </si>
  <si>
    <t>300kVA</t>
  </si>
  <si>
    <t>OVERVIEW TOP</t>
  </si>
  <si>
    <t>1000A</t>
  </si>
  <si>
    <t>SUNPOWER</t>
  </si>
  <si>
    <t>TEST/TRIP</t>
  </si>
  <si>
    <t>MAIN/RESERVE</t>
  </si>
  <si>
    <t>N/A</t>
  </si>
  <si>
    <t>24kV</t>
  </si>
  <si>
    <t>HV BUSHING</t>
  </si>
  <si>
    <t>800A</t>
  </si>
  <si>
    <t>RACK OUT</t>
  </si>
  <si>
    <t>NOT ACCESSIBLE</t>
  </si>
  <si>
    <t>36kV</t>
  </si>
  <si>
    <t>750kVA</t>
  </si>
  <si>
    <t>HV CABLE</t>
  </si>
  <si>
    <t>400A</t>
  </si>
  <si>
    <t>GIS</t>
  </si>
  <si>
    <t>1000kVA</t>
  </si>
  <si>
    <t>HV CABLE SPLIT</t>
  </si>
  <si>
    <t>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</si>
</sst>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6" x14ac:knownFonts="1">
    <font>
      <sz val="11"/>
      <color theme="1"/>
      <name val="Calibri"/>
      <scheme val="minor"/>
    </font>
    <font>
      <sz val="8"/>
      <color theme="1"/>
      <name val="Tahoma"/>
    </font>
    <font>
      <sz val="10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b/>
      <sz val="8"/>
      <color theme="1"/>
      <name val="Tahoma"/>
    </font>
    <font>
      <sz val="9"/>
      <color theme="1"/>
      <name val="Tahoma"/>
    </font>
    <font>
      <sz val="11"/>
      <color theme="1"/>
      <name val="Tahoma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b/>
      <u/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auto="1"/>
      </diagonal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14" xfId="0" applyFont="1" applyBorder="1"/>
    <xf numFmtId="0" fontId="13" fillId="0" borderId="1" xfId="0" applyFont="1" applyBorder="1" applyAlignment="1">
      <alignment horizontal="center" vertical="center"/>
    </xf>
    <xf numFmtId="0" fontId="13" fillId="3" borderId="15" xfId="0" applyFont="1" applyFill="1" applyBorder="1"/>
    <xf numFmtId="0" fontId="13" fillId="0" borderId="0" xfId="0" applyFont="1" applyAlignment="1">
      <alignment horizontal="right"/>
    </xf>
    <xf numFmtId="0" fontId="13" fillId="0" borderId="11" xfId="0" applyFont="1" applyBorder="1"/>
    <xf numFmtId="0" fontId="13" fillId="0" borderId="0" xfId="0" applyFont="1" applyAlignment="1">
      <alignment wrapText="1"/>
    </xf>
    <xf numFmtId="0" fontId="13" fillId="0" borderId="10" xfId="0" applyFont="1" applyBorder="1"/>
    <xf numFmtId="0" fontId="13" fillId="3" borderId="15" xfId="0" applyFont="1" applyFill="1" applyBorder="1" applyAlignment="1">
      <alignment wrapText="1"/>
    </xf>
    <xf numFmtId="0" fontId="13" fillId="0" borderId="0" xfId="0" applyFont="1" applyAlignment="1">
      <alignment horizontal="left"/>
    </xf>
    <xf numFmtId="0" fontId="9" fillId="0" borderId="1" xfId="0" applyFont="1" applyBorder="1" applyAlignment="1">
      <alignment vertical="center"/>
    </xf>
    <xf numFmtId="0" fontId="14" fillId="0" borderId="0" xfId="0" applyFont="1"/>
    <xf numFmtId="0" fontId="13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15" fillId="0" borderId="0" xfId="0" applyFont="1"/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9" fontId="13" fillId="0" borderId="0" xfId="0" applyNumberFormat="1" applyFont="1"/>
    <xf numFmtId="0" fontId="13" fillId="0" borderId="3" xfId="0" applyFont="1" applyBorder="1" applyAlignment="1">
      <alignment horizontal="right"/>
    </xf>
    <xf numFmtId="49" fontId="9" fillId="0" borderId="0" xfId="0" applyNumberFormat="1" applyFont="1"/>
    <xf numFmtId="0" fontId="13" fillId="0" borderId="0" xfId="0" applyFont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3" fillId="0" borderId="7" xfId="0" applyFont="1" applyBorder="1"/>
    <xf numFmtId="0" fontId="9" fillId="0" borderId="0" xfId="0" applyFont="1"/>
    <xf numFmtId="49" fontId="13" fillId="0" borderId="0" xfId="0" applyNumberFormat="1" applyFont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6" xfId="0" applyFont="1" applyFill="1" applyBorder="1"/>
    <xf numFmtId="0" fontId="2" fillId="3" borderId="1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3" fillId="4" borderId="21" xfId="0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/>
    <xf numFmtId="0" fontId="3" fillId="0" borderId="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3" fillId="0" borderId="1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2" fillId="0" borderId="1" xfId="0" applyFont="1" applyBorder="1" applyAlignment="1">
      <alignment horizontal="left" vertical="center" wrapText="1"/>
    </xf>
    <xf numFmtId="0" fontId="0" fillId="0" borderId="8" xfId="0" applyBorder="1"/>
    <xf numFmtId="0" fontId="0" fillId="0" borderId="13" xfId="0" applyBorder="1"/>
    <xf numFmtId="0" fontId="0" fillId="0" borderId="9" xfId="0" applyBorder="1"/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4" xfId="0" applyFont="1" applyBorder="1" applyAlignment="1">
      <alignment horizontal="left"/>
    </xf>
    <xf numFmtId="0" fontId="13" fillId="0" borderId="14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1449204</xdr:colOff>
      <xdr:row>65</xdr:row>
      <xdr:rowOff>12650</xdr:rowOff>
    </xdr:from>
    <xdr:to>
      <xdr:col>6</xdr:col>
      <xdr:colOff>826923</xdr:colOff>
      <xdr:row>70</xdr:row>
      <xdr:rowOff>62917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19</xdr:col>
      <xdr:colOff>502432</xdr:colOff>
      <xdr:row>64</xdr:row>
      <xdr:rowOff>24928</xdr:rowOff>
    </xdr:from>
    <xdr:to>
      <xdr:col>24</xdr:col>
      <xdr:colOff>23064</xdr:colOff>
      <xdr:row>71</xdr:row>
      <xdr:rowOff>12017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14608</xdr:colOff>
      <xdr:row>47</xdr:row>
      <xdr:rowOff>164752</xdr:rowOff>
    </xdr:from>
    <xdr:to>
      <xdr:col>5</xdr:col>
      <xdr:colOff>663339</xdr:colOff>
      <xdr:row>51</xdr:row>
      <xdr:rowOff>50601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10</xdr:col>
      <xdr:colOff>463652</xdr:colOff>
      <xdr:row>46</xdr:row>
      <xdr:rowOff>114300</xdr:rowOff>
    </xdr:from>
    <xdr:to>
      <xdr:col>14</xdr:col>
      <xdr:colOff>197220</xdr:colOff>
      <xdr:row>51</xdr:row>
      <xdr:rowOff>126503</xdr:rowOff>
    </xdr:to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11</xdr:col>
      <xdr:colOff>352425</xdr:colOff>
      <xdr:row>2</xdr:row>
      <xdr:rowOff>123825</xdr:rowOff>
    </xdr:from>
    <xdr:ext cx="1600200" cy="4572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B1000"/>
  <sheetViews>
    <sheetView tabSelected="1" topLeftCell="C1" workbookViewId="0">
      <selection activeCell="I10" sqref="I10:I13"/>
    </sheetView>
  </sheetViews>
  <sheetFormatPr defaultColWidth="14.42578125" defaultRowHeight="15" customHeight="1" x14ac:dyDescent="0.25"/>
  <cols>
    <col min="1" max="1" width="8" customWidth="1"/>
    <col min="2" max="2" width="13.85546875" customWidth="1"/>
    <col min="3" max="3" width="12.28515625" customWidth="1"/>
    <col min="4" max="4" width="22.7109375" customWidth="1"/>
    <col min="5" max="5" width="12.85546875" customWidth="1"/>
    <col min="6" max="6" width="11" customWidth="1"/>
    <col min="7" max="7" width="13.42578125" customWidth="1"/>
    <col min="8" max="8" width="10.140625" customWidth="1"/>
    <col min="9" max="9" width="16.7109375" customWidth="1"/>
    <col min="10" max="10" width="12" customWidth="1"/>
    <col min="11" max="11" width="9.5703125" customWidth="1"/>
    <col min="12" max="13" width="10" customWidth="1"/>
    <col min="14" max="14" width="12.140625" customWidth="1"/>
    <col min="15" max="15" width="11.7109375" customWidth="1"/>
    <col min="16" max="16" width="15.85546875" customWidth="1"/>
    <col min="17" max="17" width="9.5703125" customWidth="1"/>
    <col min="18" max="18" width="9.7109375" customWidth="1"/>
    <col min="19" max="19" width="8.7109375" customWidth="1"/>
    <col min="20" max="20" width="8.85546875" customWidth="1"/>
    <col min="21" max="21" width="8.7109375" customWidth="1"/>
    <col min="22" max="22" width="9.28515625" customWidth="1"/>
    <col min="23" max="23" width="6.85546875" customWidth="1"/>
    <col min="24" max="24" width="7.7109375" customWidth="1"/>
    <col min="25" max="25" width="21.42578125" customWidth="1"/>
    <col min="26" max="28" width="9.140625" customWidth="1"/>
  </cols>
  <sheetData>
    <row r="1" spans="1:28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>
        <v>79</v>
      </c>
      <c r="Z1" s="1"/>
      <c r="AA1" s="3"/>
      <c r="AB1" s="3"/>
    </row>
    <row r="2" spans="1:28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4" t="s">
        <v>1</v>
      </c>
      <c r="Z2" s="1"/>
      <c r="AA2" s="3"/>
      <c r="AB2" s="3"/>
    </row>
    <row r="3" spans="1:28" ht="18" customHeight="1" x14ac:dyDescent="0.25">
      <c r="A3" s="104" t="s">
        <v>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  <c r="Z3" s="1"/>
      <c r="AA3" s="3"/>
      <c r="AB3" s="3"/>
    </row>
    <row r="4" spans="1:28" ht="19.5" customHeight="1" x14ac:dyDescent="0.25">
      <c r="A4" s="125" t="s">
        <v>3</v>
      </c>
      <c r="B4" s="110"/>
      <c r="C4" s="108" t="s">
        <v>4</v>
      </c>
      <c r="D4" s="109"/>
      <c r="E4" s="109"/>
      <c r="F4" s="109"/>
      <c r="G4" s="109"/>
      <c r="H4" s="109"/>
      <c r="I4" s="110"/>
      <c r="J4" s="102" t="s">
        <v>5</v>
      </c>
      <c r="K4" s="93"/>
      <c r="L4" s="93"/>
      <c r="M4" s="93"/>
      <c r="N4" s="93"/>
      <c r="O4" s="94"/>
      <c r="P4" s="120" t="s">
        <v>6</v>
      </c>
      <c r="Q4" s="109"/>
      <c r="R4" s="109"/>
      <c r="S4" s="109"/>
      <c r="T4" s="109"/>
      <c r="U4" s="109"/>
      <c r="V4" s="110"/>
      <c r="W4" s="121" t="s">
        <v>7</v>
      </c>
      <c r="X4" s="93"/>
      <c r="Y4" s="94"/>
      <c r="Z4" s="1"/>
      <c r="AA4" s="3"/>
      <c r="AB4" s="3"/>
    </row>
    <row r="5" spans="1:28" ht="21.75" customHeight="1" x14ac:dyDescent="0.25">
      <c r="A5" s="121" t="s">
        <v>8</v>
      </c>
      <c r="B5" s="94"/>
      <c r="C5" s="105" t="s">
        <v>9</v>
      </c>
      <c r="D5" s="93"/>
      <c r="E5" s="93"/>
      <c r="F5" s="93"/>
      <c r="G5" s="93"/>
      <c r="H5" s="93"/>
      <c r="I5" s="94"/>
      <c r="J5" s="102" t="s">
        <v>10</v>
      </c>
      <c r="K5" s="93"/>
      <c r="L5" s="93"/>
      <c r="M5" s="93"/>
      <c r="N5" s="93"/>
      <c r="O5" s="94"/>
      <c r="P5" s="106">
        <v>1900</v>
      </c>
      <c r="Q5" s="94"/>
      <c r="R5" s="2" t="s">
        <v>11</v>
      </c>
      <c r="S5" s="106">
        <v>1930</v>
      </c>
      <c r="T5" s="93"/>
      <c r="U5" s="93"/>
      <c r="V5" s="94"/>
      <c r="W5" s="106" t="s">
        <v>12</v>
      </c>
      <c r="X5" s="93"/>
      <c r="Y5" s="94"/>
      <c r="Z5" s="1"/>
      <c r="AA5" s="3"/>
      <c r="AB5" s="3"/>
    </row>
    <row r="6" spans="1:28" ht="18" customHeight="1" x14ac:dyDescent="0.25">
      <c r="A6" s="128" t="s">
        <v>13</v>
      </c>
      <c r="B6" s="112"/>
      <c r="C6" s="130">
        <f>Y1</f>
        <v>79</v>
      </c>
      <c r="D6" s="114"/>
      <c r="E6" s="114"/>
      <c r="F6" s="114"/>
      <c r="G6" s="114"/>
      <c r="H6" s="114"/>
      <c r="I6" s="112"/>
      <c r="J6" s="102" t="s">
        <v>14</v>
      </c>
      <c r="K6" s="93"/>
      <c r="L6" s="93"/>
      <c r="M6" s="93"/>
      <c r="N6" s="93"/>
      <c r="O6" s="94"/>
      <c r="P6" s="6">
        <v>5</v>
      </c>
      <c r="Q6" s="7" t="s">
        <v>15</v>
      </c>
      <c r="R6" s="8" t="s">
        <v>11</v>
      </c>
      <c r="S6" s="124">
        <v>64</v>
      </c>
      <c r="T6" s="93"/>
      <c r="U6" s="118" t="s">
        <v>16</v>
      </c>
      <c r="V6" s="94"/>
      <c r="W6" s="121" t="s">
        <v>17</v>
      </c>
      <c r="X6" s="93"/>
      <c r="Y6" s="94"/>
      <c r="Z6" s="1"/>
      <c r="AA6" s="3"/>
      <c r="AB6" s="3"/>
    </row>
    <row r="7" spans="1:28" ht="15" customHeight="1" x14ac:dyDescent="0.25">
      <c r="A7" s="104" t="s">
        <v>18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4"/>
      <c r="Z7" s="1"/>
      <c r="AA7" s="3"/>
      <c r="AB7" s="3"/>
    </row>
    <row r="8" spans="1:28" ht="17.25" customHeight="1" x14ac:dyDescent="0.25">
      <c r="A8" s="99" t="s">
        <v>19</v>
      </c>
      <c r="B8" s="93"/>
      <c r="C8" s="93"/>
      <c r="D8" s="93"/>
      <c r="E8" s="93"/>
      <c r="F8" s="93"/>
      <c r="G8" s="93"/>
      <c r="H8" s="93"/>
      <c r="I8" s="93"/>
      <c r="J8" s="129" t="s">
        <v>20</v>
      </c>
      <c r="K8" s="93"/>
      <c r="L8" s="93"/>
      <c r="M8" s="93"/>
      <c r="N8" s="93"/>
      <c r="O8" s="93"/>
      <c r="P8" s="94"/>
      <c r="Q8" s="95" t="s">
        <v>21</v>
      </c>
      <c r="R8" s="93"/>
      <c r="S8" s="94"/>
      <c r="T8" s="95" t="s">
        <v>22</v>
      </c>
      <c r="U8" s="93"/>
      <c r="V8" s="94"/>
      <c r="W8" s="95" t="s">
        <v>23</v>
      </c>
      <c r="X8" s="114"/>
      <c r="Y8" s="112"/>
      <c r="Z8" s="1"/>
      <c r="AA8" s="3"/>
      <c r="AB8" s="3"/>
    </row>
    <row r="9" spans="1:28" ht="48.75" customHeight="1" x14ac:dyDescent="0.25">
      <c r="A9" s="10" t="s">
        <v>24</v>
      </c>
      <c r="B9" s="10" t="s">
        <v>25</v>
      </c>
      <c r="C9" s="95" t="s">
        <v>26</v>
      </c>
      <c r="D9" s="94"/>
      <c r="E9" s="11" t="s">
        <v>27</v>
      </c>
      <c r="F9" s="11" t="s">
        <v>28</v>
      </c>
      <c r="G9" s="11" t="s">
        <v>29</v>
      </c>
      <c r="H9" s="12" t="s">
        <v>30</v>
      </c>
      <c r="I9" s="13" t="s">
        <v>31</v>
      </c>
      <c r="J9" s="14" t="s">
        <v>32</v>
      </c>
      <c r="K9" s="9" t="s">
        <v>33</v>
      </c>
      <c r="L9" s="9" t="s">
        <v>34</v>
      </c>
      <c r="M9" s="11" t="s">
        <v>35</v>
      </c>
      <c r="N9" s="13" t="s">
        <v>36</v>
      </c>
      <c r="O9" s="11" t="s">
        <v>37</v>
      </c>
      <c r="P9" s="13" t="s">
        <v>38</v>
      </c>
      <c r="Q9" s="11" t="s">
        <v>15</v>
      </c>
      <c r="R9" s="11" t="s">
        <v>37</v>
      </c>
      <c r="S9" s="11" t="s">
        <v>39</v>
      </c>
      <c r="T9" s="10" t="s">
        <v>15</v>
      </c>
      <c r="U9" s="15" t="s">
        <v>40</v>
      </c>
      <c r="V9" s="11" t="s">
        <v>39</v>
      </c>
      <c r="W9" s="101"/>
      <c r="X9" s="109"/>
      <c r="Y9" s="110"/>
      <c r="Z9" s="16"/>
      <c r="AA9" s="17"/>
      <c r="AB9" s="17"/>
    </row>
    <row r="10" spans="1:28" ht="18" customHeight="1" x14ac:dyDescent="0.25">
      <c r="A10" s="106">
        <v>1</v>
      </c>
      <c r="B10" s="117" t="s">
        <v>41</v>
      </c>
      <c r="C10" s="111" t="s">
        <v>42</v>
      </c>
      <c r="D10" s="112"/>
      <c r="E10" s="89" t="s">
        <v>43</v>
      </c>
      <c r="F10" s="116"/>
      <c r="G10" s="117" t="s">
        <v>44</v>
      </c>
      <c r="H10" s="116"/>
      <c r="I10" s="116"/>
      <c r="J10" s="18" t="s">
        <v>45</v>
      </c>
      <c r="K10" s="19">
        <v>33.200000000000003</v>
      </c>
      <c r="L10" s="19">
        <v>33.200000000000003</v>
      </c>
      <c r="M10" s="19">
        <f t="shared" ref="M10:M25" si="0">IF(L10="","",L10-K10)</f>
        <v>0</v>
      </c>
      <c r="N10" s="19">
        <f t="shared" ref="N10:N25" si="1">IF(L10="","",((L10+K10)/2))</f>
        <v>33.200000000000003</v>
      </c>
      <c r="O10" s="2">
        <v>209</v>
      </c>
      <c r="P10" s="69"/>
      <c r="Q10" s="2">
        <v>0</v>
      </c>
      <c r="R10" s="69"/>
      <c r="S10" s="69"/>
      <c r="T10" s="2">
        <v>5</v>
      </c>
      <c r="U10" s="2">
        <f t="shared" ref="U10:U25" si="2">IF(T10&lt;&gt;"", 0, "")</f>
        <v>0</v>
      </c>
      <c r="V10" s="69"/>
      <c r="W10" s="98"/>
      <c r="X10" s="93"/>
      <c r="Y10" s="94"/>
      <c r="Z10" s="1"/>
      <c r="AA10" s="3"/>
      <c r="AB10" s="3"/>
    </row>
    <row r="11" spans="1:28" ht="18" customHeight="1" x14ac:dyDescent="0.25">
      <c r="A11" s="90"/>
      <c r="B11" s="90"/>
      <c r="C11" s="100"/>
      <c r="D11" s="113"/>
      <c r="E11" s="90"/>
      <c r="F11" s="90"/>
      <c r="G11" s="90"/>
      <c r="H11" s="90"/>
      <c r="I11" s="90"/>
      <c r="J11" s="18" t="s">
        <v>46</v>
      </c>
      <c r="K11" s="71"/>
      <c r="L11" s="71"/>
      <c r="M11" s="71" t="str">
        <f t="shared" si="0"/>
        <v/>
      </c>
      <c r="N11" s="71" t="str">
        <f t="shared" si="1"/>
        <v/>
      </c>
      <c r="O11" s="69"/>
      <c r="P11" s="69"/>
      <c r="Q11" s="69"/>
      <c r="R11" s="69"/>
      <c r="S11" s="69"/>
      <c r="T11" s="69"/>
      <c r="U11" s="69" t="str">
        <f t="shared" si="2"/>
        <v/>
      </c>
      <c r="V11" s="69"/>
      <c r="W11" s="98"/>
      <c r="X11" s="93"/>
      <c r="Y11" s="94"/>
      <c r="Z11" s="1"/>
      <c r="AA11" s="3"/>
      <c r="AB11" s="3"/>
    </row>
    <row r="12" spans="1:28" ht="18" customHeight="1" x14ac:dyDescent="0.25">
      <c r="A12" s="90"/>
      <c r="B12" s="90"/>
      <c r="C12" s="100"/>
      <c r="D12" s="113"/>
      <c r="E12" s="90"/>
      <c r="F12" s="90"/>
      <c r="G12" s="90"/>
      <c r="H12" s="90"/>
      <c r="I12" s="90"/>
      <c r="J12" s="18" t="s">
        <v>47</v>
      </c>
      <c r="K12" s="71"/>
      <c r="L12" s="71"/>
      <c r="M12" s="71" t="str">
        <f t="shared" si="0"/>
        <v/>
      </c>
      <c r="N12" s="71" t="str">
        <f t="shared" si="1"/>
        <v/>
      </c>
      <c r="O12" s="69"/>
      <c r="P12" s="69"/>
      <c r="Q12" s="69"/>
      <c r="R12" s="69"/>
      <c r="S12" s="69"/>
      <c r="T12" s="69"/>
      <c r="U12" s="69" t="str">
        <f t="shared" si="2"/>
        <v/>
      </c>
      <c r="V12" s="69"/>
      <c r="W12" s="98"/>
      <c r="X12" s="93"/>
      <c r="Y12" s="94"/>
      <c r="Z12" s="1"/>
      <c r="AA12" s="3"/>
      <c r="AB12" s="3"/>
    </row>
    <row r="13" spans="1:28" ht="18" customHeight="1" x14ac:dyDescent="0.25">
      <c r="A13" s="91"/>
      <c r="B13" s="91"/>
      <c r="C13" s="101"/>
      <c r="D13" s="110"/>
      <c r="E13" s="91"/>
      <c r="F13" s="91"/>
      <c r="G13" s="91"/>
      <c r="H13" s="91"/>
      <c r="I13" s="91"/>
      <c r="J13" s="18" t="s">
        <v>48</v>
      </c>
      <c r="K13" s="71"/>
      <c r="L13" s="71"/>
      <c r="M13" s="71" t="str">
        <f t="shared" si="0"/>
        <v/>
      </c>
      <c r="N13" s="71" t="str">
        <f t="shared" si="1"/>
        <v/>
      </c>
      <c r="O13" s="69"/>
      <c r="P13" s="69"/>
      <c r="Q13" s="69"/>
      <c r="R13" s="69"/>
      <c r="S13" s="69"/>
      <c r="T13" s="69"/>
      <c r="U13" s="69" t="str">
        <f t="shared" si="2"/>
        <v/>
      </c>
      <c r="V13" s="69"/>
      <c r="W13" s="98"/>
      <c r="X13" s="93"/>
      <c r="Y13" s="94"/>
      <c r="Z13" s="1"/>
      <c r="AA13" s="3"/>
      <c r="AB13" s="3"/>
    </row>
    <row r="14" spans="1:28" ht="18" customHeight="1" x14ac:dyDescent="0.25">
      <c r="A14" s="106">
        <v>2</v>
      </c>
      <c r="B14" s="117" t="s">
        <v>49</v>
      </c>
      <c r="C14" s="111" t="s">
        <v>50</v>
      </c>
      <c r="D14" s="112"/>
      <c r="E14" s="89" t="s">
        <v>43</v>
      </c>
      <c r="F14" s="116"/>
      <c r="G14" s="117" t="s">
        <v>44</v>
      </c>
      <c r="H14" s="116"/>
      <c r="I14" s="116"/>
      <c r="J14" s="18" t="s">
        <v>45</v>
      </c>
      <c r="K14" s="19">
        <v>33.1</v>
      </c>
      <c r="L14" s="19">
        <v>33.1</v>
      </c>
      <c r="M14" s="19">
        <f t="shared" si="0"/>
        <v>0</v>
      </c>
      <c r="N14" s="19">
        <f t="shared" si="1"/>
        <v>33.1</v>
      </c>
      <c r="O14" s="2">
        <v>210</v>
      </c>
      <c r="P14" s="69"/>
      <c r="Q14" s="2">
        <v>0</v>
      </c>
      <c r="R14" s="69"/>
      <c r="S14" s="69"/>
      <c r="T14" s="2">
        <v>5</v>
      </c>
      <c r="U14" s="2">
        <f t="shared" si="2"/>
        <v>0</v>
      </c>
      <c r="V14" s="69"/>
      <c r="W14" s="98"/>
      <c r="X14" s="93"/>
      <c r="Y14" s="94"/>
      <c r="Z14" s="1"/>
      <c r="AA14" s="3"/>
      <c r="AB14" s="3"/>
    </row>
    <row r="15" spans="1:28" ht="18" customHeight="1" x14ac:dyDescent="0.25">
      <c r="A15" s="90"/>
      <c r="B15" s="90"/>
      <c r="C15" s="100"/>
      <c r="D15" s="113"/>
      <c r="E15" s="90"/>
      <c r="F15" s="90"/>
      <c r="G15" s="90"/>
      <c r="H15" s="90"/>
      <c r="I15" s="90"/>
      <c r="J15" s="18" t="s">
        <v>46</v>
      </c>
      <c r="K15" s="71"/>
      <c r="L15" s="71"/>
      <c r="M15" s="71" t="str">
        <f t="shared" si="0"/>
        <v/>
      </c>
      <c r="N15" s="71" t="str">
        <f t="shared" si="1"/>
        <v/>
      </c>
      <c r="O15" s="69"/>
      <c r="P15" s="69"/>
      <c r="Q15" s="69"/>
      <c r="R15" s="69"/>
      <c r="S15" s="69"/>
      <c r="T15" s="69"/>
      <c r="U15" s="69" t="str">
        <f t="shared" si="2"/>
        <v/>
      </c>
      <c r="V15" s="69"/>
      <c r="W15" s="98"/>
      <c r="X15" s="93"/>
      <c r="Y15" s="94"/>
      <c r="Z15" s="1"/>
      <c r="AA15" s="3"/>
      <c r="AB15" s="3"/>
    </row>
    <row r="16" spans="1:28" ht="18" customHeight="1" x14ac:dyDescent="0.25">
      <c r="A16" s="90"/>
      <c r="B16" s="90"/>
      <c r="C16" s="100"/>
      <c r="D16" s="113"/>
      <c r="E16" s="90"/>
      <c r="F16" s="90"/>
      <c r="G16" s="90"/>
      <c r="H16" s="90"/>
      <c r="I16" s="90"/>
      <c r="J16" s="18" t="s">
        <v>47</v>
      </c>
      <c r="K16" s="71"/>
      <c r="L16" s="71"/>
      <c r="M16" s="71" t="str">
        <f t="shared" si="0"/>
        <v/>
      </c>
      <c r="N16" s="71" t="str">
        <f t="shared" si="1"/>
        <v/>
      </c>
      <c r="O16" s="69"/>
      <c r="P16" s="69"/>
      <c r="Q16" s="69"/>
      <c r="R16" s="69"/>
      <c r="S16" s="69"/>
      <c r="T16" s="69"/>
      <c r="U16" s="69" t="str">
        <f t="shared" si="2"/>
        <v/>
      </c>
      <c r="V16" s="69"/>
      <c r="W16" s="98"/>
      <c r="X16" s="93"/>
      <c r="Y16" s="94"/>
      <c r="Z16" s="1"/>
      <c r="AA16" s="3"/>
      <c r="AB16" s="3"/>
    </row>
    <row r="17" spans="1:28" ht="18" customHeight="1" x14ac:dyDescent="0.25">
      <c r="A17" s="91"/>
      <c r="B17" s="91"/>
      <c r="C17" s="101"/>
      <c r="D17" s="110"/>
      <c r="E17" s="91"/>
      <c r="F17" s="91"/>
      <c r="G17" s="91"/>
      <c r="H17" s="91"/>
      <c r="I17" s="91"/>
      <c r="J17" s="18" t="s">
        <v>48</v>
      </c>
      <c r="K17" s="71"/>
      <c r="L17" s="71"/>
      <c r="M17" s="71" t="str">
        <f t="shared" si="0"/>
        <v/>
      </c>
      <c r="N17" s="71" t="str">
        <f t="shared" si="1"/>
        <v/>
      </c>
      <c r="O17" s="69"/>
      <c r="P17" s="69"/>
      <c r="Q17" s="69"/>
      <c r="R17" s="69"/>
      <c r="S17" s="72"/>
      <c r="T17" s="72"/>
      <c r="U17" s="69" t="str">
        <f t="shared" si="2"/>
        <v/>
      </c>
      <c r="V17" s="69"/>
      <c r="W17" s="98"/>
      <c r="X17" s="93"/>
      <c r="Y17" s="94"/>
      <c r="Z17" s="1"/>
      <c r="AA17" s="3"/>
      <c r="AB17" s="3"/>
    </row>
    <row r="18" spans="1:28" ht="18" customHeight="1" x14ac:dyDescent="0.25">
      <c r="A18" s="106">
        <v>3</v>
      </c>
      <c r="B18" s="117" t="s">
        <v>51</v>
      </c>
      <c r="C18" s="111" t="s">
        <v>52</v>
      </c>
      <c r="D18" s="112"/>
      <c r="E18" s="89" t="s">
        <v>43</v>
      </c>
      <c r="F18" s="116"/>
      <c r="G18" s="117" t="s">
        <v>44</v>
      </c>
      <c r="H18" s="116"/>
      <c r="I18" s="116"/>
      <c r="J18" s="18" t="s">
        <v>45</v>
      </c>
      <c r="K18" s="19">
        <v>33.4</v>
      </c>
      <c r="L18" s="19">
        <v>33.4</v>
      </c>
      <c r="M18" s="19">
        <f t="shared" si="0"/>
        <v>0</v>
      </c>
      <c r="N18" s="19">
        <f t="shared" si="1"/>
        <v>33.4</v>
      </c>
      <c r="O18" s="2">
        <v>211</v>
      </c>
      <c r="P18" s="69"/>
      <c r="Q18" s="2">
        <v>0</v>
      </c>
      <c r="R18" s="69"/>
      <c r="S18" s="72"/>
      <c r="T18" s="5">
        <v>6</v>
      </c>
      <c r="U18" s="2">
        <f t="shared" si="2"/>
        <v>0</v>
      </c>
      <c r="V18" s="69"/>
      <c r="W18" s="98"/>
      <c r="X18" s="93"/>
      <c r="Y18" s="94"/>
      <c r="Z18" s="1"/>
      <c r="AA18" s="3"/>
      <c r="AB18" s="3"/>
    </row>
    <row r="19" spans="1:28" ht="18" customHeight="1" x14ac:dyDescent="0.25">
      <c r="A19" s="90"/>
      <c r="B19" s="90"/>
      <c r="C19" s="100"/>
      <c r="D19" s="113"/>
      <c r="E19" s="90"/>
      <c r="F19" s="90"/>
      <c r="G19" s="90"/>
      <c r="H19" s="90"/>
      <c r="I19" s="90"/>
      <c r="J19" s="18" t="s">
        <v>46</v>
      </c>
      <c r="K19" s="71"/>
      <c r="L19" s="71"/>
      <c r="M19" s="71" t="str">
        <f t="shared" si="0"/>
        <v/>
      </c>
      <c r="N19" s="71" t="str">
        <f t="shared" si="1"/>
        <v/>
      </c>
      <c r="O19" s="69"/>
      <c r="P19" s="69"/>
      <c r="Q19" s="69"/>
      <c r="R19" s="69"/>
      <c r="S19" s="72"/>
      <c r="T19" s="72"/>
      <c r="U19" s="69" t="str">
        <f t="shared" si="2"/>
        <v/>
      </c>
      <c r="V19" s="69"/>
      <c r="W19" s="98"/>
      <c r="X19" s="93"/>
      <c r="Y19" s="94"/>
      <c r="Z19" s="1"/>
      <c r="AA19" s="3"/>
      <c r="AB19" s="3"/>
    </row>
    <row r="20" spans="1:28" ht="18" customHeight="1" x14ac:dyDescent="0.25">
      <c r="A20" s="90"/>
      <c r="B20" s="90"/>
      <c r="C20" s="100"/>
      <c r="D20" s="113"/>
      <c r="E20" s="90"/>
      <c r="F20" s="90"/>
      <c r="G20" s="90"/>
      <c r="H20" s="90"/>
      <c r="I20" s="90"/>
      <c r="J20" s="18" t="s">
        <v>47</v>
      </c>
      <c r="K20" s="71"/>
      <c r="L20" s="71"/>
      <c r="M20" s="71" t="str">
        <f t="shared" si="0"/>
        <v/>
      </c>
      <c r="N20" s="71" t="str">
        <f t="shared" si="1"/>
        <v/>
      </c>
      <c r="O20" s="69"/>
      <c r="P20" s="69"/>
      <c r="Q20" s="69"/>
      <c r="R20" s="69"/>
      <c r="S20" s="72"/>
      <c r="T20" s="72"/>
      <c r="U20" s="69" t="str">
        <f t="shared" si="2"/>
        <v/>
      </c>
      <c r="V20" s="69"/>
      <c r="W20" s="98"/>
      <c r="X20" s="93"/>
      <c r="Y20" s="94"/>
      <c r="Z20" s="1"/>
      <c r="AA20" s="3"/>
      <c r="AB20" s="3"/>
    </row>
    <row r="21" spans="1:28" ht="18" customHeight="1" x14ac:dyDescent="0.25">
      <c r="A21" s="91"/>
      <c r="B21" s="91"/>
      <c r="C21" s="101"/>
      <c r="D21" s="110"/>
      <c r="E21" s="91"/>
      <c r="F21" s="91"/>
      <c r="G21" s="91"/>
      <c r="H21" s="91"/>
      <c r="I21" s="91"/>
      <c r="J21" s="18" t="s">
        <v>48</v>
      </c>
      <c r="K21" s="71"/>
      <c r="L21" s="71"/>
      <c r="M21" s="71" t="str">
        <f t="shared" si="0"/>
        <v/>
      </c>
      <c r="N21" s="71" t="str">
        <f t="shared" si="1"/>
        <v/>
      </c>
      <c r="O21" s="69"/>
      <c r="P21" s="69"/>
      <c r="Q21" s="69"/>
      <c r="R21" s="69"/>
      <c r="S21" s="72"/>
      <c r="T21" s="72"/>
      <c r="U21" s="69" t="str">
        <f t="shared" si="2"/>
        <v/>
      </c>
      <c r="V21" s="69"/>
      <c r="W21" s="98"/>
      <c r="X21" s="93"/>
      <c r="Y21" s="94"/>
      <c r="Z21" s="1"/>
      <c r="AA21" s="3"/>
      <c r="AB21" s="3"/>
    </row>
    <row r="22" spans="1:28" ht="18" customHeight="1" x14ac:dyDescent="0.25">
      <c r="A22" s="106">
        <v>4</v>
      </c>
      <c r="B22" s="116"/>
      <c r="C22" s="115"/>
      <c r="D22" s="112"/>
      <c r="E22" s="132"/>
      <c r="F22" s="116"/>
      <c r="G22" s="116"/>
      <c r="H22" s="116"/>
      <c r="I22" s="116"/>
      <c r="J22" s="18" t="s">
        <v>45</v>
      </c>
      <c r="K22" s="71"/>
      <c r="L22" s="71"/>
      <c r="M22" s="71" t="str">
        <f t="shared" si="0"/>
        <v/>
      </c>
      <c r="N22" s="71" t="str">
        <f t="shared" si="1"/>
        <v/>
      </c>
      <c r="O22" s="69"/>
      <c r="P22" s="69"/>
      <c r="Q22" s="2">
        <v>0</v>
      </c>
      <c r="R22" s="69"/>
      <c r="S22" s="72"/>
      <c r="T22" s="5">
        <v>5</v>
      </c>
      <c r="U22" s="2">
        <f t="shared" si="2"/>
        <v>0</v>
      </c>
      <c r="V22" s="69"/>
      <c r="W22" s="98"/>
      <c r="X22" s="93"/>
      <c r="Y22" s="94"/>
      <c r="Z22" s="1"/>
      <c r="AA22" s="3"/>
      <c r="AB22" s="3"/>
    </row>
    <row r="23" spans="1:28" ht="18" customHeight="1" x14ac:dyDescent="0.25">
      <c r="A23" s="90"/>
      <c r="B23" s="90"/>
      <c r="C23" s="100"/>
      <c r="D23" s="113"/>
      <c r="E23" s="90"/>
      <c r="F23" s="90"/>
      <c r="G23" s="90"/>
      <c r="H23" s="90"/>
      <c r="I23" s="90"/>
      <c r="J23" s="18" t="s">
        <v>46</v>
      </c>
      <c r="K23" s="71"/>
      <c r="L23" s="71"/>
      <c r="M23" s="71" t="str">
        <f t="shared" si="0"/>
        <v/>
      </c>
      <c r="N23" s="71" t="str">
        <f t="shared" si="1"/>
        <v/>
      </c>
      <c r="O23" s="69"/>
      <c r="P23" s="69"/>
      <c r="Q23" s="69"/>
      <c r="R23" s="69"/>
      <c r="S23" s="72"/>
      <c r="T23" s="72"/>
      <c r="U23" s="69" t="str">
        <f t="shared" si="2"/>
        <v/>
      </c>
      <c r="V23" s="69"/>
      <c r="W23" s="98"/>
      <c r="X23" s="93"/>
      <c r="Y23" s="94"/>
      <c r="Z23" s="1"/>
      <c r="AA23" s="3"/>
      <c r="AB23" s="3"/>
    </row>
    <row r="24" spans="1:28" ht="18" customHeight="1" x14ac:dyDescent="0.25">
      <c r="A24" s="90"/>
      <c r="B24" s="90"/>
      <c r="C24" s="100"/>
      <c r="D24" s="113"/>
      <c r="E24" s="90"/>
      <c r="F24" s="90"/>
      <c r="G24" s="90"/>
      <c r="H24" s="90"/>
      <c r="I24" s="90"/>
      <c r="J24" s="18" t="s">
        <v>47</v>
      </c>
      <c r="K24" s="71"/>
      <c r="L24" s="71"/>
      <c r="M24" s="71" t="str">
        <f t="shared" si="0"/>
        <v/>
      </c>
      <c r="N24" s="71" t="str">
        <f t="shared" si="1"/>
        <v/>
      </c>
      <c r="O24" s="69"/>
      <c r="P24" s="69"/>
      <c r="Q24" s="69"/>
      <c r="R24" s="69"/>
      <c r="S24" s="72"/>
      <c r="T24" s="72"/>
      <c r="U24" s="69" t="str">
        <f t="shared" si="2"/>
        <v/>
      </c>
      <c r="V24" s="69"/>
      <c r="W24" s="98"/>
      <c r="X24" s="93"/>
      <c r="Y24" s="94"/>
      <c r="Z24" s="1"/>
      <c r="AA24" s="3"/>
      <c r="AB24" s="3"/>
    </row>
    <row r="25" spans="1:28" ht="18" customHeight="1" x14ac:dyDescent="0.25">
      <c r="A25" s="91"/>
      <c r="B25" s="91"/>
      <c r="C25" s="101"/>
      <c r="D25" s="110"/>
      <c r="E25" s="91"/>
      <c r="F25" s="91"/>
      <c r="G25" s="91"/>
      <c r="H25" s="91"/>
      <c r="I25" s="91"/>
      <c r="J25" s="18" t="s">
        <v>48</v>
      </c>
      <c r="K25" s="71"/>
      <c r="L25" s="71"/>
      <c r="M25" s="71" t="str">
        <f t="shared" si="0"/>
        <v/>
      </c>
      <c r="N25" s="71" t="str">
        <f t="shared" si="1"/>
        <v/>
      </c>
      <c r="O25" s="69"/>
      <c r="P25" s="69"/>
      <c r="Q25" s="69"/>
      <c r="R25" s="69"/>
      <c r="S25" s="72"/>
      <c r="T25" s="72"/>
      <c r="U25" s="69" t="str">
        <f t="shared" si="2"/>
        <v/>
      </c>
      <c r="V25" s="69"/>
      <c r="W25" s="131"/>
      <c r="X25" s="114"/>
      <c r="Y25" s="112"/>
      <c r="Z25" s="1"/>
      <c r="AA25" s="3"/>
      <c r="AB25" s="3"/>
    </row>
    <row r="26" spans="1:28" ht="18" customHeight="1" x14ac:dyDescent="0.25">
      <c r="A26" s="95" t="s">
        <v>53</v>
      </c>
      <c r="B26" s="114"/>
      <c r="C26" s="114"/>
      <c r="D26" s="114"/>
      <c r="E26" s="114"/>
      <c r="F26" s="114"/>
      <c r="G26" s="114"/>
      <c r="H26" s="114"/>
      <c r="I26" s="112"/>
      <c r="J26" s="18" t="s">
        <v>45</v>
      </c>
      <c r="K26" s="73"/>
      <c r="L26" s="74"/>
      <c r="M26" s="74"/>
      <c r="N26" s="19">
        <v>33.200000000000003</v>
      </c>
      <c r="O26" s="2">
        <v>204</v>
      </c>
      <c r="P26" s="122"/>
      <c r="Q26" s="75"/>
      <c r="R26" s="75"/>
      <c r="S26" s="76"/>
      <c r="T26" s="76"/>
      <c r="U26" s="77"/>
      <c r="V26" s="78"/>
      <c r="W26" s="103"/>
      <c r="X26" s="114"/>
      <c r="Y26" s="112"/>
      <c r="Z26" s="1"/>
      <c r="AA26" s="3"/>
      <c r="AB26" s="3"/>
    </row>
    <row r="27" spans="1:28" ht="18" customHeight="1" x14ac:dyDescent="0.25">
      <c r="A27" s="100"/>
      <c r="B27" s="97"/>
      <c r="C27" s="97"/>
      <c r="D27" s="97"/>
      <c r="E27" s="97"/>
      <c r="F27" s="97"/>
      <c r="G27" s="97"/>
      <c r="H27" s="97"/>
      <c r="I27" s="113"/>
      <c r="J27" s="18" t="s">
        <v>46</v>
      </c>
      <c r="K27" s="73"/>
      <c r="L27" s="74"/>
      <c r="M27" s="74"/>
      <c r="N27" s="71"/>
      <c r="O27" s="69"/>
      <c r="P27" s="90"/>
      <c r="Q27" s="75"/>
      <c r="R27" s="75"/>
      <c r="S27" s="76"/>
      <c r="T27" s="76"/>
      <c r="U27" s="77"/>
      <c r="V27" s="78"/>
      <c r="W27" s="100"/>
      <c r="X27" s="97"/>
      <c r="Y27" s="113"/>
      <c r="Z27" s="1"/>
      <c r="AA27" s="3"/>
      <c r="AB27" s="3"/>
    </row>
    <row r="28" spans="1:28" ht="18" customHeight="1" x14ac:dyDescent="0.25">
      <c r="A28" s="100"/>
      <c r="B28" s="97"/>
      <c r="C28" s="97"/>
      <c r="D28" s="97"/>
      <c r="E28" s="97"/>
      <c r="F28" s="97"/>
      <c r="G28" s="97"/>
      <c r="H28" s="97"/>
      <c r="I28" s="113"/>
      <c r="J28" s="18" t="s">
        <v>47</v>
      </c>
      <c r="K28" s="73"/>
      <c r="L28" s="74"/>
      <c r="M28" s="74"/>
      <c r="N28" s="19">
        <v>33.200000000000003</v>
      </c>
      <c r="O28" s="2">
        <v>208</v>
      </c>
      <c r="P28" s="90"/>
      <c r="Q28" s="75"/>
      <c r="R28" s="75"/>
      <c r="S28" s="76"/>
      <c r="T28" s="76"/>
      <c r="U28" s="77"/>
      <c r="V28" s="78"/>
      <c r="W28" s="100"/>
      <c r="X28" s="97"/>
      <c r="Y28" s="113"/>
      <c r="Z28" s="1"/>
      <c r="AA28" s="3"/>
      <c r="AB28" s="3"/>
    </row>
    <row r="29" spans="1:28" ht="18" customHeight="1" x14ac:dyDescent="0.25">
      <c r="A29" s="101"/>
      <c r="B29" s="109"/>
      <c r="C29" s="109"/>
      <c r="D29" s="109"/>
      <c r="E29" s="109"/>
      <c r="F29" s="109"/>
      <c r="G29" s="109"/>
      <c r="H29" s="109"/>
      <c r="I29" s="110"/>
      <c r="J29" s="18" t="s">
        <v>48</v>
      </c>
      <c r="K29" s="73"/>
      <c r="L29" s="74"/>
      <c r="M29" s="74"/>
      <c r="N29" s="71"/>
      <c r="O29" s="69"/>
      <c r="P29" s="91"/>
      <c r="Q29" s="75"/>
      <c r="R29" s="75"/>
      <c r="S29" s="76"/>
      <c r="T29" s="76"/>
      <c r="U29" s="77"/>
      <c r="V29" s="78"/>
      <c r="W29" s="101"/>
      <c r="X29" s="109"/>
      <c r="Y29" s="110"/>
      <c r="Z29" s="1"/>
      <c r="AA29" s="3"/>
      <c r="AB29" s="3"/>
    </row>
    <row r="30" spans="1:28" ht="15" customHeight="1" x14ac:dyDescent="0.25">
      <c r="A30" s="104" t="s">
        <v>54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4"/>
      <c r="Z30" s="1"/>
      <c r="AA30" s="3"/>
      <c r="AB30" s="3"/>
    </row>
    <row r="31" spans="1:28" ht="15" customHeight="1" x14ac:dyDescent="0.25">
      <c r="A31" s="104" t="s">
        <v>55</v>
      </c>
      <c r="B31" s="93"/>
      <c r="C31" s="93"/>
      <c r="D31" s="93"/>
      <c r="E31" s="94"/>
      <c r="F31" s="104" t="s">
        <v>56</v>
      </c>
      <c r="G31" s="93"/>
      <c r="H31" s="93"/>
      <c r="I31" s="93"/>
      <c r="J31" s="94"/>
      <c r="K31" s="104" t="s">
        <v>21</v>
      </c>
      <c r="L31" s="94"/>
      <c r="M31" s="104" t="s">
        <v>55</v>
      </c>
      <c r="N31" s="93"/>
      <c r="O31" s="93"/>
      <c r="P31" s="94"/>
      <c r="Q31" s="104" t="s">
        <v>56</v>
      </c>
      <c r="R31" s="93"/>
      <c r="S31" s="93"/>
      <c r="T31" s="93"/>
      <c r="U31" s="93"/>
      <c r="V31" s="94"/>
      <c r="W31" s="104" t="s">
        <v>21</v>
      </c>
      <c r="X31" s="94"/>
      <c r="Y31" s="79"/>
      <c r="Z31" s="1"/>
      <c r="AA31" s="3"/>
      <c r="AB31" s="3"/>
    </row>
    <row r="32" spans="1:28" ht="38.25" customHeight="1" x14ac:dyDescent="0.25">
      <c r="A32" s="20" t="s">
        <v>57</v>
      </c>
      <c r="B32" s="20" t="s">
        <v>58</v>
      </c>
      <c r="C32" s="21" t="s">
        <v>29</v>
      </c>
      <c r="D32" s="22" t="s">
        <v>23</v>
      </c>
      <c r="E32" s="23" t="s">
        <v>59</v>
      </c>
      <c r="F32" s="20" t="s">
        <v>60</v>
      </c>
      <c r="G32" s="20" t="s">
        <v>61</v>
      </c>
      <c r="H32" s="24" t="s">
        <v>35</v>
      </c>
      <c r="I32" s="24" t="s">
        <v>36</v>
      </c>
      <c r="J32" s="23" t="s">
        <v>37</v>
      </c>
      <c r="K32" s="24" t="s">
        <v>15</v>
      </c>
      <c r="L32" s="24" t="s">
        <v>39</v>
      </c>
      <c r="M32" s="20" t="s">
        <v>57</v>
      </c>
      <c r="N32" s="20" t="s">
        <v>58</v>
      </c>
      <c r="O32" s="21" t="s">
        <v>29</v>
      </c>
      <c r="P32" s="23" t="s">
        <v>59</v>
      </c>
      <c r="Q32" s="20" t="s">
        <v>60</v>
      </c>
      <c r="R32" s="20" t="s">
        <v>61</v>
      </c>
      <c r="S32" s="24" t="s">
        <v>35</v>
      </c>
      <c r="T32" s="24" t="s">
        <v>36</v>
      </c>
      <c r="U32" s="24" t="s">
        <v>37</v>
      </c>
      <c r="V32" s="23" t="s">
        <v>15</v>
      </c>
      <c r="W32" s="24" t="s">
        <v>37</v>
      </c>
      <c r="X32" s="25" t="s">
        <v>39</v>
      </c>
      <c r="Y32" s="10" t="s">
        <v>38</v>
      </c>
      <c r="Z32" s="16"/>
      <c r="AA32" s="17"/>
      <c r="AB32" s="17"/>
    </row>
    <row r="33" spans="1:28" ht="22.5" customHeight="1" x14ac:dyDescent="0.25">
      <c r="A33" s="95" t="s">
        <v>62</v>
      </c>
      <c r="B33" s="117" t="str">
        <f>IF('PCE VI'!O18="","",'PCE VI'!O18)</f>
        <v>EWT/91260</v>
      </c>
      <c r="C33" s="106" t="s">
        <v>44</v>
      </c>
      <c r="D33" s="80"/>
      <c r="E33" s="26" t="s">
        <v>63</v>
      </c>
      <c r="F33" s="19">
        <v>35.200000000000003</v>
      </c>
      <c r="G33" s="19">
        <v>35.5</v>
      </c>
      <c r="H33" s="19">
        <f t="shared" ref="H33:H42" si="3">IF(G33="","",G33-F33)</f>
        <v>0.29999999999999716</v>
      </c>
      <c r="I33" s="19">
        <f t="shared" ref="I33:I42" si="4">IF(G33="","",((G33+F33)/2))</f>
        <v>35.35</v>
      </c>
      <c r="J33" s="18">
        <v>215</v>
      </c>
      <c r="K33" s="2">
        <v>0</v>
      </c>
      <c r="L33" s="69"/>
      <c r="M33" s="95" t="s">
        <v>64</v>
      </c>
      <c r="N33" s="116" t="str">
        <f>IF('PCE VI'!O20="","",'PCE VI'!O20)</f>
        <v/>
      </c>
      <c r="O33" s="103"/>
      <c r="P33" s="26" t="s">
        <v>63</v>
      </c>
      <c r="Q33" s="71"/>
      <c r="R33" s="71"/>
      <c r="S33" s="71" t="str">
        <f t="shared" ref="S33:S42" si="5">IF(R33="","",R33-Q33)</f>
        <v/>
      </c>
      <c r="T33" s="71" t="str">
        <f t="shared" ref="T33:T42" si="6">IF(R33="","",((R33+Q33)/2))</f>
        <v/>
      </c>
      <c r="U33" s="69"/>
      <c r="V33" s="81"/>
      <c r="W33" s="69"/>
      <c r="X33" s="80"/>
      <c r="Y33" s="69"/>
      <c r="Z33" s="1"/>
      <c r="AA33" s="3"/>
      <c r="AB33" s="3"/>
    </row>
    <row r="34" spans="1:28" ht="22.5" customHeight="1" x14ac:dyDescent="0.25">
      <c r="A34" s="90"/>
      <c r="B34" s="90"/>
      <c r="C34" s="91"/>
      <c r="D34" s="80"/>
      <c r="E34" s="26" t="s">
        <v>65</v>
      </c>
      <c r="F34" s="19">
        <v>37.5</v>
      </c>
      <c r="G34" s="19">
        <v>37.9</v>
      </c>
      <c r="H34" s="19">
        <f t="shared" si="3"/>
        <v>0.39999999999999858</v>
      </c>
      <c r="I34" s="19">
        <f t="shared" si="4"/>
        <v>37.700000000000003</v>
      </c>
      <c r="J34" s="18">
        <v>214</v>
      </c>
      <c r="K34" s="2">
        <v>0</v>
      </c>
      <c r="L34" s="69"/>
      <c r="M34" s="90"/>
      <c r="N34" s="90"/>
      <c r="O34" s="91"/>
      <c r="P34" s="26" t="s">
        <v>65</v>
      </c>
      <c r="Q34" s="71"/>
      <c r="R34" s="71"/>
      <c r="S34" s="71" t="str">
        <f t="shared" si="5"/>
        <v/>
      </c>
      <c r="T34" s="71" t="str">
        <f t="shared" si="6"/>
        <v/>
      </c>
      <c r="U34" s="69"/>
      <c r="V34" s="81"/>
      <c r="W34" s="69"/>
      <c r="X34" s="80"/>
      <c r="Y34" s="69"/>
      <c r="Z34" s="1"/>
      <c r="AA34" s="3"/>
      <c r="AB34" s="3"/>
    </row>
    <row r="35" spans="1:28" ht="22.5" customHeight="1" x14ac:dyDescent="0.25">
      <c r="A35" s="90"/>
      <c r="B35" s="90"/>
      <c r="C35" s="106" t="s">
        <v>44</v>
      </c>
      <c r="D35" s="80"/>
      <c r="E35" s="26" t="s">
        <v>66</v>
      </c>
      <c r="F35" s="19">
        <v>35.4</v>
      </c>
      <c r="G35" s="19">
        <v>35.9</v>
      </c>
      <c r="H35" s="19">
        <f t="shared" si="3"/>
        <v>0.5</v>
      </c>
      <c r="I35" s="19">
        <f t="shared" si="4"/>
        <v>35.65</v>
      </c>
      <c r="J35" s="18">
        <v>217</v>
      </c>
      <c r="K35" s="69"/>
      <c r="L35" s="69"/>
      <c r="M35" s="90"/>
      <c r="N35" s="90"/>
      <c r="O35" s="103"/>
      <c r="P35" s="26" t="s">
        <v>66</v>
      </c>
      <c r="Q35" s="71"/>
      <c r="R35" s="71"/>
      <c r="S35" s="71" t="str">
        <f t="shared" si="5"/>
        <v/>
      </c>
      <c r="T35" s="71" t="str">
        <f t="shared" si="6"/>
        <v/>
      </c>
      <c r="U35" s="69"/>
      <c r="V35" s="81"/>
      <c r="W35" s="69"/>
      <c r="X35" s="80"/>
      <c r="Y35" s="69"/>
      <c r="Z35" s="1"/>
      <c r="AA35" s="3"/>
      <c r="AB35" s="3"/>
    </row>
    <row r="36" spans="1:28" ht="22.5" customHeight="1" x14ac:dyDescent="0.25">
      <c r="A36" s="90"/>
      <c r="B36" s="90"/>
      <c r="C36" s="91"/>
      <c r="D36" s="80"/>
      <c r="E36" s="26" t="s">
        <v>67</v>
      </c>
      <c r="F36" s="19">
        <v>37.200000000000003</v>
      </c>
      <c r="G36" s="19">
        <v>37.6</v>
      </c>
      <c r="H36" s="19">
        <f t="shared" si="3"/>
        <v>0.39999999999999858</v>
      </c>
      <c r="I36" s="19">
        <f t="shared" si="4"/>
        <v>37.400000000000006</v>
      </c>
      <c r="J36" s="18">
        <v>216</v>
      </c>
      <c r="K36" s="69"/>
      <c r="L36" s="69"/>
      <c r="M36" s="90"/>
      <c r="N36" s="90"/>
      <c r="O36" s="91"/>
      <c r="P36" s="26" t="s">
        <v>67</v>
      </c>
      <c r="Q36" s="71"/>
      <c r="R36" s="71"/>
      <c r="S36" s="71" t="str">
        <f t="shared" si="5"/>
        <v/>
      </c>
      <c r="T36" s="71" t="str">
        <f t="shared" si="6"/>
        <v/>
      </c>
      <c r="U36" s="69"/>
      <c r="V36" s="81"/>
      <c r="W36" s="69"/>
      <c r="X36" s="80"/>
      <c r="Y36" s="69"/>
      <c r="Z36" s="1"/>
      <c r="AA36" s="3"/>
      <c r="AB36" s="3"/>
    </row>
    <row r="37" spans="1:28" ht="22.5" customHeight="1" x14ac:dyDescent="0.25">
      <c r="A37" s="91"/>
      <c r="B37" s="91"/>
      <c r="C37" s="76"/>
      <c r="D37" s="80"/>
      <c r="E37" s="26" t="s">
        <v>68</v>
      </c>
      <c r="F37" s="19">
        <v>35.6</v>
      </c>
      <c r="G37" s="19">
        <v>41.8</v>
      </c>
      <c r="H37" s="19">
        <f t="shared" si="3"/>
        <v>6.1999999999999957</v>
      </c>
      <c r="I37" s="19">
        <f t="shared" si="4"/>
        <v>38.700000000000003</v>
      </c>
      <c r="J37" s="18">
        <v>212</v>
      </c>
      <c r="K37" s="69"/>
      <c r="L37" s="69"/>
      <c r="M37" s="91"/>
      <c r="N37" s="91"/>
      <c r="O37" s="76"/>
      <c r="P37" s="26" t="s">
        <v>68</v>
      </c>
      <c r="Q37" s="71"/>
      <c r="R37" s="71"/>
      <c r="S37" s="71" t="str">
        <f t="shared" si="5"/>
        <v/>
      </c>
      <c r="T37" s="71" t="str">
        <f t="shared" si="6"/>
        <v/>
      </c>
      <c r="U37" s="69"/>
      <c r="V37" s="81"/>
      <c r="W37" s="69"/>
      <c r="X37" s="80"/>
      <c r="Y37" s="69"/>
      <c r="Z37" s="1"/>
      <c r="AA37" s="3"/>
      <c r="AB37" s="3"/>
    </row>
    <row r="38" spans="1:28" ht="22.5" customHeight="1" x14ac:dyDescent="0.25">
      <c r="A38" s="99" t="s">
        <v>69</v>
      </c>
      <c r="B38" s="116" t="str">
        <f>IF('PCE VI'!O19="","",'PCE VI'!O19)</f>
        <v/>
      </c>
      <c r="C38" s="103"/>
      <c r="D38" s="80"/>
      <c r="E38" s="26" t="s">
        <v>63</v>
      </c>
      <c r="F38" s="71"/>
      <c r="G38" s="71"/>
      <c r="H38" s="71" t="str">
        <f t="shared" si="3"/>
        <v/>
      </c>
      <c r="I38" s="71" t="str">
        <f t="shared" si="4"/>
        <v/>
      </c>
      <c r="J38" s="81"/>
      <c r="K38" s="69"/>
      <c r="L38" s="69"/>
      <c r="M38" s="99" t="s">
        <v>70</v>
      </c>
      <c r="N38" s="116" t="str">
        <f>IF('PCE VI'!O20="","",'PCE VI'!O20)</f>
        <v/>
      </c>
      <c r="O38" s="103"/>
      <c r="P38" s="26" t="s">
        <v>63</v>
      </c>
      <c r="Q38" s="71"/>
      <c r="R38" s="71"/>
      <c r="S38" s="71" t="str">
        <f t="shared" si="5"/>
        <v/>
      </c>
      <c r="T38" s="71" t="str">
        <f t="shared" si="6"/>
        <v/>
      </c>
      <c r="U38" s="69"/>
      <c r="V38" s="81"/>
      <c r="W38" s="69"/>
      <c r="X38" s="80"/>
      <c r="Y38" s="69"/>
      <c r="Z38" s="1"/>
      <c r="AA38" s="3"/>
      <c r="AB38" s="3"/>
    </row>
    <row r="39" spans="1:28" ht="22.5" customHeight="1" x14ac:dyDescent="0.25">
      <c r="A39" s="100"/>
      <c r="B39" s="90"/>
      <c r="C39" s="91"/>
      <c r="D39" s="80"/>
      <c r="E39" s="26" t="s">
        <v>65</v>
      </c>
      <c r="F39" s="71"/>
      <c r="G39" s="71"/>
      <c r="H39" s="71" t="str">
        <f t="shared" si="3"/>
        <v/>
      </c>
      <c r="I39" s="71" t="str">
        <f t="shared" si="4"/>
        <v/>
      </c>
      <c r="J39" s="81"/>
      <c r="K39" s="69"/>
      <c r="L39" s="69"/>
      <c r="M39" s="100"/>
      <c r="N39" s="90"/>
      <c r="O39" s="91"/>
      <c r="P39" s="26" t="s">
        <v>65</v>
      </c>
      <c r="Q39" s="71"/>
      <c r="R39" s="71"/>
      <c r="S39" s="71" t="str">
        <f t="shared" si="5"/>
        <v/>
      </c>
      <c r="T39" s="71" t="str">
        <f t="shared" si="6"/>
        <v/>
      </c>
      <c r="U39" s="69"/>
      <c r="V39" s="81"/>
      <c r="W39" s="69"/>
      <c r="X39" s="80"/>
      <c r="Y39" s="69"/>
      <c r="Z39" s="1"/>
      <c r="AA39" s="3"/>
      <c r="AB39" s="3"/>
    </row>
    <row r="40" spans="1:28" ht="22.5" customHeight="1" x14ac:dyDescent="0.25">
      <c r="A40" s="100"/>
      <c r="B40" s="90"/>
      <c r="C40" s="103"/>
      <c r="D40" s="80"/>
      <c r="E40" s="26" t="s">
        <v>66</v>
      </c>
      <c r="F40" s="71"/>
      <c r="G40" s="71"/>
      <c r="H40" s="71" t="str">
        <f t="shared" si="3"/>
        <v/>
      </c>
      <c r="I40" s="71" t="str">
        <f t="shared" si="4"/>
        <v/>
      </c>
      <c r="J40" s="82"/>
      <c r="K40" s="69"/>
      <c r="L40" s="69"/>
      <c r="M40" s="100"/>
      <c r="N40" s="90"/>
      <c r="O40" s="103"/>
      <c r="P40" s="26" t="s">
        <v>66</v>
      </c>
      <c r="Q40" s="71"/>
      <c r="R40" s="71"/>
      <c r="S40" s="71" t="str">
        <f t="shared" si="5"/>
        <v/>
      </c>
      <c r="T40" s="71" t="str">
        <f t="shared" si="6"/>
        <v/>
      </c>
      <c r="U40" s="69"/>
      <c r="V40" s="82"/>
      <c r="W40" s="69"/>
      <c r="X40" s="80"/>
      <c r="Y40" s="69"/>
      <c r="Z40" s="1"/>
      <c r="AA40" s="3"/>
      <c r="AB40" s="3"/>
    </row>
    <row r="41" spans="1:28" ht="22.5" customHeight="1" x14ac:dyDescent="0.25">
      <c r="A41" s="100"/>
      <c r="B41" s="90"/>
      <c r="C41" s="91"/>
      <c r="D41" s="80"/>
      <c r="E41" s="26" t="s">
        <v>67</v>
      </c>
      <c r="F41" s="71"/>
      <c r="G41" s="71"/>
      <c r="H41" s="71" t="str">
        <f t="shared" si="3"/>
        <v/>
      </c>
      <c r="I41" s="71" t="str">
        <f t="shared" si="4"/>
        <v/>
      </c>
      <c r="J41" s="82"/>
      <c r="K41" s="69"/>
      <c r="L41" s="69"/>
      <c r="M41" s="100"/>
      <c r="N41" s="90"/>
      <c r="O41" s="91"/>
      <c r="P41" s="26" t="s">
        <v>67</v>
      </c>
      <c r="Q41" s="71"/>
      <c r="R41" s="71"/>
      <c r="S41" s="71" t="str">
        <f t="shared" si="5"/>
        <v/>
      </c>
      <c r="T41" s="71" t="str">
        <f t="shared" si="6"/>
        <v/>
      </c>
      <c r="U41" s="69"/>
      <c r="V41" s="82"/>
      <c r="W41" s="69"/>
      <c r="X41" s="80"/>
      <c r="Y41" s="69"/>
      <c r="Z41" s="1"/>
      <c r="AA41" s="3"/>
      <c r="AB41" s="3"/>
    </row>
    <row r="42" spans="1:28" ht="22.5" customHeight="1" x14ac:dyDescent="0.25">
      <c r="A42" s="101"/>
      <c r="B42" s="91"/>
      <c r="C42" s="76"/>
      <c r="D42" s="80"/>
      <c r="E42" s="26" t="s">
        <v>68</v>
      </c>
      <c r="F42" s="71"/>
      <c r="G42" s="71"/>
      <c r="H42" s="71" t="str">
        <f t="shared" si="3"/>
        <v/>
      </c>
      <c r="I42" s="71" t="str">
        <f t="shared" si="4"/>
        <v/>
      </c>
      <c r="J42" s="82"/>
      <c r="K42" s="69"/>
      <c r="L42" s="69"/>
      <c r="M42" s="101"/>
      <c r="N42" s="91"/>
      <c r="O42" s="76"/>
      <c r="P42" s="26" t="s">
        <v>68</v>
      </c>
      <c r="Q42" s="71"/>
      <c r="R42" s="71"/>
      <c r="S42" s="71" t="str">
        <f t="shared" si="5"/>
        <v/>
      </c>
      <c r="T42" s="71" t="str">
        <f t="shared" si="6"/>
        <v/>
      </c>
      <c r="U42" s="69"/>
      <c r="V42" s="82"/>
      <c r="W42" s="69"/>
      <c r="X42" s="80"/>
      <c r="Y42" s="69"/>
      <c r="Z42" s="1"/>
      <c r="AA42" s="3"/>
      <c r="AB42" s="3"/>
    </row>
    <row r="43" spans="1:28" ht="15" customHeight="1" x14ac:dyDescent="0.25">
      <c r="A43" s="104" t="s">
        <v>71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4"/>
      <c r="Z43" s="1"/>
      <c r="AA43" s="3"/>
      <c r="AB43" s="3"/>
    </row>
    <row r="44" spans="1:28" ht="20.25" customHeight="1" x14ac:dyDescent="0.25">
      <c r="A44" s="27">
        <v>1</v>
      </c>
      <c r="B44" s="123" t="s">
        <v>72</v>
      </c>
      <c r="C44" s="110"/>
      <c r="D44" s="10" t="s">
        <v>73</v>
      </c>
      <c r="E44" s="95" t="s">
        <v>74</v>
      </c>
      <c r="F44" s="94"/>
      <c r="G44" s="92" t="s">
        <v>75</v>
      </c>
      <c r="H44" s="94"/>
      <c r="I44" s="10" t="s">
        <v>76</v>
      </c>
      <c r="J44" s="10" t="s">
        <v>77</v>
      </c>
      <c r="K44" s="10" t="s">
        <v>78</v>
      </c>
      <c r="L44" s="10" t="s">
        <v>79</v>
      </c>
      <c r="M44" s="10" t="s">
        <v>80</v>
      </c>
      <c r="N44" s="10" t="s">
        <v>81</v>
      </c>
      <c r="O44" s="10" t="s">
        <v>82</v>
      </c>
      <c r="P44" s="10" t="s">
        <v>83</v>
      </c>
      <c r="Q44" s="10" t="s">
        <v>84</v>
      </c>
      <c r="R44" s="10" t="s">
        <v>85</v>
      </c>
      <c r="S44" s="80"/>
      <c r="T44" s="80"/>
      <c r="U44" s="80"/>
      <c r="V44" s="80"/>
      <c r="W44" s="80"/>
      <c r="X44" s="80"/>
      <c r="Y44" s="83"/>
      <c r="Z44" s="1"/>
      <c r="AA44" s="3"/>
      <c r="AB44" s="3"/>
    </row>
    <row r="45" spans="1:28" ht="20.25" customHeight="1" x14ac:dyDescent="0.25">
      <c r="A45" s="69"/>
      <c r="B45" s="95" t="s">
        <v>86</v>
      </c>
      <c r="C45" s="94"/>
      <c r="D45" s="2" t="s">
        <v>44</v>
      </c>
      <c r="E45" s="106" t="s">
        <v>44</v>
      </c>
      <c r="F45" s="94"/>
      <c r="G45" s="103"/>
      <c r="H45" s="94"/>
      <c r="I45" s="69"/>
      <c r="J45" s="69"/>
      <c r="K45" s="69"/>
      <c r="L45" s="69"/>
      <c r="M45" s="2" t="s">
        <v>44</v>
      </c>
      <c r="N45" s="2" t="s">
        <v>44</v>
      </c>
      <c r="O45" s="69"/>
      <c r="P45" s="2" t="s">
        <v>44</v>
      </c>
      <c r="Q45" s="69"/>
      <c r="R45" s="69"/>
      <c r="S45" s="70"/>
      <c r="T45" s="70"/>
      <c r="U45" s="70"/>
      <c r="V45" s="70"/>
      <c r="W45" s="70"/>
      <c r="X45" s="70"/>
      <c r="Y45" s="70"/>
      <c r="Z45" s="1"/>
      <c r="AA45" s="3"/>
      <c r="AB45" s="3"/>
    </row>
    <row r="46" spans="1:28" ht="20.25" customHeight="1" x14ac:dyDescent="0.25">
      <c r="A46" s="27">
        <v>2</v>
      </c>
      <c r="B46" s="123" t="s">
        <v>87</v>
      </c>
      <c r="C46" s="110"/>
      <c r="D46" s="10" t="s">
        <v>73</v>
      </c>
      <c r="E46" s="95" t="s">
        <v>74</v>
      </c>
      <c r="F46" s="94"/>
      <c r="G46" s="92" t="s">
        <v>75</v>
      </c>
      <c r="H46" s="94"/>
      <c r="I46" s="10" t="s">
        <v>76</v>
      </c>
      <c r="J46" s="10" t="s">
        <v>77</v>
      </c>
      <c r="K46" s="10" t="s">
        <v>78</v>
      </c>
      <c r="L46" s="10" t="s">
        <v>79</v>
      </c>
      <c r="M46" s="10" t="s">
        <v>80</v>
      </c>
      <c r="N46" s="10" t="s">
        <v>81</v>
      </c>
      <c r="O46" s="10" t="s">
        <v>82</v>
      </c>
      <c r="P46" s="10" t="s">
        <v>83</v>
      </c>
      <c r="Q46" s="10" t="s">
        <v>84</v>
      </c>
      <c r="R46" s="10" t="s">
        <v>85</v>
      </c>
      <c r="S46" s="80"/>
      <c r="T46" s="80"/>
      <c r="U46" s="80"/>
      <c r="V46" s="80"/>
      <c r="W46" s="80"/>
      <c r="X46" s="80"/>
      <c r="Y46" s="83"/>
      <c r="Z46" s="1"/>
      <c r="AA46" s="3"/>
      <c r="AB46" s="3"/>
    </row>
    <row r="47" spans="1:28" ht="20.25" customHeight="1" x14ac:dyDescent="0.25">
      <c r="A47" s="69"/>
      <c r="B47" s="95" t="s">
        <v>86</v>
      </c>
      <c r="C47" s="94"/>
      <c r="D47" s="69"/>
      <c r="E47" s="103"/>
      <c r="F47" s="94"/>
      <c r="G47" s="103"/>
      <c r="H47" s="9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70"/>
      <c r="T47" s="70"/>
      <c r="U47" s="70"/>
      <c r="V47" s="70"/>
      <c r="W47" s="70"/>
      <c r="X47" s="70"/>
      <c r="Y47" s="70"/>
      <c r="Z47" s="1"/>
      <c r="AA47" s="3"/>
      <c r="AB47" s="3"/>
    </row>
    <row r="48" spans="1:28" ht="15" customHeight="1" x14ac:dyDescent="0.25">
      <c r="A48" s="10" t="s">
        <v>88</v>
      </c>
      <c r="B48" s="28" t="s">
        <v>89</v>
      </c>
      <c r="C48" s="121" t="s">
        <v>90</v>
      </c>
      <c r="D48" s="94"/>
      <c r="E48" s="10" t="s">
        <v>60</v>
      </c>
      <c r="F48" s="10" t="s">
        <v>61</v>
      </c>
      <c r="G48" s="11" t="s">
        <v>35</v>
      </c>
      <c r="H48" s="9" t="s">
        <v>37</v>
      </c>
      <c r="I48" s="10" t="s">
        <v>36</v>
      </c>
      <c r="J48" s="92" t="s">
        <v>23</v>
      </c>
      <c r="K48" s="93"/>
      <c r="L48" s="93"/>
      <c r="M48" s="93"/>
      <c r="N48" s="93"/>
      <c r="O48" s="93"/>
      <c r="P48" s="93"/>
      <c r="Q48" s="94"/>
      <c r="R48" s="126" t="s">
        <v>91</v>
      </c>
      <c r="S48" s="93"/>
      <c r="T48" s="127" t="s">
        <v>62</v>
      </c>
      <c r="U48" s="93"/>
      <c r="V48" s="92" t="s">
        <v>92</v>
      </c>
      <c r="W48" s="93"/>
      <c r="X48" s="93"/>
      <c r="Y48" s="94"/>
      <c r="Z48" s="1"/>
      <c r="AA48" s="3"/>
      <c r="AB48" s="3"/>
    </row>
    <row r="49" spans="1:28" ht="19.5" customHeight="1" x14ac:dyDescent="0.25">
      <c r="A49" s="80"/>
      <c r="B49" s="10" t="s">
        <v>93</v>
      </c>
      <c r="C49" s="98"/>
      <c r="D49" s="94"/>
      <c r="E49" s="84"/>
      <c r="F49" s="71"/>
      <c r="G49" s="71" t="str">
        <f t="shared" ref="G49:G65" si="7">IF(F49="","",F49-E49)</f>
        <v/>
      </c>
      <c r="H49" s="71"/>
      <c r="I49" s="71" t="str">
        <f t="shared" ref="I49:I65" si="8">IF(F49="","",((F49+E49)/2))</f>
        <v/>
      </c>
      <c r="J49" s="98"/>
      <c r="K49" s="93"/>
      <c r="L49" s="93"/>
      <c r="M49" s="93"/>
      <c r="N49" s="93"/>
      <c r="O49" s="93"/>
      <c r="P49" s="93"/>
      <c r="Q49" s="94"/>
      <c r="R49" s="102" t="s">
        <v>94</v>
      </c>
      <c r="S49" s="93"/>
      <c r="T49" s="93"/>
      <c r="U49" s="94"/>
      <c r="V49" s="106" t="s">
        <v>95</v>
      </c>
      <c r="W49" s="93"/>
      <c r="X49" s="93"/>
      <c r="Y49" s="94"/>
      <c r="Z49" s="1"/>
      <c r="AA49" s="3"/>
      <c r="AB49" s="3"/>
    </row>
    <row r="50" spans="1:28" ht="19.5" customHeight="1" x14ac:dyDescent="0.25">
      <c r="A50" s="80"/>
      <c r="B50" s="10" t="s">
        <v>96</v>
      </c>
      <c r="C50" s="98"/>
      <c r="D50" s="94"/>
      <c r="E50" s="84"/>
      <c r="F50" s="71"/>
      <c r="G50" s="71" t="str">
        <f t="shared" si="7"/>
        <v/>
      </c>
      <c r="H50" s="85"/>
      <c r="I50" s="71" t="str">
        <f t="shared" si="8"/>
        <v/>
      </c>
      <c r="J50" s="98"/>
      <c r="K50" s="93"/>
      <c r="L50" s="93"/>
      <c r="M50" s="93"/>
      <c r="N50" s="93"/>
      <c r="O50" s="93"/>
      <c r="P50" s="93"/>
      <c r="Q50" s="94"/>
      <c r="R50" s="102" t="s">
        <v>97</v>
      </c>
      <c r="S50" s="93"/>
      <c r="T50" s="93"/>
      <c r="U50" s="94"/>
      <c r="V50" s="106" t="s">
        <v>98</v>
      </c>
      <c r="W50" s="93"/>
      <c r="X50" s="93"/>
      <c r="Y50" s="94"/>
      <c r="Z50" s="1"/>
      <c r="AA50" s="3"/>
      <c r="AB50" s="3"/>
    </row>
    <row r="51" spans="1:28" ht="19.5" customHeight="1" x14ac:dyDescent="0.25">
      <c r="A51" s="80"/>
      <c r="B51" s="10" t="s">
        <v>76</v>
      </c>
      <c r="C51" s="98"/>
      <c r="D51" s="94"/>
      <c r="E51" s="84"/>
      <c r="F51" s="71"/>
      <c r="G51" s="71" t="str">
        <f t="shared" si="7"/>
        <v/>
      </c>
      <c r="H51" s="85"/>
      <c r="I51" s="71" t="str">
        <f t="shared" si="8"/>
        <v/>
      </c>
      <c r="J51" s="98"/>
      <c r="K51" s="93"/>
      <c r="L51" s="93"/>
      <c r="M51" s="93"/>
      <c r="N51" s="93"/>
      <c r="O51" s="93"/>
      <c r="P51" s="93"/>
      <c r="Q51" s="94"/>
      <c r="R51" s="102" t="s">
        <v>99</v>
      </c>
      <c r="S51" s="93"/>
      <c r="T51" s="93"/>
      <c r="U51" s="94"/>
      <c r="V51" s="106" t="s">
        <v>100</v>
      </c>
      <c r="W51" s="93"/>
      <c r="X51" s="93"/>
      <c r="Y51" s="94"/>
      <c r="Z51" s="1"/>
      <c r="AA51" s="3"/>
      <c r="AB51" s="3"/>
    </row>
    <row r="52" spans="1:28" ht="19.5" customHeight="1" x14ac:dyDescent="0.25">
      <c r="A52" s="80"/>
      <c r="B52" s="10" t="s">
        <v>77</v>
      </c>
      <c r="C52" s="98"/>
      <c r="D52" s="94"/>
      <c r="E52" s="84"/>
      <c r="F52" s="71"/>
      <c r="G52" s="71" t="str">
        <f t="shared" si="7"/>
        <v/>
      </c>
      <c r="H52" s="85"/>
      <c r="I52" s="71" t="str">
        <f t="shared" si="8"/>
        <v/>
      </c>
      <c r="J52" s="98"/>
      <c r="K52" s="93"/>
      <c r="L52" s="93"/>
      <c r="M52" s="93"/>
      <c r="N52" s="93"/>
      <c r="O52" s="93"/>
      <c r="P52" s="93"/>
      <c r="Q52" s="94"/>
      <c r="R52" s="126" t="s">
        <v>91</v>
      </c>
      <c r="S52" s="93"/>
      <c r="T52" s="127" t="s">
        <v>69</v>
      </c>
      <c r="U52" s="93"/>
      <c r="V52" s="107"/>
      <c r="W52" s="93"/>
      <c r="X52" s="93"/>
      <c r="Y52" s="94"/>
      <c r="Z52" s="1"/>
      <c r="AA52" s="3"/>
      <c r="AB52" s="3"/>
    </row>
    <row r="53" spans="1:28" ht="19.5" customHeight="1" x14ac:dyDescent="0.25">
      <c r="A53" s="80"/>
      <c r="B53" s="10" t="s">
        <v>78</v>
      </c>
      <c r="C53" s="98"/>
      <c r="D53" s="94"/>
      <c r="E53" s="84"/>
      <c r="F53" s="71"/>
      <c r="G53" s="71" t="str">
        <f t="shared" si="7"/>
        <v/>
      </c>
      <c r="H53" s="85"/>
      <c r="I53" s="71" t="str">
        <f t="shared" si="8"/>
        <v/>
      </c>
      <c r="J53" s="98"/>
      <c r="K53" s="93"/>
      <c r="L53" s="93"/>
      <c r="M53" s="93"/>
      <c r="N53" s="93"/>
      <c r="O53" s="93"/>
      <c r="P53" s="93"/>
      <c r="Q53" s="94"/>
      <c r="R53" s="102" t="s">
        <v>94</v>
      </c>
      <c r="S53" s="93"/>
      <c r="T53" s="93"/>
      <c r="U53" s="94"/>
      <c r="V53" s="103"/>
      <c r="W53" s="93"/>
      <c r="X53" s="93"/>
      <c r="Y53" s="94"/>
      <c r="Z53" s="1"/>
      <c r="AA53" s="3"/>
      <c r="AB53" s="3"/>
    </row>
    <row r="54" spans="1:28" ht="19.5" customHeight="1" x14ac:dyDescent="0.25">
      <c r="A54" s="80"/>
      <c r="B54" s="10" t="s">
        <v>79</v>
      </c>
      <c r="C54" s="98"/>
      <c r="D54" s="94"/>
      <c r="E54" s="84"/>
      <c r="F54" s="71"/>
      <c r="G54" s="71" t="str">
        <f t="shared" si="7"/>
        <v/>
      </c>
      <c r="H54" s="85"/>
      <c r="I54" s="71" t="str">
        <f t="shared" si="8"/>
        <v/>
      </c>
      <c r="J54" s="98"/>
      <c r="K54" s="93"/>
      <c r="L54" s="93"/>
      <c r="M54" s="93"/>
      <c r="N54" s="93"/>
      <c r="O54" s="93"/>
      <c r="P54" s="93"/>
      <c r="Q54" s="94"/>
      <c r="R54" s="102" t="s">
        <v>97</v>
      </c>
      <c r="S54" s="93"/>
      <c r="T54" s="93"/>
      <c r="U54" s="94"/>
      <c r="V54" s="103"/>
      <c r="W54" s="93"/>
      <c r="X54" s="93"/>
      <c r="Y54" s="94"/>
      <c r="Z54" s="1"/>
      <c r="AA54" s="3"/>
      <c r="AB54" s="3"/>
    </row>
    <row r="55" spans="1:28" ht="19.5" customHeight="1" x14ac:dyDescent="0.25">
      <c r="A55" s="80"/>
      <c r="B55" s="10" t="s">
        <v>80</v>
      </c>
      <c r="C55" s="98"/>
      <c r="D55" s="94"/>
      <c r="E55" s="84"/>
      <c r="F55" s="71"/>
      <c r="G55" s="71" t="str">
        <f t="shared" si="7"/>
        <v/>
      </c>
      <c r="H55" s="85"/>
      <c r="I55" s="71" t="str">
        <f t="shared" si="8"/>
        <v/>
      </c>
      <c r="J55" s="98"/>
      <c r="K55" s="93"/>
      <c r="L55" s="93"/>
      <c r="M55" s="93"/>
      <c r="N55" s="93"/>
      <c r="O55" s="93"/>
      <c r="P55" s="93"/>
      <c r="Q55" s="94"/>
      <c r="R55" s="102" t="s">
        <v>99</v>
      </c>
      <c r="S55" s="93"/>
      <c r="T55" s="93"/>
      <c r="U55" s="94"/>
      <c r="V55" s="103"/>
      <c r="W55" s="93"/>
      <c r="X55" s="93"/>
      <c r="Y55" s="94"/>
      <c r="Z55" s="1"/>
      <c r="AA55" s="3"/>
      <c r="AB55" s="3"/>
    </row>
    <row r="56" spans="1:28" ht="19.5" customHeight="1" x14ac:dyDescent="0.25">
      <c r="A56" s="80"/>
      <c r="B56" s="10" t="s">
        <v>81</v>
      </c>
      <c r="C56" s="98"/>
      <c r="D56" s="94"/>
      <c r="E56" s="84"/>
      <c r="F56" s="71"/>
      <c r="G56" s="71" t="str">
        <f t="shared" si="7"/>
        <v/>
      </c>
      <c r="H56" s="85"/>
      <c r="I56" s="71" t="str">
        <f t="shared" si="8"/>
        <v/>
      </c>
      <c r="J56" s="98"/>
      <c r="K56" s="93"/>
      <c r="L56" s="93"/>
      <c r="M56" s="93"/>
      <c r="N56" s="93"/>
      <c r="O56" s="93"/>
      <c r="P56" s="93"/>
      <c r="Q56" s="94"/>
      <c r="R56" s="119"/>
      <c r="S56" s="97"/>
      <c r="T56" s="97"/>
      <c r="U56" s="97"/>
      <c r="V56" s="96"/>
      <c r="W56" s="97"/>
      <c r="X56" s="97"/>
      <c r="Y56" s="97"/>
      <c r="Z56" s="1"/>
      <c r="AA56" s="3"/>
      <c r="AB56" s="3"/>
    </row>
    <row r="57" spans="1:28" ht="19.5" customHeight="1" x14ac:dyDescent="0.25">
      <c r="A57" s="80"/>
      <c r="B57" s="10" t="s">
        <v>82</v>
      </c>
      <c r="C57" s="98"/>
      <c r="D57" s="94"/>
      <c r="E57" s="84"/>
      <c r="F57" s="71"/>
      <c r="G57" s="71" t="str">
        <f t="shared" si="7"/>
        <v/>
      </c>
      <c r="H57" s="85"/>
      <c r="I57" s="71" t="str">
        <f t="shared" si="8"/>
        <v/>
      </c>
      <c r="J57" s="98"/>
      <c r="K57" s="93"/>
      <c r="L57" s="93"/>
      <c r="M57" s="93"/>
      <c r="N57" s="93"/>
      <c r="O57" s="93"/>
      <c r="P57" s="93"/>
      <c r="Q57" s="94"/>
      <c r="R57" s="119"/>
      <c r="S57" s="97"/>
      <c r="T57" s="97"/>
      <c r="U57" s="97"/>
      <c r="V57" s="96"/>
      <c r="W57" s="97"/>
      <c r="X57" s="97"/>
      <c r="Y57" s="97"/>
      <c r="Z57" s="1"/>
      <c r="AA57" s="3"/>
      <c r="AB57" s="3"/>
    </row>
    <row r="58" spans="1:28" ht="19.5" customHeight="1" x14ac:dyDescent="0.25">
      <c r="A58" s="80"/>
      <c r="B58" s="10" t="s">
        <v>83</v>
      </c>
      <c r="C58" s="98"/>
      <c r="D58" s="94"/>
      <c r="E58" s="84"/>
      <c r="F58" s="71"/>
      <c r="G58" s="71" t="str">
        <f t="shared" si="7"/>
        <v/>
      </c>
      <c r="H58" s="85"/>
      <c r="I58" s="71" t="str">
        <f t="shared" si="8"/>
        <v/>
      </c>
      <c r="J58" s="98"/>
      <c r="K58" s="93"/>
      <c r="L58" s="93"/>
      <c r="M58" s="93"/>
      <c r="N58" s="93"/>
      <c r="O58" s="93"/>
      <c r="P58" s="93"/>
      <c r="Q58" s="94"/>
      <c r="R58" s="119"/>
      <c r="S58" s="97"/>
      <c r="T58" s="97"/>
      <c r="U58" s="97"/>
      <c r="V58" s="96"/>
      <c r="W58" s="97"/>
      <c r="X58" s="97"/>
      <c r="Y58" s="97"/>
      <c r="Z58" s="1"/>
      <c r="AA58" s="3"/>
      <c r="AB58" s="3"/>
    </row>
    <row r="59" spans="1:28" ht="19.5" customHeight="1" x14ac:dyDescent="0.25">
      <c r="A59" s="86"/>
      <c r="B59" s="95" t="s">
        <v>101</v>
      </c>
      <c r="C59" s="93"/>
      <c r="D59" s="94"/>
      <c r="E59" s="29">
        <v>33</v>
      </c>
      <c r="F59" s="19">
        <v>33.200000000000003</v>
      </c>
      <c r="G59" s="19">
        <f t="shared" si="7"/>
        <v>0.20000000000000284</v>
      </c>
      <c r="H59" s="30">
        <v>219</v>
      </c>
      <c r="I59" s="19">
        <f t="shared" si="8"/>
        <v>33.1</v>
      </c>
      <c r="J59" s="105" t="s">
        <v>102</v>
      </c>
      <c r="K59" s="93"/>
      <c r="L59" s="93"/>
      <c r="M59" s="93"/>
      <c r="N59" s="93"/>
      <c r="O59" s="93"/>
      <c r="P59" s="93"/>
      <c r="Q59" s="94"/>
      <c r="R59" s="119"/>
      <c r="S59" s="97"/>
      <c r="T59" s="97"/>
      <c r="U59" s="97"/>
      <c r="V59" s="96"/>
      <c r="W59" s="97"/>
      <c r="X59" s="97"/>
      <c r="Y59" s="97"/>
      <c r="Z59" s="1"/>
      <c r="AA59" s="3"/>
      <c r="AB59" s="3"/>
    </row>
    <row r="60" spans="1:28" ht="19.5" customHeight="1" x14ac:dyDescent="0.25">
      <c r="A60" s="86"/>
      <c r="B60" s="95" t="s">
        <v>103</v>
      </c>
      <c r="C60" s="93"/>
      <c r="D60" s="94"/>
      <c r="E60" s="29">
        <v>34</v>
      </c>
      <c r="F60" s="19">
        <v>34.200000000000003</v>
      </c>
      <c r="G60" s="19">
        <f t="shared" si="7"/>
        <v>0.20000000000000284</v>
      </c>
      <c r="H60" s="30">
        <v>220</v>
      </c>
      <c r="I60" s="19">
        <f t="shared" si="8"/>
        <v>34.1</v>
      </c>
      <c r="J60" s="105" t="s">
        <v>104</v>
      </c>
      <c r="K60" s="93"/>
      <c r="L60" s="93"/>
      <c r="M60" s="93"/>
      <c r="N60" s="93"/>
      <c r="O60" s="93"/>
      <c r="P60" s="93"/>
      <c r="Q60" s="94"/>
      <c r="R60" s="119"/>
      <c r="S60" s="97"/>
      <c r="T60" s="97"/>
      <c r="U60" s="97"/>
      <c r="V60" s="96"/>
      <c r="W60" s="97"/>
      <c r="X60" s="97"/>
      <c r="Y60" s="97"/>
      <c r="Z60" s="1"/>
      <c r="AA60" s="3"/>
      <c r="AB60" s="3"/>
    </row>
    <row r="61" spans="1:28" ht="19.5" customHeight="1" x14ac:dyDescent="0.25">
      <c r="A61" s="87"/>
      <c r="B61" s="95" t="s">
        <v>105</v>
      </c>
      <c r="C61" s="93"/>
      <c r="D61" s="94"/>
      <c r="E61" s="84"/>
      <c r="F61" s="71"/>
      <c r="G61" s="71" t="str">
        <f t="shared" si="7"/>
        <v/>
      </c>
      <c r="H61" s="85"/>
      <c r="I61" s="71" t="str">
        <f t="shared" si="8"/>
        <v/>
      </c>
      <c r="J61" s="98"/>
      <c r="K61" s="93"/>
      <c r="L61" s="93"/>
      <c r="M61" s="93"/>
      <c r="N61" s="93"/>
      <c r="O61" s="93"/>
      <c r="P61" s="93"/>
      <c r="Q61" s="94"/>
      <c r="R61" s="119"/>
      <c r="S61" s="97"/>
      <c r="T61" s="97"/>
      <c r="U61" s="97"/>
      <c r="V61" s="96"/>
      <c r="W61" s="97"/>
      <c r="X61" s="97"/>
      <c r="Y61" s="97"/>
      <c r="Z61" s="1"/>
      <c r="AA61" s="3"/>
      <c r="AB61" s="3"/>
    </row>
    <row r="62" spans="1:28" ht="19.5" customHeight="1" x14ac:dyDescent="0.25">
      <c r="A62" s="87"/>
      <c r="B62" s="95" t="s">
        <v>106</v>
      </c>
      <c r="C62" s="93"/>
      <c r="D62" s="94"/>
      <c r="E62" s="84"/>
      <c r="F62" s="71"/>
      <c r="G62" s="71" t="str">
        <f t="shared" si="7"/>
        <v/>
      </c>
      <c r="H62" s="85"/>
      <c r="I62" s="71" t="str">
        <f t="shared" si="8"/>
        <v/>
      </c>
      <c r="J62" s="98"/>
      <c r="K62" s="93"/>
      <c r="L62" s="93"/>
      <c r="M62" s="93"/>
      <c r="N62" s="93"/>
      <c r="O62" s="93"/>
      <c r="P62" s="93"/>
      <c r="Q62" s="94"/>
      <c r="R62" s="119"/>
      <c r="S62" s="97"/>
      <c r="T62" s="97"/>
      <c r="U62" s="97"/>
      <c r="V62" s="96"/>
      <c r="W62" s="97"/>
      <c r="X62" s="97"/>
      <c r="Y62" s="97"/>
      <c r="Z62" s="1"/>
      <c r="AA62" s="3"/>
      <c r="AB62" s="3"/>
    </row>
    <row r="63" spans="1:28" ht="19.5" customHeight="1" x14ac:dyDescent="0.25">
      <c r="A63" s="87"/>
      <c r="B63" s="95" t="s">
        <v>107</v>
      </c>
      <c r="C63" s="93"/>
      <c r="D63" s="94"/>
      <c r="E63" s="84"/>
      <c r="F63" s="71"/>
      <c r="G63" s="71" t="str">
        <f t="shared" si="7"/>
        <v/>
      </c>
      <c r="H63" s="85"/>
      <c r="I63" s="71" t="str">
        <f t="shared" si="8"/>
        <v/>
      </c>
      <c r="J63" s="98"/>
      <c r="K63" s="93"/>
      <c r="L63" s="93"/>
      <c r="M63" s="93"/>
      <c r="N63" s="93"/>
      <c r="O63" s="93"/>
      <c r="P63" s="93"/>
      <c r="Q63" s="94"/>
      <c r="R63" s="31"/>
      <c r="S63" s="31"/>
      <c r="T63" s="31"/>
      <c r="U63" s="31"/>
      <c r="V63" s="23"/>
      <c r="W63" s="23"/>
      <c r="X63" s="23"/>
      <c r="Y63" s="23"/>
      <c r="Z63" s="1"/>
      <c r="AA63" s="3"/>
      <c r="AB63" s="3"/>
    </row>
    <row r="64" spans="1:28" ht="19.5" customHeight="1" x14ac:dyDescent="0.25">
      <c r="A64" s="87"/>
      <c r="B64" s="95" t="s">
        <v>108</v>
      </c>
      <c r="C64" s="93"/>
      <c r="D64" s="94"/>
      <c r="E64" s="84"/>
      <c r="F64" s="71"/>
      <c r="G64" s="71" t="str">
        <f t="shared" si="7"/>
        <v/>
      </c>
      <c r="H64" s="85"/>
      <c r="I64" s="71" t="str">
        <f t="shared" si="8"/>
        <v/>
      </c>
      <c r="J64" s="98"/>
      <c r="K64" s="93"/>
      <c r="L64" s="93"/>
      <c r="M64" s="93"/>
      <c r="N64" s="93"/>
      <c r="O64" s="93"/>
      <c r="P64" s="93"/>
      <c r="Q64" s="94"/>
      <c r="R64" s="31"/>
      <c r="S64" s="31"/>
      <c r="T64" s="31"/>
      <c r="U64" s="31"/>
      <c r="V64" s="23"/>
      <c r="W64" s="23"/>
      <c r="X64" s="23"/>
      <c r="Y64" s="23"/>
      <c r="Z64" s="1"/>
      <c r="AA64" s="3"/>
      <c r="AB64" s="3"/>
    </row>
    <row r="65" spans="1:28" ht="19.5" customHeight="1" x14ac:dyDescent="0.25">
      <c r="A65" s="87"/>
      <c r="B65" s="95" t="s">
        <v>109</v>
      </c>
      <c r="C65" s="93"/>
      <c r="D65" s="94"/>
      <c r="E65" s="84"/>
      <c r="F65" s="71"/>
      <c r="G65" s="71" t="str">
        <f t="shared" si="7"/>
        <v/>
      </c>
      <c r="H65" s="85"/>
      <c r="I65" s="71" t="str">
        <f t="shared" si="8"/>
        <v/>
      </c>
      <c r="J65" s="98"/>
      <c r="K65" s="93"/>
      <c r="L65" s="93"/>
      <c r="M65" s="93"/>
      <c r="N65" s="93"/>
      <c r="O65" s="93"/>
      <c r="P65" s="93"/>
      <c r="Q65" s="94"/>
      <c r="R65" s="119"/>
      <c r="S65" s="97"/>
      <c r="T65" s="97"/>
      <c r="U65" s="97"/>
      <c r="V65" s="96"/>
      <c r="W65" s="97"/>
      <c r="X65" s="97"/>
      <c r="Y65" s="97"/>
      <c r="Z65" s="1"/>
      <c r="AA65" s="3"/>
      <c r="AB65" s="3"/>
    </row>
    <row r="66" spans="1:28" ht="15" customHeight="1" x14ac:dyDescent="0.25">
      <c r="A66" s="32"/>
      <c r="B66" s="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1"/>
      <c r="Z66" s="1"/>
      <c r="AA66" s="3"/>
      <c r="AB66" s="3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"/>
      <c r="AB67" s="3"/>
    </row>
    <row r="68" spans="1:28" ht="14.25" customHeight="1" x14ac:dyDescent="0.25">
      <c r="A68" s="1"/>
      <c r="B68" s="33" t="s">
        <v>110</v>
      </c>
      <c r="C68" s="1"/>
      <c r="D68" s="1"/>
      <c r="E68" s="34"/>
      <c r="F68" s="34"/>
      <c r="G68" s="34"/>
      <c r="H68" s="1"/>
      <c r="I68" s="1"/>
      <c r="J68" s="1"/>
      <c r="K68" s="1"/>
      <c r="L68" s="1"/>
      <c r="M68" s="1"/>
      <c r="N68" s="1"/>
      <c r="O68" s="1"/>
      <c r="P68" s="33" t="s">
        <v>111</v>
      </c>
      <c r="Q68" s="1"/>
      <c r="R68" s="35"/>
      <c r="S68" s="1"/>
      <c r="T68" s="1"/>
      <c r="U68" s="34"/>
      <c r="V68" s="34"/>
      <c r="W68" s="34"/>
      <c r="X68" s="34"/>
      <c r="Y68" s="1"/>
      <c r="Z68" s="1"/>
      <c r="AA68" s="3"/>
      <c r="AB68" s="3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3"/>
      <c r="AB69" s="3"/>
    </row>
    <row r="70" spans="1:28" ht="14.25" customHeight="1" x14ac:dyDescent="0.25">
      <c r="A70" s="1"/>
      <c r="B70" s="3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3"/>
      <c r="Q70" s="1"/>
      <c r="R70" s="1"/>
      <c r="S70" s="1"/>
      <c r="T70" s="1"/>
      <c r="U70" s="1"/>
      <c r="V70" s="1"/>
      <c r="W70" s="1"/>
      <c r="X70" s="1"/>
      <c r="Y70" s="1"/>
      <c r="Z70" s="1"/>
      <c r="AA70" s="3"/>
      <c r="AB70" s="3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6" t="s">
        <v>112</v>
      </c>
      <c r="Z71" s="1"/>
      <c r="AA71" s="3"/>
      <c r="AB71" s="3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3"/>
      <c r="AB72" s="3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"/>
      <c r="AB73" s="3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3"/>
      <c r="AB74" s="3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"/>
      <c r="AB75" s="3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"/>
      <c r="AB76" s="3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"/>
      <c r="AB77" s="3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"/>
      <c r="AB78" s="3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"/>
      <c r="AB79" s="3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</row>
    <row r="91" spans="1:28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</row>
    <row r="92" spans="1:28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</row>
    <row r="93" spans="1:28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</row>
    <row r="94" spans="1:28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</row>
    <row r="95" spans="1:28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</row>
    <row r="96" spans="1:28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</row>
    <row r="97" spans="1:28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</row>
    <row r="98" spans="1:28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</row>
    <row r="99" spans="1:28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</row>
    <row r="100" spans="1:28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</row>
    <row r="101" spans="1:28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</row>
    <row r="102" spans="1:28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</row>
    <row r="103" spans="1:28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</row>
    <row r="104" spans="1:28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</row>
    <row r="105" spans="1:28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</row>
    <row r="106" spans="1:28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"/>
      <c r="AB111" s="3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"/>
      <c r="AB112" s="3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"/>
      <c r="AB113" s="3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"/>
      <c r="AB114" s="3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"/>
      <c r="AB115" s="3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"/>
      <c r="AB116" s="3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"/>
      <c r="AB117" s="3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"/>
      <c r="AB118" s="3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"/>
      <c r="AB119" s="3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"/>
      <c r="AB120" s="3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"/>
      <c r="AB121" s="3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"/>
      <c r="AB122" s="3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"/>
      <c r="AB123" s="3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"/>
      <c r="AB124" s="3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"/>
      <c r="AB125" s="3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"/>
      <c r="AB126" s="3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/>
      <c r="AB127" s="3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/>
      <c r="AB128" s="3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"/>
      <c r="AB129" s="3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"/>
      <c r="AB130" s="3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"/>
      <c r="AB131" s="3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"/>
      <c r="AB132" s="3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"/>
      <c r="AB133" s="3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"/>
      <c r="AB134" s="3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"/>
      <c r="AB135" s="3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/>
      <c r="AB136" s="3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"/>
      <c r="AB137" s="3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"/>
      <c r="AB138" s="3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"/>
      <c r="AB139" s="3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"/>
      <c r="AB140" s="3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"/>
      <c r="AB141" s="3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"/>
      <c r="AB142" s="3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"/>
      <c r="AB143" s="3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"/>
      <c r="AB144" s="3"/>
    </row>
    <row r="145" spans="1:28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"/>
      <c r="AB145" s="3"/>
    </row>
    <row r="146" spans="1:28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"/>
      <c r="AB146" s="3"/>
    </row>
    <row r="147" spans="1:28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"/>
      <c r="AB147" s="3"/>
    </row>
    <row r="148" spans="1:28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"/>
      <c r="AB148" s="3"/>
    </row>
    <row r="149" spans="1:28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"/>
      <c r="AB149" s="3"/>
    </row>
    <row r="150" spans="1:28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"/>
      <c r="AB150" s="3"/>
    </row>
    <row r="151" spans="1:28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  <c r="AB151" s="3"/>
    </row>
    <row r="152" spans="1:28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  <c r="AB152" s="3"/>
    </row>
    <row r="153" spans="1:28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  <c r="AB153" s="3"/>
    </row>
    <row r="154" spans="1:28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  <c r="AB154" s="3"/>
    </row>
    <row r="155" spans="1:28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  <c r="AB155" s="3"/>
    </row>
    <row r="156" spans="1:28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  <c r="AB156" s="3"/>
    </row>
    <row r="157" spans="1:28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  <c r="AB157" s="3"/>
    </row>
    <row r="158" spans="1:28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/>
      <c r="AB158" s="3"/>
    </row>
    <row r="159" spans="1:28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/>
      <c r="AB159" s="3"/>
    </row>
    <row r="160" spans="1:28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  <c r="AB160" s="3"/>
    </row>
    <row r="161" spans="1:28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/>
      <c r="AB161" s="3"/>
    </row>
    <row r="162" spans="1:28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  <c r="AB162" s="3"/>
    </row>
    <row r="163" spans="1:28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/>
      <c r="AB163" s="3"/>
    </row>
    <row r="164" spans="1:28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  <c r="AB164" s="3"/>
    </row>
    <row r="165" spans="1:28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"/>
      <c r="AB165" s="3"/>
    </row>
    <row r="166" spans="1:28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  <c r="AB166" s="3"/>
    </row>
    <row r="167" spans="1:28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  <c r="AB167" s="3"/>
    </row>
    <row r="168" spans="1:28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"/>
      <c r="AB168" s="3"/>
    </row>
    <row r="169" spans="1:28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/>
      <c r="AB169" s="3"/>
    </row>
    <row r="170" spans="1:28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"/>
      <c r="AB170" s="3"/>
    </row>
    <row r="171" spans="1:28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"/>
      <c r="AB171" s="3"/>
    </row>
    <row r="172" spans="1:28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"/>
      <c r="AB172" s="3"/>
    </row>
    <row r="173" spans="1:28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"/>
      <c r="AB173" s="3"/>
    </row>
    <row r="174" spans="1:28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"/>
      <c r="AB174" s="3"/>
    </row>
    <row r="175" spans="1:28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"/>
      <c r="AB175" s="3"/>
    </row>
    <row r="176" spans="1:28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"/>
      <c r="AB176" s="3"/>
    </row>
    <row r="177" spans="1:28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"/>
      <c r="AB177" s="3"/>
    </row>
    <row r="178" spans="1:28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"/>
      <c r="AB178" s="3"/>
    </row>
    <row r="179" spans="1:28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/>
      <c r="AB179" s="3"/>
    </row>
    <row r="180" spans="1:28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"/>
      <c r="AB180" s="3"/>
    </row>
    <row r="181" spans="1:28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"/>
      <c r="AB181" s="3"/>
    </row>
    <row r="182" spans="1:28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"/>
      <c r="AB182" s="3"/>
    </row>
    <row r="183" spans="1:28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"/>
      <c r="AB183" s="3"/>
    </row>
    <row r="184" spans="1:28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"/>
      <c r="AB184" s="3"/>
    </row>
    <row r="185" spans="1:28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"/>
      <c r="AB185" s="3"/>
    </row>
    <row r="186" spans="1:28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"/>
      <c r="AB186" s="3"/>
    </row>
    <row r="187" spans="1:28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"/>
      <c r="AB187" s="3"/>
    </row>
    <row r="188" spans="1:28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"/>
      <c r="AB188" s="3"/>
    </row>
    <row r="189" spans="1:28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"/>
      <c r="AB189" s="3"/>
    </row>
    <row r="190" spans="1:28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  <c r="AB190" s="3"/>
    </row>
    <row r="191" spans="1:28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"/>
      <c r="AB191" s="3"/>
    </row>
    <row r="192" spans="1:28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"/>
      <c r="AB192" s="3"/>
    </row>
    <row r="193" spans="1:28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"/>
      <c r="AB193" s="3"/>
    </row>
    <row r="194" spans="1:28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"/>
      <c r="AB194" s="3"/>
    </row>
    <row r="195" spans="1:28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"/>
      <c r="AB195" s="3"/>
    </row>
    <row r="196" spans="1:28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"/>
      <c r="AB196" s="3"/>
    </row>
    <row r="197" spans="1:28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"/>
      <c r="AB197" s="3"/>
    </row>
    <row r="198" spans="1:28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/>
      <c r="AB198" s="3"/>
    </row>
    <row r="199" spans="1:28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"/>
      <c r="AB199" s="3"/>
    </row>
    <row r="200" spans="1:28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"/>
      <c r="AB200" s="3"/>
    </row>
    <row r="201" spans="1:28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"/>
      <c r="AB201" s="3"/>
    </row>
    <row r="202" spans="1:28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"/>
      <c r="AB202" s="3"/>
    </row>
    <row r="203" spans="1:28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"/>
      <c r="AB203" s="3"/>
    </row>
    <row r="204" spans="1:28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/>
      <c r="AB204" s="3"/>
    </row>
    <row r="205" spans="1:28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"/>
      <c r="AB205" s="3"/>
    </row>
    <row r="206" spans="1:28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"/>
      <c r="AB206" s="3"/>
    </row>
    <row r="207" spans="1:28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"/>
      <c r="AB207" s="3"/>
    </row>
    <row r="208" spans="1:28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"/>
      <c r="AB208" s="3"/>
    </row>
    <row r="209" spans="1:28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/>
      <c r="AB209" s="3"/>
    </row>
    <row r="210" spans="1:28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/>
      <c r="AB210" s="3"/>
    </row>
    <row r="211" spans="1:28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/>
      <c r="AB211" s="3"/>
    </row>
    <row r="212" spans="1:28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"/>
      <c r="AB212" s="3"/>
    </row>
    <row r="213" spans="1:28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"/>
      <c r="AB213" s="3"/>
    </row>
    <row r="214" spans="1:28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"/>
      <c r="AB214" s="3"/>
    </row>
    <row r="215" spans="1:28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"/>
      <c r="AB215" s="3"/>
    </row>
    <row r="216" spans="1:28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/>
      <c r="AB216" s="3"/>
    </row>
    <row r="217" spans="1:28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/>
      <c r="AB217" s="3"/>
    </row>
    <row r="218" spans="1:28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  <c r="AB218" s="3"/>
    </row>
    <row r="219" spans="1:28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  <c r="AB219" s="3"/>
    </row>
    <row r="220" spans="1:28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  <c r="AB220" s="3"/>
    </row>
    <row r="221" spans="1:28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  <c r="AB221" s="3"/>
    </row>
    <row r="222" spans="1:28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  <c r="AB222" s="3"/>
    </row>
    <row r="223" spans="1:28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  <c r="AB223" s="3"/>
    </row>
    <row r="224" spans="1:28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  <c r="AB224" s="3"/>
    </row>
    <row r="225" spans="1:28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  <c r="AB225" s="3"/>
    </row>
    <row r="226" spans="1:28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  <c r="AB226" s="3"/>
    </row>
    <row r="227" spans="1:28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  <c r="AB227" s="3"/>
    </row>
    <row r="228" spans="1:28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  <c r="AB228" s="3"/>
    </row>
    <row r="229" spans="1:28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  <c r="AB229" s="3"/>
    </row>
    <row r="230" spans="1:28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  <c r="AB230" s="3"/>
    </row>
    <row r="231" spans="1:28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  <c r="AB231" s="3"/>
    </row>
    <row r="232" spans="1:28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  <c r="AB232" s="3"/>
    </row>
    <row r="233" spans="1:28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  <c r="AB233" s="3"/>
    </row>
    <row r="234" spans="1:28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  <c r="AB234" s="3"/>
    </row>
    <row r="235" spans="1:28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  <c r="AB235" s="3"/>
    </row>
    <row r="236" spans="1:28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  <c r="AB236" s="3"/>
    </row>
    <row r="237" spans="1:28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  <c r="AB237" s="3"/>
    </row>
    <row r="238" spans="1:28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  <c r="AB238" s="3"/>
    </row>
    <row r="239" spans="1:28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  <c r="AB239" s="3"/>
    </row>
    <row r="240" spans="1:28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  <c r="AB240" s="3"/>
    </row>
    <row r="241" spans="1:28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  <c r="AB241" s="3"/>
    </row>
    <row r="242" spans="1:28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  <c r="AB242" s="3"/>
    </row>
    <row r="243" spans="1:28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  <c r="AB243" s="3"/>
    </row>
    <row r="244" spans="1:28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  <c r="AB244" s="3"/>
    </row>
    <row r="245" spans="1:28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  <c r="AB245" s="3"/>
    </row>
    <row r="246" spans="1:28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  <c r="AB246" s="3"/>
    </row>
    <row r="247" spans="1:28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  <c r="AB247" s="3"/>
    </row>
    <row r="248" spans="1:28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  <c r="AB248" s="3"/>
    </row>
    <row r="249" spans="1:28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  <c r="AB249" s="3"/>
    </row>
    <row r="250" spans="1:28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  <c r="AB250" s="3"/>
    </row>
    <row r="251" spans="1:28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  <c r="AB251" s="3"/>
    </row>
    <row r="252" spans="1:28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  <c r="AB252" s="3"/>
    </row>
    <row r="253" spans="1:28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  <c r="AB253" s="3"/>
    </row>
    <row r="254" spans="1:28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  <c r="AB254" s="3"/>
    </row>
    <row r="255" spans="1:28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  <c r="AB255" s="3"/>
    </row>
    <row r="256" spans="1:28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  <c r="AB256" s="3"/>
    </row>
    <row r="257" spans="1:28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  <c r="AB257" s="3"/>
    </row>
    <row r="258" spans="1:28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  <c r="AB258" s="3"/>
    </row>
    <row r="259" spans="1:28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  <c r="AB259" s="3"/>
    </row>
    <row r="260" spans="1:28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  <c r="AB260" s="3"/>
    </row>
    <row r="261" spans="1:28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  <c r="AB261" s="3"/>
    </row>
    <row r="262" spans="1:28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  <c r="AB262" s="3"/>
    </row>
    <row r="263" spans="1:28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  <c r="AB263" s="3"/>
    </row>
    <row r="264" spans="1:28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  <c r="AB264" s="3"/>
    </row>
    <row r="265" spans="1:28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  <c r="AB265" s="3"/>
    </row>
    <row r="266" spans="1:28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  <c r="AB266" s="3"/>
    </row>
    <row r="267" spans="1:28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  <c r="AB267" s="3"/>
    </row>
    <row r="268" spans="1:28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  <c r="AB268" s="3"/>
    </row>
    <row r="269" spans="1:28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  <c r="AB269" s="3"/>
    </row>
    <row r="270" spans="1:28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  <c r="AB270" s="3"/>
    </row>
    <row r="271" spans="1:28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  <c r="AB271" s="3"/>
    </row>
    <row r="272" spans="1:28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  <c r="AB272" s="3"/>
    </row>
    <row r="273" spans="1:28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  <c r="AB273" s="3"/>
    </row>
    <row r="274" spans="1:28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  <c r="AB274" s="3"/>
    </row>
    <row r="275" spans="1:28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  <c r="AB275" s="3"/>
    </row>
    <row r="276" spans="1:28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  <c r="AB276" s="3"/>
    </row>
    <row r="277" spans="1:28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  <c r="AB277" s="3"/>
    </row>
    <row r="278" spans="1:28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  <c r="AB278" s="3"/>
    </row>
    <row r="279" spans="1:28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  <c r="AB279" s="3"/>
    </row>
    <row r="280" spans="1:28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  <c r="AB280" s="3"/>
    </row>
    <row r="281" spans="1:28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  <c r="AB281" s="3"/>
    </row>
    <row r="282" spans="1:28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  <c r="AB282" s="3"/>
    </row>
    <row r="283" spans="1:28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  <c r="AB283" s="3"/>
    </row>
    <row r="284" spans="1:28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  <c r="AB284" s="3"/>
    </row>
    <row r="285" spans="1:28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  <c r="AB285" s="3"/>
    </row>
    <row r="286" spans="1:28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  <c r="AB286" s="3"/>
    </row>
    <row r="287" spans="1:28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  <c r="AB287" s="3"/>
    </row>
    <row r="288" spans="1:28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  <c r="AB288" s="3"/>
    </row>
    <row r="289" spans="1:28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  <c r="AB289" s="3"/>
    </row>
    <row r="290" spans="1:28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  <c r="AB290" s="3"/>
    </row>
    <row r="291" spans="1:28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  <c r="AB291" s="3"/>
    </row>
    <row r="292" spans="1:28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  <c r="AB292" s="3"/>
    </row>
    <row r="293" spans="1:28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  <c r="AB293" s="3"/>
    </row>
    <row r="294" spans="1:28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  <c r="AB294" s="3"/>
    </row>
    <row r="295" spans="1:28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  <c r="AB295" s="3"/>
    </row>
    <row r="296" spans="1:28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  <c r="AB296" s="3"/>
    </row>
    <row r="297" spans="1:28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  <c r="AB297" s="3"/>
    </row>
    <row r="298" spans="1:28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  <c r="AB298" s="3"/>
    </row>
    <row r="299" spans="1:28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  <c r="AB299" s="3"/>
    </row>
    <row r="300" spans="1:28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  <c r="AB300" s="3"/>
    </row>
    <row r="301" spans="1:28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  <c r="AB301" s="3"/>
    </row>
    <row r="302" spans="1:28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  <c r="AB302" s="3"/>
    </row>
    <row r="303" spans="1:28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  <c r="AB303" s="3"/>
    </row>
    <row r="304" spans="1:28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  <c r="AB304" s="3"/>
    </row>
    <row r="305" spans="1:28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  <c r="AB305" s="3"/>
    </row>
    <row r="306" spans="1:28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  <c r="AB306" s="3"/>
    </row>
    <row r="307" spans="1:28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  <c r="AB307" s="3"/>
    </row>
    <row r="308" spans="1:28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  <c r="AB308" s="3"/>
    </row>
    <row r="309" spans="1:28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  <c r="AB309" s="3"/>
    </row>
    <row r="310" spans="1:28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  <c r="AB310" s="3"/>
    </row>
    <row r="311" spans="1:28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  <c r="AB311" s="3"/>
    </row>
    <row r="312" spans="1:28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  <c r="AB312" s="3"/>
    </row>
    <row r="313" spans="1:28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  <c r="AB313" s="3"/>
    </row>
    <row r="314" spans="1:28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  <c r="AB314" s="3"/>
    </row>
    <row r="315" spans="1:28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  <c r="AB315" s="3"/>
    </row>
    <row r="316" spans="1:28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  <c r="AB316" s="3"/>
    </row>
    <row r="317" spans="1:28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  <c r="AB317" s="3"/>
    </row>
    <row r="318" spans="1:28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  <c r="AB318" s="3"/>
    </row>
    <row r="319" spans="1:28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  <c r="AB319" s="3"/>
    </row>
    <row r="320" spans="1:28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  <c r="AB320" s="3"/>
    </row>
    <row r="321" spans="1:28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  <c r="AB321" s="3"/>
    </row>
    <row r="322" spans="1:28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  <c r="AB322" s="3"/>
    </row>
    <row r="323" spans="1:28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  <c r="AB323" s="3"/>
    </row>
    <row r="324" spans="1:28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  <c r="AB324" s="3"/>
    </row>
    <row r="325" spans="1:28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  <c r="AB325" s="3"/>
    </row>
    <row r="326" spans="1:28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  <c r="AB326" s="3"/>
    </row>
    <row r="327" spans="1:28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  <c r="AB327" s="3"/>
    </row>
    <row r="328" spans="1:28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  <c r="AB328" s="3"/>
    </row>
    <row r="329" spans="1:28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  <c r="AB329" s="3"/>
    </row>
    <row r="330" spans="1:28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  <c r="AB330" s="3"/>
    </row>
    <row r="331" spans="1:28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  <c r="AB331" s="3"/>
    </row>
    <row r="332" spans="1:28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  <c r="AB332" s="3"/>
    </row>
    <row r="333" spans="1:28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  <c r="AB333" s="3"/>
    </row>
    <row r="334" spans="1:28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  <c r="AB334" s="3"/>
    </row>
    <row r="335" spans="1:28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  <c r="AB335" s="3"/>
    </row>
    <row r="336" spans="1:28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  <c r="AB336" s="3"/>
    </row>
    <row r="337" spans="1:28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  <c r="AB337" s="3"/>
    </row>
    <row r="338" spans="1:28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  <c r="AB338" s="3"/>
    </row>
    <row r="339" spans="1:28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  <c r="AB339" s="3"/>
    </row>
    <row r="340" spans="1:28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  <c r="AB340" s="3"/>
    </row>
    <row r="341" spans="1:28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  <c r="AB341" s="3"/>
    </row>
    <row r="342" spans="1:28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  <c r="AB342" s="3"/>
    </row>
    <row r="343" spans="1:28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  <c r="AB343" s="3"/>
    </row>
    <row r="344" spans="1:28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  <c r="AB344" s="3"/>
    </row>
    <row r="345" spans="1:28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  <c r="AB345" s="3"/>
    </row>
    <row r="346" spans="1:28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  <c r="AB346" s="3"/>
    </row>
    <row r="347" spans="1:28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  <c r="AB347" s="3"/>
    </row>
    <row r="348" spans="1:28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  <c r="AB348" s="3"/>
    </row>
    <row r="349" spans="1:28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  <c r="AB349" s="3"/>
    </row>
    <row r="350" spans="1:28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  <c r="AB350" s="3"/>
    </row>
    <row r="351" spans="1:28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  <c r="AB351" s="3"/>
    </row>
    <row r="352" spans="1:28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  <c r="AB352" s="3"/>
    </row>
    <row r="353" spans="1:28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  <c r="AB353" s="3"/>
    </row>
    <row r="354" spans="1:28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  <c r="AB354" s="3"/>
    </row>
    <row r="355" spans="1:28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  <c r="AB355" s="3"/>
    </row>
    <row r="356" spans="1:28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  <c r="AB356" s="3"/>
    </row>
    <row r="357" spans="1:28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  <c r="AB357" s="3"/>
    </row>
    <row r="358" spans="1:28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  <c r="AB358" s="3"/>
    </row>
    <row r="359" spans="1:28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  <c r="AB359" s="3"/>
    </row>
    <row r="360" spans="1:28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  <c r="AB360" s="3"/>
    </row>
    <row r="361" spans="1:28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  <c r="AB361" s="3"/>
    </row>
    <row r="362" spans="1:28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  <c r="AB362" s="3"/>
    </row>
    <row r="363" spans="1:28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  <c r="AB363" s="3"/>
    </row>
    <row r="364" spans="1:28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  <c r="AB364" s="3"/>
    </row>
    <row r="365" spans="1:28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  <c r="AB365" s="3"/>
    </row>
    <row r="366" spans="1:28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  <c r="AB366" s="3"/>
    </row>
    <row r="367" spans="1:28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  <c r="AB367" s="3"/>
    </row>
    <row r="368" spans="1:28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  <c r="AB368" s="3"/>
    </row>
    <row r="369" spans="1:28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  <c r="AB369" s="3"/>
    </row>
    <row r="370" spans="1:28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  <c r="AB370" s="3"/>
    </row>
    <row r="371" spans="1:28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  <c r="AB371" s="3"/>
    </row>
    <row r="372" spans="1:28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  <c r="AB372" s="3"/>
    </row>
    <row r="373" spans="1:28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  <c r="AB373" s="3"/>
    </row>
    <row r="374" spans="1:28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  <c r="AB374" s="3"/>
    </row>
    <row r="375" spans="1:28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  <c r="AB375" s="3"/>
    </row>
    <row r="376" spans="1:28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  <c r="AB376" s="3"/>
    </row>
    <row r="377" spans="1:28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  <c r="AB377" s="3"/>
    </row>
    <row r="378" spans="1:28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  <c r="AB378" s="3"/>
    </row>
    <row r="379" spans="1:28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  <c r="AB379" s="3"/>
    </row>
    <row r="380" spans="1:28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  <c r="AB380" s="3"/>
    </row>
    <row r="381" spans="1:28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  <c r="AB381" s="3"/>
    </row>
    <row r="382" spans="1:28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  <c r="AB382" s="3"/>
    </row>
    <row r="383" spans="1:28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  <c r="AB383" s="3"/>
    </row>
    <row r="384" spans="1:28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  <c r="AB384" s="3"/>
    </row>
    <row r="385" spans="1:28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  <c r="AB385" s="3"/>
    </row>
    <row r="386" spans="1:28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  <c r="AB386" s="3"/>
    </row>
    <row r="387" spans="1:28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  <c r="AB387" s="3"/>
    </row>
    <row r="388" spans="1:28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  <c r="AB388" s="3"/>
    </row>
    <row r="389" spans="1:28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  <c r="AB389" s="3"/>
    </row>
    <row r="390" spans="1:28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  <c r="AB390" s="3"/>
    </row>
    <row r="391" spans="1:28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  <c r="AB391" s="3"/>
    </row>
    <row r="392" spans="1:28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  <c r="AB392" s="3"/>
    </row>
    <row r="393" spans="1:28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  <c r="AB393" s="3"/>
    </row>
    <row r="394" spans="1:28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  <c r="AB394" s="3"/>
    </row>
    <row r="395" spans="1:28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  <c r="AB395" s="3"/>
    </row>
    <row r="396" spans="1:28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  <c r="AB396" s="3"/>
    </row>
    <row r="397" spans="1:28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  <c r="AB397" s="3"/>
    </row>
    <row r="398" spans="1:28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  <c r="AB398" s="3"/>
    </row>
    <row r="399" spans="1:28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  <c r="AB399" s="3"/>
    </row>
    <row r="400" spans="1:28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  <c r="AB400" s="3"/>
    </row>
    <row r="401" spans="1:28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  <c r="AB401" s="3"/>
    </row>
    <row r="402" spans="1:28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  <c r="AB402" s="3"/>
    </row>
    <row r="403" spans="1:28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  <c r="AB403" s="3"/>
    </row>
    <row r="404" spans="1:28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  <c r="AB404" s="3"/>
    </row>
    <row r="405" spans="1:28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  <c r="AB405" s="3"/>
    </row>
    <row r="406" spans="1:28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  <c r="AB406" s="3"/>
    </row>
    <row r="407" spans="1:28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  <c r="AB407" s="3"/>
    </row>
    <row r="408" spans="1:28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  <c r="AB408" s="3"/>
    </row>
    <row r="409" spans="1:28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  <c r="AB409" s="3"/>
    </row>
    <row r="410" spans="1:28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</row>
    <row r="411" spans="1:28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  <c r="AB411" s="3"/>
    </row>
    <row r="412" spans="1:28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</row>
    <row r="413" spans="1:28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  <c r="AB413" s="3"/>
    </row>
    <row r="414" spans="1:28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</row>
    <row r="415" spans="1:28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</row>
    <row r="416" spans="1:28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  <c r="AB416" s="3"/>
    </row>
    <row r="417" spans="1:28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  <c r="AB417" s="3"/>
    </row>
    <row r="418" spans="1:28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  <c r="AB418" s="3"/>
    </row>
    <row r="419" spans="1:28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  <c r="AB419" s="3"/>
    </row>
    <row r="420" spans="1:28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  <c r="AB420" s="3"/>
    </row>
    <row r="421" spans="1:28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  <c r="AB421" s="3"/>
    </row>
    <row r="422" spans="1:28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  <c r="AB422" s="3"/>
    </row>
    <row r="423" spans="1:28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  <c r="AB423" s="3"/>
    </row>
    <row r="424" spans="1:28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  <c r="AB424" s="3"/>
    </row>
    <row r="425" spans="1:28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  <c r="AB425" s="3"/>
    </row>
    <row r="426" spans="1:28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  <c r="AB426" s="3"/>
    </row>
    <row r="427" spans="1:28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  <c r="AB427" s="3"/>
    </row>
    <row r="428" spans="1:28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  <c r="AB428" s="3"/>
    </row>
    <row r="429" spans="1:28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  <c r="AB429" s="3"/>
    </row>
    <row r="430" spans="1:28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  <c r="AB430" s="3"/>
    </row>
    <row r="431" spans="1:28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  <c r="AB431" s="3"/>
    </row>
    <row r="432" spans="1:28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  <c r="AB432" s="3"/>
    </row>
    <row r="433" spans="1:28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  <c r="AB433" s="3"/>
    </row>
    <row r="434" spans="1:28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  <c r="AB434" s="3"/>
    </row>
    <row r="435" spans="1:28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  <c r="AB435" s="3"/>
    </row>
    <row r="436" spans="1:28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  <c r="AB436" s="3"/>
    </row>
    <row r="437" spans="1:28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  <c r="AB437" s="3"/>
    </row>
    <row r="438" spans="1:28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  <c r="AB438" s="3"/>
    </row>
    <row r="439" spans="1:28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  <c r="AB439" s="3"/>
    </row>
    <row r="440" spans="1:28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  <c r="AB440" s="3"/>
    </row>
    <row r="441" spans="1:28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  <c r="AB441" s="3"/>
    </row>
    <row r="442" spans="1:28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  <c r="AB442" s="3"/>
    </row>
    <row r="443" spans="1:28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  <c r="AB443" s="3"/>
    </row>
    <row r="444" spans="1:28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  <c r="AB444" s="3"/>
    </row>
    <row r="445" spans="1:28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  <c r="AB445" s="3"/>
    </row>
    <row r="446" spans="1:28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  <c r="AB446" s="3"/>
    </row>
    <row r="447" spans="1:28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  <c r="AB447" s="3"/>
    </row>
    <row r="448" spans="1:28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  <c r="AB448" s="3"/>
    </row>
    <row r="449" spans="1:28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  <c r="AB449" s="3"/>
    </row>
    <row r="450" spans="1:28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  <c r="AB450" s="3"/>
    </row>
    <row r="451" spans="1:28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  <c r="AB451" s="3"/>
    </row>
    <row r="452" spans="1:28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  <c r="AB452" s="3"/>
    </row>
    <row r="453" spans="1:28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  <c r="AB453" s="3"/>
    </row>
    <row r="454" spans="1:28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  <c r="AB454" s="3"/>
    </row>
    <row r="455" spans="1:28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  <c r="AB455" s="3"/>
    </row>
    <row r="456" spans="1:28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  <c r="AB456" s="3"/>
    </row>
    <row r="457" spans="1:28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  <c r="AB457" s="3"/>
    </row>
    <row r="458" spans="1:28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  <c r="AB458" s="3"/>
    </row>
    <row r="459" spans="1:28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  <c r="AB459" s="3"/>
    </row>
    <row r="460" spans="1:28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  <c r="AB460" s="3"/>
    </row>
    <row r="461" spans="1:28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  <c r="AB461" s="3"/>
    </row>
    <row r="462" spans="1:28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  <c r="AB462" s="3"/>
    </row>
    <row r="463" spans="1:28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  <c r="AB463" s="3"/>
    </row>
    <row r="464" spans="1:28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  <c r="AB464" s="3"/>
    </row>
    <row r="465" spans="1:28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  <c r="AB465" s="3"/>
    </row>
    <row r="466" spans="1:28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  <c r="AB466" s="3"/>
    </row>
    <row r="467" spans="1:28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  <c r="AB467" s="3"/>
    </row>
    <row r="468" spans="1:28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  <c r="AB468" s="3"/>
    </row>
    <row r="469" spans="1:28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  <c r="AB469" s="3"/>
    </row>
    <row r="470" spans="1:28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  <c r="AB470" s="3"/>
    </row>
    <row r="471" spans="1:28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  <c r="AB471" s="3"/>
    </row>
    <row r="472" spans="1:28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  <c r="AB472" s="3"/>
    </row>
    <row r="473" spans="1:28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  <c r="AB473" s="3"/>
    </row>
    <row r="474" spans="1:28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  <c r="AB474" s="3"/>
    </row>
    <row r="475" spans="1:28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  <c r="AB475" s="3"/>
    </row>
    <row r="476" spans="1:28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  <c r="AB476" s="3"/>
    </row>
    <row r="477" spans="1:28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  <c r="AB477" s="3"/>
    </row>
    <row r="478" spans="1:28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  <c r="AB478" s="3"/>
    </row>
    <row r="479" spans="1:28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  <c r="AB479" s="3"/>
    </row>
    <row r="480" spans="1:28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  <c r="AB480" s="3"/>
    </row>
    <row r="481" spans="1:28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  <c r="AB481" s="3"/>
    </row>
    <row r="482" spans="1:28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  <c r="AB482" s="3"/>
    </row>
    <row r="483" spans="1:28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  <c r="AB483" s="3"/>
    </row>
    <row r="484" spans="1:28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  <c r="AB484" s="3"/>
    </row>
    <row r="485" spans="1:28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  <c r="AB485" s="3"/>
    </row>
    <row r="486" spans="1:28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  <c r="AB486" s="3"/>
    </row>
    <row r="487" spans="1:28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  <c r="AB487" s="3"/>
    </row>
    <row r="488" spans="1:28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  <c r="AB488" s="3"/>
    </row>
    <row r="489" spans="1:28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  <c r="AB489" s="3"/>
    </row>
    <row r="490" spans="1:28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  <c r="AB490" s="3"/>
    </row>
    <row r="491" spans="1:28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  <c r="AB491" s="3"/>
    </row>
    <row r="492" spans="1:28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  <c r="AB492" s="3"/>
    </row>
    <row r="493" spans="1:28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  <c r="AB493" s="3"/>
    </row>
    <row r="494" spans="1:28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  <c r="AB494" s="3"/>
    </row>
    <row r="495" spans="1:28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  <c r="AB495" s="3"/>
    </row>
    <row r="496" spans="1:28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  <c r="AB496" s="3"/>
    </row>
    <row r="497" spans="1:28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  <c r="AB497" s="3"/>
    </row>
    <row r="498" spans="1:28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  <c r="AB498" s="3"/>
    </row>
    <row r="499" spans="1:28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  <c r="AB499" s="3"/>
    </row>
    <row r="500" spans="1:28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  <c r="AB500" s="3"/>
    </row>
    <row r="501" spans="1:28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  <c r="AB501" s="3"/>
    </row>
    <row r="502" spans="1:28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  <c r="AB502" s="3"/>
    </row>
    <row r="503" spans="1:28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  <c r="AB503" s="3"/>
    </row>
    <row r="504" spans="1:28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  <c r="AB504" s="3"/>
    </row>
    <row r="505" spans="1:28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  <c r="AB505" s="3"/>
    </row>
    <row r="506" spans="1:28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  <c r="AB506" s="3"/>
    </row>
    <row r="507" spans="1:28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  <c r="AB507" s="3"/>
    </row>
    <row r="508" spans="1:28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  <c r="AB508" s="3"/>
    </row>
    <row r="509" spans="1:28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  <c r="AB509" s="3"/>
    </row>
    <row r="510" spans="1:28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  <c r="AB510" s="3"/>
    </row>
    <row r="511" spans="1:28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  <c r="AB511" s="3"/>
    </row>
    <row r="512" spans="1:28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  <c r="AB512" s="3"/>
    </row>
    <row r="513" spans="1:28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  <c r="AB513" s="3"/>
    </row>
    <row r="514" spans="1:28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  <c r="AB514" s="3"/>
    </row>
    <row r="515" spans="1:28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  <c r="AB515" s="3"/>
    </row>
    <row r="516" spans="1:28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  <c r="AB516" s="3"/>
    </row>
    <row r="517" spans="1:28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  <c r="AB517" s="3"/>
    </row>
    <row r="518" spans="1:28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  <c r="AB518" s="3"/>
    </row>
    <row r="519" spans="1:28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  <c r="AB519" s="3"/>
    </row>
    <row r="520" spans="1:28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  <c r="AB520" s="3"/>
    </row>
    <row r="521" spans="1:28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  <c r="AB521" s="3"/>
    </row>
    <row r="522" spans="1:28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  <c r="AB522" s="3"/>
    </row>
    <row r="523" spans="1:28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  <c r="AB523" s="3"/>
    </row>
    <row r="524" spans="1:28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  <c r="AB524" s="3"/>
    </row>
    <row r="525" spans="1:28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  <c r="AB525" s="3"/>
    </row>
    <row r="526" spans="1:28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  <c r="AB526" s="3"/>
    </row>
    <row r="527" spans="1:28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  <c r="AB527" s="3"/>
    </row>
    <row r="528" spans="1:28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  <c r="AB528" s="3"/>
    </row>
    <row r="529" spans="1:28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  <c r="AB529" s="3"/>
    </row>
    <row r="530" spans="1:28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  <c r="AB530" s="3"/>
    </row>
    <row r="531" spans="1:28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  <c r="AB531" s="3"/>
    </row>
    <row r="532" spans="1:28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  <c r="AB532" s="3"/>
    </row>
    <row r="533" spans="1:28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  <c r="AB533" s="3"/>
    </row>
    <row r="534" spans="1:28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  <c r="AB534" s="3"/>
    </row>
    <row r="535" spans="1:28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  <c r="AB535" s="3"/>
    </row>
    <row r="536" spans="1:28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  <c r="AB536" s="3"/>
    </row>
    <row r="537" spans="1:28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  <c r="AB537" s="3"/>
    </row>
    <row r="538" spans="1:28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  <c r="AB538" s="3"/>
    </row>
    <row r="539" spans="1:28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  <c r="AB539" s="3"/>
    </row>
    <row r="540" spans="1:28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  <c r="AB540" s="3"/>
    </row>
    <row r="541" spans="1:28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  <c r="AB541" s="3"/>
    </row>
    <row r="542" spans="1:28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  <c r="AB542" s="3"/>
    </row>
    <row r="543" spans="1:28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  <c r="AB543" s="3"/>
    </row>
    <row r="544" spans="1:28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  <c r="AB544" s="3"/>
    </row>
    <row r="545" spans="1:28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  <c r="AB545" s="3"/>
    </row>
    <row r="546" spans="1:28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  <c r="AB546" s="3"/>
    </row>
    <row r="547" spans="1:28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  <c r="AB547" s="3"/>
    </row>
    <row r="548" spans="1:28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  <c r="AB548" s="3"/>
    </row>
    <row r="549" spans="1:28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  <c r="AB549" s="3"/>
    </row>
    <row r="550" spans="1:28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  <c r="AB550" s="3"/>
    </row>
    <row r="551" spans="1:28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  <c r="AB551" s="3"/>
    </row>
    <row r="552" spans="1:28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  <c r="AB552" s="3"/>
    </row>
    <row r="553" spans="1:28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  <c r="AB553" s="3"/>
    </row>
    <row r="554" spans="1:28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  <c r="AB554" s="3"/>
    </row>
    <row r="555" spans="1:28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  <c r="AB555" s="3"/>
    </row>
    <row r="556" spans="1:28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  <c r="AB556" s="3"/>
    </row>
    <row r="557" spans="1:28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  <c r="AB557" s="3"/>
    </row>
    <row r="558" spans="1:28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  <c r="AB558" s="3"/>
    </row>
    <row r="559" spans="1:28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  <c r="AB559" s="3"/>
    </row>
    <row r="560" spans="1:28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  <c r="AB560" s="3"/>
    </row>
    <row r="561" spans="1:28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  <c r="AB561" s="3"/>
    </row>
    <row r="562" spans="1:28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  <c r="AB562" s="3"/>
    </row>
    <row r="563" spans="1:28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  <c r="AB563" s="3"/>
    </row>
    <row r="564" spans="1:28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  <c r="AB564" s="3"/>
    </row>
    <row r="565" spans="1:28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  <c r="AB565" s="3"/>
    </row>
    <row r="566" spans="1:28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  <c r="AB566" s="3"/>
    </row>
    <row r="567" spans="1:28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  <c r="AB567" s="3"/>
    </row>
    <row r="568" spans="1:28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  <c r="AB568" s="3"/>
    </row>
    <row r="569" spans="1:28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  <c r="AB569" s="3"/>
    </row>
    <row r="570" spans="1:28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  <c r="AB570" s="3"/>
    </row>
    <row r="571" spans="1:28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  <c r="AB571" s="3"/>
    </row>
    <row r="572" spans="1:28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  <c r="AB572" s="3"/>
    </row>
    <row r="573" spans="1:28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  <c r="AB573" s="3"/>
    </row>
    <row r="574" spans="1:28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  <c r="AB574" s="3"/>
    </row>
    <row r="575" spans="1:28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  <c r="AB575" s="3"/>
    </row>
    <row r="576" spans="1:28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  <c r="AB576" s="3"/>
    </row>
    <row r="577" spans="1:28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  <c r="AB577" s="3"/>
    </row>
    <row r="578" spans="1:28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  <c r="AB578" s="3"/>
    </row>
    <row r="579" spans="1:28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  <c r="AB579" s="3"/>
    </row>
    <row r="580" spans="1:28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  <c r="AB580" s="3"/>
    </row>
    <row r="581" spans="1:28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  <c r="AB581" s="3"/>
    </row>
    <row r="582" spans="1:28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  <c r="AB582" s="3"/>
    </row>
    <row r="583" spans="1:28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  <c r="AB583" s="3"/>
    </row>
    <row r="584" spans="1:28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  <c r="AB584" s="3"/>
    </row>
    <row r="585" spans="1:28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  <c r="AB585" s="3"/>
    </row>
    <row r="586" spans="1:28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  <c r="AB586" s="3"/>
    </row>
    <row r="587" spans="1:28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  <c r="AB587" s="3"/>
    </row>
    <row r="588" spans="1:28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  <c r="AB588" s="3"/>
    </row>
    <row r="589" spans="1:28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  <c r="AB589" s="3"/>
    </row>
    <row r="590" spans="1:28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  <c r="AB590" s="3"/>
    </row>
    <row r="591" spans="1:28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  <c r="AB591" s="3"/>
    </row>
    <row r="592" spans="1:28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  <c r="AB592" s="3"/>
    </row>
    <row r="593" spans="1:28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  <c r="AB593" s="3"/>
    </row>
    <row r="594" spans="1:28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  <c r="AB594" s="3"/>
    </row>
    <row r="595" spans="1:28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  <c r="AB595" s="3"/>
    </row>
    <row r="596" spans="1:28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  <c r="AB596" s="3"/>
    </row>
    <row r="597" spans="1:28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  <c r="AB597" s="3"/>
    </row>
    <row r="598" spans="1:28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  <c r="AB598" s="3"/>
    </row>
    <row r="599" spans="1:28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  <c r="AB599" s="3"/>
    </row>
    <row r="600" spans="1:28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  <c r="AB600" s="3"/>
    </row>
    <row r="601" spans="1:28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  <c r="AB601" s="3"/>
    </row>
    <row r="602" spans="1:28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  <c r="AB602" s="3"/>
    </row>
    <row r="603" spans="1:28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  <c r="AB603" s="3"/>
    </row>
    <row r="604" spans="1:28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  <c r="AB604" s="3"/>
    </row>
    <row r="605" spans="1:28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  <c r="AB605" s="3"/>
    </row>
    <row r="606" spans="1:28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  <c r="AB606" s="3"/>
    </row>
    <row r="607" spans="1:28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  <c r="AB607" s="3"/>
    </row>
    <row r="608" spans="1:28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  <c r="AB608" s="3"/>
    </row>
    <row r="609" spans="1:28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  <c r="AB609" s="3"/>
    </row>
    <row r="610" spans="1:28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  <c r="AB610" s="3"/>
    </row>
    <row r="611" spans="1:28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  <c r="AB611" s="3"/>
    </row>
    <row r="612" spans="1:28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  <c r="AB612" s="3"/>
    </row>
    <row r="613" spans="1:28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  <c r="AB613" s="3"/>
    </row>
    <row r="614" spans="1:28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  <c r="AB614" s="3"/>
    </row>
    <row r="615" spans="1:28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  <c r="AB615" s="3"/>
    </row>
    <row r="616" spans="1:28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  <c r="AB616" s="3"/>
    </row>
    <row r="617" spans="1:28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  <c r="AB617" s="3"/>
    </row>
    <row r="618" spans="1:28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  <c r="AB618" s="3"/>
    </row>
    <row r="619" spans="1:28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  <c r="AB619" s="3"/>
    </row>
    <row r="620" spans="1:28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  <c r="AB620" s="3"/>
    </row>
    <row r="621" spans="1:28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  <c r="AB621" s="3"/>
    </row>
    <row r="622" spans="1:28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  <c r="AB622" s="3"/>
    </row>
    <row r="623" spans="1:28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  <c r="AB623" s="3"/>
    </row>
    <row r="624" spans="1:28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  <c r="AB624" s="3"/>
    </row>
    <row r="625" spans="1:28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  <c r="AB625" s="3"/>
    </row>
    <row r="626" spans="1:28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  <c r="AB626" s="3"/>
    </row>
    <row r="627" spans="1:28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  <c r="AB627" s="3"/>
    </row>
    <row r="628" spans="1:28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  <c r="AB628" s="3"/>
    </row>
    <row r="629" spans="1:28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  <c r="AB629" s="3"/>
    </row>
    <row r="630" spans="1:28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  <c r="AB630" s="3"/>
    </row>
    <row r="631" spans="1:28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  <c r="AB631" s="3"/>
    </row>
    <row r="632" spans="1:28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  <c r="AB632" s="3"/>
    </row>
    <row r="633" spans="1:28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  <c r="AB633" s="3"/>
    </row>
    <row r="634" spans="1:28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  <c r="AB634" s="3"/>
    </row>
    <row r="635" spans="1:28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  <c r="AB635" s="3"/>
    </row>
    <row r="636" spans="1:28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  <c r="AB636" s="3"/>
    </row>
    <row r="637" spans="1:28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  <c r="AB637" s="3"/>
    </row>
    <row r="638" spans="1:28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  <c r="AB638" s="3"/>
    </row>
    <row r="639" spans="1:28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  <c r="AB639" s="3"/>
    </row>
    <row r="640" spans="1:28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  <c r="AB640" s="3"/>
    </row>
    <row r="641" spans="1:28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  <c r="AB641" s="3"/>
    </row>
    <row r="642" spans="1:28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  <c r="AB642" s="3"/>
    </row>
    <row r="643" spans="1:28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  <c r="AB643" s="3"/>
    </row>
    <row r="644" spans="1:28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  <c r="AB644" s="3"/>
    </row>
    <row r="645" spans="1:28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  <c r="AB645" s="3"/>
    </row>
    <row r="646" spans="1:28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  <c r="AB646" s="3"/>
    </row>
    <row r="647" spans="1:28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  <c r="AB647" s="3"/>
    </row>
    <row r="648" spans="1:28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  <c r="AB648" s="3"/>
    </row>
    <row r="649" spans="1:28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  <c r="AB649" s="3"/>
    </row>
    <row r="650" spans="1:28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  <c r="AB650" s="3"/>
    </row>
    <row r="651" spans="1:28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  <c r="AB651" s="3"/>
    </row>
    <row r="652" spans="1:28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  <c r="AB652" s="3"/>
    </row>
    <row r="653" spans="1:28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  <c r="AB653" s="3"/>
    </row>
    <row r="654" spans="1:28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  <c r="AB654" s="3"/>
    </row>
    <row r="655" spans="1:28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  <c r="AB655" s="3"/>
    </row>
    <row r="656" spans="1:28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  <c r="AB656" s="3"/>
    </row>
    <row r="657" spans="1:28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  <c r="AB657" s="3"/>
    </row>
    <row r="658" spans="1:28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  <c r="AB658" s="3"/>
    </row>
    <row r="659" spans="1:28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  <c r="AB659" s="3"/>
    </row>
    <row r="660" spans="1:28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  <c r="AB660" s="3"/>
    </row>
    <row r="661" spans="1:28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  <c r="AB661" s="3"/>
    </row>
    <row r="662" spans="1:28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  <c r="AB662" s="3"/>
    </row>
    <row r="663" spans="1:28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  <c r="AB663" s="3"/>
    </row>
    <row r="664" spans="1:28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  <c r="AB664" s="3"/>
    </row>
    <row r="665" spans="1:28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  <c r="AB665" s="3"/>
    </row>
    <row r="666" spans="1:28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  <c r="AB666" s="3"/>
    </row>
    <row r="667" spans="1:28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  <c r="AB667" s="3"/>
    </row>
    <row r="668" spans="1:28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  <c r="AB668" s="3"/>
    </row>
    <row r="669" spans="1:28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  <c r="AB669" s="3"/>
    </row>
    <row r="670" spans="1:28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  <c r="AB670" s="3"/>
    </row>
    <row r="671" spans="1:28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  <c r="AB671" s="3"/>
    </row>
    <row r="672" spans="1:28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  <c r="AB672" s="3"/>
    </row>
    <row r="673" spans="1:28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  <c r="AB673" s="3"/>
    </row>
    <row r="674" spans="1:28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  <c r="AB674" s="3"/>
    </row>
    <row r="675" spans="1:28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  <c r="AB675" s="3"/>
    </row>
    <row r="676" spans="1:28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  <c r="AB676" s="3"/>
    </row>
    <row r="677" spans="1:28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  <c r="AB677" s="3"/>
    </row>
    <row r="678" spans="1:28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  <c r="AB678" s="3"/>
    </row>
    <row r="679" spans="1:28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  <c r="AB679" s="3"/>
    </row>
    <row r="680" spans="1:28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  <c r="AB680" s="3"/>
    </row>
    <row r="681" spans="1:28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  <c r="AB681" s="3"/>
    </row>
    <row r="682" spans="1:28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  <c r="AB682" s="3"/>
    </row>
    <row r="683" spans="1:28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  <c r="AB683" s="3"/>
    </row>
    <row r="684" spans="1:28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  <c r="AB684" s="3"/>
    </row>
    <row r="685" spans="1:28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  <c r="AB685" s="3"/>
    </row>
    <row r="686" spans="1:28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  <c r="AB686" s="3"/>
    </row>
    <row r="687" spans="1:28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  <c r="AB687" s="3"/>
    </row>
    <row r="688" spans="1:28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  <c r="AB688" s="3"/>
    </row>
    <row r="689" spans="1:28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  <c r="AB689" s="3"/>
    </row>
    <row r="690" spans="1:28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  <c r="AB690" s="3"/>
    </row>
    <row r="691" spans="1:28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  <c r="AB691" s="3"/>
    </row>
    <row r="692" spans="1:28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  <c r="AB692" s="3"/>
    </row>
    <row r="693" spans="1:28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  <c r="AB693" s="3"/>
    </row>
    <row r="694" spans="1:28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  <c r="AB694" s="3"/>
    </row>
    <row r="695" spans="1:28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  <c r="AB695" s="3"/>
    </row>
    <row r="696" spans="1:28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  <c r="AB696" s="3"/>
    </row>
    <row r="697" spans="1:28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  <c r="AB697" s="3"/>
    </row>
    <row r="698" spans="1:28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  <c r="AB698" s="3"/>
    </row>
    <row r="699" spans="1:28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  <c r="AB699" s="3"/>
    </row>
    <row r="700" spans="1:28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  <c r="AB700" s="3"/>
    </row>
    <row r="701" spans="1:28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  <c r="AB701" s="3"/>
    </row>
    <row r="702" spans="1:28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  <c r="AB702" s="3"/>
    </row>
    <row r="703" spans="1:28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  <c r="AB703" s="3"/>
    </row>
    <row r="704" spans="1:28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  <c r="AB704" s="3"/>
    </row>
    <row r="705" spans="1:28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  <c r="AB705" s="3"/>
    </row>
    <row r="706" spans="1:28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  <c r="AB706" s="3"/>
    </row>
    <row r="707" spans="1:28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  <c r="AB707" s="3"/>
    </row>
    <row r="708" spans="1:28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  <c r="AB708" s="3"/>
    </row>
    <row r="709" spans="1:28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  <c r="AB709" s="3"/>
    </row>
    <row r="710" spans="1:28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  <c r="AB710" s="3"/>
    </row>
    <row r="711" spans="1:28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  <c r="AB711" s="3"/>
    </row>
    <row r="712" spans="1:28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  <c r="AB712" s="3"/>
    </row>
    <row r="713" spans="1:28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  <c r="AB713" s="3"/>
    </row>
    <row r="714" spans="1:28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  <c r="AB714" s="3"/>
    </row>
    <row r="715" spans="1:28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  <c r="AB715" s="3"/>
    </row>
    <row r="716" spans="1:28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  <c r="AB716" s="3"/>
    </row>
    <row r="717" spans="1:28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  <c r="AB717" s="3"/>
    </row>
    <row r="718" spans="1:28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  <c r="AB718" s="3"/>
    </row>
    <row r="719" spans="1:28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  <c r="AB719" s="3"/>
    </row>
    <row r="720" spans="1:28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  <c r="AB720" s="3"/>
    </row>
    <row r="721" spans="1:28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  <c r="AB721" s="3"/>
    </row>
    <row r="722" spans="1:28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  <c r="AB722" s="3"/>
    </row>
    <row r="723" spans="1:28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  <c r="AB723" s="3"/>
    </row>
    <row r="724" spans="1:28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  <c r="AB724" s="3"/>
    </row>
    <row r="725" spans="1:28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  <c r="AB725" s="3"/>
    </row>
    <row r="726" spans="1:28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  <c r="AB726" s="3"/>
    </row>
    <row r="727" spans="1:28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  <c r="AB727" s="3"/>
    </row>
    <row r="728" spans="1:28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  <c r="AB728" s="3"/>
    </row>
    <row r="729" spans="1:28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  <c r="AB729" s="3"/>
    </row>
    <row r="730" spans="1:28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  <c r="AB730" s="3"/>
    </row>
    <row r="731" spans="1:28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  <c r="AB731" s="3"/>
    </row>
    <row r="732" spans="1:28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  <c r="AB732" s="3"/>
    </row>
    <row r="733" spans="1:28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  <c r="AB733" s="3"/>
    </row>
    <row r="734" spans="1:28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  <c r="AB734" s="3"/>
    </row>
    <row r="735" spans="1:28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  <c r="AB735" s="3"/>
    </row>
    <row r="736" spans="1:28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  <c r="AB736" s="3"/>
    </row>
    <row r="737" spans="1:28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  <c r="AB737" s="3"/>
    </row>
    <row r="738" spans="1:28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  <c r="AB738" s="3"/>
    </row>
    <row r="739" spans="1:28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  <c r="AB739" s="3"/>
    </row>
    <row r="740" spans="1:28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  <c r="AB740" s="3"/>
    </row>
    <row r="741" spans="1:28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  <c r="AB741" s="3"/>
    </row>
    <row r="742" spans="1:28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  <c r="AB742" s="3"/>
    </row>
    <row r="743" spans="1:28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  <c r="AB743" s="3"/>
    </row>
    <row r="744" spans="1:28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  <c r="AB744" s="3"/>
    </row>
    <row r="745" spans="1:28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  <c r="AB745" s="3"/>
    </row>
    <row r="746" spans="1:28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  <c r="AB746" s="3"/>
    </row>
    <row r="747" spans="1:28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  <c r="AB747" s="3"/>
    </row>
    <row r="748" spans="1:28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  <c r="AB748" s="3"/>
    </row>
    <row r="749" spans="1:28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  <c r="AB749" s="3"/>
    </row>
    <row r="750" spans="1:28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  <c r="AB750" s="3"/>
    </row>
    <row r="751" spans="1:28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  <c r="AB751" s="3"/>
    </row>
    <row r="752" spans="1:28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  <c r="AB752" s="3"/>
    </row>
    <row r="753" spans="1:28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  <c r="AB753" s="3"/>
    </row>
    <row r="754" spans="1:28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  <c r="AB754" s="3"/>
    </row>
    <row r="755" spans="1:28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  <c r="AB755" s="3"/>
    </row>
    <row r="756" spans="1:28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  <c r="AB756" s="3"/>
    </row>
    <row r="757" spans="1:28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  <c r="AB757" s="3"/>
    </row>
    <row r="758" spans="1:28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  <c r="AB758" s="3"/>
    </row>
    <row r="759" spans="1:28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  <c r="AB759" s="3"/>
    </row>
    <row r="760" spans="1:28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  <c r="AB760" s="3"/>
    </row>
    <row r="761" spans="1:28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  <c r="AB761" s="3"/>
    </row>
    <row r="762" spans="1:28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  <c r="AB762" s="3"/>
    </row>
    <row r="763" spans="1:28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  <c r="AB763" s="3"/>
    </row>
    <row r="764" spans="1:28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  <c r="AB764" s="3"/>
    </row>
    <row r="765" spans="1:28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  <c r="AB765" s="3"/>
    </row>
    <row r="766" spans="1:28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  <c r="AB766" s="3"/>
    </row>
    <row r="767" spans="1:28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  <c r="AB767" s="3"/>
    </row>
    <row r="768" spans="1:28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  <c r="AB768" s="3"/>
    </row>
    <row r="769" spans="1:28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  <c r="AB769" s="3"/>
    </row>
    <row r="770" spans="1:28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  <c r="AB770" s="3"/>
    </row>
    <row r="771" spans="1:28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  <c r="AB771" s="3"/>
    </row>
    <row r="772" spans="1:28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  <c r="AB772" s="3"/>
    </row>
    <row r="773" spans="1:28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  <c r="AB773" s="3"/>
    </row>
    <row r="774" spans="1:28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  <c r="AB774" s="3"/>
    </row>
    <row r="775" spans="1:28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  <c r="AB775" s="3"/>
    </row>
    <row r="776" spans="1:28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  <c r="AB776" s="3"/>
    </row>
    <row r="777" spans="1:28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  <c r="AB777" s="3"/>
    </row>
    <row r="778" spans="1:28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  <c r="AB778" s="3"/>
    </row>
    <row r="779" spans="1:28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  <c r="AB779" s="3"/>
    </row>
    <row r="780" spans="1:28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  <c r="AB780" s="3"/>
    </row>
    <row r="781" spans="1:28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  <c r="AB781" s="3"/>
    </row>
    <row r="782" spans="1:28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  <c r="AB782" s="3"/>
    </row>
    <row r="783" spans="1:28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  <c r="AB783" s="3"/>
    </row>
    <row r="784" spans="1:28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  <c r="AB784" s="3"/>
    </row>
    <row r="785" spans="1:28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  <c r="AB785" s="3"/>
    </row>
    <row r="786" spans="1:28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  <c r="AB786" s="3"/>
    </row>
    <row r="787" spans="1:28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  <c r="AB787" s="3"/>
    </row>
    <row r="788" spans="1:28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  <c r="AB788" s="3"/>
    </row>
    <row r="789" spans="1:28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  <c r="AB789" s="3"/>
    </row>
    <row r="790" spans="1:28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  <c r="AB790" s="3"/>
    </row>
    <row r="791" spans="1:28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  <c r="AB791" s="3"/>
    </row>
    <row r="792" spans="1:28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  <c r="AB792" s="3"/>
    </row>
    <row r="793" spans="1:28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  <c r="AB793" s="3"/>
    </row>
    <row r="794" spans="1:28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  <c r="AB794" s="3"/>
    </row>
    <row r="795" spans="1:28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  <c r="AB795" s="3"/>
    </row>
    <row r="796" spans="1:28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  <c r="AB796" s="3"/>
    </row>
    <row r="797" spans="1:28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  <c r="AB797" s="3"/>
    </row>
    <row r="798" spans="1:28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  <c r="AB798" s="3"/>
    </row>
    <row r="799" spans="1:28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  <c r="AB799" s="3"/>
    </row>
    <row r="800" spans="1:28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  <c r="AB800" s="3"/>
    </row>
    <row r="801" spans="1:28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  <c r="AB801" s="3"/>
    </row>
    <row r="802" spans="1:28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  <c r="AB802" s="3"/>
    </row>
    <row r="803" spans="1:28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  <c r="AB803" s="3"/>
    </row>
    <row r="804" spans="1:28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  <c r="AB804" s="3"/>
    </row>
    <row r="805" spans="1:28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  <c r="AB805" s="3"/>
    </row>
    <row r="806" spans="1:28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  <c r="AB806" s="3"/>
    </row>
    <row r="807" spans="1:28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  <c r="AB807" s="3"/>
    </row>
    <row r="808" spans="1:28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  <c r="AB808" s="3"/>
    </row>
    <row r="809" spans="1:28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  <c r="AB809" s="3"/>
    </row>
    <row r="810" spans="1:28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  <c r="AB810" s="3"/>
    </row>
    <row r="811" spans="1:28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  <c r="AB811" s="3"/>
    </row>
    <row r="812" spans="1:28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  <c r="AB812" s="3"/>
    </row>
    <row r="813" spans="1:28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  <c r="AB813" s="3"/>
    </row>
    <row r="814" spans="1:28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  <c r="AB814" s="3"/>
    </row>
    <row r="815" spans="1:28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  <c r="AB815" s="3"/>
    </row>
    <row r="816" spans="1:28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  <c r="AB816" s="3"/>
    </row>
    <row r="817" spans="1:28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  <c r="AB817" s="3"/>
    </row>
    <row r="818" spans="1:28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  <c r="AB818" s="3"/>
    </row>
    <row r="819" spans="1:28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  <c r="AB819" s="3"/>
    </row>
    <row r="820" spans="1:28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  <c r="AB820" s="3"/>
    </row>
    <row r="821" spans="1:28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  <c r="AB821" s="3"/>
    </row>
    <row r="822" spans="1:28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  <c r="AB822" s="3"/>
    </row>
    <row r="823" spans="1:28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  <c r="AB823" s="3"/>
    </row>
    <row r="824" spans="1:28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  <c r="AB824" s="3"/>
    </row>
    <row r="825" spans="1:28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  <c r="AB825" s="3"/>
    </row>
    <row r="826" spans="1:28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  <c r="AB826" s="3"/>
    </row>
    <row r="827" spans="1:28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  <c r="AB827" s="3"/>
    </row>
    <row r="828" spans="1:28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  <c r="AB828" s="3"/>
    </row>
    <row r="829" spans="1:28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  <c r="AB829" s="3"/>
    </row>
    <row r="830" spans="1:28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  <c r="AB830" s="3"/>
    </row>
    <row r="831" spans="1:28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  <c r="AB831" s="3"/>
    </row>
    <row r="832" spans="1:28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  <c r="AB832" s="3"/>
    </row>
    <row r="833" spans="1:28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  <c r="AB833" s="3"/>
    </row>
    <row r="834" spans="1:28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  <c r="AB834" s="3"/>
    </row>
    <row r="835" spans="1:28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  <c r="AB835" s="3"/>
    </row>
    <row r="836" spans="1:28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  <c r="AB836" s="3"/>
    </row>
    <row r="837" spans="1:28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  <c r="AB837" s="3"/>
    </row>
    <row r="838" spans="1:28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  <c r="AB838" s="3"/>
    </row>
    <row r="839" spans="1:28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  <c r="AB839" s="3"/>
    </row>
    <row r="840" spans="1:28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  <c r="AB840" s="3"/>
    </row>
    <row r="841" spans="1:28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  <c r="AB841" s="3"/>
    </row>
    <row r="842" spans="1:28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  <c r="AB842" s="3"/>
    </row>
    <row r="843" spans="1:28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  <c r="AB843" s="3"/>
    </row>
    <row r="844" spans="1:28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  <c r="AB844" s="3"/>
    </row>
    <row r="845" spans="1:28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  <c r="AB845" s="3"/>
    </row>
    <row r="846" spans="1:28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  <c r="AB846" s="3"/>
    </row>
    <row r="847" spans="1:28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  <c r="AB847" s="3"/>
    </row>
    <row r="848" spans="1:28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  <c r="AB848" s="3"/>
    </row>
    <row r="849" spans="1:28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  <c r="AB849" s="3"/>
    </row>
    <row r="850" spans="1:28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  <c r="AB850" s="3"/>
    </row>
    <row r="851" spans="1:28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  <c r="AB851" s="3"/>
    </row>
    <row r="852" spans="1:28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  <c r="AB852" s="3"/>
    </row>
    <row r="853" spans="1:28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  <c r="AB853" s="3"/>
    </row>
    <row r="854" spans="1:28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  <c r="AB854" s="3"/>
    </row>
    <row r="855" spans="1:28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  <c r="AB855" s="3"/>
    </row>
    <row r="856" spans="1:28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  <c r="AB856" s="3"/>
    </row>
    <row r="857" spans="1:28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  <c r="AB857" s="3"/>
    </row>
    <row r="858" spans="1:28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  <c r="AB858" s="3"/>
    </row>
    <row r="859" spans="1:28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  <c r="AB859" s="3"/>
    </row>
    <row r="860" spans="1:28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  <c r="AB860" s="3"/>
    </row>
    <row r="861" spans="1:28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  <c r="AB861" s="3"/>
    </row>
    <row r="862" spans="1:28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  <c r="AB862" s="3"/>
    </row>
    <row r="863" spans="1:28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  <c r="AB863" s="3"/>
    </row>
    <row r="864" spans="1:28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  <c r="AB864" s="3"/>
    </row>
    <row r="865" spans="1:28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  <c r="AB865" s="3"/>
    </row>
    <row r="866" spans="1:28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  <c r="AB866" s="3"/>
    </row>
    <row r="867" spans="1:28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  <c r="AB867" s="3"/>
    </row>
    <row r="868" spans="1:28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  <c r="AB868" s="3"/>
    </row>
    <row r="869" spans="1:28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  <c r="AB869" s="3"/>
    </row>
    <row r="870" spans="1:28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  <c r="AB870" s="3"/>
    </row>
    <row r="871" spans="1:28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  <c r="AB871" s="3"/>
    </row>
    <row r="872" spans="1:28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  <c r="AB872" s="3"/>
    </row>
    <row r="873" spans="1:28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  <c r="AB873" s="3"/>
    </row>
    <row r="874" spans="1:28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  <c r="AB874" s="3"/>
    </row>
    <row r="875" spans="1:28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  <c r="AB875" s="3"/>
    </row>
    <row r="876" spans="1:28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  <c r="AB876" s="3"/>
    </row>
    <row r="877" spans="1:28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  <c r="AB877" s="3"/>
    </row>
    <row r="878" spans="1:28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  <c r="AB878" s="3"/>
    </row>
    <row r="879" spans="1:28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  <c r="AB879" s="3"/>
    </row>
    <row r="880" spans="1:28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  <c r="AB880" s="3"/>
    </row>
    <row r="881" spans="1:28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  <c r="AB881" s="3"/>
    </row>
    <row r="882" spans="1:28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  <c r="AB882" s="3"/>
    </row>
    <row r="883" spans="1:28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  <c r="AB883" s="3"/>
    </row>
    <row r="884" spans="1:28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  <c r="AB884" s="3"/>
    </row>
    <row r="885" spans="1:28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  <c r="AB885" s="3"/>
    </row>
    <row r="886" spans="1:28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  <c r="AB886" s="3"/>
    </row>
    <row r="887" spans="1:28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  <c r="AB887" s="3"/>
    </row>
    <row r="888" spans="1:28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  <c r="AB888" s="3"/>
    </row>
    <row r="889" spans="1:28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  <c r="AB889" s="3"/>
    </row>
    <row r="890" spans="1:28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  <c r="AB890" s="3"/>
    </row>
    <row r="891" spans="1:28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  <c r="AB891" s="3"/>
    </row>
    <row r="892" spans="1:28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  <c r="AB892" s="3"/>
    </row>
    <row r="893" spans="1:28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  <c r="AB893" s="3"/>
    </row>
    <row r="894" spans="1:28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  <c r="AB894" s="3"/>
    </row>
    <row r="895" spans="1:28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  <c r="AB895" s="3"/>
    </row>
    <row r="896" spans="1:28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  <c r="AB896" s="3"/>
    </row>
    <row r="897" spans="1:28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  <c r="AB897" s="3"/>
    </row>
    <row r="898" spans="1:28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  <c r="AB898" s="3"/>
    </row>
    <row r="899" spans="1:28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  <c r="AB899" s="3"/>
    </row>
    <row r="900" spans="1:28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  <c r="AB900" s="3"/>
    </row>
    <row r="901" spans="1:28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  <c r="AB901" s="3"/>
    </row>
    <row r="902" spans="1:28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  <c r="AB902" s="3"/>
    </row>
    <row r="903" spans="1:28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  <c r="AB903" s="3"/>
    </row>
    <row r="904" spans="1:28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  <c r="AB904" s="3"/>
    </row>
    <row r="905" spans="1:28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  <c r="AB905" s="3"/>
    </row>
    <row r="906" spans="1:28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  <c r="AB906" s="3"/>
    </row>
    <row r="907" spans="1:28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  <c r="AB907" s="3"/>
    </row>
    <row r="908" spans="1:28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  <c r="AB908" s="3"/>
    </row>
    <row r="909" spans="1:28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  <c r="AB909" s="3"/>
    </row>
    <row r="910" spans="1:28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  <c r="AB910" s="3"/>
    </row>
    <row r="911" spans="1:28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  <c r="AB911" s="3"/>
    </row>
    <row r="912" spans="1:28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  <c r="AB912" s="3"/>
    </row>
    <row r="913" spans="1:28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  <c r="AB913" s="3"/>
    </row>
    <row r="914" spans="1:28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  <c r="AB914" s="3"/>
    </row>
    <row r="915" spans="1:28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  <c r="AB915" s="3"/>
    </row>
    <row r="916" spans="1:28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  <c r="AB916" s="3"/>
    </row>
    <row r="917" spans="1:28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  <c r="AB917" s="3"/>
    </row>
    <row r="918" spans="1:28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  <c r="AB918" s="3"/>
    </row>
    <row r="919" spans="1:28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  <c r="AB919" s="3"/>
    </row>
    <row r="920" spans="1:28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  <c r="AB920" s="3"/>
    </row>
    <row r="921" spans="1:28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  <c r="AB921" s="3"/>
    </row>
    <row r="922" spans="1:28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  <c r="AB922" s="3"/>
    </row>
    <row r="923" spans="1:28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  <c r="AB923" s="3"/>
    </row>
    <row r="924" spans="1:28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  <c r="AB924" s="3"/>
    </row>
    <row r="925" spans="1:28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  <c r="AB925" s="3"/>
    </row>
    <row r="926" spans="1:28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  <c r="AB926" s="3"/>
    </row>
    <row r="927" spans="1:28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  <c r="AB927" s="3"/>
    </row>
    <row r="928" spans="1:28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  <c r="AB928" s="3"/>
    </row>
    <row r="929" spans="1:28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  <c r="AB929" s="3"/>
    </row>
    <row r="930" spans="1:28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  <c r="AB930" s="3"/>
    </row>
    <row r="931" spans="1:28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  <c r="AB931" s="3"/>
    </row>
    <row r="932" spans="1:28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  <c r="AB932" s="3"/>
    </row>
    <row r="933" spans="1:28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  <c r="AB933" s="3"/>
    </row>
    <row r="934" spans="1:28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  <c r="AB934" s="3"/>
    </row>
    <row r="935" spans="1:28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  <c r="AB935" s="3"/>
    </row>
    <row r="936" spans="1:28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  <c r="AB936" s="3"/>
    </row>
    <row r="937" spans="1:28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  <c r="AB937" s="3"/>
    </row>
    <row r="938" spans="1:28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  <c r="AB938" s="3"/>
    </row>
    <row r="939" spans="1:28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  <c r="AB939" s="3"/>
    </row>
    <row r="940" spans="1:28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  <c r="AB940" s="3"/>
    </row>
    <row r="941" spans="1:28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  <c r="AB941" s="3"/>
    </row>
    <row r="942" spans="1:28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  <c r="AB942" s="3"/>
    </row>
    <row r="943" spans="1:28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  <c r="AB943" s="3"/>
    </row>
    <row r="944" spans="1:28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  <c r="AB944" s="3"/>
    </row>
    <row r="945" spans="1:28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  <c r="AB945" s="3"/>
    </row>
    <row r="946" spans="1:28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  <c r="AB946" s="3"/>
    </row>
    <row r="947" spans="1:28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  <c r="AB947" s="3"/>
    </row>
    <row r="948" spans="1:28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  <c r="AB948" s="3"/>
    </row>
    <row r="949" spans="1:28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  <c r="AB949" s="3"/>
    </row>
    <row r="950" spans="1:28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  <c r="AB950" s="3"/>
    </row>
    <row r="951" spans="1:28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"/>
      <c r="AB951" s="3"/>
    </row>
    <row r="952" spans="1:28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"/>
      <c r="AB952" s="3"/>
    </row>
    <row r="953" spans="1:28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/>
      <c r="AB953" s="3"/>
    </row>
    <row r="954" spans="1:28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/>
      <c r="AB954" s="3"/>
    </row>
    <row r="955" spans="1:28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"/>
      <c r="AB955" s="3"/>
    </row>
    <row r="956" spans="1:28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/>
      <c r="AB956" s="3"/>
    </row>
    <row r="957" spans="1:28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"/>
      <c r="AB957" s="3"/>
    </row>
    <row r="958" spans="1:28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"/>
      <c r="AB958" s="3"/>
    </row>
    <row r="959" spans="1:28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"/>
      <c r="AB959" s="3"/>
    </row>
    <row r="960" spans="1:28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"/>
      <c r="AB960" s="3"/>
    </row>
    <row r="961" spans="1:28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"/>
      <c r="AB961" s="3"/>
    </row>
    <row r="962" spans="1:28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"/>
      <c r="AB962" s="3"/>
    </row>
    <row r="963" spans="1:28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"/>
      <c r="AB963" s="3"/>
    </row>
    <row r="964" spans="1:28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"/>
      <c r="AB964" s="3"/>
    </row>
    <row r="965" spans="1:28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"/>
      <c r="AB965" s="3"/>
    </row>
    <row r="966" spans="1:28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"/>
      <c r="AB966" s="3"/>
    </row>
    <row r="967" spans="1:28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"/>
      <c r="AB967" s="3"/>
    </row>
    <row r="968" spans="1:28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"/>
      <c r="AB968" s="3"/>
    </row>
    <row r="969" spans="1:28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/>
      <c r="AB969" s="3"/>
    </row>
    <row r="970" spans="1:28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"/>
      <c r="AB970" s="3"/>
    </row>
    <row r="971" spans="1:28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"/>
      <c r="AB971" s="3"/>
    </row>
    <row r="972" spans="1:28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"/>
      <c r="AB972" s="3"/>
    </row>
    <row r="973" spans="1:28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"/>
      <c r="AB973" s="3"/>
    </row>
    <row r="974" spans="1:28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"/>
      <c r="AB974" s="3"/>
    </row>
    <row r="975" spans="1:28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"/>
      <c r="AB975" s="3"/>
    </row>
    <row r="976" spans="1:28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"/>
      <c r="AB976" s="3"/>
    </row>
    <row r="977" spans="1:28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"/>
      <c r="AB977" s="3"/>
    </row>
    <row r="978" spans="1:28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"/>
      <c r="AB978" s="3"/>
    </row>
    <row r="979" spans="1:28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"/>
      <c r="AB979" s="3"/>
    </row>
    <row r="980" spans="1:28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"/>
      <c r="AB980" s="3"/>
    </row>
    <row r="981" spans="1:28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"/>
      <c r="AB981" s="3"/>
    </row>
    <row r="982" spans="1:28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"/>
      <c r="AB982" s="3"/>
    </row>
    <row r="983" spans="1:28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"/>
      <c r="AB983" s="3"/>
    </row>
    <row r="984" spans="1:28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"/>
      <c r="AB984" s="3"/>
    </row>
    <row r="985" spans="1:28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/>
      <c r="AB985" s="3"/>
    </row>
    <row r="986" spans="1:28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/>
      <c r="AB986" s="3"/>
    </row>
    <row r="987" spans="1:28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/>
      <c r="AB987" s="3"/>
    </row>
    <row r="988" spans="1:28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"/>
      <c r="AB988" s="3"/>
    </row>
    <row r="989" spans="1:28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"/>
      <c r="AB989" s="3"/>
    </row>
    <row r="990" spans="1:28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"/>
      <c r="AB990" s="3"/>
    </row>
    <row r="991" spans="1:28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"/>
      <c r="AB991" s="3"/>
    </row>
    <row r="992" spans="1:28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"/>
      <c r="AB992" s="3"/>
    </row>
    <row r="993" spans="1:28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"/>
      <c r="AB993" s="3"/>
    </row>
    <row r="994" spans="1:28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"/>
      <c r="AB994" s="3"/>
    </row>
    <row r="995" spans="1:28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"/>
      <c r="AB995" s="3"/>
    </row>
    <row r="996" spans="1:28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"/>
      <c r="AB996" s="3"/>
    </row>
    <row r="997" spans="1:28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"/>
      <c r="AB997" s="3"/>
    </row>
    <row r="998" spans="1:28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"/>
      <c r="AB998" s="3"/>
    </row>
    <row r="999" spans="1:28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3"/>
      <c r="AB999" s="3"/>
    </row>
    <row r="1000" spans="1:28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3"/>
      <c r="AB1000" s="3"/>
    </row>
  </sheetData>
  <mergeCells count="182">
    <mergeCell ref="A7:Y7"/>
    <mergeCell ref="E22:E25"/>
    <mergeCell ref="H18:H21"/>
    <mergeCell ref="R65:U65"/>
    <mergeCell ref="G22:G25"/>
    <mergeCell ref="J50:Q50"/>
    <mergeCell ref="G47:H47"/>
    <mergeCell ref="T52:U52"/>
    <mergeCell ref="W5:Y5"/>
    <mergeCell ref="G46:H46"/>
    <mergeCell ref="A26:I29"/>
    <mergeCell ref="V60:Y60"/>
    <mergeCell ref="J52:Q52"/>
    <mergeCell ref="E47:F47"/>
    <mergeCell ref="J61:Q61"/>
    <mergeCell ref="A3:Y3"/>
    <mergeCell ref="C49:D49"/>
    <mergeCell ref="W8:Y9"/>
    <mergeCell ref="B22:B25"/>
    <mergeCell ref="E18:E21"/>
    <mergeCell ref="B47:C47"/>
    <mergeCell ref="R48:S48"/>
    <mergeCell ref="T48:U48"/>
    <mergeCell ref="R53:U53"/>
    <mergeCell ref="C33:C34"/>
    <mergeCell ref="B46:C46"/>
    <mergeCell ref="V50:Y50"/>
    <mergeCell ref="Q31:V31"/>
    <mergeCell ref="A6:B6"/>
    <mergeCell ref="E10:E13"/>
    <mergeCell ref="C35:C36"/>
    <mergeCell ref="G10:G13"/>
    <mergeCell ref="B14:B17"/>
    <mergeCell ref="G18:G21"/>
    <mergeCell ref="J8:P8"/>
    <mergeCell ref="M38:M42"/>
    <mergeCell ref="C6:I6"/>
    <mergeCell ref="C9:D9"/>
    <mergeCell ref="W17:Y17"/>
    <mergeCell ref="A4:B4"/>
    <mergeCell ref="W6:Y6"/>
    <mergeCell ref="M31:P31"/>
    <mergeCell ref="C38:C39"/>
    <mergeCell ref="W15:Y15"/>
    <mergeCell ref="B45:C45"/>
    <mergeCell ref="J51:Q51"/>
    <mergeCell ref="O38:O39"/>
    <mergeCell ref="J62:Q62"/>
    <mergeCell ref="P5:Q5"/>
    <mergeCell ref="N33:N37"/>
    <mergeCell ref="R52:S52"/>
    <mergeCell ref="V49:Y49"/>
    <mergeCell ref="B61:D61"/>
    <mergeCell ref="R62:U62"/>
    <mergeCell ref="R61:U61"/>
    <mergeCell ref="V55:Y55"/>
    <mergeCell ref="C55:D55"/>
    <mergeCell ref="W11:Y11"/>
    <mergeCell ref="V54:Y54"/>
    <mergeCell ref="W19:Y19"/>
    <mergeCell ref="E45:F45"/>
    <mergeCell ref="G45:H45"/>
    <mergeCell ref="C52:D52"/>
    <mergeCell ref="V65:Y65"/>
    <mergeCell ref="V61:Y61"/>
    <mergeCell ref="J49:Q49"/>
    <mergeCell ref="B65:D65"/>
    <mergeCell ref="K31:L31"/>
    <mergeCell ref="B10:B13"/>
    <mergeCell ref="W31:X31"/>
    <mergeCell ref="R57:U57"/>
    <mergeCell ref="G14:G17"/>
    <mergeCell ref="B44:C44"/>
    <mergeCell ref="I14:I17"/>
    <mergeCell ref="W14:Y14"/>
    <mergeCell ref="B63:D63"/>
    <mergeCell ref="E46:F46"/>
    <mergeCell ref="R49:U49"/>
    <mergeCell ref="C51:D51"/>
    <mergeCell ref="W23:Y23"/>
    <mergeCell ref="W13:Y13"/>
    <mergeCell ref="C48:D48"/>
    <mergeCell ref="C14:D17"/>
    <mergeCell ref="J64:Q64"/>
    <mergeCell ref="B64:D64"/>
    <mergeCell ref="V59:Y59"/>
    <mergeCell ref="W25:Y25"/>
    <mergeCell ref="V62:Y62"/>
    <mergeCell ref="F18:F21"/>
    <mergeCell ref="W21:Y21"/>
    <mergeCell ref="V56:Y56"/>
    <mergeCell ref="B33:B37"/>
    <mergeCell ref="J53:Q53"/>
    <mergeCell ref="T8:V8"/>
    <mergeCell ref="P4:V4"/>
    <mergeCell ref="A8:I8"/>
    <mergeCell ref="R60:U60"/>
    <mergeCell ref="C40:C41"/>
    <mergeCell ref="V48:Y48"/>
    <mergeCell ref="F22:F25"/>
    <mergeCell ref="I18:I21"/>
    <mergeCell ref="R59:U59"/>
    <mergeCell ref="H22:H25"/>
    <mergeCell ref="J55:Q55"/>
    <mergeCell ref="W4:Y4"/>
    <mergeCell ref="J54:Q54"/>
    <mergeCell ref="I10:I13"/>
    <mergeCell ref="W10:Y10"/>
    <mergeCell ref="B59:D59"/>
    <mergeCell ref="F14:F17"/>
    <mergeCell ref="W24:Y24"/>
    <mergeCell ref="U6:V6"/>
    <mergeCell ref="R56:U56"/>
    <mergeCell ref="H10:H13"/>
    <mergeCell ref="W22:Y22"/>
    <mergeCell ref="S5:V5"/>
    <mergeCell ref="M33:M37"/>
    <mergeCell ref="J4:O4"/>
    <mergeCell ref="J60:Q60"/>
    <mergeCell ref="R58:U58"/>
    <mergeCell ref="W12:Y12"/>
    <mergeCell ref="J6:O6"/>
    <mergeCell ref="Q8:S8"/>
    <mergeCell ref="H14:H17"/>
    <mergeCell ref="J58:Q58"/>
    <mergeCell ref="P26:P29"/>
    <mergeCell ref="O33:O34"/>
    <mergeCell ref="V53:Y53"/>
    <mergeCell ref="J57:Q57"/>
    <mergeCell ref="J59:Q59"/>
    <mergeCell ref="O35:O36"/>
    <mergeCell ref="A43:Y43"/>
    <mergeCell ref="I22:I25"/>
    <mergeCell ref="A5:B5"/>
    <mergeCell ref="S6:T6"/>
    <mergeCell ref="C5:I5"/>
    <mergeCell ref="J65:Q65"/>
    <mergeCell ref="A18:A21"/>
    <mergeCell ref="V52:Y52"/>
    <mergeCell ref="C4:I4"/>
    <mergeCell ref="J63:Q63"/>
    <mergeCell ref="C18:D21"/>
    <mergeCell ref="W26:Y29"/>
    <mergeCell ref="F31:J31"/>
    <mergeCell ref="B62:D62"/>
    <mergeCell ref="A10:A13"/>
    <mergeCell ref="A22:A25"/>
    <mergeCell ref="J56:Q56"/>
    <mergeCell ref="C22:D25"/>
    <mergeCell ref="J5:O5"/>
    <mergeCell ref="R55:U55"/>
    <mergeCell ref="C10:D13"/>
    <mergeCell ref="R51:U51"/>
    <mergeCell ref="G44:H44"/>
    <mergeCell ref="V51:Y51"/>
    <mergeCell ref="R54:U54"/>
    <mergeCell ref="F10:F13"/>
    <mergeCell ref="W20:Y20"/>
    <mergeCell ref="B18:B21"/>
    <mergeCell ref="E14:E17"/>
    <mergeCell ref="J48:Q48"/>
    <mergeCell ref="B60:D60"/>
    <mergeCell ref="V57:Y57"/>
    <mergeCell ref="W16:Y16"/>
    <mergeCell ref="C54:D54"/>
    <mergeCell ref="A38:A42"/>
    <mergeCell ref="C50:D50"/>
    <mergeCell ref="R50:U50"/>
    <mergeCell ref="W18:Y18"/>
    <mergeCell ref="O40:O41"/>
    <mergeCell ref="C56:D56"/>
    <mergeCell ref="A30:Y30"/>
    <mergeCell ref="V58:Y58"/>
    <mergeCell ref="N38:N42"/>
    <mergeCell ref="C57:D57"/>
    <mergeCell ref="A31:E31"/>
    <mergeCell ref="C53:D53"/>
    <mergeCell ref="B38:B42"/>
    <mergeCell ref="C58:D58"/>
    <mergeCell ref="A33:A37"/>
    <mergeCell ref="E44:F44"/>
    <mergeCell ref="A14:A17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7">
    <dataValidation type="list" allowBlank="1" sqref="G10 G14 G18 G22" xr:uid="{00000000-0002-0000-0000-000000000000}">
      <formula1>"XLPE,PILC,N/A,NOT ACCESSIBLE"</formula1>
    </dataValidation>
    <dataValidation type="list" allowBlank="1" sqref="E10 E14 E18 E22" xr:uid="{00000000-0002-0000-0000-000001000000}">
      <formula1>"OPEN,CLOSE"</formula1>
    </dataValidation>
    <dataValidation type="list" allowBlank="1" showErrorMessage="1" sqref="C33 C35 C38 C40 O33 O35 O38 O40" xr:uid="{00000000-0002-0000-0000-000003000000}">
      <formula1>"XLPE,PILC"</formula1>
    </dataValidation>
    <dataValidation type="list" allowBlank="1" showErrorMessage="1" sqref="T48 T52" xr:uid="{00000000-0002-0000-0000-000004000000}">
      <formula1>"TX1,TX2,TX3,TX4"</formula1>
    </dataValidation>
    <dataValidation type="list" allowBlank="1" showErrorMessage="1" sqref="V48 V52" xr:uid="{00000000-0002-0000-0000-000005000000}">
      <formula1>"J-SLOTTED,DIN TYPE"</formula1>
    </dataValidation>
    <dataValidation type="list" allowBlank="1" showErrorMessage="1" sqref="Y2" xr:uid="{00000000-0002-0000-0000-000006000000}">
      <formula1>"NORMAL,DEFECT,MONITOR"</formula1>
    </dataValidation>
    <dataValidation type="list" allowBlank="1" sqref="R48 R52" xr:uid="{00000000-0002-0000-0000-000008000000}">
      <formula1>"LVDB,FP"</formula1>
    </dataValidation>
  </dataValidations>
  <printOptions horizontalCentered="1" verticalCentered="1"/>
  <pageMargins left="0" right="0" top="0" bottom="0" header="0" footer="0"/>
  <pageSetup scale="45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2000000}">
          <x14:formula1>
            <xm:f>equipment_library!$E$2:$E$5</xm:f>
          </x14:formula1>
          <xm:sqref>D45:E45 D47:E47 G45 G47 I45:R45 I47:R47</xm:sqref>
        </x14:dataValidation>
        <x14:dataValidation type="list" allowBlank="1" xr:uid="{00000000-0002-0000-0000-000007000000}">
          <x14:formula1>
            <xm:f>equipment_library!$O$2:$O$6</xm:f>
          </x14:formula1>
          <xm:sqref>V51 V55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P1000"/>
  <sheetViews>
    <sheetView showGridLines="0" workbookViewId="0"/>
  </sheetViews>
  <sheetFormatPr defaultColWidth="14.42578125" defaultRowHeight="15" customHeight="1" x14ac:dyDescent="0.25"/>
  <cols>
    <col min="1" max="1" width="8.7109375" customWidth="1"/>
    <col min="2" max="2" width="31.28515625" customWidth="1"/>
    <col min="3" max="5" width="8.7109375" customWidth="1"/>
    <col min="6" max="6" width="11.42578125" customWidth="1"/>
    <col min="7" max="7" width="8.7109375" customWidth="1"/>
    <col min="8" max="8" width="11.28515625" customWidth="1"/>
    <col min="9" max="9" width="8.710937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16" max="26" width="8.7109375" customWidth="1"/>
  </cols>
  <sheetData>
    <row r="1" spans="2:15" x14ac:dyDescent="0.25">
      <c r="B1" s="37" t="s">
        <v>113</v>
      </c>
      <c r="M1" s="37" t="s">
        <v>114</v>
      </c>
      <c r="N1" s="37" t="s">
        <v>115</v>
      </c>
      <c r="O1" s="38">
        <f>'PCE Testsheet'!Y1</f>
        <v>79</v>
      </c>
    </row>
    <row r="2" spans="2:15" x14ac:dyDescent="0.25"/>
    <row r="3" spans="2:15" ht="18" customHeight="1" x14ac:dyDescent="0.25">
      <c r="B3" s="39" t="s">
        <v>116</v>
      </c>
      <c r="C3" s="40"/>
      <c r="D3" s="40"/>
      <c r="E3" s="41"/>
    </row>
    <row r="4" spans="2:15" ht="18" customHeight="1" x14ac:dyDescent="0.25"/>
    <row r="5" spans="2:15" ht="18" customHeight="1" x14ac:dyDescent="0.25">
      <c r="B5" s="42" t="s">
        <v>117</v>
      </c>
      <c r="C5" s="140" t="str">
        <f>'PCE Testsheet'!P4</f>
        <v>14/07/26</v>
      </c>
      <c r="D5" s="114"/>
      <c r="E5" s="114"/>
      <c r="F5" s="112"/>
      <c r="G5" s="42"/>
      <c r="H5" s="42"/>
      <c r="I5" s="42"/>
      <c r="J5" s="42"/>
      <c r="K5" s="42"/>
      <c r="L5" s="42"/>
      <c r="M5" s="42"/>
      <c r="N5" s="42"/>
    </row>
    <row r="6" spans="2:15" ht="18" customHeight="1" x14ac:dyDescent="0.25">
      <c r="B6" s="42" t="s">
        <v>118</v>
      </c>
      <c r="C6" s="137" t="str">
        <f>IF('PCE Testsheet'!C5="","",'PCE Testsheet'!C5)</f>
        <v>TAMAN ULAM RAJA</v>
      </c>
      <c r="D6" s="93"/>
      <c r="E6" s="93"/>
      <c r="F6" s="93"/>
      <c r="G6" s="93"/>
      <c r="H6" s="94"/>
      <c r="I6" s="42"/>
      <c r="J6" s="42" t="s">
        <v>119</v>
      </c>
      <c r="K6" s="137" t="str">
        <f>IF('PCE Testsheet'!W5="","",'PCE Testsheet'!W5)</f>
        <v>JJBU/PCE/H01031</v>
      </c>
      <c r="L6" s="93"/>
      <c r="M6" s="93"/>
      <c r="N6" s="94"/>
    </row>
    <row r="7" spans="2:15" ht="18" customHeight="1" x14ac:dyDescent="0.25">
      <c r="B7" s="42" t="s">
        <v>120</v>
      </c>
      <c r="C7" s="137" t="s">
        <v>121</v>
      </c>
      <c r="D7" s="93"/>
      <c r="E7" s="93"/>
      <c r="F7" s="93"/>
      <c r="G7" s="93"/>
      <c r="H7" s="94"/>
      <c r="I7" s="42"/>
      <c r="J7" s="42" t="s">
        <v>122</v>
      </c>
      <c r="K7" s="137" t="s">
        <v>12</v>
      </c>
      <c r="L7" s="93"/>
      <c r="M7" s="93"/>
      <c r="N7" s="94"/>
    </row>
    <row r="8" spans="2:15" ht="18" customHeight="1" x14ac:dyDescent="0.25">
      <c r="B8" s="42" t="s">
        <v>123</v>
      </c>
      <c r="C8" s="136" t="s">
        <v>124</v>
      </c>
      <c r="D8" s="93"/>
      <c r="E8" s="93"/>
      <c r="F8" s="94"/>
      <c r="G8" s="42"/>
      <c r="H8" s="42"/>
      <c r="I8" s="42"/>
      <c r="J8" s="42"/>
      <c r="K8" s="42"/>
      <c r="L8" s="42"/>
      <c r="M8" s="42"/>
      <c r="N8" s="42"/>
    </row>
    <row r="9" spans="2:15" ht="18" customHeight="1" x14ac:dyDescent="0.25">
      <c r="B9" s="42" t="s">
        <v>125</v>
      </c>
      <c r="C9" s="43" t="s">
        <v>126</v>
      </c>
      <c r="D9" s="44" t="s">
        <v>127</v>
      </c>
      <c r="E9" s="45"/>
      <c r="F9" s="43" t="s">
        <v>128</v>
      </c>
      <c r="G9" s="44"/>
      <c r="H9" s="46" t="s">
        <v>129</v>
      </c>
      <c r="I9" s="44"/>
      <c r="J9" s="46" t="s">
        <v>130</v>
      </c>
      <c r="K9" s="44"/>
      <c r="L9" s="46" t="s">
        <v>131</v>
      </c>
      <c r="M9" s="44"/>
      <c r="N9" s="46" t="s">
        <v>132</v>
      </c>
      <c r="O9" s="44"/>
    </row>
    <row r="10" spans="2:15" ht="18" customHeight="1" x14ac:dyDescent="0.25">
      <c r="B10" s="42" t="s">
        <v>133</v>
      </c>
      <c r="C10" s="47" t="s">
        <v>1</v>
      </c>
      <c r="D10" s="44" t="s">
        <v>127</v>
      </c>
      <c r="E10" s="45"/>
      <c r="F10" s="47" t="s">
        <v>134</v>
      </c>
      <c r="G10" s="44"/>
      <c r="H10" s="46" t="s">
        <v>135</v>
      </c>
      <c r="I10" s="44"/>
      <c r="J10" s="46"/>
      <c r="K10" s="42"/>
      <c r="L10" s="46"/>
      <c r="M10" s="48"/>
      <c r="N10" s="42"/>
    </row>
    <row r="11" spans="2:15" ht="18" customHeight="1" x14ac:dyDescent="0.25">
      <c r="B11" s="42" t="s">
        <v>136</v>
      </c>
      <c r="C11" s="49" t="s">
        <v>137</v>
      </c>
      <c r="D11" s="44"/>
      <c r="E11" s="50"/>
      <c r="F11" s="49" t="s">
        <v>138</v>
      </c>
      <c r="G11" s="44"/>
      <c r="H11" s="46" t="s">
        <v>139</v>
      </c>
      <c r="I11" s="44" t="s">
        <v>127</v>
      </c>
      <c r="J11" s="46" t="s">
        <v>140</v>
      </c>
      <c r="K11" s="44"/>
      <c r="L11" s="46" t="s">
        <v>141</v>
      </c>
      <c r="M11" s="44"/>
      <c r="N11" s="46" t="s">
        <v>132</v>
      </c>
      <c r="O11" s="44"/>
    </row>
    <row r="12" spans="2:15" ht="18" customHeight="1" x14ac:dyDescent="0.25">
      <c r="B12" s="42" t="s">
        <v>142</v>
      </c>
      <c r="C12" s="136" t="s">
        <v>143</v>
      </c>
      <c r="D12" s="93"/>
      <c r="E12" s="94"/>
      <c r="F12" s="136" t="s">
        <v>144</v>
      </c>
      <c r="G12" s="93"/>
      <c r="H12" s="94"/>
      <c r="I12" s="42"/>
      <c r="J12" s="42"/>
      <c r="K12" s="42"/>
      <c r="L12" s="42"/>
      <c r="M12" s="42"/>
      <c r="N12" s="42"/>
    </row>
    <row r="13" spans="2:15" ht="18" customHeight="1" x14ac:dyDescent="0.25">
      <c r="B13" s="42" t="s">
        <v>145</v>
      </c>
      <c r="C13" s="139">
        <v>2024</v>
      </c>
      <c r="D13" s="109"/>
      <c r="E13" s="109"/>
      <c r="F13" s="110"/>
      <c r="G13" s="42"/>
      <c r="H13" s="42" t="s">
        <v>146</v>
      </c>
      <c r="I13" s="42"/>
      <c r="J13" s="136" t="s">
        <v>147</v>
      </c>
      <c r="K13" s="94"/>
      <c r="L13" s="42"/>
      <c r="M13" s="51" t="s">
        <v>148</v>
      </c>
      <c r="N13" s="42"/>
      <c r="O13" s="52">
        <v>23050047346</v>
      </c>
    </row>
    <row r="14" spans="2:15" ht="18" customHeight="1" x14ac:dyDescent="0.25">
      <c r="B14" s="42" t="s">
        <v>149</v>
      </c>
      <c r="C14" s="49" t="s">
        <v>137</v>
      </c>
      <c r="D14" s="44"/>
      <c r="E14" s="50"/>
      <c r="F14" s="49" t="s">
        <v>138</v>
      </c>
      <c r="G14" s="44"/>
      <c r="H14" s="46" t="s">
        <v>139</v>
      </c>
      <c r="I14" s="44"/>
      <c r="J14" s="46" t="s">
        <v>140</v>
      </c>
      <c r="K14" s="44"/>
      <c r="L14" s="46" t="s">
        <v>141</v>
      </c>
      <c r="M14" s="44"/>
      <c r="N14" s="42"/>
      <c r="O14" s="53"/>
    </row>
    <row r="15" spans="2:15" ht="18" customHeight="1" x14ac:dyDescent="0.25">
      <c r="B15" s="42" t="s">
        <v>150</v>
      </c>
      <c r="C15" s="141"/>
      <c r="D15" s="93"/>
      <c r="E15" s="93"/>
      <c r="F15" s="93"/>
      <c r="G15" s="93"/>
      <c r="H15" s="94"/>
      <c r="I15" s="42"/>
      <c r="J15" s="42"/>
      <c r="K15" s="42"/>
      <c r="L15" s="42"/>
      <c r="M15" s="42"/>
      <c r="N15" s="42"/>
    </row>
    <row r="16" spans="2:15" ht="18" customHeight="1" x14ac:dyDescent="0.25">
      <c r="B16" s="42" t="s">
        <v>145</v>
      </c>
      <c r="C16" s="143"/>
      <c r="D16" s="109"/>
      <c r="E16" s="109"/>
      <c r="F16" s="110"/>
      <c r="G16" s="42"/>
      <c r="H16" s="42" t="s">
        <v>146</v>
      </c>
      <c r="I16" s="42"/>
      <c r="J16" s="141"/>
      <c r="K16" s="94"/>
      <c r="L16" s="42"/>
      <c r="M16" s="51" t="s">
        <v>148</v>
      </c>
      <c r="N16" s="42"/>
      <c r="O16" s="88"/>
    </row>
    <row r="17" spans="2:15" ht="18" customHeight="1" x14ac:dyDescent="0.25">
      <c r="B17" s="42" t="s">
        <v>151</v>
      </c>
      <c r="C17" s="136">
        <v>1</v>
      </c>
      <c r="D17" s="93"/>
      <c r="E17" s="93"/>
      <c r="F17" s="94"/>
      <c r="G17" s="42"/>
      <c r="H17" s="42"/>
      <c r="I17" s="42"/>
      <c r="J17" s="42"/>
      <c r="K17" s="42"/>
      <c r="L17" s="42"/>
      <c r="M17" s="42"/>
      <c r="N17" s="42"/>
    </row>
    <row r="18" spans="2:15" ht="18" customHeight="1" x14ac:dyDescent="0.25">
      <c r="B18" s="42" t="s">
        <v>152</v>
      </c>
      <c r="C18" s="46" t="s">
        <v>153</v>
      </c>
      <c r="D18" s="54" t="s">
        <v>154</v>
      </c>
      <c r="E18" s="46" t="s">
        <v>155</v>
      </c>
      <c r="F18" s="54" t="s">
        <v>156</v>
      </c>
      <c r="G18" s="133" t="s">
        <v>157</v>
      </c>
      <c r="H18" s="113"/>
      <c r="I18" s="44">
        <v>2024</v>
      </c>
      <c r="J18" s="46" t="s">
        <v>158</v>
      </c>
      <c r="K18" s="136" t="s">
        <v>159</v>
      </c>
      <c r="L18" s="94"/>
      <c r="M18" s="42"/>
      <c r="N18" s="55" t="s">
        <v>160</v>
      </c>
      <c r="O18" s="56" t="s">
        <v>161</v>
      </c>
    </row>
    <row r="19" spans="2:15" ht="18" customHeight="1" x14ac:dyDescent="0.25">
      <c r="B19" s="42" t="s">
        <v>162</v>
      </c>
      <c r="C19" s="46" t="s">
        <v>153</v>
      </c>
      <c r="D19" s="54"/>
      <c r="E19" s="46" t="s">
        <v>155</v>
      </c>
      <c r="F19" s="54"/>
      <c r="G19" s="133" t="s">
        <v>157</v>
      </c>
      <c r="H19" s="113"/>
      <c r="I19" s="44"/>
      <c r="J19" s="46" t="s">
        <v>158</v>
      </c>
      <c r="K19" s="136"/>
      <c r="L19" s="94"/>
      <c r="M19" s="42"/>
      <c r="N19" s="55" t="s">
        <v>160</v>
      </c>
      <c r="O19" s="56"/>
    </row>
    <row r="20" spans="2:15" ht="18" customHeight="1" x14ac:dyDescent="0.25">
      <c r="B20" s="42" t="s">
        <v>163</v>
      </c>
      <c r="C20" s="46" t="s">
        <v>153</v>
      </c>
      <c r="D20" s="54"/>
      <c r="E20" s="46" t="s">
        <v>155</v>
      </c>
      <c r="F20" s="54"/>
      <c r="G20" s="133" t="s">
        <v>157</v>
      </c>
      <c r="H20" s="113"/>
      <c r="I20" s="44"/>
      <c r="J20" s="46" t="s">
        <v>158</v>
      </c>
      <c r="K20" s="136"/>
      <c r="L20" s="94"/>
      <c r="M20" s="42"/>
      <c r="N20" s="55" t="s">
        <v>160</v>
      </c>
      <c r="O20" s="56"/>
    </row>
    <row r="21" spans="2:15" ht="18" customHeight="1" x14ac:dyDescent="0.25">
      <c r="B21" s="42" t="s">
        <v>164</v>
      </c>
      <c r="C21" s="46" t="s">
        <v>153</v>
      </c>
      <c r="D21" s="54"/>
      <c r="E21" s="46" t="s">
        <v>155</v>
      </c>
      <c r="F21" s="54"/>
      <c r="G21" s="133" t="s">
        <v>157</v>
      </c>
      <c r="H21" s="113"/>
      <c r="I21" s="44"/>
      <c r="J21" s="46" t="s">
        <v>158</v>
      </c>
      <c r="K21" s="136"/>
      <c r="L21" s="94"/>
      <c r="M21" s="42"/>
      <c r="N21" s="55" t="s">
        <v>160</v>
      </c>
      <c r="O21" s="56"/>
    </row>
    <row r="22" spans="2:15" ht="18" customHeight="1" x14ac:dyDescent="0.25">
      <c r="B22" s="57" t="s">
        <v>165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5" ht="18" customHeight="1" x14ac:dyDescent="0.25">
      <c r="B23" s="42" t="s">
        <v>166</v>
      </c>
      <c r="C23" s="42"/>
      <c r="D23" s="46" t="s">
        <v>167</v>
      </c>
      <c r="E23" s="44" t="s">
        <v>127</v>
      </c>
      <c r="F23" s="46" t="s">
        <v>168</v>
      </c>
      <c r="G23" s="44"/>
      <c r="H23" s="46" t="s">
        <v>169</v>
      </c>
      <c r="I23" s="134" t="str">
        <f t="shared" ref="I23:I41" si="0">IF(AND(ISBLANK(E23),ISBLANK(G23)),"N/A","")</f>
        <v/>
      </c>
      <c r="J23" s="93"/>
      <c r="K23" s="93"/>
      <c r="L23" s="93"/>
      <c r="M23" s="93"/>
      <c r="N23" s="94"/>
    </row>
    <row r="24" spans="2:15" ht="18" customHeight="1" x14ac:dyDescent="0.25">
      <c r="B24" s="42" t="s">
        <v>170</v>
      </c>
      <c r="C24" s="42"/>
      <c r="D24" s="46" t="s">
        <v>167</v>
      </c>
      <c r="E24" s="44" t="s">
        <v>127</v>
      </c>
      <c r="F24" s="46" t="s">
        <v>168</v>
      </c>
      <c r="G24" s="44"/>
      <c r="H24" s="46" t="s">
        <v>169</v>
      </c>
      <c r="I24" s="134" t="str">
        <f t="shared" si="0"/>
        <v/>
      </c>
      <c r="J24" s="93"/>
      <c r="K24" s="93"/>
      <c r="L24" s="93"/>
      <c r="M24" s="93"/>
      <c r="N24" s="94"/>
    </row>
    <row r="25" spans="2:15" ht="18" customHeight="1" x14ac:dyDescent="0.25">
      <c r="B25" s="42" t="s">
        <v>171</v>
      </c>
      <c r="C25" s="42"/>
      <c r="D25" s="46" t="s">
        <v>167</v>
      </c>
      <c r="E25" s="44"/>
      <c r="F25" s="46" t="s">
        <v>168</v>
      </c>
      <c r="G25" s="44"/>
      <c r="H25" s="46" t="s">
        <v>169</v>
      </c>
      <c r="I25" s="134" t="str">
        <f t="shared" si="0"/>
        <v>N/A</v>
      </c>
      <c r="J25" s="93"/>
      <c r="K25" s="93"/>
      <c r="L25" s="93"/>
      <c r="M25" s="93"/>
      <c r="N25" s="94"/>
    </row>
    <row r="26" spans="2:15" ht="18" customHeight="1" x14ac:dyDescent="0.25">
      <c r="B26" s="42" t="s">
        <v>172</v>
      </c>
      <c r="C26" s="42"/>
      <c r="D26" s="46" t="s">
        <v>167</v>
      </c>
      <c r="E26" s="44"/>
      <c r="F26" s="46" t="s">
        <v>168</v>
      </c>
      <c r="G26" s="44"/>
      <c r="H26" s="46" t="s">
        <v>169</v>
      </c>
      <c r="I26" s="134" t="str">
        <f t="shared" si="0"/>
        <v>N/A</v>
      </c>
      <c r="J26" s="93"/>
      <c r="K26" s="93"/>
      <c r="L26" s="93"/>
      <c r="M26" s="93"/>
      <c r="N26" s="94"/>
    </row>
    <row r="27" spans="2:15" ht="18" customHeight="1" x14ac:dyDescent="0.25">
      <c r="B27" s="42" t="s">
        <v>173</v>
      </c>
      <c r="C27" s="42"/>
      <c r="D27" s="46" t="s">
        <v>167</v>
      </c>
      <c r="E27" s="44" t="s">
        <v>127</v>
      </c>
      <c r="F27" s="46" t="s">
        <v>168</v>
      </c>
      <c r="G27" s="44"/>
      <c r="H27" s="46" t="s">
        <v>169</v>
      </c>
      <c r="I27" s="134" t="str">
        <f t="shared" si="0"/>
        <v/>
      </c>
      <c r="J27" s="93"/>
      <c r="K27" s="93"/>
      <c r="L27" s="93"/>
      <c r="M27" s="93"/>
      <c r="N27" s="94"/>
    </row>
    <row r="28" spans="2:15" ht="18" customHeight="1" x14ac:dyDescent="0.25">
      <c r="B28" s="42" t="s">
        <v>174</v>
      </c>
      <c r="C28" s="42"/>
      <c r="D28" s="46" t="s">
        <v>167</v>
      </c>
      <c r="E28" s="44" t="s">
        <v>127</v>
      </c>
      <c r="F28" s="46" t="s">
        <v>168</v>
      </c>
      <c r="G28" s="44"/>
      <c r="H28" s="46" t="s">
        <v>169</v>
      </c>
      <c r="I28" s="134" t="str">
        <f t="shared" si="0"/>
        <v/>
      </c>
      <c r="J28" s="93"/>
      <c r="K28" s="93"/>
      <c r="L28" s="93"/>
      <c r="M28" s="93"/>
      <c r="N28" s="94"/>
    </row>
    <row r="29" spans="2:15" ht="18" customHeight="1" x14ac:dyDescent="0.25">
      <c r="B29" s="42" t="s">
        <v>175</v>
      </c>
      <c r="C29" s="42"/>
      <c r="D29" s="46" t="s">
        <v>167</v>
      </c>
      <c r="E29" s="44" t="s">
        <v>127</v>
      </c>
      <c r="F29" s="46" t="s">
        <v>168</v>
      </c>
      <c r="G29" s="44"/>
      <c r="H29" s="46" t="s">
        <v>169</v>
      </c>
      <c r="I29" s="134" t="str">
        <f t="shared" si="0"/>
        <v/>
      </c>
      <c r="J29" s="93"/>
      <c r="K29" s="93"/>
      <c r="L29" s="93"/>
      <c r="M29" s="93"/>
      <c r="N29" s="94"/>
    </row>
    <row r="30" spans="2:15" ht="18" customHeight="1" x14ac:dyDescent="0.25">
      <c r="B30" s="42" t="s">
        <v>176</v>
      </c>
      <c r="C30" s="42"/>
      <c r="D30" s="46" t="s">
        <v>177</v>
      </c>
      <c r="E30" s="44" t="s">
        <v>127</v>
      </c>
      <c r="F30" s="46" t="s">
        <v>88</v>
      </c>
      <c r="G30" s="44"/>
      <c r="H30" s="46" t="s">
        <v>169</v>
      </c>
      <c r="I30" s="134" t="str">
        <f t="shared" si="0"/>
        <v/>
      </c>
      <c r="J30" s="93"/>
      <c r="K30" s="93"/>
      <c r="L30" s="93"/>
      <c r="M30" s="93"/>
      <c r="N30" s="94"/>
    </row>
    <row r="31" spans="2:15" ht="18" customHeight="1" x14ac:dyDescent="0.25">
      <c r="B31" s="42" t="s">
        <v>178</v>
      </c>
      <c r="C31" s="42"/>
      <c r="D31" s="46" t="s">
        <v>167</v>
      </c>
      <c r="E31" s="44"/>
      <c r="F31" s="46" t="s">
        <v>168</v>
      </c>
      <c r="G31" s="44"/>
      <c r="H31" s="46" t="s">
        <v>169</v>
      </c>
      <c r="I31" s="134" t="str">
        <f t="shared" si="0"/>
        <v>N/A</v>
      </c>
      <c r="J31" s="93"/>
      <c r="K31" s="93"/>
      <c r="L31" s="93"/>
      <c r="M31" s="93"/>
      <c r="N31" s="94"/>
    </row>
    <row r="32" spans="2:15" ht="18" customHeight="1" x14ac:dyDescent="0.25">
      <c r="B32" s="42" t="s">
        <v>179</v>
      </c>
      <c r="C32" s="42"/>
      <c r="D32" s="46" t="s">
        <v>177</v>
      </c>
      <c r="E32" s="44"/>
      <c r="F32" s="46" t="s">
        <v>88</v>
      </c>
      <c r="G32" s="44" t="s">
        <v>127</v>
      </c>
      <c r="H32" s="46" t="s">
        <v>169</v>
      </c>
      <c r="I32" s="134" t="str">
        <f t="shared" si="0"/>
        <v/>
      </c>
      <c r="J32" s="93"/>
      <c r="K32" s="93"/>
      <c r="L32" s="93"/>
      <c r="M32" s="93"/>
      <c r="N32" s="94"/>
    </row>
    <row r="33" spans="2:16" ht="18" customHeight="1" x14ac:dyDescent="0.25">
      <c r="B33" s="42" t="s">
        <v>180</v>
      </c>
      <c r="C33" s="42"/>
      <c r="D33" s="46" t="s">
        <v>167</v>
      </c>
      <c r="E33" s="44" t="s">
        <v>127</v>
      </c>
      <c r="F33" s="46" t="s">
        <v>168</v>
      </c>
      <c r="G33" s="44"/>
      <c r="H33" s="46" t="s">
        <v>169</v>
      </c>
      <c r="I33" s="134" t="str">
        <f t="shared" si="0"/>
        <v/>
      </c>
      <c r="J33" s="93"/>
      <c r="K33" s="93"/>
      <c r="L33" s="93"/>
      <c r="M33" s="93"/>
      <c r="N33" s="94"/>
    </row>
    <row r="34" spans="2:16" ht="18" customHeight="1" x14ac:dyDescent="0.25">
      <c r="B34" s="42" t="s">
        <v>181</v>
      </c>
      <c r="C34" s="42"/>
      <c r="D34" s="46" t="s">
        <v>167</v>
      </c>
      <c r="E34" s="44" t="s">
        <v>127</v>
      </c>
      <c r="F34" s="46" t="s">
        <v>168</v>
      </c>
      <c r="G34" s="44"/>
      <c r="H34" s="46" t="s">
        <v>169</v>
      </c>
      <c r="I34" s="134" t="str">
        <f t="shared" si="0"/>
        <v/>
      </c>
      <c r="J34" s="93"/>
      <c r="K34" s="93"/>
      <c r="L34" s="93"/>
      <c r="M34" s="93"/>
      <c r="N34" s="94"/>
    </row>
    <row r="35" spans="2:16" ht="18" customHeight="1" x14ac:dyDescent="0.25">
      <c r="B35" s="42" t="s">
        <v>182</v>
      </c>
      <c r="C35" s="42"/>
      <c r="D35" s="46" t="s">
        <v>167</v>
      </c>
      <c r="E35" s="44" t="s">
        <v>127</v>
      </c>
      <c r="F35" s="46" t="s">
        <v>168</v>
      </c>
      <c r="G35" s="44"/>
      <c r="H35" s="46" t="s">
        <v>169</v>
      </c>
      <c r="I35" s="134" t="str">
        <f t="shared" si="0"/>
        <v/>
      </c>
      <c r="J35" s="93"/>
      <c r="K35" s="93"/>
      <c r="L35" s="93"/>
      <c r="M35" s="93"/>
      <c r="N35" s="94"/>
    </row>
    <row r="36" spans="2:16" ht="18" customHeight="1" x14ac:dyDescent="0.25">
      <c r="B36" s="42" t="s">
        <v>183</v>
      </c>
      <c r="C36" s="42"/>
      <c r="D36" s="46" t="s">
        <v>167</v>
      </c>
      <c r="E36" s="44" t="s">
        <v>127</v>
      </c>
      <c r="F36" s="46" t="s">
        <v>168</v>
      </c>
      <c r="G36" s="44"/>
      <c r="H36" s="46" t="s">
        <v>169</v>
      </c>
      <c r="I36" s="134" t="str">
        <f t="shared" si="0"/>
        <v/>
      </c>
      <c r="J36" s="93"/>
      <c r="K36" s="93"/>
      <c r="L36" s="93"/>
      <c r="M36" s="93"/>
      <c r="N36" s="94"/>
    </row>
    <row r="37" spans="2:16" ht="18" customHeight="1" x14ac:dyDescent="0.25">
      <c r="B37" s="42" t="s">
        <v>184</v>
      </c>
      <c r="C37" s="42"/>
      <c r="D37" s="46" t="s">
        <v>177</v>
      </c>
      <c r="E37" s="44"/>
      <c r="F37" s="46" t="s">
        <v>88</v>
      </c>
      <c r="G37" s="44" t="s">
        <v>127</v>
      </c>
      <c r="H37" s="46" t="s">
        <v>169</v>
      </c>
      <c r="I37" s="134" t="str">
        <f t="shared" si="0"/>
        <v/>
      </c>
      <c r="J37" s="93"/>
      <c r="K37" s="93"/>
      <c r="L37" s="93"/>
      <c r="M37" s="93"/>
      <c r="N37" s="94"/>
    </row>
    <row r="38" spans="2:16" ht="18" customHeight="1" x14ac:dyDescent="0.25">
      <c r="B38" s="42" t="s">
        <v>185</v>
      </c>
      <c r="C38" s="42"/>
      <c r="D38" s="46" t="s">
        <v>167</v>
      </c>
      <c r="E38" s="44" t="s">
        <v>127</v>
      </c>
      <c r="F38" s="46" t="s">
        <v>168</v>
      </c>
      <c r="G38" s="44"/>
      <c r="H38" s="46" t="s">
        <v>169</v>
      </c>
      <c r="I38" s="134" t="str">
        <f t="shared" si="0"/>
        <v/>
      </c>
      <c r="J38" s="93"/>
      <c r="K38" s="93"/>
      <c r="L38" s="93"/>
      <c r="M38" s="93"/>
      <c r="N38" s="94"/>
    </row>
    <row r="39" spans="2:16" ht="18" customHeight="1" x14ac:dyDescent="0.25">
      <c r="B39" s="42" t="s">
        <v>186</v>
      </c>
      <c r="C39" s="42"/>
      <c r="D39" s="46" t="s">
        <v>167</v>
      </c>
      <c r="E39" s="44" t="s">
        <v>127</v>
      </c>
      <c r="F39" s="46" t="s">
        <v>168</v>
      </c>
      <c r="G39" s="44"/>
      <c r="H39" s="46" t="s">
        <v>169</v>
      </c>
      <c r="I39" s="134" t="str">
        <f t="shared" si="0"/>
        <v/>
      </c>
      <c r="J39" s="93"/>
      <c r="K39" s="93"/>
      <c r="L39" s="93"/>
      <c r="M39" s="93"/>
      <c r="N39" s="94"/>
    </row>
    <row r="40" spans="2:16" ht="18" customHeight="1" x14ac:dyDescent="0.25">
      <c r="B40" s="42" t="s">
        <v>187</v>
      </c>
      <c r="C40" s="42"/>
      <c r="D40" s="46" t="s">
        <v>167</v>
      </c>
      <c r="E40" s="44" t="s">
        <v>127</v>
      </c>
      <c r="F40" s="46" t="s">
        <v>168</v>
      </c>
      <c r="G40" s="44"/>
      <c r="H40" s="46" t="s">
        <v>169</v>
      </c>
      <c r="I40" s="134" t="str">
        <f t="shared" si="0"/>
        <v/>
      </c>
      <c r="J40" s="93"/>
      <c r="K40" s="93"/>
      <c r="L40" s="93"/>
      <c r="M40" s="93"/>
      <c r="N40" s="94"/>
    </row>
    <row r="41" spans="2:16" ht="18" customHeight="1" x14ac:dyDescent="0.25">
      <c r="B41" s="42" t="s">
        <v>188</v>
      </c>
      <c r="C41" s="42"/>
      <c r="D41" s="46" t="s">
        <v>167</v>
      </c>
      <c r="E41" s="44" t="s">
        <v>127</v>
      </c>
      <c r="F41" s="46" t="s">
        <v>168</v>
      </c>
      <c r="G41" s="44"/>
      <c r="H41" s="46" t="s">
        <v>169</v>
      </c>
      <c r="I41" s="135" t="str">
        <f t="shared" si="0"/>
        <v/>
      </c>
      <c r="J41" s="114"/>
      <c r="K41" s="114"/>
      <c r="L41" s="114"/>
      <c r="M41" s="114"/>
      <c r="N41" s="112"/>
    </row>
    <row r="42" spans="2:16" ht="18" customHeight="1" x14ac:dyDescent="0.25">
      <c r="B42" s="42" t="s">
        <v>189</v>
      </c>
      <c r="C42" s="42"/>
      <c r="D42" s="46" t="s">
        <v>190</v>
      </c>
      <c r="E42" s="44" t="s">
        <v>127</v>
      </c>
      <c r="F42" s="46" t="s">
        <v>191</v>
      </c>
      <c r="G42" s="44"/>
      <c r="H42" s="46" t="s">
        <v>169</v>
      </c>
      <c r="I42" s="142" t="s">
        <v>192</v>
      </c>
      <c r="J42" s="93"/>
      <c r="K42" s="58"/>
      <c r="L42" s="59" t="s">
        <v>193</v>
      </c>
      <c r="M42" s="60"/>
      <c r="N42" s="58" t="s">
        <v>194</v>
      </c>
      <c r="P42" s="37" t="s">
        <v>195</v>
      </c>
    </row>
    <row r="43" spans="2:16" ht="18" customHeight="1" x14ac:dyDescent="0.25">
      <c r="B43" s="42" t="s">
        <v>196</v>
      </c>
      <c r="C43" s="42"/>
      <c r="D43" s="46" t="s">
        <v>167</v>
      </c>
      <c r="E43" s="44" t="s">
        <v>127</v>
      </c>
      <c r="F43" s="46" t="s">
        <v>168</v>
      </c>
      <c r="G43" s="44"/>
      <c r="H43" s="46" t="s">
        <v>169</v>
      </c>
      <c r="I43" s="138" t="str">
        <f>IF(AND(ISBLANK(E43),ISBLANK(G43)),"N/A","")</f>
        <v/>
      </c>
      <c r="J43" s="109"/>
      <c r="K43" s="109"/>
      <c r="L43" s="109"/>
      <c r="M43" s="109"/>
      <c r="N43" s="110"/>
    </row>
    <row r="44" spans="2:16" ht="18" customHeight="1" x14ac:dyDescent="0.25">
      <c r="B44" s="51" t="s">
        <v>197</v>
      </c>
      <c r="C44" s="42"/>
      <c r="D44" s="46" t="s">
        <v>177</v>
      </c>
      <c r="E44" s="44"/>
      <c r="F44" s="46" t="s">
        <v>88</v>
      </c>
      <c r="G44" s="44" t="s">
        <v>127</v>
      </c>
      <c r="H44" s="46" t="s">
        <v>169</v>
      </c>
      <c r="I44" s="134" t="str">
        <f>IF(AND(ISBLANK(E44),ISBLANK(G44)),"N/A","")</f>
        <v/>
      </c>
      <c r="J44" s="93"/>
      <c r="K44" s="93"/>
      <c r="L44" s="93"/>
      <c r="M44" s="93"/>
      <c r="N44" s="94"/>
    </row>
    <row r="45" spans="2:16" ht="18" customHeight="1" x14ac:dyDescent="0.25">
      <c r="B45" s="61" t="s">
        <v>198</v>
      </c>
      <c r="C45" s="42"/>
      <c r="D45" s="46" t="s">
        <v>177</v>
      </c>
      <c r="E45" s="44"/>
      <c r="F45" s="46" t="s">
        <v>88</v>
      </c>
      <c r="G45" s="44" t="s">
        <v>127</v>
      </c>
      <c r="H45" s="46" t="s">
        <v>169</v>
      </c>
      <c r="I45" s="134" t="str">
        <f>IF(AND(ISBLANK(E45),ISBLANK(G45)),"N/A","")</f>
        <v/>
      </c>
      <c r="J45" s="93"/>
      <c r="K45" s="93"/>
      <c r="L45" s="93"/>
      <c r="M45" s="93"/>
      <c r="N45" s="94"/>
    </row>
    <row r="46" spans="2:16" ht="18" customHeight="1" x14ac:dyDescent="0.25">
      <c r="B46" s="61" t="s">
        <v>199</v>
      </c>
      <c r="C46" s="61"/>
      <c r="D46" s="46"/>
      <c r="E46" s="62"/>
      <c r="F46" s="62"/>
      <c r="G46" s="62"/>
      <c r="H46" s="62"/>
      <c r="I46" s="144"/>
      <c r="J46" s="93"/>
      <c r="K46" s="93"/>
      <c r="L46" s="93"/>
      <c r="M46" s="93"/>
      <c r="N46" s="93"/>
      <c r="O46" s="63"/>
    </row>
    <row r="47" spans="2:16" ht="18" customHeight="1" x14ac:dyDescent="0.25">
      <c r="B47" s="61"/>
      <c r="C47" s="61"/>
      <c r="D47" s="46"/>
      <c r="E47" s="62"/>
      <c r="F47" s="62"/>
      <c r="G47" s="62"/>
      <c r="H47" s="62"/>
      <c r="I47" s="60"/>
      <c r="J47" s="60"/>
      <c r="K47" s="60"/>
      <c r="L47" s="60"/>
      <c r="M47" s="60"/>
      <c r="N47" s="60"/>
      <c r="O47" s="63"/>
    </row>
    <row r="48" spans="2:16" ht="30.75" customHeight="1" x14ac:dyDescent="0.25">
      <c r="B48" s="61"/>
      <c r="C48" s="61"/>
      <c r="D48" s="46"/>
      <c r="E48" s="46"/>
      <c r="F48" s="46"/>
      <c r="G48" s="46"/>
      <c r="H48" s="46"/>
      <c r="I48" s="64"/>
      <c r="J48" s="64"/>
      <c r="K48" s="64"/>
      <c r="L48" s="64"/>
      <c r="M48" s="64"/>
      <c r="N48" s="64"/>
      <c r="O48" s="63"/>
    </row>
    <row r="49" spans="2:15" ht="18" customHeight="1" x14ac:dyDescent="0.25">
      <c r="B49" s="61" t="s">
        <v>110</v>
      </c>
      <c r="C49" s="65"/>
      <c r="D49" s="65"/>
      <c r="E49" s="65"/>
      <c r="F49" s="65"/>
      <c r="G49" s="42"/>
      <c r="H49" s="61" t="s">
        <v>200</v>
      </c>
      <c r="I49" s="61"/>
      <c r="J49" s="42"/>
      <c r="K49" s="42"/>
      <c r="L49" s="66"/>
      <c r="M49" s="66"/>
      <c r="N49" s="66"/>
      <c r="O49" s="67"/>
    </row>
    <row r="50" spans="2:15" ht="18" customHeight="1" x14ac:dyDescent="0.25">
      <c r="B50" s="42"/>
      <c r="C50" s="42"/>
      <c r="D50" s="42"/>
      <c r="E50" s="42"/>
      <c r="F50" s="42"/>
      <c r="G50" s="61"/>
      <c r="H50" s="42"/>
      <c r="I50" s="61"/>
      <c r="J50" s="68"/>
      <c r="K50" s="61"/>
      <c r="L50" s="61"/>
      <c r="M50" s="61"/>
      <c r="N50" s="61"/>
    </row>
    <row r="51" spans="2:15" ht="15.75" customHeight="1" x14ac:dyDescent="0.25">
      <c r="B51" s="42" t="s">
        <v>201</v>
      </c>
      <c r="C51" s="145"/>
      <c r="D51" s="109"/>
      <c r="E51" s="109"/>
      <c r="F51" s="109"/>
      <c r="G51" s="42"/>
      <c r="H51" s="42" t="s">
        <v>201</v>
      </c>
      <c r="I51" s="42"/>
      <c r="J51" s="42"/>
      <c r="K51" s="42"/>
      <c r="L51" s="66"/>
      <c r="M51" s="66"/>
      <c r="N51" s="66"/>
    </row>
    <row r="52" spans="2:15" ht="15.75" customHeight="1" x14ac:dyDescent="0.25"/>
    <row r="53" spans="2:15" ht="15.75" customHeight="1" x14ac:dyDescent="0.25">
      <c r="O53" s="36" t="s">
        <v>112</v>
      </c>
    </row>
    <row r="54" spans="2:15" ht="15.75" customHeight="1" x14ac:dyDescent="0.25"/>
    <row r="55" spans="2:15" ht="15.75" customHeight="1" x14ac:dyDescent="0.25"/>
    <row r="56" spans="2:15" ht="15.75" customHeight="1" x14ac:dyDescent="0.25"/>
    <row r="57" spans="2:15" ht="15.75" customHeight="1" x14ac:dyDescent="0.25"/>
    <row r="58" spans="2:15" ht="15.75" customHeight="1" x14ac:dyDescent="0.25"/>
    <row r="59" spans="2:15" ht="15.75" customHeight="1" x14ac:dyDescent="0.25"/>
    <row r="60" spans="2:15" ht="15.75" customHeight="1" x14ac:dyDescent="0.25"/>
    <row r="61" spans="2:15" ht="15.75" customHeight="1" x14ac:dyDescent="0.25"/>
    <row r="62" spans="2:15" ht="15.75" customHeight="1" x14ac:dyDescent="0.25"/>
    <row r="63" spans="2:15" ht="15.75" customHeight="1" x14ac:dyDescent="0.25"/>
    <row r="64" spans="2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C51:F51"/>
    <mergeCell ref="K18:L18"/>
    <mergeCell ref="I46:N46"/>
    <mergeCell ref="C6:H6"/>
    <mergeCell ref="G20:H20"/>
    <mergeCell ref="I27:N27"/>
    <mergeCell ref="I36:N36"/>
    <mergeCell ref="I45:N45"/>
    <mergeCell ref="I26:N26"/>
    <mergeCell ref="K19:L19"/>
    <mergeCell ref="F12:H12"/>
    <mergeCell ref="C5:F5"/>
    <mergeCell ref="I35:N35"/>
    <mergeCell ref="C7:H7"/>
    <mergeCell ref="I44:N44"/>
    <mergeCell ref="I38:N38"/>
    <mergeCell ref="I29:N29"/>
    <mergeCell ref="J16:K16"/>
    <mergeCell ref="I42:J42"/>
    <mergeCell ref="I40:N40"/>
    <mergeCell ref="C16:F16"/>
    <mergeCell ref="I31:N31"/>
    <mergeCell ref="I34:N34"/>
    <mergeCell ref="I30:N30"/>
    <mergeCell ref="C15:H15"/>
    <mergeCell ref="K6:N6"/>
    <mergeCell ref="K20:L20"/>
    <mergeCell ref="I33:N33"/>
    <mergeCell ref="I24:N24"/>
    <mergeCell ref="G19:H19"/>
    <mergeCell ref="I23:N23"/>
    <mergeCell ref="G18:H18"/>
    <mergeCell ref="C8:F8"/>
    <mergeCell ref="I37:N37"/>
    <mergeCell ref="I28:N28"/>
    <mergeCell ref="K7:N7"/>
    <mergeCell ref="I43:N43"/>
    <mergeCell ref="J13:K13"/>
    <mergeCell ref="C12:E12"/>
    <mergeCell ref="K21:L21"/>
    <mergeCell ref="C13:F13"/>
    <mergeCell ref="I39:N39"/>
    <mergeCell ref="G21:H21"/>
    <mergeCell ref="I25:N25"/>
    <mergeCell ref="I41:N41"/>
    <mergeCell ref="C17:F17"/>
    <mergeCell ref="I32:N32"/>
  </mergeCells>
  <dataValidations count="3">
    <dataValidation type="list" allowBlank="1" sqref="C17" xr:uid="{00000000-0002-0000-0100-000001000000}">
      <formula1>"1,2,3,4,N/A,NOT ACCESSIBLE"</formula1>
    </dataValidation>
    <dataValidation type="list" allowBlank="1" sqref="D18:D21" xr:uid="{00000000-0002-0000-0100-000002000000}">
      <formula1>"H/S,C/T"</formula1>
    </dataValidation>
    <dataValidation type="list" allowBlank="1" sqref="N1" xr:uid="{00000000-0002-0000-0100-000004000000}">
      <formula1>"PCE,SS,CS"</formula1>
    </dataValidation>
  </dataValidations>
  <printOptions horizontalCentered="1" verticalCentered="1"/>
  <pageMargins left="0" right="0.70866141732283505" top="0.39370078740157499" bottom="0.39370078740157499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vi_library!$B$2:$B$3</xm:f>
          </x14:formula1>
          <xm:sqref>D9:D11 D14 E23:E45 G9:G11 G14 G23:G45 I9:I11 I14 K9 K11 K14 M9 M11 M14 O9 O11</xm:sqref>
        </x14:dataValidation>
        <x14:dataValidation type="list" allowBlank="1" xr:uid="{00000000-0002-0000-0100-000003000000}">
          <x14:formula1>
            <xm:f>equipment_library!$K$2:$K$8</xm:f>
          </x14:formula1>
          <xm:sqref>F18:F21</xm:sqref>
        </x14:dataValidation>
        <x14:dataValidation type="list" allowBlank="1" xr:uid="{00000000-0002-0000-0100-000005000000}">
          <x14:formula1>
            <xm:f>equipment_library!$H$2:$H$5</xm:f>
          </x14:formula1>
          <xm:sqref>J13 J16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ECE1"/>
  </sheetPr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B1" s="37" t="s">
        <v>202</v>
      </c>
      <c r="C1" s="37" t="s">
        <v>203</v>
      </c>
    </row>
    <row r="2" spans="1:3" x14ac:dyDescent="0.25">
      <c r="A2" s="37" t="s">
        <v>204</v>
      </c>
      <c r="B2" s="37">
        <v>204</v>
      </c>
      <c r="C2" s="37">
        <v>220</v>
      </c>
    </row>
    <row r="3" spans="1:3" x14ac:dyDescent="0.25">
      <c r="A3" s="37" t="s">
        <v>205</v>
      </c>
      <c r="B3" s="37">
        <v>3887</v>
      </c>
      <c r="C3" s="37">
        <v>3908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1000"/>
  <sheetViews>
    <sheetView workbookViewId="0"/>
  </sheetViews>
  <sheetFormatPr defaultColWidth="14.42578125" defaultRowHeight="15" customHeight="1" x14ac:dyDescent="0.25"/>
  <cols>
    <col min="1" max="1" width="25.140625" customWidth="1"/>
    <col min="2" max="2" width="23.85546875" customWidth="1"/>
    <col min="3" max="3" width="14.42578125" customWidth="1"/>
    <col min="4" max="4" width="20.140625" customWidth="1"/>
    <col min="5" max="5" width="20" customWidth="1"/>
    <col min="6" max="6" width="16.7109375" customWidth="1"/>
    <col min="7" max="26" width="8.7109375" customWidth="1"/>
  </cols>
  <sheetData>
    <row r="1" spans="1:2" x14ac:dyDescent="0.25">
      <c r="A1" s="37" t="s">
        <v>206</v>
      </c>
      <c r="B1" s="37" t="s">
        <v>207</v>
      </c>
    </row>
    <row r="2" spans="1:2" x14ac:dyDescent="0.25">
      <c r="A2" s="37" t="s">
        <v>126</v>
      </c>
      <c r="B2" s="37" t="s">
        <v>127</v>
      </c>
    </row>
    <row r="3" spans="1:2" x14ac:dyDescent="0.25">
      <c r="A3" s="37" t="s">
        <v>128</v>
      </c>
    </row>
    <row r="4" spans="1:2" x14ac:dyDescent="0.25">
      <c r="A4" s="37" t="s">
        <v>131</v>
      </c>
    </row>
    <row r="5" spans="1:2" x14ac:dyDescent="0.25">
      <c r="A5" s="37" t="s">
        <v>129</v>
      </c>
    </row>
    <row r="6" spans="1:2" x14ac:dyDescent="0.25">
      <c r="A6" s="37" t="s">
        <v>208</v>
      </c>
    </row>
    <row r="7" spans="1:2" x14ac:dyDescent="0.25">
      <c r="A7" s="37" t="s">
        <v>209</v>
      </c>
    </row>
    <row r="8" spans="1:2" x14ac:dyDescent="0.25">
      <c r="A8" s="37" t="s">
        <v>210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3.7109375" customWidth="1"/>
    <col min="2" max="2" width="8.7109375" customWidth="1"/>
    <col min="3" max="3" width="18" customWidth="1"/>
    <col min="4" max="4" width="6.5703125" customWidth="1"/>
    <col min="5" max="5" width="18.28515625" customWidth="1"/>
    <col min="6" max="6" width="17.7109375" customWidth="1"/>
    <col min="7" max="26" width="8.7109375" customWidth="1"/>
  </cols>
  <sheetData>
    <row r="1" spans="1:2" x14ac:dyDescent="0.25">
      <c r="A1" s="37" t="s">
        <v>211</v>
      </c>
      <c r="B1" s="37" t="s">
        <v>212</v>
      </c>
    </row>
    <row r="2" spans="1:2" x14ac:dyDescent="0.25">
      <c r="A2" s="37" t="s">
        <v>213</v>
      </c>
      <c r="B2" s="37" t="s">
        <v>214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defaultColWidth="14.42578125" defaultRowHeight="15" customHeight="1" x14ac:dyDescent="0.25"/>
  <cols>
    <col min="1" max="1" width="18" customWidth="1"/>
    <col min="2" max="2" width="12.85546875" customWidth="1"/>
    <col min="3" max="3" width="18.28515625" customWidth="1"/>
    <col min="4" max="4" width="17.7109375" customWidth="1"/>
    <col min="5" max="5" width="17.85546875" customWidth="1"/>
    <col min="6" max="7" width="21.140625" customWidth="1"/>
    <col min="8" max="8" width="12.85546875" customWidth="1"/>
    <col min="9" max="9" width="8.7109375" customWidth="1"/>
    <col min="10" max="10" width="10.42578125" customWidth="1"/>
    <col min="11" max="11" width="15.5703125" customWidth="1"/>
    <col min="12" max="12" width="14.7109375" customWidth="1"/>
    <col min="13" max="13" width="19.140625" customWidth="1"/>
    <col min="14" max="14" width="10.42578125" customWidth="1"/>
    <col min="15" max="15" width="8.7109375" customWidth="1"/>
    <col min="16" max="16" width="21.5703125" customWidth="1"/>
    <col min="17" max="26" width="8.7109375" customWidth="1"/>
  </cols>
  <sheetData>
    <row r="1" spans="1:17" x14ac:dyDescent="0.25">
      <c r="A1" s="37" t="s">
        <v>215</v>
      </c>
      <c r="B1" s="37" t="s">
        <v>216</v>
      </c>
      <c r="C1" s="37" t="s">
        <v>217</v>
      </c>
      <c r="D1" s="37" t="s">
        <v>218</v>
      </c>
      <c r="E1" s="37" t="s">
        <v>219</v>
      </c>
      <c r="F1" s="37" t="s">
        <v>220</v>
      </c>
      <c r="G1" s="37" t="s">
        <v>221</v>
      </c>
      <c r="H1" s="37" t="s">
        <v>222</v>
      </c>
      <c r="I1" s="37" t="s">
        <v>223</v>
      </c>
      <c r="J1" s="37" t="s">
        <v>224</v>
      </c>
      <c r="K1" s="37" t="s">
        <v>225</v>
      </c>
      <c r="L1" s="37" t="s">
        <v>226</v>
      </c>
      <c r="M1" s="37" t="s">
        <v>227</v>
      </c>
      <c r="N1" s="37" t="s">
        <v>228</v>
      </c>
      <c r="O1" s="37" t="s">
        <v>229</v>
      </c>
      <c r="P1" s="37" t="s">
        <v>230</v>
      </c>
      <c r="Q1" s="37" t="s">
        <v>231</v>
      </c>
    </row>
    <row r="2" spans="1:17" x14ac:dyDescent="0.25">
      <c r="A2" s="37" t="s">
        <v>138</v>
      </c>
      <c r="B2" s="37" t="s">
        <v>43</v>
      </c>
      <c r="C2" s="37" t="s">
        <v>232</v>
      </c>
      <c r="D2" s="37" t="s">
        <v>233</v>
      </c>
      <c r="E2" s="37" t="s">
        <v>44</v>
      </c>
      <c r="H2" s="37" t="s">
        <v>234</v>
      </c>
      <c r="J2" s="37" t="s">
        <v>154</v>
      </c>
      <c r="K2" s="37" t="s">
        <v>235</v>
      </c>
      <c r="L2" s="37" t="s">
        <v>53</v>
      </c>
      <c r="N2" s="37" t="s">
        <v>236</v>
      </c>
      <c r="O2" s="37" t="s">
        <v>100</v>
      </c>
      <c r="P2" s="37" t="s">
        <v>237</v>
      </c>
      <c r="Q2" s="37" t="s">
        <v>238</v>
      </c>
    </row>
    <row r="3" spans="1:17" x14ac:dyDescent="0.25">
      <c r="A3" s="37" t="s">
        <v>239</v>
      </c>
      <c r="B3" s="37" t="s">
        <v>240</v>
      </c>
      <c r="C3" s="37" t="s">
        <v>241</v>
      </c>
      <c r="D3" s="37" t="s">
        <v>242</v>
      </c>
      <c r="E3" s="37" t="s">
        <v>243</v>
      </c>
      <c r="H3" s="37" t="s">
        <v>147</v>
      </c>
      <c r="J3" s="37" t="s">
        <v>244</v>
      </c>
      <c r="K3" s="37" t="s">
        <v>245</v>
      </c>
      <c r="L3" s="37" t="s">
        <v>246</v>
      </c>
      <c r="N3" s="37" t="s">
        <v>92</v>
      </c>
      <c r="O3" s="37" t="s">
        <v>247</v>
      </c>
      <c r="P3" s="37" t="s">
        <v>248</v>
      </c>
    </row>
    <row r="4" spans="1:17" x14ac:dyDescent="0.25">
      <c r="A4" s="37" t="s">
        <v>137</v>
      </c>
      <c r="C4" s="37" t="s">
        <v>249</v>
      </c>
      <c r="D4" s="37" t="s">
        <v>250</v>
      </c>
      <c r="E4" s="37" t="s">
        <v>251</v>
      </c>
      <c r="H4" s="37" t="s">
        <v>252</v>
      </c>
      <c r="K4" s="37" t="s">
        <v>156</v>
      </c>
      <c r="L4" s="37" t="s">
        <v>253</v>
      </c>
      <c r="O4" s="37" t="s">
        <v>254</v>
      </c>
    </row>
    <row r="5" spans="1:17" x14ac:dyDescent="0.25">
      <c r="A5" s="37" t="s">
        <v>140</v>
      </c>
      <c r="C5" s="37" t="s">
        <v>255</v>
      </c>
      <c r="D5" s="37" t="s">
        <v>251</v>
      </c>
      <c r="E5" s="37" t="s">
        <v>256</v>
      </c>
      <c r="H5" s="37" t="s">
        <v>257</v>
      </c>
      <c r="K5" s="37" t="s">
        <v>258</v>
      </c>
      <c r="L5" s="37" t="s">
        <v>259</v>
      </c>
      <c r="O5" s="37" t="s">
        <v>260</v>
      </c>
    </row>
    <row r="6" spans="1:17" x14ac:dyDescent="0.25">
      <c r="A6" s="37" t="s">
        <v>261</v>
      </c>
      <c r="K6" s="37" t="s">
        <v>262</v>
      </c>
      <c r="L6" s="37" t="s">
        <v>263</v>
      </c>
      <c r="O6" s="37" t="s">
        <v>251</v>
      </c>
    </row>
    <row r="7" spans="1:17" x14ac:dyDescent="0.25">
      <c r="A7" s="37" t="s">
        <v>264</v>
      </c>
      <c r="K7" s="37" t="s">
        <v>251</v>
      </c>
      <c r="L7" s="37" t="s">
        <v>67</v>
      </c>
    </row>
    <row r="8" spans="1:17" x14ac:dyDescent="0.25">
      <c r="A8" s="37" t="s">
        <v>131</v>
      </c>
      <c r="K8" s="37" t="s">
        <v>256</v>
      </c>
      <c r="L8" s="37" t="s">
        <v>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PCE Testsheet</vt:lpstr>
      <vt:lpstr>PCE VI</vt:lpstr>
      <vt:lpstr>RAW DATA</vt:lpstr>
      <vt:lpstr>vi_library</vt:lpstr>
      <vt:lpstr>substation_library</vt:lpstr>
      <vt:lpstr>equipment_library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Nurnasrmirza Amin Bin NorulHadi</cp:lastModifiedBy>
  <dcterms:created xsi:type="dcterms:W3CDTF">2006-09-16T00:00:00Z</dcterms:created>
  <dcterms:modified xsi:type="dcterms:W3CDTF">2026-08-05T10:16:26Z</dcterms:modified>
</cp:coreProperties>
</file>