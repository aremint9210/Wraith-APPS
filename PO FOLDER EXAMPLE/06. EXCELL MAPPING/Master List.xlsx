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remi\Desktop\REPORT CBM\PO 42234207 - JOHOR - JBU - 400 PE IR US TEV\06. EXCELL MAPPING\"/>
    </mc:Choice>
  </mc:AlternateContent>
  <xr:revisionPtr revIDLastSave="0" documentId="13_ncr:1_{47FC9B0D-62DF-4C33-AE26-EFCCA9FADD69}" xr6:coauthVersionLast="47" xr6:coauthVersionMax="47" xr10:uidLastSave="{00000000-0000-0000-0000-000000000000}"/>
  <bookViews>
    <workbookView xWindow="1560" yWindow="1560" windowWidth="38700" windowHeight="15105" tabRatio="902" firstSheet="43" activeTab="71" xr2:uid="{00000000-000D-0000-FFFF-FFFF00000000}"/>
  </bookViews>
  <sheets>
    <sheet name="Image_Rename" sheetId="1" r:id="rId1"/>
    <sheet name="Sheet1" sheetId="2" r:id="rId2"/>
    <sheet name="Image_Rename_VCB" sheetId="3" r:id="rId3"/>
    <sheet name="Image_Rename_RMU" sheetId="4" r:id="rId4"/>
    <sheet name="Image_Mapping_VCB (2)" sheetId="5" r:id="rId5"/>
    <sheet name="Image_Mapping_VCB" sheetId="6" r:id="rId6"/>
    <sheet name="Image_Mapping_RMU" sheetId="7" r:id="rId7"/>
    <sheet name="Image_Mapping_H-POLE" sheetId="8" r:id="rId8"/>
    <sheet name="Master_List" sheetId="9" r:id="rId9"/>
    <sheet name="Sheet2" sheetId="10" r:id="rId10"/>
    <sheet name="SUBSTATION LIST" sheetId="11" r:id="rId11"/>
    <sheet name="CSV TEMPLATE" sheetId="12" r:id="rId12"/>
    <sheet name="Raw Start Number" sheetId="13" r:id="rId13"/>
    <sheet name="113" sheetId="14" r:id="rId14"/>
    <sheet name="079" sheetId="15" r:id="rId15"/>
    <sheet name="080" sheetId="16" r:id="rId16"/>
    <sheet name="081" sheetId="17" r:id="rId17"/>
    <sheet name="082" sheetId="18" r:id="rId18"/>
    <sheet name="083" sheetId="19" r:id="rId19"/>
    <sheet name="084" sheetId="20" r:id="rId20"/>
    <sheet name="085" sheetId="21" r:id="rId21"/>
    <sheet name="086" sheetId="22" r:id="rId22"/>
    <sheet name="087" sheetId="23" r:id="rId23"/>
    <sheet name="088" sheetId="24" r:id="rId24"/>
    <sheet name="089" sheetId="25" r:id="rId25"/>
    <sheet name="090" sheetId="26" r:id="rId26"/>
    <sheet name="091" sheetId="27" r:id="rId27"/>
    <sheet name="092" sheetId="28" r:id="rId28"/>
    <sheet name="093" sheetId="29" r:id="rId29"/>
    <sheet name="094" sheetId="30" r:id="rId30"/>
    <sheet name="095" sheetId="31" r:id="rId31"/>
    <sheet name="096" sheetId="32" r:id="rId32"/>
    <sheet name="097" sheetId="33" r:id="rId33"/>
    <sheet name="098" sheetId="34" r:id="rId34"/>
    <sheet name="099" sheetId="35" r:id="rId35"/>
    <sheet name="100" sheetId="36" r:id="rId36"/>
    <sheet name="101" sheetId="37" r:id="rId37"/>
    <sheet name="102" sheetId="38" r:id="rId38"/>
    <sheet name="103" sheetId="39" r:id="rId39"/>
    <sheet name="104" sheetId="40" r:id="rId40"/>
    <sheet name="105" sheetId="41" r:id="rId41"/>
    <sheet name="106" sheetId="42" r:id="rId42"/>
    <sheet name="107" sheetId="43" r:id="rId43"/>
    <sheet name="108" sheetId="44" r:id="rId44"/>
    <sheet name="109" sheetId="45" r:id="rId45"/>
    <sheet name="110" sheetId="46" r:id="rId46"/>
    <sheet name="111" sheetId="47" r:id="rId47"/>
    <sheet name="112" sheetId="48" r:id="rId48"/>
    <sheet name="113A" sheetId="49" r:id="rId49"/>
    <sheet name="113B" sheetId="50" r:id="rId50"/>
    <sheet name="114" sheetId="51" r:id="rId51"/>
    <sheet name="115" sheetId="52" r:id="rId52"/>
    <sheet name="116" sheetId="53" r:id="rId53"/>
    <sheet name="117" sheetId="54" r:id="rId54"/>
    <sheet name="118" sheetId="55" r:id="rId55"/>
    <sheet name="119" sheetId="56" r:id="rId56"/>
    <sheet name="120" sheetId="57" r:id="rId57"/>
    <sheet name="121" sheetId="58" r:id="rId58"/>
    <sheet name="122" sheetId="59" r:id="rId59"/>
    <sheet name="123" sheetId="60" r:id="rId60"/>
    <sheet name="124" sheetId="61" r:id="rId61"/>
    <sheet name="125" sheetId="62" r:id="rId62"/>
    <sheet name="126" sheetId="63" r:id="rId63"/>
    <sheet name="127" sheetId="64" r:id="rId64"/>
    <sheet name="128" sheetId="65" r:id="rId65"/>
    <sheet name="129" sheetId="66" r:id="rId66"/>
    <sheet name="130" sheetId="67" r:id="rId67"/>
    <sheet name="131" sheetId="68" r:id="rId68"/>
    <sheet name="132" sheetId="69" r:id="rId69"/>
    <sheet name="133" sheetId="70" r:id="rId70"/>
    <sheet name="134" sheetId="71" r:id="rId71"/>
    <sheet name="135" sheetId="72" r:id="rId72"/>
    <sheet name="136" sheetId="73" r:id="rId73"/>
    <sheet name="137" sheetId="74" r:id="rId74"/>
    <sheet name="138" sheetId="75" r:id="rId75"/>
    <sheet name="139" sheetId="76" r:id="rId76"/>
    <sheet name="140" sheetId="77" r:id="rId77"/>
    <sheet name="141" sheetId="78" r:id="rId78"/>
    <sheet name="142" sheetId="79" r:id="rId79"/>
    <sheet name="143" sheetId="80" r:id="rId80"/>
    <sheet name="144" sheetId="81" r:id="rId81"/>
    <sheet name="145" sheetId="82" r:id="rId82"/>
    <sheet name="146" sheetId="83" r:id="rId83"/>
    <sheet name="147" sheetId="84" r:id="rId84"/>
    <sheet name="148" sheetId="85" r:id="rId85"/>
    <sheet name="149" sheetId="86" r:id="rId86"/>
    <sheet name="150" sheetId="87" r:id="rId87"/>
  </sheets>
  <definedNames>
    <definedName name="_xlnm._FilterDatabase" localSheetId="5" hidden="1">Image_Mapping_VCB!$A$1:$BP$313</definedName>
    <definedName name="_xlnm._FilterDatabase" localSheetId="4" hidden="1">'Image_Mapping_VCB (2)'!$A$1:$BP$451</definedName>
    <definedName name="_xlnm._FilterDatabase" localSheetId="0" hidden="1">Image_Rename!$A$1:$H$907</definedName>
    <definedName name="_xlnm._FilterDatabase" localSheetId="2" hidden="1">Image_Rename_VCB!$A$1:$I$313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" i="87" l="1"/>
  <c r="P38" i="87"/>
  <c r="P37" i="87"/>
  <c r="P36" i="87"/>
  <c r="P35" i="87"/>
  <c r="P34" i="87"/>
  <c r="P33" i="87"/>
  <c r="P32" i="87"/>
  <c r="P31" i="87"/>
  <c r="P30" i="87"/>
  <c r="P29" i="87"/>
  <c r="P28" i="87"/>
  <c r="P27" i="87"/>
  <c r="P26" i="87"/>
  <c r="P25" i="87"/>
  <c r="P24" i="87"/>
  <c r="P23" i="87"/>
  <c r="P22" i="87"/>
  <c r="P21" i="87"/>
  <c r="P20" i="87"/>
  <c r="P19" i="87"/>
  <c r="P18" i="87"/>
  <c r="P17" i="87"/>
  <c r="P16" i="87"/>
  <c r="P15" i="87"/>
  <c r="P14" i="87"/>
  <c r="P13" i="87"/>
  <c r="P12" i="87"/>
  <c r="P11" i="87"/>
  <c r="P10" i="87"/>
  <c r="P9" i="87"/>
  <c r="P8" i="87"/>
  <c r="P7" i="87"/>
  <c r="P6" i="87"/>
  <c r="P5" i="87"/>
  <c r="P4" i="87"/>
  <c r="P3" i="87"/>
  <c r="P2" i="87"/>
  <c r="P1" i="87"/>
  <c r="P39" i="86"/>
  <c r="P38" i="86"/>
  <c r="P37" i="86"/>
  <c r="P36" i="86"/>
  <c r="P35" i="86"/>
  <c r="P34" i="86"/>
  <c r="P33" i="86"/>
  <c r="P32" i="86"/>
  <c r="P31" i="86"/>
  <c r="P30" i="86"/>
  <c r="P29" i="86"/>
  <c r="P28" i="86"/>
  <c r="P27" i="86"/>
  <c r="P26" i="86"/>
  <c r="P25" i="86"/>
  <c r="P24" i="86"/>
  <c r="P23" i="86"/>
  <c r="P22" i="86"/>
  <c r="P21" i="86"/>
  <c r="P20" i="86"/>
  <c r="P19" i="86"/>
  <c r="P18" i="86"/>
  <c r="P17" i="86"/>
  <c r="P16" i="86"/>
  <c r="P15" i="86"/>
  <c r="P14" i="86"/>
  <c r="P13" i="86"/>
  <c r="P12" i="86"/>
  <c r="P11" i="86"/>
  <c r="P10" i="86"/>
  <c r="P9" i="86"/>
  <c r="P8" i="86"/>
  <c r="P7" i="86"/>
  <c r="P6" i="86"/>
  <c r="P5" i="86"/>
  <c r="P4" i="86"/>
  <c r="P3" i="86"/>
  <c r="P2" i="86"/>
  <c r="P1" i="86"/>
  <c r="P39" i="85"/>
  <c r="P38" i="85"/>
  <c r="P37" i="85"/>
  <c r="P36" i="85"/>
  <c r="P35" i="85"/>
  <c r="P34" i="85"/>
  <c r="P33" i="85"/>
  <c r="P32" i="85"/>
  <c r="P31" i="85"/>
  <c r="P30" i="85"/>
  <c r="P29" i="85"/>
  <c r="P28" i="85"/>
  <c r="P27" i="85"/>
  <c r="P26" i="85"/>
  <c r="P25" i="85"/>
  <c r="P24" i="85"/>
  <c r="P23" i="85"/>
  <c r="P22" i="85"/>
  <c r="P21" i="85"/>
  <c r="P20" i="85"/>
  <c r="P19" i="85"/>
  <c r="P18" i="85"/>
  <c r="P17" i="85"/>
  <c r="P16" i="85"/>
  <c r="P15" i="85"/>
  <c r="P14" i="85"/>
  <c r="P13" i="85"/>
  <c r="P12" i="85"/>
  <c r="P11" i="85"/>
  <c r="P10" i="85"/>
  <c r="P9" i="85"/>
  <c r="P8" i="85"/>
  <c r="P7" i="85"/>
  <c r="P6" i="85"/>
  <c r="P5" i="85"/>
  <c r="P4" i="85"/>
  <c r="P3" i="85"/>
  <c r="P2" i="85"/>
  <c r="P1" i="85"/>
  <c r="P39" i="84"/>
  <c r="P38" i="84"/>
  <c r="P37" i="84"/>
  <c r="P36" i="84"/>
  <c r="P35" i="84"/>
  <c r="P34" i="84"/>
  <c r="P33" i="84"/>
  <c r="P32" i="84"/>
  <c r="P31" i="84"/>
  <c r="P30" i="84"/>
  <c r="P29" i="84"/>
  <c r="P28" i="84"/>
  <c r="P27" i="84"/>
  <c r="P26" i="84"/>
  <c r="P25" i="84"/>
  <c r="P24" i="84"/>
  <c r="P23" i="84"/>
  <c r="P22" i="84"/>
  <c r="P21" i="84"/>
  <c r="P20" i="84"/>
  <c r="P19" i="84"/>
  <c r="P18" i="84"/>
  <c r="P17" i="84"/>
  <c r="P16" i="84"/>
  <c r="P15" i="84"/>
  <c r="P14" i="84"/>
  <c r="P13" i="84"/>
  <c r="P12" i="84"/>
  <c r="P11" i="84"/>
  <c r="P10" i="84"/>
  <c r="P9" i="84"/>
  <c r="P8" i="84"/>
  <c r="P7" i="84"/>
  <c r="P6" i="84"/>
  <c r="P5" i="84"/>
  <c r="P4" i="84"/>
  <c r="P3" i="84"/>
  <c r="P2" i="84"/>
  <c r="P1" i="84"/>
  <c r="P39" i="83"/>
  <c r="P38" i="83"/>
  <c r="P37" i="83"/>
  <c r="P36" i="83"/>
  <c r="P35" i="83"/>
  <c r="P34" i="83"/>
  <c r="P33" i="83"/>
  <c r="P32" i="83"/>
  <c r="P31" i="83"/>
  <c r="P30" i="83"/>
  <c r="P29" i="83"/>
  <c r="P28" i="83"/>
  <c r="P27" i="83"/>
  <c r="P26" i="83"/>
  <c r="P25" i="83"/>
  <c r="P24" i="83"/>
  <c r="P23" i="83"/>
  <c r="P22" i="83"/>
  <c r="P21" i="83"/>
  <c r="P20" i="83"/>
  <c r="P19" i="83"/>
  <c r="P18" i="83"/>
  <c r="P17" i="83"/>
  <c r="P16" i="83"/>
  <c r="P15" i="83"/>
  <c r="P14" i="83"/>
  <c r="P13" i="83"/>
  <c r="P12" i="83"/>
  <c r="P11" i="83"/>
  <c r="P10" i="83"/>
  <c r="P9" i="83"/>
  <c r="P8" i="83"/>
  <c r="P7" i="83"/>
  <c r="P6" i="83"/>
  <c r="P5" i="83"/>
  <c r="P4" i="83"/>
  <c r="P3" i="83"/>
  <c r="P2" i="83"/>
  <c r="P1" i="83"/>
  <c r="P39" i="82"/>
  <c r="P38" i="82"/>
  <c r="P37" i="82"/>
  <c r="P36" i="82"/>
  <c r="P35" i="82"/>
  <c r="P34" i="82"/>
  <c r="P33" i="82"/>
  <c r="P32" i="82"/>
  <c r="P31" i="82"/>
  <c r="P30" i="82"/>
  <c r="P29" i="82"/>
  <c r="P28" i="82"/>
  <c r="P27" i="82"/>
  <c r="P26" i="82"/>
  <c r="P25" i="82"/>
  <c r="P24" i="82"/>
  <c r="P23" i="82"/>
  <c r="P22" i="82"/>
  <c r="P21" i="82"/>
  <c r="P20" i="82"/>
  <c r="P19" i="82"/>
  <c r="P18" i="82"/>
  <c r="P17" i="82"/>
  <c r="P16" i="82"/>
  <c r="P15" i="82"/>
  <c r="P14" i="82"/>
  <c r="P13" i="82"/>
  <c r="P12" i="82"/>
  <c r="P11" i="82"/>
  <c r="P10" i="82"/>
  <c r="P9" i="82"/>
  <c r="P8" i="82"/>
  <c r="P7" i="82"/>
  <c r="P6" i="82"/>
  <c r="P5" i="82"/>
  <c r="P4" i="82"/>
  <c r="P3" i="82"/>
  <c r="P2" i="82"/>
  <c r="P1" i="82"/>
  <c r="P39" i="81"/>
  <c r="P38" i="81"/>
  <c r="P37" i="81"/>
  <c r="P36" i="81"/>
  <c r="P35" i="81"/>
  <c r="P34" i="81"/>
  <c r="P33" i="81"/>
  <c r="P32" i="81"/>
  <c r="P31" i="81"/>
  <c r="P30" i="81"/>
  <c r="P29" i="81"/>
  <c r="P28" i="81"/>
  <c r="P27" i="81"/>
  <c r="P26" i="81"/>
  <c r="P25" i="81"/>
  <c r="P24" i="81"/>
  <c r="P23" i="81"/>
  <c r="P22" i="81"/>
  <c r="P21" i="81"/>
  <c r="P20" i="81"/>
  <c r="P19" i="81"/>
  <c r="P18" i="81"/>
  <c r="P17" i="81"/>
  <c r="P16" i="81"/>
  <c r="P15" i="81"/>
  <c r="P14" i="81"/>
  <c r="P13" i="81"/>
  <c r="P12" i="81"/>
  <c r="P11" i="81"/>
  <c r="P10" i="81"/>
  <c r="P9" i="81"/>
  <c r="P8" i="81"/>
  <c r="P7" i="81"/>
  <c r="P6" i="81"/>
  <c r="P5" i="81"/>
  <c r="P4" i="81"/>
  <c r="P3" i="81"/>
  <c r="P2" i="81"/>
  <c r="P1" i="81"/>
  <c r="P39" i="80"/>
  <c r="P38" i="80"/>
  <c r="P37" i="80"/>
  <c r="P36" i="80"/>
  <c r="P35" i="80"/>
  <c r="P34" i="80"/>
  <c r="P33" i="80"/>
  <c r="P32" i="80"/>
  <c r="P31" i="80"/>
  <c r="P30" i="80"/>
  <c r="P29" i="80"/>
  <c r="P28" i="80"/>
  <c r="P27" i="80"/>
  <c r="P26" i="80"/>
  <c r="P25" i="80"/>
  <c r="P24" i="80"/>
  <c r="P23" i="80"/>
  <c r="P22" i="80"/>
  <c r="P21" i="80"/>
  <c r="P20" i="80"/>
  <c r="P19" i="80"/>
  <c r="P18" i="80"/>
  <c r="P17" i="80"/>
  <c r="P16" i="80"/>
  <c r="P15" i="80"/>
  <c r="P14" i="80"/>
  <c r="P13" i="80"/>
  <c r="P12" i="80"/>
  <c r="P11" i="80"/>
  <c r="P10" i="80"/>
  <c r="P9" i="80"/>
  <c r="P8" i="80"/>
  <c r="P7" i="80"/>
  <c r="P6" i="80"/>
  <c r="P5" i="80"/>
  <c r="P4" i="80"/>
  <c r="P3" i="80"/>
  <c r="P2" i="80"/>
  <c r="P1" i="80"/>
  <c r="P39" i="79"/>
  <c r="P38" i="79"/>
  <c r="P37" i="79"/>
  <c r="P36" i="79"/>
  <c r="P35" i="79"/>
  <c r="P34" i="79"/>
  <c r="P33" i="79"/>
  <c r="P32" i="79"/>
  <c r="P31" i="79"/>
  <c r="P30" i="79"/>
  <c r="P29" i="79"/>
  <c r="P28" i="79"/>
  <c r="P27" i="79"/>
  <c r="P26" i="79"/>
  <c r="P25" i="79"/>
  <c r="P24" i="79"/>
  <c r="P23" i="79"/>
  <c r="P22" i="79"/>
  <c r="P21" i="79"/>
  <c r="P20" i="79"/>
  <c r="P19" i="79"/>
  <c r="P18" i="79"/>
  <c r="P17" i="79"/>
  <c r="P16" i="79"/>
  <c r="P15" i="79"/>
  <c r="P14" i="79"/>
  <c r="P13" i="79"/>
  <c r="P12" i="79"/>
  <c r="P11" i="79"/>
  <c r="P10" i="79"/>
  <c r="P9" i="79"/>
  <c r="P8" i="79"/>
  <c r="P7" i="79"/>
  <c r="P6" i="79"/>
  <c r="P5" i="79"/>
  <c r="P4" i="79"/>
  <c r="P3" i="79"/>
  <c r="P2" i="79"/>
  <c r="P1" i="79"/>
  <c r="P39" i="78"/>
  <c r="P38" i="78"/>
  <c r="P37" i="78"/>
  <c r="P36" i="78"/>
  <c r="P35" i="78"/>
  <c r="P34" i="78"/>
  <c r="P33" i="78"/>
  <c r="P32" i="78"/>
  <c r="P31" i="78"/>
  <c r="P30" i="78"/>
  <c r="P29" i="78"/>
  <c r="P28" i="78"/>
  <c r="P27" i="78"/>
  <c r="P26" i="78"/>
  <c r="P25" i="78"/>
  <c r="P24" i="78"/>
  <c r="P23" i="78"/>
  <c r="P22" i="78"/>
  <c r="P21" i="78"/>
  <c r="P20" i="78"/>
  <c r="P19" i="78"/>
  <c r="P18" i="78"/>
  <c r="P17" i="78"/>
  <c r="P16" i="78"/>
  <c r="P15" i="78"/>
  <c r="P14" i="78"/>
  <c r="P13" i="78"/>
  <c r="P12" i="78"/>
  <c r="P11" i="78"/>
  <c r="P10" i="78"/>
  <c r="P9" i="78"/>
  <c r="P8" i="78"/>
  <c r="P7" i="78"/>
  <c r="P6" i="78"/>
  <c r="P5" i="78"/>
  <c r="P4" i="78"/>
  <c r="P3" i="78"/>
  <c r="P2" i="78"/>
  <c r="P1" i="78"/>
  <c r="P39" i="77"/>
  <c r="P38" i="77"/>
  <c r="P37" i="77"/>
  <c r="P36" i="77"/>
  <c r="P35" i="77"/>
  <c r="P34" i="77"/>
  <c r="P33" i="77"/>
  <c r="P32" i="77"/>
  <c r="P31" i="77"/>
  <c r="P30" i="77"/>
  <c r="P29" i="77"/>
  <c r="P28" i="77"/>
  <c r="P27" i="77"/>
  <c r="P26" i="77"/>
  <c r="P25" i="77"/>
  <c r="P24" i="77"/>
  <c r="P23" i="77"/>
  <c r="P22" i="77"/>
  <c r="P21" i="77"/>
  <c r="P20" i="77"/>
  <c r="P19" i="77"/>
  <c r="P18" i="77"/>
  <c r="P17" i="77"/>
  <c r="P16" i="77"/>
  <c r="P15" i="77"/>
  <c r="P14" i="77"/>
  <c r="P13" i="77"/>
  <c r="P12" i="77"/>
  <c r="P11" i="77"/>
  <c r="P10" i="77"/>
  <c r="P9" i="77"/>
  <c r="P8" i="77"/>
  <c r="P7" i="77"/>
  <c r="P6" i="77"/>
  <c r="P5" i="77"/>
  <c r="P4" i="77"/>
  <c r="P3" i="77"/>
  <c r="P2" i="77"/>
  <c r="P1" i="77"/>
  <c r="P39" i="76"/>
  <c r="P38" i="76"/>
  <c r="P37" i="76"/>
  <c r="P36" i="76"/>
  <c r="P35" i="76"/>
  <c r="P34" i="76"/>
  <c r="P33" i="76"/>
  <c r="P32" i="76"/>
  <c r="P31" i="76"/>
  <c r="P30" i="76"/>
  <c r="P29" i="76"/>
  <c r="P28" i="76"/>
  <c r="P27" i="76"/>
  <c r="P26" i="76"/>
  <c r="P25" i="76"/>
  <c r="P24" i="76"/>
  <c r="P23" i="76"/>
  <c r="P22" i="76"/>
  <c r="P21" i="76"/>
  <c r="P20" i="76"/>
  <c r="P19" i="76"/>
  <c r="P18" i="76"/>
  <c r="P17" i="76"/>
  <c r="P16" i="76"/>
  <c r="P15" i="76"/>
  <c r="P14" i="76"/>
  <c r="P13" i="76"/>
  <c r="P12" i="76"/>
  <c r="P11" i="76"/>
  <c r="P10" i="76"/>
  <c r="P9" i="76"/>
  <c r="P8" i="76"/>
  <c r="P7" i="76"/>
  <c r="P6" i="76"/>
  <c r="P5" i="76"/>
  <c r="P4" i="76"/>
  <c r="P3" i="76"/>
  <c r="P2" i="76"/>
  <c r="P1" i="76"/>
  <c r="P39" i="75"/>
  <c r="P38" i="75"/>
  <c r="P37" i="75"/>
  <c r="P36" i="75"/>
  <c r="P35" i="75"/>
  <c r="P34" i="75"/>
  <c r="P33" i="75"/>
  <c r="P32" i="75"/>
  <c r="P31" i="75"/>
  <c r="P30" i="75"/>
  <c r="P29" i="75"/>
  <c r="P28" i="75"/>
  <c r="P27" i="75"/>
  <c r="P26" i="75"/>
  <c r="P25" i="75"/>
  <c r="P24" i="75"/>
  <c r="P23" i="75"/>
  <c r="P22" i="75"/>
  <c r="P21" i="75"/>
  <c r="P20" i="75"/>
  <c r="P19" i="75"/>
  <c r="P18" i="75"/>
  <c r="P17" i="75"/>
  <c r="P16" i="75"/>
  <c r="P15" i="75"/>
  <c r="P14" i="75"/>
  <c r="P13" i="75"/>
  <c r="P12" i="75"/>
  <c r="P11" i="75"/>
  <c r="P10" i="75"/>
  <c r="P9" i="75"/>
  <c r="P8" i="75"/>
  <c r="P7" i="75"/>
  <c r="P6" i="75"/>
  <c r="P5" i="75"/>
  <c r="P4" i="75"/>
  <c r="P3" i="75"/>
  <c r="P2" i="75"/>
  <c r="P1" i="75"/>
  <c r="P39" i="74"/>
  <c r="P38" i="74"/>
  <c r="P37" i="74"/>
  <c r="P36" i="74"/>
  <c r="P35" i="74"/>
  <c r="P34" i="74"/>
  <c r="P33" i="74"/>
  <c r="P32" i="74"/>
  <c r="P31" i="74"/>
  <c r="P30" i="74"/>
  <c r="P29" i="74"/>
  <c r="P28" i="74"/>
  <c r="P27" i="74"/>
  <c r="P26" i="74"/>
  <c r="P25" i="74"/>
  <c r="P24" i="74"/>
  <c r="P23" i="74"/>
  <c r="P22" i="74"/>
  <c r="P21" i="74"/>
  <c r="P20" i="74"/>
  <c r="P19" i="74"/>
  <c r="P18" i="74"/>
  <c r="P17" i="74"/>
  <c r="P16" i="74"/>
  <c r="P15" i="74"/>
  <c r="P14" i="74"/>
  <c r="P13" i="74"/>
  <c r="P12" i="74"/>
  <c r="P11" i="74"/>
  <c r="P10" i="74"/>
  <c r="P9" i="74"/>
  <c r="P8" i="74"/>
  <c r="P7" i="74"/>
  <c r="P6" i="74"/>
  <c r="P5" i="74"/>
  <c r="P4" i="74"/>
  <c r="P3" i="74"/>
  <c r="P2" i="74"/>
  <c r="P1" i="74"/>
  <c r="P39" i="73"/>
  <c r="P38" i="73"/>
  <c r="P37" i="73"/>
  <c r="P36" i="73"/>
  <c r="P35" i="73"/>
  <c r="P34" i="73"/>
  <c r="P33" i="73"/>
  <c r="P32" i="73"/>
  <c r="P31" i="73"/>
  <c r="P30" i="73"/>
  <c r="P29" i="73"/>
  <c r="P28" i="73"/>
  <c r="P27" i="73"/>
  <c r="P26" i="73"/>
  <c r="P25" i="73"/>
  <c r="P24" i="73"/>
  <c r="P23" i="73"/>
  <c r="P22" i="73"/>
  <c r="P21" i="73"/>
  <c r="P20" i="73"/>
  <c r="P19" i="73"/>
  <c r="P18" i="73"/>
  <c r="P17" i="73"/>
  <c r="P16" i="73"/>
  <c r="P15" i="73"/>
  <c r="P14" i="73"/>
  <c r="P13" i="73"/>
  <c r="P12" i="73"/>
  <c r="P11" i="73"/>
  <c r="P10" i="73"/>
  <c r="P9" i="73"/>
  <c r="P8" i="73"/>
  <c r="P7" i="73"/>
  <c r="P6" i="73"/>
  <c r="P5" i="73"/>
  <c r="P4" i="73"/>
  <c r="P3" i="73"/>
  <c r="P2" i="73"/>
  <c r="P1" i="73"/>
  <c r="P39" i="72"/>
  <c r="P38" i="72"/>
  <c r="P37" i="72"/>
  <c r="P36" i="72"/>
  <c r="P35" i="72"/>
  <c r="P34" i="72"/>
  <c r="P33" i="72"/>
  <c r="P32" i="72"/>
  <c r="P31" i="72"/>
  <c r="P30" i="72"/>
  <c r="P29" i="72"/>
  <c r="P28" i="72"/>
  <c r="P27" i="72"/>
  <c r="P26" i="72"/>
  <c r="P25" i="72"/>
  <c r="P24" i="72"/>
  <c r="P23" i="72"/>
  <c r="P22" i="72"/>
  <c r="P21" i="72"/>
  <c r="P20" i="72"/>
  <c r="P19" i="72"/>
  <c r="P18" i="72"/>
  <c r="P17" i="72"/>
  <c r="P16" i="72"/>
  <c r="P15" i="72"/>
  <c r="P14" i="72"/>
  <c r="P13" i="72"/>
  <c r="P12" i="72"/>
  <c r="P11" i="72"/>
  <c r="P10" i="72"/>
  <c r="P9" i="72"/>
  <c r="P8" i="72"/>
  <c r="P7" i="72"/>
  <c r="P6" i="72"/>
  <c r="P5" i="72"/>
  <c r="P4" i="72"/>
  <c r="P3" i="72"/>
  <c r="P2" i="72"/>
  <c r="P1" i="72"/>
  <c r="P39" i="71"/>
  <c r="P38" i="71"/>
  <c r="P37" i="71"/>
  <c r="P36" i="71"/>
  <c r="P35" i="71"/>
  <c r="P34" i="71"/>
  <c r="P33" i="71"/>
  <c r="P32" i="71"/>
  <c r="P31" i="71"/>
  <c r="P30" i="71"/>
  <c r="P29" i="71"/>
  <c r="P28" i="71"/>
  <c r="P27" i="71"/>
  <c r="P26" i="71"/>
  <c r="P25" i="71"/>
  <c r="P24" i="71"/>
  <c r="P23" i="71"/>
  <c r="P22" i="71"/>
  <c r="P21" i="71"/>
  <c r="P20" i="71"/>
  <c r="P19" i="71"/>
  <c r="P18" i="71"/>
  <c r="P17" i="71"/>
  <c r="P16" i="71"/>
  <c r="P15" i="71"/>
  <c r="P14" i="71"/>
  <c r="P13" i="71"/>
  <c r="P12" i="71"/>
  <c r="P11" i="71"/>
  <c r="P10" i="71"/>
  <c r="P9" i="71"/>
  <c r="P8" i="71"/>
  <c r="P7" i="71"/>
  <c r="P6" i="71"/>
  <c r="P5" i="71"/>
  <c r="P4" i="71"/>
  <c r="P3" i="71"/>
  <c r="P2" i="71"/>
  <c r="P1" i="71"/>
  <c r="P39" i="70"/>
  <c r="P38" i="70"/>
  <c r="P37" i="70"/>
  <c r="P36" i="70"/>
  <c r="P35" i="70"/>
  <c r="P34" i="70"/>
  <c r="P33" i="70"/>
  <c r="P32" i="70"/>
  <c r="P31" i="70"/>
  <c r="P30" i="70"/>
  <c r="P29" i="70"/>
  <c r="P28" i="70"/>
  <c r="P27" i="70"/>
  <c r="P26" i="70"/>
  <c r="P25" i="70"/>
  <c r="P24" i="70"/>
  <c r="P23" i="70"/>
  <c r="P22" i="70"/>
  <c r="P21" i="70"/>
  <c r="P20" i="70"/>
  <c r="P19" i="70"/>
  <c r="P18" i="70"/>
  <c r="P17" i="70"/>
  <c r="P16" i="70"/>
  <c r="P15" i="70"/>
  <c r="P14" i="70"/>
  <c r="P13" i="70"/>
  <c r="P12" i="70"/>
  <c r="P11" i="70"/>
  <c r="P10" i="70"/>
  <c r="P9" i="70"/>
  <c r="P8" i="70"/>
  <c r="P7" i="70"/>
  <c r="P6" i="70"/>
  <c r="P5" i="70"/>
  <c r="P4" i="70"/>
  <c r="P3" i="70"/>
  <c r="P2" i="70"/>
  <c r="P1" i="70"/>
  <c r="P39" i="69"/>
  <c r="P38" i="69"/>
  <c r="P37" i="69"/>
  <c r="P36" i="69"/>
  <c r="P35" i="69"/>
  <c r="P34" i="69"/>
  <c r="P33" i="69"/>
  <c r="P32" i="69"/>
  <c r="P31" i="69"/>
  <c r="P30" i="69"/>
  <c r="P29" i="69"/>
  <c r="P28" i="69"/>
  <c r="P27" i="69"/>
  <c r="P26" i="69"/>
  <c r="P25" i="69"/>
  <c r="P24" i="69"/>
  <c r="P23" i="69"/>
  <c r="P22" i="69"/>
  <c r="P21" i="69"/>
  <c r="P20" i="69"/>
  <c r="P19" i="69"/>
  <c r="P18" i="69"/>
  <c r="P17" i="69"/>
  <c r="P16" i="69"/>
  <c r="P15" i="69"/>
  <c r="P14" i="69"/>
  <c r="P13" i="69"/>
  <c r="P12" i="69"/>
  <c r="P11" i="69"/>
  <c r="P10" i="69"/>
  <c r="P9" i="69"/>
  <c r="P8" i="69"/>
  <c r="P7" i="69"/>
  <c r="P6" i="69"/>
  <c r="P5" i="69"/>
  <c r="P4" i="69"/>
  <c r="P3" i="69"/>
  <c r="P2" i="69"/>
  <c r="P1" i="69"/>
  <c r="P39" i="68"/>
  <c r="P38" i="68"/>
  <c r="P37" i="68"/>
  <c r="P36" i="68"/>
  <c r="P35" i="68"/>
  <c r="P34" i="68"/>
  <c r="P33" i="68"/>
  <c r="P32" i="68"/>
  <c r="P31" i="68"/>
  <c r="P30" i="68"/>
  <c r="P29" i="68"/>
  <c r="P28" i="68"/>
  <c r="P27" i="68"/>
  <c r="P26" i="68"/>
  <c r="P25" i="68"/>
  <c r="P24" i="68"/>
  <c r="P23" i="68"/>
  <c r="P22" i="68"/>
  <c r="P21" i="68"/>
  <c r="P20" i="68"/>
  <c r="P19" i="68"/>
  <c r="P18" i="68"/>
  <c r="P17" i="68"/>
  <c r="P16" i="68"/>
  <c r="P15" i="68"/>
  <c r="P14" i="68"/>
  <c r="P13" i="68"/>
  <c r="P12" i="68"/>
  <c r="P11" i="68"/>
  <c r="P10" i="68"/>
  <c r="P9" i="68"/>
  <c r="P8" i="68"/>
  <c r="P7" i="68"/>
  <c r="P6" i="68"/>
  <c r="P5" i="68"/>
  <c r="P4" i="68"/>
  <c r="P3" i="68"/>
  <c r="P2" i="68"/>
  <c r="P1" i="68"/>
  <c r="P39" i="67"/>
  <c r="P38" i="67"/>
  <c r="P37" i="67"/>
  <c r="P36" i="67"/>
  <c r="P35" i="67"/>
  <c r="P34" i="67"/>
  <c r="P33" i="67"/>
  <c r="P32" i="67"/>
  <c r="P31" i="67"/>
  <c r="P30" i="67"/>
  <c r="P29" i="67"/>
  <c r="P28" i="67"/>
  <c r="P27" i="67"/>
  <c r="P26" i="67"/>
  <c r="P25" i="67"/>
  <c r="P24" i="67"/>
  <c r="P23" i="67"/>
  <c r="P22" i="67"/>
  <c r="P21" i="67"/>
  <c r="P20" i="67"/>
  <c r="P19" i="67"/>
  <c r="P18" i="67"/>
  <c r="P17" i="67"/>
  <c r="P16" i="67"/>
  <c r="P15" i="67"/>
  <c r="P14" i="67"/>
  <c r="P13" i="67"/>
  <c r="P12" i="67"/>
  <c r="P11" i="67"/>
  <c r="P10" i="67"/>
  <c r="P9" i="67"/>
  <c r="P8" i="67"/>
  <c r="P7" i="67"/>
  <c r="P6" i="67"/>
  <c r="P5" i="67"/>
  <c r="P4" i="67"/>
  <c r="P3" i="67"/>
  <c r="P2" i="67"/>
  <c r="P1" i="67"/>
  <c r="P39" i="66"/>
  <c r="P38" i="66"/>
  <c r="P37" i="66"/>
  <c r="P36" i="66"/>
  <c r="P35" i="66"/>
  <c r="P34" i="66"/>
  <c r="P33" i="66"/>
  <c r="P32" i="66"/>
  <c r="P31" i="66"/>
  <c r="P30" i="66"/>
  <c r="P29" i="66"/>
  <c r="P28" i="66"/>
  <c r="P27" i="66"/>
  <c r="P26" i="66"/>
  <c r="P25" i="66"/>
  <c r="P24" i="66"/>
  <c r="P23" i="66"/>
  <c r="P22" i="66"/>
  <c r="P21" i="66"/>
  <c r="P20" i="66"/>
  <c r="P19" i="66"/>
  <c r="P18" i="66"/>
  <c r="P17" i="66"/>
  <c r="P16" i="66"/>
  <c r="P15" i="66"/>
  <c r="P14" i="66"/>
  <c r="P13" i="66"/>
  <c r="P12" i="66"/>
  <c r="P11" i="66"/>
  <c r="P10" i="66"/>
  <c r="P9" i="66"/>
  <c r="P8" i="66"/>
  <c r="P7" i="66"/>
  <c r="P6" i="66"/>
  <c r="P5" i="66"/>
  <c r="P4" i="66"/>
  <c r="P3" i="66"/>
  <c r="P2" i="66"/>
  <c r="P1" i="66"/>
  <c r="P39" i="65"/>
  <c r="P38" i="65"/>
  <c r="P37" i="65"/>
  <c r="P36" i="65"/>
  <c r="P35" i="65"/>
  <c r="P34" i="65"/>
  <c r="P33" i="65"/>
  <c r="P32" i="65"/>
  <c r="P31" i="65"/>
  <c r="P30" i="65"/>
  <c r="P29" i="65"/>
  <c r="P28" i="65"/>
  <c r="P27" i="65"/>
  <c r="P26" i="65"/>
  <c r="P25" i="65"/>
  <c r="P24" i="65"/>
  <c r="P23" i="65"/>
  <c r="P22" i="65"/>
  <c r="P21" i="65"/>
  <c r="P20" i="65"/>
  <c r="P19" i="65"/>
  <c r="P18" i="65"/>
  <c r="P17" i="65"/>
  <c r="P16" i="65"/>
  <c r="P15" i="65"/>
  <c r="P14" i="65"/>
  <c r="P13" i="65"/>
  <c r="P12" i="65"/>
  <c r="P11" i="65"/>
  <c r="P10" i="65"/>
  <c r="P9" i="65"/>
  <c r="P8" i="65"/>
  <c r="P7" i="65"/>
  <c r="P6" i="65"/>
  <c r="P5" i="65"/>
  <c r="P4" i="65"/>
  <c r="P3" i="65"/>
  <c r="P2" i="65"/>
  <c r="P1" i="65"/>
  <c r="P39" i="64"/>
  <c r="P38" i="64"/>
  <c r="P37" i="64"/>
  <c r="P36" i="64"/>
  <c r="P35" i="64"/>
  <c r="P34" i="64"/>
  <c r="P33" i="64"/>
  <c r="P32" i="64"/>
  <c r="P31" i="64"/>
  <c r="P30" i="64"/>
  <c r="P29" i="64"/>
  <c r="P28" i="64"/>
  <c r="P27" i="64"/>
  <c r="P26" i="64"/>
  <c r="P25" i="64"/>
  <c r="P24" i="64"/>
  <c r="P23" i="64"/>
  <c r="P22" i="64"/>
  <c r="P21" i="64"/>
  <c r="P20" i="64"/>
  <c r="P19" i="64"/>
  <c r="P18" i="64"/>
  <c r="P17" i="64"/>
  <c r="P16" i="64"/>
  <c r="P15" i="64"/>
  <c r="P14" i="64"/>
  <c r="P13" i="64"/>
  <c r="P12" i="64"/>
  <c r="P11" i="64"/>
  <c r="P10" i="64"/>
  <c r="P9" i="64"/>
  <c r="P8" i="64"/>
  <c r="P7" i="64"/>
  <c r="P6" i="64"/>
  <c r="P5" i="64"/>
  <c r="P4" i="64"/>
  <c r="P3" i="64"/>
  <c r="P2" i="64"/>
  <c r="P1" i="64"/>
  <c r="P39" i="63"/>
  <c r="P38" i="63"/>
  <c r="P37" i="63"/>
  <c r="P36" i="63"/>
  <c r="P35" i="63"/>
  <c r="P34" i="63"/>
  <c r="P33" i="63"/>
  <c r="P32" i="63"/>
  <c r="P31" i="63"/>
  <c r="P30" i="63"/>
  <c r="P29" i="63"/>
  <c r="P28" i="63"/>
  <c r="P27" i="63"/>
  <c r="P26" i="63"/>
  <c r="P25" i="63"/>
  <c r="P24" i="63"/>
  <c r="P23" i="63"/>
  <c r="P22" i="63"/>
  <c r="P21" i="63"/>
  <c r="P20" i="63"/>
  <c r="P19" i="63"/>
  <c r="P18" i="63"/>
  <c r="P17" i="63"/>
  <c r="P16" i="63"/>
  <c r="P15" i="63"/>
  <c r="P14" i="63"/>
  <c r="P13" i="63"/>
  <c r="P12" i="63"/>
  <c r="P11" i="63"/>
  <c r="P10" i="63"/>
  <c r="P9" i="63"/>
  <c r="P8" i="63"/>
  <c r="P7" i="63"/>
  <c r="P6" i="63"/>
  <c r="P5" i="63"/>
  <c r="P4" i="63"/>
  <c r="P3" i="63"/>
  <c r="P2" i="63"/>
  <c r="P1" i="63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P7" i="62"/>
  <c r="P6" i="62"/>
  <c r="P5" i="62"/>
  <c r="P4" i="62"/>
  <c r="P3" i="62"/>
  <c r="P2" i="62"/>
  <c r="P1" i="62"/>
  <c r="P39" i="61"/>
  <c r="P38" i="61"/>
  <c r="P37" i="61"/>
  <c r="P36" i="61"/>
  <c r="P35" i="61"/>
  <c r="P34" i="61"/>
  <c r="P33" i="61"/>
  <c r="P32" i="61"/>
  <c r="P31" i="61"/>
  <c r="P30" i="61"/>
  <c r="P29" i="61"/>
  <c r="P28" i="61"/>
  <c r="P27" i="61"/>
  <c r="P26" i="61"/>
  <c r="P25" i="61"/>
  <c r="P24" i="61"/>
  <c r="P23" i="61"/>
  <c r="P22" i="61"/>
  <c r="P21" i="61"/>
  <c r="P20" i="61"/>
  <c r="P19" i="61"/>
  <c r="P18" i="61"/>
  <c r="P17" i="61"/>
  <c r="P16" i="61"/>
  <c r="P15" i="61"/>
  <c r="P14" i="61"/>
  <c r="P13" i="61"/>
  <c r="P12" i="61"/>
  <c r="P11" i="61"/>
  <c r="P10" i="61"/>
  <c r="P9" i="61"/>
  <c r="P8" i="61"/>
  <c r="P7" i="61"/>
  <c r="P6" i="61"/>
  <c r="P5" i="61"/>
  <c r="P4" i="61"/>
  <c r="P3" i="61"/>
  <c r="P2" i="61"/>
  <c r="P1" i="61"/>
  <c r="P39" i="60"/>
  <c r="P38" i="60"/>
  <c r="P37" i="60"/>
  <c r="P36" i="60"/>
  <c r="P35" i="60"/>
  <c r="P34" i="60"/>
  <c r="P33" i="60"/>
  <c r="P32" i="60"/>
  <c r="P31" i="60"/>
  <c r="P30" i="60"/>
  <c r="P29" i="60"/>
  <c r="P28" i="60"/>
  <c r="P27" i="60"/>
  <c r="P26" i="60"/>
  <c r="P25" i="60"/>
  <c r="P24" i="60"/>
  <c r="P23" i="60"/>
  <c r="P22" i="60"/>
  <c r="P21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P2" i="60"/>
  <c r="P1" i="60"/>
  <c r="P39" i="59"/>
  <c r="P38" i="59"/>
  <c r="P37" i="59"/>
  <c r="P36" i="59"/>
  <c r="P35" i="59"/>
  <c r="P34" i="59"/>
  <c r="P33" i="59"/>
  <c r="P32" i="59"/>
  <c r="P31" i="59"/>
  <c r="P30" i="59"/>
  <c r="P29" i="59"/>
  <c r="P28" i="59"/>
  <c r="P27" i="59"/>
  <c r="P26" i="59"/>
  <c r="P25" i="59"/>
  <c r="P24" i="59"/>
  <c r="P23" i="59"/>
  <c r="P22" i="59"/>
  <c r="P21" i="59"/>
  <c r="P20" i="59"/>
  <c r="P19" i="59"/>
  <c r="P18" i="59"/>
  <c r="P17" i="59"/>
  <c r="P16" i="59"/>
  <c r="P15" i="59"/>
  <c r="P14" i="59"/>
  <c r="P13" i="59"/>
  <c r="P12" i="59"/>
  <c r="P11" i="59"/>
  <c r="P10" i="59"/>
  <c r="P9" i="59"/>
  <c r="P8" i="59"/>
  <c r="P7" i="59"/>
  <c r="P6" i="59"/>
  <c r="P5" i="59"/>
  <c r="P4" i="59"/>
  <c r="P3" i="59"/>
  <c r="P2" i="59"/>
  <c r="P1" i="59"/>
  <c r="P39" i="58"/>
  <c r="P38" i="58"/>
  <c r="P37" i="58"/>
  <c r="P36" i="58"/>
  <c r="P35" i="58"/>
  <c r="P34" i="58"/>
  <c r="P33" i="58"/>
  <c r="P32" i="58"/>
  <c r="P31" i="58"/>
  <c r="P30" i="58"/>
  <c r="P29" i="58"/>
  <c r="P28" i="58"/>
  <c r="P27" i="58"/>
  <c r="P26" i="58"/>
  <c r="P25" i="58"/>
  <c r="P24" i="58"/>
  <c r="P23" i="58"/>
  <c r="P22" i="58"/>
  <c r="P21" i="58"/>
  <c r="P20" i="58"/>
  <c r="P19" i="58"/>
  <c r="P18" i="58"/>
  <c r="P17" i="58"/>
  <c r="P16" i="58"/>
  <c r="P15" i="58"/>
  <c r="P14" i="58"/>
  <c r="P13" i="58"/>
  <c r="P12" i="58"/>
  <c r="P11" i="58"/>
  <c r="P10" i="58"/>
  <c r="P9" i="58"/>
  <c r="P8" i="58"/>
  <c r="P7" i="58"/>
  <c r="P6" i="58"/>
  <c r="P5" i="58"/>
  <c r="P4" i="58"/>
  <c r="P3" i="58"/>
  <c r="P2" i="58"/>
  <c r="P1" i="58"/>
  <c r="P39" i="57"/>
  <c r="P38" i="57"/>
  <c r="P37" i="57"/>
  <c r="P36" i="57"/>
  <c r="P35" i="57"/>
  <c r="P34" i="57"/>
  <c r="P33" i="57"/>
  <c r="P32" i="57"/>
  <c r="P31" i="57"/>
  <c r="P30" i="57"/>
  <c r="P29" i="57"/>
  <c r="P28" i="57"/>
  <c r="P27" i="57"/>
  <c r="P26" i="57"/>
  <c r="P25" i="57"/>
  <c r="P24" i="57"/>
  <c r="P23" i="57"/>
  <c r="P22" i="57"/>
  <c r="P21" i="57"/>
  <c r="P20" i="57"/>
  <c r="P19" i="57"/>
  <c r="P18" i="57"/>
  <c r="P17" i="57"/>
  <c r="P16" i="57"/>
  <c r="P15" i="57"/>
  <c r="P14" i="57"/>
  <c r="P13" i="57"/>
  <c r="P12" i="57"/>
  <c r="P11" i="57"/>
  <c r="P10" i="57"/>
  <c r="P9" i="57"/>
  <c r="P8" i="57"/>
  <c r="P7" i="57"/>
  <c r="P6" i="57"/>
  <c r="P5" i="57"/>
  <c r="P4" i="57"/>
  <c r="P3" i="57"/>
  <c r="P2" i="57"/>
  <c r="P1" i="57"/>
  <c r="P39" i="56"/>
  <c r="P38" i="56"/>
  <c r="P37" i="56"/>
  <c r="P36" i="56"/>
  <c r="P35" i="56"/>
  <c r="P34" i="56"/>
  <c r="P33" i="56"/>
  <c r="P32" i="56"/>
  <c r="P31" i="56"/>
  <c r="P30" i="56"/>
  <c r="P29" i="56"/>
  <c r="P28" i="56"/>
  <c r="P27" i="56"/>
  <c r="P26" i="56"/>
  <c r="P25" i="56"/>
  <c r="P24" i="56"/>
  <c r="P23" i="56"/>
  <c r="P22" i="56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P7" i="56"/>
  <c r="P6" i="56"/>
  <c r="P5" i="56"/>
  <c r="P4" i="56"/>
  <c r="P3" i="56"/>
  <c r="P2" i="56"/>
  <c r="P1" i="56"/>
  <c r="P39" i="55"/>
  <c r="P38" i="55"/>
  <c r="P37" i="55"/>
  <c r="P36" i="55"/>
  <c r="P35" i="55"/>
  <c r="P34" i="55"/>
  <c r="P33" i="55"/>
  <c r="P32" i="55"/>
  <c r="P31" i="55"/>
  <c r="P30" i="55"/>
  <c r="P29" i="55"/>
  <c r="P28" i="55"/>
  <c r="P27" i="55"/>
  <c r="P26" i="55"/>
  <c r="P25" i="55"/>
  <c r="P24" i="55"/>
  <c r="P23" i="55"/>
  <c r="P22" i="55"/>
  <c r="P21" i="55"/>
  <c r="P20" i="55"/>
  <c r="P19" i="55"/>
  <c r="P18" i="55"/>
  <c r="P17" i="55"/>
  <c r="P16" i="55"/>
  <c r="P15" i="55"/>
  <c r="P14" i="55"/>
  <c r="P13" i="55"/>
  <c r="P12" i="55"/>
  <c r="P11" i="55"/>
  <c r="P10" i="55"/>
  <c r="P9" i="55"/>
  <c r="P8" i="55"/>
  <c r="P7" i="55"/>
  <c r="P6" i="55"/>
  <c r="P5" i="55"/>
  <c r="P4" i="55"/>
  <c r="P3" i="55"/>
  <c r="P2" i="55"/>
  <c r="P1" i="55"/>
  <c r="P39" i="54"/>
  <c r="P38" i="54"/>
  <c r="P37" i="54"/>
  <c r="P36" i="54"/>
  <c r="P35" i="54"/>
  <c r="P34" i="54"/>
  <c r="P33" i="54"/>
  <c r="P32" i="54"/>
  <c r="P31" i="54"/>
  <c r="P30" i="54"/>
  <c r="P29" i="54"/>
  <c r="P28" i="54"/>
  <c r="P27" i="54"/>
  <c r="P26" i="54"/>
  <c r="P25" i="54"/>
  <c r="P24" i="54"/>
  <c r="P23" i="54"/>
  <c r="P22" i="54"/>
  <c r="P21" i="54"/>
  <c r="P20" i="54"/>
  <c r="P19" i="54"/>
  <c r="P18" i="54"/>
  <c r="P17" i="54"/>
  <c r="P16" i="54"/>
  <c r="P15" i="54"/>
  <c r="P14" i="54"/>
  <c r="P13" i="54"/>
  <c r="P12" i="54"/>
  <c r="P11" i="54"/>
  <c r="P10" i="54"/>
  <c r="P9" i="54"/>
  <c r="P8" i="54"/>
  <c r="P7" i="54"/>
  <c r="P6" i="54"/>
  <c r="P5" i="54"/>
  <c r="P4" i="54"/>
  <c r="P3" i="54"/>
  <c r="P2" i="54"/>
  <c r="P1" i="54"/>
  <c r="P39" i="53"/>
  <c r="P38" i="53"/>
  <c r="P37" i="53"/>
  <c r="P36" i="53"/>
  <c r="P35" i="53"/>
  <c r="P34" i="53"/>
  <c r="P33" i="53"/>
  <c r="P32" i="53"/>
  <c r="P31" i="53"/>
  <c r="P30" i="53"/>
  <c r="P29" i="53"/>
  <c r="P28" i="53"/>
  <c r="P27" i="53"/>
  <c r="P26" i="53"/>
  <c r="P25" i="53"/>
  <c r="P24" i="53"/>
  <c r="P23" i="53"/>
  <c r="P22" i="53"/>
  <c r="P21" i="53"/>
  <c r="P20" i="53"/>
  <c r="P19" i="53"/>
  <c r="P18" i="53"/>
  <c r="P17" i="53"/>
  <c r="P16" i="53"/>
  <c r="P15" i="53"/>
  <c r="P14" i="53"/>
  <c r="P13" i="53"/>
  <c r="P12" i="53"/>
  <c r="P11" i="53"/>
  <c r="P10" i="53"/>
  <c r="P9" i="53"/>
  <c r="P8" i="53"/>
  <c r="P7" i="53"/>
  <c r="P6" i="53"/>
  <c r="P5" i="53"/>
  <c r="P4" i="53"/>
  <c r="P3" i="53"/>
  <c r="P2" i="53"/>
  <c r="P1" i="53"/>
  <c r="P39" i="52"/>
  <c r="P38" i="52"/>
  <c r="P37" i="52"/>
  <c r="P36" i="52"/>
  <c r="P35" i="52"/>
  <c r="P34" i="52"/>
  <c r="P33" i="52"/>
  <c r="P32" i="52"/>
  <c r="P31" i="52"/>
  <c r="P30" i="52"/>
  <c r="P29" i="52"/>
  <c r="P28" i="52"/>
  <c r="P27" i="52"/>
  <c r="P26" i="52"/>
  <c r="P25" i="52"/>
  <c r="P24" i="52"/>
  <c r="P23" i="52"/>
  <c r="P22" i="52"/>
  <c r="P21" i="52"/>
  <c r="P20" i="52"/>
  <c r="P19" i="52"/>
  <c r="P18" i="52"/>
  <c r="P17" i="52"/>
  <c r="P16" i="52"/>
  <c r="P15" i="52"/>
  <c r="P14" i="52"/>
  <c r="P13" i="52"/>
  <c r="P12" i="52"/>
  <c r="P11" i="52"/>
  <c r="P10" i="52"/>
  <c r="P9" i="52"/>
  <c r="P8" i="52"/>
  <c r="P7" i="52"/>
  <c r="P6" i="52"/>
  <c r="P5" i="52"/>
  <c r="P4" i="52"/>
  <c r="P3" i="52"/>
  <c r="P2" i="52"/>
  <c r="P1" i="52"/>
  <c r="P39" i="51"/>
  <c r="P38" i="51"/>
  <c r="P37" i="51"/>
  <c r="P36" i="51"/>
  <c r="P35" i="51"/>
  <c r="P34" i="51"/>
  <c r="P33" i="51"/>
  <c r="P32" i="51"/>
  <c r="P31" i="51"/>
  <c r="P30" i="51"/>
  <c r="P29" i="51"/>
  <c r="P28" i="51"/>
  <c r="P27" i="51"/>
  <c r="P26" i="51"/>
  <c r="P25" i="51"/>
  <c r="P24" i="51"/>
  <c r="P23" i="51"/>
  <c r="P22" i="51"/>
  <c r="P21" i="51"/>
  <c r="P20" i="51"/>
  <c r="P19" i="51"/>
  <c r="P18" i="51"/>
  <c r="P17" i="51"/>
  <c r="P16" i="51"/>
  <c r="P15" i="51"/>
  <c r="P14" i="51"/>
  <c r="P13" i="51"/>
  <c r="P12" i="51"/>
  <c r="P11" i="51"/>
  <c r="P10" i="51"/>
  <c r="P9" i="51"/>
  <c r="P8" i="51"/>
  <c r="P7" i="51"/>
  <c r="P6" i="51"/>
  <c r="P5" i="51"/>
  <c r="P4" i="51"/>
  <c r="P3" i="51"/>
  <c r="P2" i="51"/>
  <c r="P1" i="51"/>
  <c r="P39" i="50"/>
  <c r="P38" i="50"/>
  <c r="P37" i="50"/>
  <c r="P36" i="50"/>
  <c r="P35" i="50"/>
  <c r="P34" i="50"/>
  <c r="P33" i="50"/>
  <c r="P32" i="50"/>
  <c r="P31" i="50"/>
  <c r="P30" i="50"/>
  <c r="P29" i="50"/>
  <c r="P28" i="50"/>
  <c r="P27" i="50"/>
  <c r="P26" i="50"/>
  <c r="P25" i="50"/>
  <c r="P24" i="50"/>
  <c r="P23" i="50"/>
  <c r="P22" i="50"/>
  <c r="P21" i="50"/>
  <c r="P20" i="50"/>
  <c r="P19" i="50"/>
  <c r="P18" i="50"/>
  <c r="P17" i="50"/>
  <c r="P16" i="50"/>
  <c r="P15" i="50"/>
  <c r="P14" i="50"/>
  <c r="P13" i="50"/>
  <c r="P12" i="50"/>
  <c r="P11" i="50"/>
  <c r="P10" i="50"/>
  <c r="P9" i="50"/>
  <c r="P8" i="50"/>
  <c r="P7" i="50"/>
  <c r="P6" i="50"/>
  <c r="P5" i="50"/>
  <c r="P4" i="50"/>
  <c r="P3" i="50"/>
  <c r="P2" i="50"/>
  <c r="P1" i="50"/>
  <c r="P39" i="49"/>
  <c r="P38" i="49"/>
  <c r="P37" i="49"/>
  <c r="P36" i="49"/>
  <c r="P35" i="49"/>
  <c r="P34" i="49"/>
  <c r="P33" i="49"/>
  <c r="P32" i="49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P6" i="49"/>
  <c r="P5" i="49"/>
  <c r="P4" i="49"/>
  <c r="P3" i="49"/>
  <c r="P2" i="49"/>
  <c r="P1" i="49"/>
  <c r="P39" i="48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20" i="48"/>
  <c r="P19" i="48"/>
  <c r="P18" i="48"/>
  <c r="P17" i="48"/>
  <c r="P16" i="48"/>
  <c r="P15" i="48"/>
  <c r="P14" i="48"/>
  <c r="P13" i="48"/>
  <c r="P12" i="48"/>
  <c r="P11" i="48"/>
  <c r="P10" i="48"/>
  <c r="P9" i="48"/>
  <c r="P8" i="48"/>
  <c r="P7" i="48"/>
  <c r="P6" i="48"/>
  <c r="P5" i="48"/>
  <c r="P4" i="48"/>
  <c r="P3" i="48"/>
  <c r="P2" i="48"/>
  <c r="P1" i="48"/>
  <c r="P39" i="47"/>
  <c r="P38" i="47"/>
  <c r="P37" i="47"/>
  <c r="P36" i="47"/>
  <c r="P35" i="47"/>
  <c r="P34" i="47"/>
  <c r="P33" i="47"/>
  <c r="P32" i="47"/>
  <c r="P31" i="47"/>
  <c r="P30" i="47"/>
  <c r="P29" i="47"/>
  <c r="P28" i="47"/>
  <c r="P27" i="47"/>
  <c r="P26" i="47"/>
  <c r="P25" i="47"/>
  <c r="P24" i="47"/>
  <c r="P23" i="47"/>
  <c r="P22" i="47"/>
  <c r="P21" i="47"/>
  <c r="P20" i="47"/>
  <c r="P19" i="47"/>
  <c r="P18" i="47"/>
  <c r="P17" i="47"/>
  <c r="P16" i="47"/>
  <c r="P15" i="47"/>
  <c r="P14" i="47"/>
  <c r="P13" i="47"/>
  <c r="P12" i="47"/>
  <c r="P11" i="47"/>
  <c r="P10" i="47"/>
  <c r="P9" i="47"/>
  <c r="P8" i="47"/>
  <c r="P7" i="47"/>
  <c r="P6" i="47"/>
  <c r="P5" i="47"/>
  <c r="P4" i="47"/>
  <c r="P3" i="47"/>
  <c r="P2" i="47"/>
  <c r="P1" i="47"/>
  <c r="P39" i="46"/>
  <c r="P38" i="46"/>
  <c r="P37" i="46"/>
  <c r="P36" i="46"/>
  <c r="P35" i="46"/>
  <c r="P34" i="46"/>
  <c r="P33" i="46"/>
  <c r="P32" i="46"/>
  <c r="P31" i="46"/>
  <c r="P30" i="46"/>
  <c r="P29" i="46"/>
  <c r="P28" i="46"/>
  <c r="P27" i="46"/>
  <c r="P26" i="46"/>
  <c r="P25" i="46"/>
  <c r="P24" i="46"/>
  <c r="P23" i="46"/>
  <c r="P22" i="46"/>
  <c r="P21" i="46"/>
  <c r="P20" i="46"/>
  <c r="P19" i="46"/>
  <c r="P18" i="46"/>
  <c r="P17" i="46"/>
  <c r="P16" i="46"/>
  <c r="P15" i="46"/>
  <c r="P14" i="46"/>
  <c r="P13" i="46"/>
  <c r="P12" i="46"/>
  <c r="P11" i="46"/>
  <c r="P10" i="46"/>
  <c r="P9" i="46"/>
  <c r="P8" i="46"/>
  <c r="P7" i="46"/>
  <c r="P6" i="46"/>
  <c r="P5" i="46"/>
  <c r="P4" i="46"/>
  <c r="P3" i="46"/>
  <c r="P2" i="46"/>
  <c r="P1" i="46"/>
  <c r="P39" i="45"/>
  <c r="P38" i="45"/>
  <c r="P37" i="45"/>
  <c r="P36" i="45"/>
  <c r="P35" i="45"/>
  <c r="P34" i="45"/>
  <c r="P33" i="45"/>
  <c r="P32" i="45"/>
  <c r="P31" i="45"/>
  <c r="P30" i="45"/>
  <c r="P29" i="45"/>
  <c r="P28" i="45"/>
  <c r="P27" i="45"/>
  <c r="P26" i="45"/>
  <c r="P25" i="45"/>
  <c r="P24" i="45"/>
  <c r="P23" i="45"/>
  <c r="P22" i="45"/>
  <c r="P21" i="45"/>
  <c r="P20" i="45"/>
  <c r="P19" i="45"/>
  <c r="P18" i="45"/>
  <c r="P17" i="45"/>
  <c r="P16" i="45"/>
  <c r="P15" i="45"/>
  <c r="P14" i="45"/>
  <c r="P13" i="45"/>
  <c r="P12" i="45"/>
  <c r="P11" i="45"/>
  <c r="P10" i="45"/>
  <c r="P9" i="45"/>
  <c r="P8" i="45"/>
  <c r="P7" i="45"/>
  <c r="P6" i="45"/>
  <c r="P5" i="45"/>
  <c r="P4" i="45"/>
  <c r="P3" i="45"/>
  <c r="P2" i="45"/>
  <c r="P1" i="45"/>
  <c r="P39" i="44"/>
  <c r="P38" i="44"/>
  <c r="P37" i="44"/>
  <c r="P36" i="44"/>
  <c r="P35" i="44"/>
  <c r="P34" i="44"/>
  <c r="P33" i="44"/>
  <c r="P32" i="44"/>
  <c r="P31" i="44"/>
  <c r="P30" i="44"/>
  <c r="P29" i="44"/>
  <c r="P28" i="44"/>
  <c r="P27" i="44"/>
  <c r="P26" i="44"/>
  <c r="P25" i="44"/>
  <c r="P24" i="44"/>
  <c r="P23" i="44"/>
  <c r="P22" i="44"/>
  <c r="P21" i="44"/>
  <c r="P20" i="44"/>
  <c r="P19" i="44"/>
  <c r="P18" i="44"/>
  <c r="P17" i="44"/>
  <c r="P16" i="44"/>
  <c r="P15" i="44"/>
  <c r="P14" i="44"/>
  <c r="P13" i="44"/>
  <c r="P12" i="44"/>
  <c r="P11" i="44"/>
  <c r="P10" i="44"/>
  <c r="P9" i="44"/>
  <c r="P8" i="44"/>
  <c r="P7" i="44"/>
  <c r="P6" i="44"/>
  <c r="P5" i="44"/>
  <c r="P4" i="44"/>
  <c r="P3" i="44"/>
  <c r="P2" i="44"/>
  <c r="P1" i="44"/>
  <c r="P39" i="43"/>
  <c r="P38" i="43"/>
  <c r="P37" i="43"/>
  <c r="P36" i="43"/>
  <c r="P35" i="43"/>
  <c r="P34" i="43"/>
  <c r="P33" i="43"/>
  <c r="P32" i="43"/>
  <c r="P31" i="43"/>
  <c r="P30" i="43"/>
  <c r="P29" i="43"/>
  <c r="P28" i="43"/>
  <c r="P27" i="43"/>
  <c r="P26" i="43"/>
  <c r="P25" i="43"/>
  <c r="P24" i="43"/>
  <c r="P23" i="43"/>
  <c r="P22" i="43"/>
  <c r="P21" i="43"/>
  <c r="P20" i="43"/>
  <c r="P19" i="43"/>
  <c r="P18" i="43"/>
  <c r="P17" i="43"/>
  <c r="P16" i="43"/>
  <c r="P15" i="43"/>
  <c r="P14" i="43"/>
  <c r="P13" i="43"/>
  <c r="P12" i="43"/>
  <c r="P11" i="43"/>
  <c r="P10" i="43"/>
  <c r="P9" i="43"/>
  <c r="P8" i="43"/>
  <c r="P7" i="43"/>
  <c r="P6" i="43"/>
  <c r="P5" i="43"/>
  <c r="P4" i="43"/>
  <c r="P3" i="43"/>
  <c r="P2" i="43"/>
  <c r="P1" i="43"/>
  <c r="P39" i="42"/>
  <c r="P38" i="42"/>
  <c r="P37" i="42"/>
  <c r="P36" i="42"/>
  <c r="P35" i="42"/>
  <c r="P34" i="42"/>
  <c r="P33" i="42"/>
  <c r="P32" i="42"/>
  <c r="P31" i="42"/>
  <c r="P30" i="42"/>
  <c r="P29" i="42"/>
  <c r="P28" i="42"/>
  <c r="P27" i="42"/>
  <c r="P26" i="42"/>
  <c r="P25" i="42"/>
  <c r="P24" i="42"/>
  <c r="P23" i="42"/>
  <c r="P22" i="42"/>
  <c r="P21" i="42"/>
  <c r="P20" i="42"/>
  <c r="P19" i="42"/>
  <c r="P18" i="42"/>
  <c r="P17" i="42"/>
  <c r="P16" i="42"/>
  <c r="P15" i="42"/>
  <c r="P14" i="42"/>
  <c r="P13" i="42"/>
  <c r="P12" i="42"/>
  <c r="P11" i="42"/>
  <c r="P10" i="42"/>
  <c r="P9" i="42"/>
  <c r="P8" i="42"/>
  <c r="P7" i="42"/>
  <c r="P6" i="42"/>
  <c r="P5" i="42"/>
  <c r="P4" i="42"/>
  <c r="P3" i="42"/>
  <c r="P2" i="42"/>
  <c r="P1" i="42"/>
  <c r="P39" i="41"/>
  <c r="P38" i="41"/>
  <c r="P37" i="41"/>
  <c r="P36" i="41"/>
  <c r="P35" i="41"/>
  <c r="P34" i="41"/>
  <c r="P33" i="41"/>
  <c r="P32" i="41"/>
  <c r="P31" i="41"/>
  <c r="P30" i="41"/>
  <c r="P29" i="41"/>
  <c r="P28" i="41"/>
  <c r="P27" i="41"/>
  <c r="P26" i="41"/>
  <c r="P25" i="41"/>
  <c r="P24" i="41"/>
  <c r="P23" i="41"/>
  <c r="P22" i="41"/>
  <c r="P21" i="41"/>
  <c r="P20" i="41"/>
  <c r="P19" i="41"/>
  <c r="P18" i="41"/>
  <c r="P17" i="41"/>
  <c r="P16" i="41"/>
  <c r="P15" i="41"/>
  <c r="P14" i="41"/>
  <c r="P13" i="41"/>
  <c r="P12" i="41"/>
  <c r="P11" i="41"/>
  <c r="P10" i="41"/>
  <c r="P9" i="41"/>
  <c r="P8" i="41"/>
  <c r="P7" i="41"/>
  <c r="P6" i="41"/>
  <c r="P5" i="41"/>
  <c r="P4" i="41"/>
  <c r="P3" i="41"/>
  <c r="P2" i="41"/>
  <c r="P1" i="41"/>
  <c r="P39" i="40"/>
  <c r="P38" i="40"/>
  <c r="P37" i="40"/>
  <c r="P36" i="40"/>
  <c r="P35" i="40"/>
  <c r="P34" i="40"/>
  <c r="P33" i="40"/>
  <c r="P32" i="40"/>
  <c r="P31" i="40"/>
  <c r="P30" i="40"/>
  <c r="P29" i="40"/>
  <c r="P28" i="40"/>
  <c r="P27" i="40"/>
  <c r="P26" i="40"/>
  <c r="P25" i="40"/>
  <c r="P24" i="40"/>
  <c r="P23" i="40"/>
  <c r="P22" i="40"/>
  <c r="P21" i="40"/>
  <c r="P20" i="40"/>
  <c r="P19" i="40"/>
  <c r="P18" i="40"/>
  <c r="P17" i="40"/>
  <c r="P16" i="40"/>
  <c r="P15" i="40"/>
  <c r="P14" i="40"/>
  <c r="P13" i="40"/>
  <c r="P12" i="40"/>
  <c r="P11" i="40"/>
  <c r="P10" i="40"/>
  <c r="P9" i="40"/>
  <c r="P8" i="40"/>
  <c r="P7" i="40"/>
  <c r="P6" i="40"/>
  <c r="P5" i="40"/>
  <c r="P4" i="40"/>
  <c r="P3" i="40"/>
  <c r="P2" i="40"/>
  <c r="P1" i="40"/>
  <c r="P39" i="39"/>
  <c r="P38" i="39"/>
  <c r="P37" i="39"/>
  <c r="P36" i="39"/>
  <c r="P35" i="39"/>
  <c r="P34" i="39"/>
  <c r="P33" i="39"/>
  <c r="P32" i="39"/>
  <c r="P31" i="39"/>
  <c r="P30" i="39"/>
  <c r="P29" i="39"/>
  <c r="P28" i="39"/>
  <c r="P27" i="39"/>
  <c r="P26" i="39"/>
  <c r="P25" i="39"/>
  <c r="P24" i="39"/>
  <c r="P23" i="39"/>
  <c r="P22" i="39"/>
  <c r="P21" i="39"/>
  <c r="P20" i="39"/>
  <c r="P19" i="39"/>
  <c r="P18" i="39"/>
  <c r="P17" i="39"/>
  <c r="P16" i="39"/>
  <c r="P15" i="39"/>
  <c r="P14" i="39"/>
  <c r="P13" i="39"/>
  <c r="P12" i="39"/>
  <c r="P11" i="39"/>
  <c r="P10" i="39"/>
  <c r="P9" i="39"/>
  <c r="P8" i="39"/>
  <c r="P7" i="39"/>
  <c r="P6" i="39"/>
  <c r="P5" i="39"/>
  <c r="P4" i="39"/>
  <c r="P3" i="39"/>
  <c r="P2" i="39"/>
  <c r="P1" i="39"/>
  <c r="P39" i="38"/>
  <c r="P38" i="38"/>
  <c r="P37" i="38"/>
  <c r="P36" i="38"/>
  <c r="P35" i="38"/>
  <c r="P34" i="38"/>
  <c r="P33" i="38"/>
  <c r="P32" i="38"/>
  <c r="P31" i="38"/>
  <c r="P30" i="38"/>
  <c r="P29" i="38"/>
  <c r="P28" i="38"/>
  <c r="P27" i="38"/>
  <c r="P26" i="38"/>
  <c r="P25" i="38"/>
  <c r="P24" i="38"/>
  <c r="P23" i="38"/>
  <c r="P22" i="38"/>
  <c r="P21" i="38"/>
  <c r="P20" i="38"/>
  <c r="P19" i="38"/>
  <c r="P18" i="38"/>
  <c r="P17" i="38"/>
  <c r="P16" i="38"/>
  <c r="P15" i="38"/>
  <c r="P14" i="38"/>
  <c r="P13" i="38"/>
  <c r="P12" i="38"/>
  <c r="P11" i="38"/>
  <c r="P10" i="38"/>
  <c r="P9" i="38"/>
  <c r="P8" i="38"/>
  <c r="P7" i="38"/>
  <c r="P6" i="38"/>
  <c r="P5" i="38"/>
  <c r="P4" i="38"/>
  <c r="P3" i="38"/>
  <c r="P2" i="38"/>
  <c r="P1" i="38"/>
  <c r="P39" i="37"/>
  <c r="P38" i="37"/>
  <c r="P37" i="37"/>
  <c r="P36" i="37"/>
  <c r="P35" i="37"/>
  <c r="P34" i="37"/>
  <c r="P33" i="37"/>
  <c r="P32" i="37"/>
  <c r="P31" i="37"/>
  <c r="P30" i="37"/>
  <c r="P29" i="37"/>
  <c r="P28" i="37"/>
  <c r="P27" i="37"/>
  <c r="P26" i="37"/>
  <c r="P25" i="37"/>
  <c r="P24" i="37"/>
  <c r="P23" i="37"/>
  <c r="P22" i="37"/>
  <c r="P21" i="37"/>
  <c r="P20" i="37"/>
  <c r="P19" i="37"/>
  <c r="P18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3" i="37"/>
  <c r="P2" i="37"/>
  <c r="P1" i="37"/>
  <c r="P39" i="36"/>
  <c r="P38" i="36"/>
  <c r="P37" i="36"/>
  <c r="P36" i="36"/>
  <c r="P35" i="36"/>
  <c r="P34" i="36"/>
  <c r="P33" i="36"/>
  <c r="P32" i="36"/>
  <c r="P31" i="36"/>
  <c r="P30" i="36"/>
  <c r="P29" i="36"/>
  <c r="P28" i="36"/>
  <c r="P27" i="36"/>
  <c r="P26" i="36"/>
  <c r="P25" i="36"/>
  <c r="P24" i="36"/>
  <c r="P23" i="36"/>
  <c r="P22" i="36"/>
  <c r="P21" i="36"/>
  <c r="P20" i="36"/>
  <c r="P19" i="36"/>
  <c r="P18" i="36"/>
  <c r="P17" i="36"/>
  <c r="P16" i="36"/>
  <c r="P15" i="36"/>
  <c r="P14" i="36"/>
  <c r="P13" i="36"/>
  <c r="P12" i="36"/>
  <c r="P11" i="36"/>
  <c r="P10" i="36"/>
  <c r="P9" i="36"/>
  <c r="P8" i="36"/>
  <c r="P7" i="36"/>
  <c r="P6" i="36"/>
  <c r="P5" i="36"/>
  <c r="P4" i="36"/>
  <c r="P3" i="36"/>
  <c r="P2" i="36"/>
  <c r="P1" i="36"/>
  <c r="P39" i="35"/>
  <c r="P38" i="35"/>
  <c r="P37" i="35"/>
  <c r="P36" i="35"/>
  <c r="P35" i="35"/>
  <c r="P34" i="35"/>
  <c r="P33" i="35"/>
  <c r="P32" i="35"/>
  <c r="P31" i="35"/>
  <c r="P30" i="35"/>
  <c r="P29" i="35"/>
  <c r="P28" i="35"/>
  <c r="P27" i="35"/>
  <c r="P26" i="35"/>
  <c r="P25" i="35"/>
  <c r="P24" i="35"/>
  <c r="P23" i="35"/>
  <c r="P22" i="35"/>
  <c r="P21" i="35"/>
  <c r="P20" i="35"/>
  <c r="P19" i="35"/>
  <c r="P18" i="35"/>
  <c r="P17" i="35"/>
  <c r="P16" i="35"/>
  <c r="P15" i="35"/>
  <c r="P14" i="35"/>
  <c r="P13" i="35"/>
  <c r="P12" i="35"/>
  <c r="P11" i="35"/>
  <c r="P10" i="35"/>
  <c r="P9" i="35"/>
  <c r="P8" i="35"/>
  <c r="P7" i="35"/>
  <c r="P6" i="35"/>
  <c r="P5" i="35"/>
  <c r="P4" i="35"/>
  <c r="P3" i="35"/>
  <c r="P2" i="35"/>
  <c r="P1" i="35"/>
  <c r="P39" i="34"/>
  <c r="P38" i="34"/>
  <c r="P37" i="34"/>
  <c r="P36" i="34"/>
  <c r="P35" i="34"/>
  <c r="P34" i="34"/>
  <c r="P33" i="34"/>
  <c r="P32" i="34"/>
  <c r="P31" i="34"/>
  <c r="P30" i="34"/>
  <c r="P29" i="34"/>
  <c r="P28" i="34"/>
  <c r="P27" i="34"/>
  <c r="P26" i="34"/>
  <c r="P25" i="34"/>
  <c r="P24" i="34"/>
  <c r="P23" i="34"/>
  <c r="P22" i="34"/>
  <c r="P21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P2" i="34"/>
  <c r="P1" i="34"/>
  <c r="P39" i="33"/>
  <c r="P38" i="33"/>
  <c r="P37" i="33"/>
  <c r="P36" i="33"/>
  <c r="P35" i="33"/>
  <c r="P34" i="33"/>
  <c r="P33" i="33"/>
  <c r="P32" i="33"/>
  <c r="P31" i="33"/>
  <c r="P30" i="33"/>
  <c r="P29" i="33"/>
  <c r="P28" i="33"/>
  <c r="P27" i="33"/>
  <c r="P26" i="33"/>
  <c r="P25" i="33"/>
  <c r="P24" i="33"/>
  <c r="P23" i="33"/>
  <c r="P22" i="33"/>
  <c r="P21" i="33"/>
  <c r="P20" i="33"/>
  <c r="P19" i="33"/>
  <c r="P18" i="33"/>
  <c r="P17" i="33"/>
  <c r="P16" i="33"/>
  <c r="P15" i="33"/>
  <c r="P14" i="33"/>
  <c r="P13" i="33"/>
  <c r="P12" i="33"/>
  <c r="P11" i="33"/>
  <c r="P10" i="33"/>
  <c r="P9" i="33"/>
  <c r="P8" i="33"/>
  <c r="P7" i="33"/>
  <c r="P6" i="33"/>
  <c r="P5" i="33"/>
  <c r="P4" i="33"/>
  <c r="P3" i="33"/>
  <c r="P2" i="33"/>
  <c r="P1" i="33"/>
  <c r="P39" i="32"/>
  <c r="P38" i="32"/>
  <c r="P37" i="32"/>
  <c r="P36" i="32"/>
  <c r="P35" i="32"/>
  <c r="P34" i="32"/>
  <c r="P33" i="32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9" i="32"/>
  <c r="P8" i="32"/>
  <c r="P7" i="32"/>
  <c r="P6" i="32"/>
  <c r="P5" i="32"/>
  <c r="P4" i="32"/>
  <c r="P3" i="32"/>
  <c r="P2" i="32"/>
  <c r="P1" i="32"/>
  <c r="P39" i="31"/>
  <c r="P38" i="31"/>
  <c r="P37" i="31"/>
  <c r="P36" i="31"/>
  <c r="P35" i="31"/>
  <c r="P34" i="3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  <c r="P1" i="31"/>
  <c r="P39" i="30"/>
  <c r="P38" i="30"/>
  <c r="P37" i="30"/>
  <c r="P36" i="30"/>
  <c r="P35" i="30"/>
  <c r="P34" i="30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9" i="30"/>
  <c r="P8" i="30"/>
  <c r="P7" i="30"/>
  <c r="P6" i="30"/>
  <c r="P5" i="30"/>
  <c r="P4" i="30"/>
  <c r="P3" i="30"/>
  <c r="P2" i="30"/>
  <c r="P1" i="30"/>
  <c r="P39" i="29"/>
  <c r="P38" i="29"/>
  <c r="P37" i="29"/>
  <c r="P36" i="29"/>
  <c r="P35" i="29"/>
  <c r="P34" i="29"/>
  <c r="P33" i="29"/>
  <c r="P32" i="29"/>
  <c r="P31" i="29"/>
  <c r="P30" i="29"/>
  <c r="P29" i="29"/>
  <c r="P28" i="29"/>
  <c r="P27" i="29"/>
  <c r="P26" i="29"/>
  <c r="P25" i="29"/>
  <c r="P24" i="29"/>
  <c r="P23" i="29"/>
  <c r="P22" i="29"/>
  <c r="P21" i="29"/>
  <c r="P20" i="29"/>
  <c r="P19" i="29"/>
  <c r="P18" i="29"/>
  <c r="P17" i="29"/>
  <c r="P16" i="29"/>
  <c r="P15" i="29"/>
  <c r="P14" i="29"/>
  <c r="P13" i="29"/>
  <c r="P12" i="29"/>
  <c r="P11" i="29"/>
  <c r="P10" i="29"/>
  <c r="P9" i="29"/>
  <c r="P8" i="29"/>
  <c r="P7" i="29"/>
  <c r="P6" i="29"/>
  <c r="P5" i="29"/>
  <c r="P4" i="29"/>
  <c r="P3" i="29"/>
  <c r="P2" i="29"/>
  <c r="P1" i="29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P5" i="28"/>
  <c r="P4" i="28"/>
  <c r="P3" i="28"/>
  <c r="P2" i="28"/>
  <c r="P1" i="28"/>
  <c r="P39" i="27"/>
  <c r="P38" i="27"/>
  <c r="P37" i="27"/>
  <c r="P36" i="27"/>
  <c r="P35" i="27"/>
  <c r="P34" i="27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  <c r="P2" i="27"/>
  <c r="P1" i="27"/>
  <c r="P39" i="26"/>
  <c r="P38" i="26"/>
  <c r="P37" i="26"/>
  <c r="P36" i="26"/>
  <c r="P35" i="26"/>
  <c r="P34" i="26"/>
  <c r="P33" i="26"/>
  <c r="P32" i="26"/>
  <c r="P31" i="26"/>
  <c r="P30" i="26"/>
  <c r="P29" i="26"/>
  <c r="P28" i="26"/>
  <c r="P27" i="26"/>
  <c r="P26" i="26"/>
  <c r="P25" i="26"/>
  <c r="P24" i="26"/>
  <c r="P23" i="26"/>
  <c r="P22" i="26"/>
  <c r="P21" i="26"/>
  <c r="P20" i="26"/>
  <c r="P19" i="26"/>
  <c r="P18" i="26"/>
  <c r="P17" i="26"/>
  <c r="P16" i="26"/>
  <c r="P15" i="26"/>
  <c r="P14" i="26"/>
  <c r="P13" i="26"/>
  <c r="P12" i="26"/>
  <c r="P11" i="26"/>
  <c r="P10" i="26"/>
  <c r="P9" i="26"/>
  <c r="P8" i="26"/>
  <c r="P7" i="26"/>
  <c r="P6" i="26"/>
  <c r="P5" i="26"/>
  <c r="P4" i="26"/>
  <c r="P3" i="26"/>
  <c r="P2" i="26"/>
  <c r="P1" i="26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P5" i="25"/>
  <c r="P4" i="25"/>
  <c r="P3" i="25"/>
  <c r="P2" i="25"/>
  <c r="P1" i="25"/>
  <c r="P39" i="24"/>
  <c r="P38" i="24"/>
  <c r="P37" i="24"/>
  <c r="P36" i="24"/>
  <c r="P35" i="24"/>
  <c r="P34" i="24"/>
  <c r="P33" i="24"/>
  <c r="P32" i="24"/>
  <c r="P31" i="24"/>
  <c r="P30" i="24"/>
  <c r="P29" i="24"/>
  <c r="P28" i="24"/>
  <c r="P27" i="24"/>
  <c r="P26" i="24"/>
  <c r="P25" i="24"/>
  <c r="P24" i="24"/>
  <c r="P23" i="24"/>
  <c r="P22" i="24"/>
  <c r="P21" i="24"/>
  <c r="P20" i="24"/>
  <c r="P19" i="24"/>
  <c r="P18" i="24"/>
  <c r="P17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P2" i="24"/>
  <c r="P1" i="24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9" i="23"/>
  <c r="P8" i="23"/>
  <c r="P7" i="23"/>
  <c r="P6" i="23"/>
  <c r="P5" i="23"/>
  <c r="P4" i="23"/>
  <c r="P3" i="23"/>
  <c r="P2" i="23"/>
  <c r="P1" i="23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9" i="22"/>
  <c r="P8" i="22"/>
  <c r="P7" i="22"/>
  <c r="P6" i="22"/>
  <c r="P5" i="22"/>
  <c r="P4" i="22"/>
  <c r="P3" i="22"/>
  <c r="P2" i="22"/>
  <c r="P1" i="22"/>
  <c r="P39" i="21"/>
  <c r="P38" i="21"/>
  <c r="P37" i="21"/>
  <c r="P36" i="21"/>
  <c r="P35" i="21"/>
  <c r="P34" i="21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P5" i="21"/>
  <c r="P4" i="21"/>
  <c r="P3" i="21"/>
  <c r="P2" i="21"/>
  <c r="P1" i="21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P3" i="20"/>
  <c r="P2" i="20"/>
  <c r="P1" i="20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P5" i="19"/>
  <c r="P4" i="19"/>
  <c r="P3" i="19"/>
  <c r="P2" i="19"/>
  <c r="P1" i="19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4" i="18"/>
  <c r="P3" i="18"/>
  <c r="P2" i="18"/>
  <c r="P1" i="18"/>
  <c r="P39" i="17"/>
  <c r="P38" i="17"/>
  <c r="P37" i="17"/>
  <c r="P36" i="17"/>
  <c r="P35" i="17"/>
  <c r="P34" i="17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P1" i="17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9" i="16"/>
  <c r="P8" i="16"/>
  <c r="P7" i="16"/>
  <c r="P6" i="16"/>
  <c r="P5" i="16"/>
  <c r="P4" i="16"/>
  <c r="P3" i="16"/>
  <c r="P2" i="16"/>
  <c r="P1" i="16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2" i="15"/>
  <c r="P1" i="15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2" i="14"/>
  <c r="P1" i="14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P4" i="12"/>
  <c r="P3" i="12"/>
  <c r="P2" i="12"/>
  <c r="P1" i="12"/>
  <c r="BG3" i="8"/>
  <c r="BG4" i="8" s="1"/>
  <c r="BG5" i="8" s="1"/>
  <c r="BG6" i="8" s="1"/>
  <c r="BG7" i="8" s="1"/>
  <c r="BG8" i="8" s="1"/>
  <c r="BG9" i="8" s="1"/>
  <c r="BG10" i="8" s="1"/>
  <c r="BG11" i="8" s="1"/>
  <c r="BG12" i="8" s="1"/>
  <c r="BG13" i="8" s="1"/>
  <c r="BG14" i="8" s="1"/>
  <c r="BG15" i="8" s="1"/>
  <c r="BG16" i="8" s="1"/>
  <c r="BG17" i="8" s="1"/>
  <c r="BG18" i="8" s="1"/>
  <c r="BG19" i="8" s="1"/>
  <c r="BG20" i="8" s="1"/>
  <c r="BG21" i="8" s="1"/>
  <c r="BG22" i="8" s="1"/>
  <c r="BG23" i="8" s="1"/>
  <c r="BG24" i="8" s="1"/>
  <c r="BG25" i="8" s="1"/>
  <c r="BG26" i="8" s="1"/>
  <c r="BG27" i="8" s="1"/>
  <c r="BG28" i="8" s="1"/>
  <c r="BG29" i="8" s="1"/>
  <c r="BG30" i="8" s="1"/>
  <c r="BG31" i="8" s="1"/>
  <c r="BG32" i="8" s="1"/>
  <c r="BG33" i="8" s="1"/>
  <c r="BG34" i="8" s="1"/>
  <c r="BG35" i="8" s="1"/>
  <c r="BG36" i="8" s="1"/>
  <c r="BG37" i="8" s="1"/>
  <c r="BG38" i="8" s="1"/>
  <c r="BG39" i="8" s="1"/>
  <c r="BG40" i="8" s="1"/>
  <c r="BG41" i="8" s="1"/>
  <c r="BG42" i="8" s="1"/>
  <c r="BG43" i="8" s="1"/>
  <c r="BG44" i="8" s="1"/>
  <c r="BG45" i="8" s="1"/>
  <c r="BG46" i="8" s="1"/>
  <c r="BG47" i="8" s="1"/>
  <c r="BG48" i="8" s="1"/>
  <c r="BG49" i="8" s="1"/>
  <c r="BG50" i="8" s="1"/>
  <c r="BG51" i="8" s="1"/>
  <c r="BG52" i="8" s="1"/>
  <c r="BG53" i="8" s="1"/>
  <c r="BG54" i="8" s="1"/>
  <c r="BG55" i="8" s="1"/>
  <c r="BG56" i="8" s="1"/>
  <c r="BG57" i="8" s="1"/>
  <c r="BG58" i="8" s="1"/>
  <c r="BG59" i="8" s="1"/>
  <c r="BG60" i="8" s="1"/>
  <c r="BG61" i="8" s="1"/>
  <c r="BG62" i="8" s="1"/>
  <c r="BG63" i="8" s="1"/>
  <c r="BG64" i="8" s="1"/>
  <c r="BG65" i="8" s="1"/>
  <c r="BG66" i="8" s="1"/>
  <c r="BG67" i="8" s="1"/>
  <c r="BG68" i="8" s="1"/>
  <c r="BG69" i="8" s="1"/>
  <c r="BG70" i="8" s="1"/>
  <c r="BG71" i="8" s="1"/>
  <c r="BG72" i="8" s="1"/>
  <c r="BG73" i="8" s="1"/>
  <c r="BG74" i="8" s="1"/>
  <c r="BG75" i="8" s="1"/>
  <c r="BG76" i="8" s="1"/>
  <c r="BG77" i="8" s="1"/>
  <c r="BG78" i="8" s="1"/>
  <c r="BG79" i="8" s="1"/>
  <c r="BG80" i="8" s="1"/>
  <c r="BG81" i="8" s="1"/>
  <c r="BG82" i="8" s="1"/>
  <c r="BG83" i="8" s="1"/>
  <c r="BG84" i="8" s="1"/>
  <c r="BG85" i="8" s="1"/>
  <c r="BG86" i="8" s="1"/>
  <c r="BG87" i="8" s="1"/>
  <c r="BG88" i="8" s="1"/>
  <c r="BG89" i="8" s="1"/>
  <c r="BG90" i="8" s="1"/>
  <c r="BG91" i="8" s="1"/>
  <c r="BG92" i="8" s="1"/>
  <c r="BG93" i="8" s="1"/>
  <c r="BG94" i="8" s="1"/>
  <c r="BG95" i="8" s="1"/>
  <c r="BG96" i="8" s="1"/>
  <c r="BG97" i="8" s="1"/>
  <c r="BG98" i="8" s="1"/>
  <c r="BG99" i="8" s="1"/>
  <c r="BG100" i="8" s="1"/>
  <c r="BG101" i="8" s="1"/>
  <c r="BG2" i="8"/>
  <c r="BG52" i="7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6" i="7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3" i="7"/>
  <c r="BG4" i="7" s="1"/>
  <c r="BG5" i="7" s="1"/>
  <c r="BG2" i="7"/>
  <c r="S25" i="6"/>
  <c r="R25" i="6"/>
  <c r="Q25" i="6"/>
  <c r="P25" i="6"/>
  <c r="O25" i="6"/>
  <c r="N25" i="6"/>
  <c r="M25" i="6"/>
  <c r="L25" i="6"/>
  <c r="S24" i="6"/>
  <c r="R24" i="6"/>
  <c r="Q24" i="6"/>
  <c r="P24" i="6"/>
  <c r="O24" i="6"/>
  <c r="N24" i="6"/>
  <c r="M24" i="6"/>
  <c r="L24" i="6"/>
  <c r="S23" i="6"/>
  <c r="R23" i="6"/>
  <c r="Q23" i="6"/>
  <c r="P23" i="6"/>
  <c r="O23" i="6"/>
  <c r="N23" i="6"/>
  <c r="M23" i="6"/>
  <c r="L23" i="6"/>
  <c r="S22" i="6"/>
  <c r="R22" i="6"/>
  <c r="Q22" i="6"/>
  <c r="P22" i="6"/>
  <c r="O22" i="6"/>
  <c r="N22" i="6"/>
  <c r="M22" i="6"/>
  <c r="L22" i="6"/>
  <c r="S21" i="6"/>
  <c r="R21" i="6"/>
  <c r="Q21" i="6"/>
  <c r="P21" i="6"/>
  <c r="O21" i="6"/>
  <c r="N21" i="6"/>
  <c r="M21" i="6"/>
  <c r="L21" i="6"/>
  <c r="S20" i="6"/>
  <c r="R20" i="6"/>
  <c r="Q20" i="6"/>
  <c r="P20" i="6"/>
  <c r="O20" i="6"/>
  <c r="N20" i="6"/>
  <c r="M20" i="6"/>
  <c r="L20" i="6"/>
  <c r="S19" i="6"/>
  <c r="R19" i="6"/>
  <c r="Q19" i="6"/>
  <c r="P19" i="6"/>
  <c r="O19" i="6"/>
  <c r="N19" i="6"/>
  <c r="M19" i="6"/>
  <c r="L19" i="6"/>
  <c r="S18" i="6"/>
  <c r="R18" i="6"/>
  <c r="Q18" i="6"/>
  <c r="P18" i="6"/>
  <c r="O18" i="6"/>
  <c r="N18" i="6"/>
  <c r="M18" i="6"/>
  <c r="L18" i="6"/>
  <c r="S17" i="6"/>
  <c r="R17" i="6"/>
  <c r="Q17" i="6"/>
  <c r="P17" i="6"/>
  <c r="O17" i="6"/>
  <c r="N17" i="6"/>
  <c r="M17" i="6"/>
  <c r="L17" i="6"/>
  <c r="S16" i="6"/>
  <c r="R16" i="6"/>
  <c r="Q16" i="6"/>
  <c r="P16" i="6"/>
  <c r="O16" i="6"/>
  <c r="N16" i="6"/>
  <c r="M16" i="6"/>
  <c r="L16" i="6"/>
  <c r="S15" i="6"/>
  <c r="R15" i="6"/>
  <c r="Q15" i="6"/>
  <c r="P15" i="6"/>
  <c r="O15" i="6"/>
  <c r="N15" i="6"/>
  <c r="M15" i="6"/>
  <c r="L15" i="6"/>
  <c r="S14" i="6"/>
  <c r="R14" i="6"/>
  <c r="Q14" i="6"/>
  <c r="P14" i="6"/>
  <c r="O14" i="6"/>
  <c r="N14" i="6"/>
  <c r="M14" i="6"/>
  <c r="L14" i="6"/>
  <c r="S13" i="6"/>
  <c r="R13" i="6"/>
  <c r="Q13" i="6"/>
  <c r="P13" i="6"/>
  <c r="O13" i="6"/>
  <c r="N13" i="6"/>
  <c r="M13" i="6"/>
  <c r="L13" i="6"/>
  <c r="S12" i="6"/>
  <c r="R12" i="6"/>
  <c r="Q12" i="6"/>
  <c r="P12" i="6"/>
  <c r="O12" i="6"/>
  <c r="N12" i="6"/>
  <c r="M12" i="6"/>
  <c r="L12" i="6"/>
  <c r="S11" i="6"/>
  <c r="R11" i="6"/>
  <c r="Q11" i="6"/>
  <c r="P11" i="6"/>
  <c r="O11" i="6"/>
  <c r="N11" i="6"/>
  <c r="M11" i="6"/>
  <c r="L11" i="6"/>
  <c r="S10" i="6"/>
  <c r="R10" i="6"/>
  <c r="Q10" i="6"/>
  <c r="P10" i="6"/>
  <c r="O10" i="6"/>
  <c r="N10" i="6"/>
  <c r="M10" i="6"/>
  <c r="L10" i="6"/>
  <c r="S9" i="6"/>
  <c r="R9" i="6"/>
  <c r="Q9" i="6"/>
  <c r="P9" i="6"/>
  <c r="O9" i="6"/>
  <c r="N9" i="6"/>
  <c r="M9" i="6"/>
  <c r="L9" i="6"/>
  <c r="BG8" i="6"/>
  <c r="BG9" i="6" s="1"/>
  <c r="BG10" i="6" s="1"/>
  <c r="BG11" i="6" s="1"/>
  <c r="BG12" i="6" s="1"/>
  <c r="BG13" i="6" s="1"/>
  <c r="BG14" i="6" s="1"/>
  <c r="BG15" i="6" s="1"/>
  <c r="BG16" i="6" s="1"/>
  <c r="BG17" i="6" s="1"/>
  <c r="BG18" i="6" s="1"/>
  <c r="BG19" i="6" s="1"/>
  <c r="BG20" i="6" s="1"/>
  <c r="BG21" i="6" s="1"/>
  <c r="BG22" i="6" s="1"/>
  <c r="BG23" i="6" s="1"/>
  <c r="BG24" i="6" s="1"/>
  <c r="BG25" i="6" s="1"/>
  <c r="BG26" i="6" s="1"/>
  <c r="BG27" i="6" s="1"/>
  <c r="BG28" i="6" s="1"/>
  <c r="BG29" i="6" s="1"/>
  <c r="BG30" i="6" s="1"/>
  <c r="BG31" i="6" s="1"/>
  <c r="BG32" i="6" s="1"/>
  <c r="BG33" i="6" s="1"/>
  <c r="BG34" i="6" s="1"/>
  <c r="BG35" i="6" s="1"/>
  <c r="BG36" i="6" s="1"/>
  <c r="BG37" i="6" s="1"/>
  <c r="BG38" i="6" s="1"/>
  <c r="BG39" i="6" s="1"/>
  <c r="BG40" i="6" s="1"/>
  <c r="BG41" i="6" s="1"/>
  <c r="BG42" i="6" s="1"/>
  <c r="BG43" i="6" s="1"/>
  <c r="BG44" i="6" s="1"/>
  <c r="BG45" i="6" s="1"/>
  <c r="BG46" i="6" s="1"/>
  <c r="BG47" i="6" s="1"/>
  <c r="BG48" i="6" s="1"/>
  <c r="BG49" i="6" s="1"/>
  <c r="BG50" i="6" s="1"/>
  <c r="BG51" i="6" s="1"/>
  <c r="BG52" i="6" s="1"/>
  <c r="BG53" i="6" s="1"/>
  <c r="BG54" i="6" s="1"/>
  <c r="BG55" i="6" s="1"/>
  <c r="BG56" i="6" s="1"/>
  <c r="BG57" i="6" s="1"/>
  <c r="BG58" i="6" s="1"/>
  <c r="BG59" i="6" s="1"/>
  <c r="BG60" i="6" s="1"/>
  <c r="BG61" i="6" s="1"/>
  <c r="BG62" i="6" s="1"/>
  <c r="BG63" i="6" s="1"/>
  <c r="BG64" i="6" s="1"/>
  <c r="BG65" i="6" s="1"/>
  <c r="BG66" i="6" s="1"/>
  <c r="BG67" i="6" s="1"/>
  <c r="BG68" i="6" s="1"/>
  <c r="BG69" i="6" s="1"/>
  <c r="BG70" i="6" s="1"/>
  <c r="BG71" i="6" s="1"/>
  <c r="BG72" i="6" s="1"/>
  <c r="BG73" i="6" s="1"/>
  <c r="BG74" i="6" s="1"/>
  <c r="BG75" i="6" s="1"/>
  <c r="BG76" i="6" s="1"/>
  <c r="BG77" i="6" s="1"/>
  <c r="BG78" i="6" s="1"/>
  <c r="BG79" i="6" s="1"/>
  <c r="BG80" i="6" s="1"/>
  <c r="BG81" i="6" s="1"/>
  <c r="BG82" i="6" s="1"/>
  <c r="BG83" i="6" s="1"/>
  <c r="BG84" i="6" s="1"/>
  <c r="BG85" i="6" s="1"/>
  <c r="BG86" i="6" s="1"/>
  <c r="BG87" i="6" s="1"/>
  <c r="BG88" i="6" s="1"/>
  <c r="BG89" i="6" s="1"/>
  <c r="BG90" i="6" s="1"/>
  <c r="BG91" i="6" s="1"/>
  <c r="BG92" i="6" s="1"/>
  <c r="BG93" i="6" s="1"/>
  <c r="BG94" i="6" s="1"/>
  <c r="BG95" i="6" s="1"/>
  <c r="BG96" i="6" s="1"/>
  <c r="BG97" i="6" s="1"/>
  <c r="BG98" i="6" s="1"/>
  <c r="BG99" i="6" s="1"/>
  <c r="BG100" i="6" s="1"/>
  <c r="BG101" i="6" s="1"/>
  <c r="BG102" i="6" s="1"/>
  <c r="BG103" i="6" s="1"/>
  <c r="BG104" i="6" s="1"/>
  <c r="BG105" i="6" s="1"/>
  <c r="BG106" i="6" s="1"/>
  <c r="BG107" i="6" s="1"/>
  <c r="BG108" i="6" s="1"/>
  <c r="BG109" i="6" s="1"/>
  <c r="BG110" i="6" s="1"/>
  <c r="BG111" i="6" s="1"/>
  <c r="BG112" i="6" s="1"/>
  <c r="BG113" i="6" s="1"/>
  <c r="BG114" i="6" s="1"/>
  <c r="BG115" i="6" s="1"/>
  <c r="BG116" i="6" s="1"/>
  <c r="BG117" i="6" s="1"/>
  <c r="BG118" i="6" s="1"/>
  <c r="BG119" i="6" s="1"/>
  <c r="BG120" i="6" s="1"/>
  <c r="BG121" i="6" s="1"/>
  <c r="BG122" i="6" s="1"/>
  <c r="BG123" i="6" s="1"/>
  <c r="BG124" i="6" s="1"/>
  <c r="BG125" i="6" s="1"/>
  <c r="BG126" i="6" s="1"/>
  <c r="BG127" i="6" s="1"/>
  <c r="BG128" i="6" s="1"/>
  <c r="BG129" i="6" s="1"/>
  <c r="BG130" i="6" s="1"/>
  <c r="BG131" i="6" s="1"/>
  <c r="BG132" i="6" s="1"/>
  <c r="BG133" i="6" s="1"/>
  <c r="BG134" i="6" s="1"/>
  <c r="BG135" i="6" s="1"/>
  <c r="BG136" i="6" s="1"/>
  <c r="BG137" i="6" s="1"/>
  <c r="BG138" i="6" s="1"/>
  <c r="BG139" i="6" s="1"/>
  <c r="BG140" i="6" s="1"/>
  <c r="BG141" i="6" s="1"/>
  <c r="BG142" i="6" s="1"/>
  <c r="BG143" i="6" s="1"/>
  <c r="BG144" i="6" s="1"/>
  <c r="BG145" i="6" s="1"/>
  <c r="BG146" i="6" s="1"/>
  <c r="BG147" i="6" s="1"/>
  <c r="BG148" i="6" s="1"/>
  <c r="BG149" i="6" s="1"/>
  <c r="BG150" i="6" s="1"/>
  <c r="BG151" i="6" s="1"/>
  <c r="BG152" i="6" s="1"/>
  <c r="BG153" i="6" s="1"/>
  <c r="BG154" i="6" s="1"/>
  <c r="BG155" i="6" s="1"/>
  <c r="BG156" i="6" s="1"/>
  <c r="BG157" i="6" s="1"/>
  <c r="BG158" i="6" s="1"/>
  <c r="BG159" i="6" s="1"/>
  <c r="BG160" i="6" s="1"/>
  <c r="BG161" i="6" s="1"/>
  <c r="BG162" i="6" s="1"/>
  <c r="BG163" i="6" s="1"/>
  <c r="BG164" i="6" s="1"/>
  <c r="BG165" i="6" s="1"/>
  <c r="BG166" i="6" s="1"/>
  <c r="BG167" i="6" s="1"/>
  <c r="BG168" i="6" s="1"/>
  <c r="BG169" i="6" s="1"/>
  <c r="BG170" i="6" s="1"/>
  <c r="BG171" i="6" s="1"/>
  <c r="BG172" i="6" s="1"/>
  <c r="BG173" i="6" s="1"/>
  <c r="BG174" i="6" s="1"/>
  <c r="BG175" i="6" s="1"/>
  <c r="BG176" i="6" s="1"/>
  <c r="BG177" i="6" s="1"/>
  <c r="BG178" i="6" s="1"/>
  <c r="BG179" i="6" s="1"/>
  <c r="BG180" i="6" s="1"/>
  <c r="BG181" i="6" s="1"/>
  <c r="BG182" i="6" s="1"/>
  <c r="BG183" i="6" s="1"/>
  <c r="BG184" i="6" s="1"/>
  <c r="BG185" i="6" s="1"/>
  <c r="BG186" i="6" s="1"/>
  <c r="BG187" i="6" s="1"/>
  <c r="BG188" i="6" s="1"/>
  <c r="BG189" i="6" s="1"/>
  <c r="BG190" i="6" s="1"/>
  <c r="BG191" i="6" s="1"/>
  <c r="BG192" i="6" s="1"/>
  <c r="BG193" i="6" s="1"/>
  <c r="BG194" i="6" s="1"/>
  <c r="BG195" i="6" s="1"/>
  <c r="BG196" i="6" s="1"/>
  <c r="BG197" i="6" s="1"/>
  <c r="BG198" i="6" s="1"/>
  <c r="BG199" i="6" s="1"/>
  <c r="BG200" i="6" s="1"/>
  <c r="BG201" i="6" s="1"/>
  <c r="BG202" i="6" s="1"/>
  <c r="BG203" i="6" s="1"/>
  <c r="BG204" i="6" s="1"/>
  <c r="BG205" i="6" s="1"/>
  <c r="BG206" i="6" s="1"/>
  <c r="BG207" i="6" s="1"/>
  <c r="BG208" i="6" s="1"/>
  <c r="BG209" i="6" s="1"/>
  <c r="BG210" i="6" s="1"/>
  <c r="BG211" i="6" s="1"/>
  <c r="BG212" i="6" s="1"/>
  <c r="BG213" i="6" s="1"/>
  <c r="BG214" i="6" s="1"/>
  <c r="BG215" i="6" s="1"/>
  <c r="BG216" i="6" s="1"/>
  <c r="BG217" i="6" s="1"/>
  <c r="BG218" i="6" s="1"/>
  <c r="BG219" i="6" s="1"/>
  <c r="BG220" i="6" s="1"/>
  <c r="BG221" i="6" s="1"/>
  <c r="BG222" i="6" s="1"/>
  <c r="BG223" i="6" s="1"/>
  <c r="BG224" i="6" s="1"/>
  <c r="BG225" i="6" s="1"/>
  <c r="BG226" i="6" s="1"/>
  <c r="BG227" i="6" s="1"/>
  <c r="BG228" i="6" s="1"/>
  <c r="BG229" i="6" s="1"/>
  <c r="BG230" i="6" s="1"/>
  <c r="BG231" i="6" s="1"/>
  <c r="BG232" i="6" s="1"/>
  <c r="BG233" i="6" s="1"/>
  <c r="BG234" i="6" s="1"/>
  <c r="BG235" i="6" s="1"/>
  <c r="BG236" i="6" s="1"/>
  <c r="BG237" i="6" s="1"/>
  <c r="BG238" i="6" s="1"/>
  <c r="BG239" i="6" s="1"/>
  <c r="BG240" i="6" s="1"/>
  <c r="BG241" i="6" s="1"/>
  <c r="BG242" i="6" s="1"/>
  <c r="BG243" i="6" s="1"/>
  <c r="BG244" i="6" s="1"/>
  <c r="BG245" i="6" s="1"/>
  <c r="BG246" i="6" s="1"/>
  <c r="BG247" i="6" s="1"/>
  <c r="BG248" i="6" s="1"/>
  <c r="BG249" i="6" s="1"/>
  <c r="BG250" i="6" s="1"/>
  <c r="BG251" i="6" s="1"/>
  <c r="BG252" i="6" s="1"/>
  <c r="BG253" i="6" s="1"/>
  <c r="BG254" i="6" s="1"/>
  <c r="BG255" i="6" s="1"/>
  <c r="BG256" i="6" s="1"/>
  <c r="BG257" i="6" s="1"/>
  <c r="BG258" i="6" s="1"/>
  <c r="BG259" i="6" s="1"/>
  <c r="BG260" i="6" s="1"/>
  <c r="BG261" i="6" s="1"/>
  <c r="BG262" i="6" s="1"/>
  <c r="BG263" i="6" s="1"/>
  <c r="BG264" i="6" s="1"/>
  <c r="BG265" i="6" s="1"/>
  <c r="BG266" i="6" s="1"/>
  <c r="BG267" i="6" s="1"/>
  <c r="BG268" i="6" s="1"/>
  <c r="BG269" i="6" s="1"/>
  <c r="BG270" i="6" s="1"/>
  <c r="BG271" i="6" s="1"/>
  <c r="BG272" i="6" s="1"/>
  <c r="BG273" i="6" s="1"/>
  <c r="BG274" i="6" s="1"/>
  <c r="BG275" i="6" s="1"/>
  <c r="BG276" i="6" s="1"/>
  <c r="BG277" i="6" s="1"/>
  <c r="BG278" i="6" s="1"/>
  <c r="BG279" i="6" s="1"/>
  <c r="BG280" i="6" s="1"/>
  <c r="BG281" i="6" s="1"/>
  <c r="BG282" i="6" s="1"/>
  <c r="BG283" i="6" s="1"/>
  <c r="BG284" i="6" s="1"/>
  <c r="BG285" i="6" s="1"/>
  <c r="BG286" i="6" s="1"/>
  <c r="BG287" i="6" s="1"/>
  <c r="BG288" i="6" s="1"/>
  <c r="BG289" i="6" s="1"/>
  <c r="BG290" i="6" s="1"/>
  <c r="BG291" i="6" s="1"/>
  <c r="BG292" i="6" s="1"/>
  <c r="BG293" i="6" s="1"/>
  <c r="BG294" i="6" s="1"/>
  <c r="BG295" i="6" s="1"/>
  <c r="BG296" i="6" s="1"/>
  <c r="BG297" i="6" s="1"/>
  <c r="BG298" i="6" s="1"/>
  <c r="BG299" i="6" s="1"/>
  <c r="BG300" i="6" s="1"/>
  <c r="BG301" i="6" s="1"/>
  <c r="BG302" i="6" s="1"/>
  <c r="BG303" i="6" s="1"/>
  <c r="BG304" i="6" s="1"/>
  <c r="BG305" i="6" s="1"/>
  <c r="BG306" i="6" s="1"/>
  <c r="BG307" i="6" s="1"/>
  <c r="BG308" i="6" s="1"/>
  <c r="BG309" i="6" s="1"/>
  <c r="BG310" i="6" s="1"/>
  <c r="BG311" i="6" s="1"/>
  <c r="BG312" i="6" s="1"/>
  <c r="BG313" i="6" s="1"/>
  <c r="S8" i="6"/>
  <c r="R8" i="6"/>
  <c r="Q8" i="6"/>
  <c r="P8" i="6"/>
  <c r="O8" i="6"/>
  <c r="N8" i="6"/>
  <c r="M8" i="6"/>
  <c r="L8" i="6"/>
  <c r="S7" i="6"/>
  <c r="R7" i="6"/>
  <c r="Q7" i="6"/>
  <c r="P7" i="6"/>
  <c r="O7" i="6"/>
  <c r="N7" i="6"/>
  <c r="M7" i="6"/>
  <c r="L7" i="6"/>
  <c r="S6" i="6"/>
  <c r="R6" i="6"/>
  <c r="Q6" i="6"/>
  <c r="P6" i="6"/>
  <c r="O6" i="6"/>
  <c r="N6" i="6"/>
  <c r="M6" i="6"/>
  <c r="L6" i="6"/>
  <c r="BG5" i="6"/>
  <c r="BG6" i="6" s="1"/>
  <c r="BG7" i="6" s="1"/>
  <c r="S5" i="6"/>
  <c r="R5" i="6"/>
  <c r="Q5" i="6"/>
  <c r="P5" i="6"/>
  <c r="O5" i="6"/>
  <c r="N5" i="6"/>
  <c r="M5" i="6"/>
  <c r="L5" i="6"/>
  <c r="S4" i="6"/>
  <c r="R4" i="6"/>
  <c r="Q4" i="6"/>
  <c r="P4" i="6"/>
  <c r="O4" i="6"/>
  <c r="N4" i="6"/>
  <c r="M4" i="6"/>
  <c r="L4" i="6"/>
  <c r="S3" i="6"/>
  <c r="R3" i="6"/>
  <c r="Q3" i="6"/>
  <c r="P3" i="6"/>
  <c r="O3" i="6"/>
  <c r="N3" i="6"/>
  <c r="M3" i="6"/>
  <c r="L3" i="6"/>
  <c r="BG2" i="6"/>
  <c r="BG3" i="6" s="1"/>
  <c r="BG4" i="6" s="1"/>
  <c r="S2" i="6"/>
  <c r="R2" i="6"/>
  <c r="Q2" i="6"/>
  <c r="P2" i="6"/>
  <c r="O2" i="6"/>
  <c r="N2" i="6"/>
  <c r="M2" i="6"/>
  <c r="L2" i="6"/>
  <c r="BO4" i="5"/>
  <c r="BO5" i="5" s="1"/>
  <c r="BO6" i="5" s="1"/>
  <c r="BO7" i="5" s="1"/>
  <c r="BO8" i="5" s="1"/>
  <c r="BO9" i="5" s="1"/>
  <c r="BO10" i="5" s="1"/>
  <c r="BO11" i="5" s="1"/>
  <c r="BO12" i="5" s="1"/>
  <c r="BO13" i="5" s="1"/>
  <c r="BO14" i="5" s="1"/>
  <c r="BO15" i="5" s="1"/>
  <c r="BO16" i="5" s="1"/>
  <c r="BO17" i="5" s="1"/>
  <c r="BO18" i="5" s="1"/>
  <c r="BO19" i="5" s="1"/>
  <c r="BO20" i="5" s="1"/>
  <c r="BO21" i="5" s="1"/>
  <c r="BO22" i="5" s="1"/>
  <c r="BO23" i="5" s="1"/>
  <c r="BO24" i="5" s="1"/>
  <c r="BO25" i="5" s="1"/>
  <c r="BO26" i="5" s="1"/>
  <c r="BO27" i="5" s="1"/>
  <c r="BO28" i="5" s="1"/>
  <c r="BO29" i="5" s="1"/>
  <c r="BO30" i="5" s="1"/>
  <c r="BO31" i="5" s="1"/>
  <c r="BO32" i="5" s="1"/>
  <c r="BO33" i="5" s="1"/>
  <c r="BO34" i="5" s="1"/>
  <c r="BO35" i="5" s="1"/>
  <c r="BO36" i="5" s="1"/>
  <c r="BO37" i="5" s="1"/>
  <c r="BO38" i="5" s="1"/>
  <c r="BO39" i="5" s="1"/>
  <c r="BO40" i="5" s="1"/>
  <c r="BO41" i="5" s="1"/>
  <c r="BO42" i="5" s="1"/>
  <c r="BO43" i="5" s="1"/>
  <c r="BO44" i="5" s="1"/>
  <c r="BO45" i="5" s="1"/>
  <c r="BO46" i="5" s="1"/>
  <c r="BO47" i="5" s="1"/>
  <c r="BO48" i="5" s="1"/>
  <c r="BO49" i="5" s="1"/>
  <c r="BO50" i="5" s="1"/>
  <c r="BO51" i="5" s="1"/>
  <c r="BO52" i="5" s="1"/>
  <c r="BO53" i="5" s="1"/>
  <c r="BO54" i="5" s="1"/>
  <c r="BO55" i="5" s="1"/>
  <c r="BO56" i="5" s="1"/>
  <c r="BO57" i="5" s="1"/>
  <c r="BO58" i="5" s="1"/>
  <c r="BO59" i="5" s="1"/>
  <c r="BO60" i="5" s="1"/>
  <c r="BO61" i="5" s="1"/>
  <c r="BO62" i="5" s="1"/>
  <c r="BO63" i="5" s="1"/>
  <c r="BO64" i="5" s="1"/>
  <c r="BO65" i="5" s="1"/>
  <c r="BO66" i="5" s="1"/>
  <c r="BO67" i="5" s="1"/>
  <c r="BO68" i="5" s="1"/>
  <c r="BO69" i="5" s="1"/>
  <c r="BO70" i="5" s="1"/>
  <c r="BO71" i="5" s="1"/>
  <c r="BO72" i="5" s="1"/>
  <c r="BO73" i="5" s="1"/>
  <c r="BO74" i="5" s="1"/>
  <c r="BO75" i="5" s="1"/>
  <c r="BO76" i="5" s="1"/>
  <c r="BO77" i="5" s="1"/>
  <c r="BO78" i="5" s="1"/>
  <c r="BO79" i="5" s="1"/>
  <c r="BO80" i="5" s="1"/>
  <c r="BO81" i="5" s="1"/>
  <c r="BO82" i="5" s="1"/>
  <c r="BO83" i="5" s="1"/>
  <c r="BO84" i="5" s="1"/>
  <c r="BO85" i="5" s="1"/>
  <c r="BO86" i="5" s="1"/>
  <c r="BO87" i="5" s="1"/>
  <c r="BO88" i="5" s="1"/>
  <c r="BO89" i="5" s="1"/>
  <c r="BO90" i="5" s="1"/>
  <c r="BO91" i="5" s="1"/>
  <c r="BO92" i="5" s="1"/>
  <c r="BO93" i="5" s="1"/>
  <c r="BO94" i="5" s="1"/>
  <c r="BO95" i="5" s="1"/>
  <c r="BO96" i="5" s="1"/>
  <c r="BO97" i="5" s="1"/>
  <c r="BO98" i="5" s="1"/>
  <c r="BO99" i="5" s="1"/>
  <c r="BO100" i="5" s="1"/>
  <c r="BO101" i="5" s="1"/>
  <c r="BO102" i="5" s="1"/>
  <c r="BO103" i="5" s="1"/>
  <c r="BO104" i="5" s="1"/>
  <c r="BO105" i="5" s="1"/>
  <c r="BO106" i="5" s="1"/>
  <c r="BO107" i="5" s="1"/>
  <c r="BO108" i="5" s="1"/>
  <c r="BO109" i="5" s="1"/>
  <c r="BO110" i="5" s="1"/>
  <c r="BO111" i="5" s="1"/>
  <c r="BO112" i="5" s="1"/>
  <c r="BO113" i="5" s="1"/>
  <c r="BO114" i="5" s="1"/>
  <c r="BO115" i="5" s="1"/>
  <c r="BO116" i="5" s="1"/>
  <c r="BO117" i="5" s="1"/>
  <c r="BO118" i="5" s="1"/>
  <c r="BO119" i="5" s="1"/>
  <c r="BO120" i="5" s="1"/>
  <c r="BO121" i="5" s="1"/>
  <c r="BO122" i="5" s="1"/>
  <c r="BO123" i="5" s="1"/>
  <c r="BO124" i="5" s="1"/>
  <c r="BO125" i="5" s="1"/>
  <c r="BO126" i="5" s="1"/>
  <c r="BO127" i="5" s="1"/>
  <c r="BO128" i="5" s="1"/>
  <c r="BO129" i="5" s="1"/>
  <c r="BO130" i="5" s="1"/>
  <c r="BO131" i="5" s="1"/>
  <c r="BO132" i="5" s="1"/>
  <c r="BO133" i="5" s="1"/>
  <c r="BO134" i="5" s="1"/>
  <c r="BO135" i="5" s="1"/>
  <c r="BO136" i="5" s="1"/>
  <c r="BO137" i="5" s="1"/>
  <c r="BO138" i="5" s="1"/>
  <c r="BO139" i="5" s="1"/>
  <c r="BO140" i="5" s="1"/>
  <c r="BO141" i="5" s="1"/>
  <c r="BO142" i="5" s="1"/>
  <c r="BO143" i="5" s="1"/>
  <c r="BO144" i="5" s="1"/>
  <c r="BO145" i="5" s="1"/>
  <c r="BO146" i="5" s="1"/>
  <c r="BO147" i="5" s="1"/>
  <c r="BO148" i="5" s="1"/>
  <c r="BO149" i="5" s="1"/>
  <c r="BO150" i="5" s="1"/>
  <c r="BO151" i="5" s="1"/>
  <c r="BO152" i="5" s="1"/>
  <c r="BO153" i="5" s="1"/>
  <c r="BO154" i="5" s="1"/>
  <c r="BO155" i="5" s="1"/>
  <c r="BO156" i="5" s="1"/>
  <c r="BO157" i="5" s="1"/>
  <c r="BO158" i="5" s="1"/>
  <c r="BO159" i="5" s="1"/>
  <c r="BO160" i="5" s="1"/>
  <c r="BO161" i="5" s="1"/>
  <c r="BO162" i="5" s="1"/>
  <c r="BO163" i="5" s="1"/>
  <c r="BO164" i="5" s="1"/>
  <c r="BO165" i="5" s="1"/>
  <c r="BO166" i="5" s="1"/>
  <c r="BO167" i="5" s="1"/>
  <c r="BO168" i="5" s="1"/>
  <c r="BO169" i="5" s="1"/>
  <c r="BO170" i="5" s="1"/>
  <c r="BO171" i="5" s="1"/>
  <c r="BO172" i="5" s="1"/>
  <c r="BO173" i="5" s="1"/>
  <c r="BO174" i="5" s="1"/>
  <c r="BO175" i="5" s="1"/>
  <c r="BO176" i="5" s="1"/>
  <c r="BO177" i="5" s="1"/>
  <c r="BO178" i="5" s="1"/>
  <c r="BO179" i="5" s="1"/>
  <c r="BO180" i="5" s="1"/>
  <c r="BO181" i="5" s="1"/>
  <c r="BO182" i="5" s="1"/>
  <c r="BO183" i="5" s="1"/>
  <c r="BO184" i="5" s="1"/>
  <c r="BO185" i="5" s="1"/>
  <c r="BO186" i="5" s="1"/>
  <c r="BO187" i="5" s="1"/>
  <c r="BO188" i="5" s="1"/>
  <c r="BO189" i="5" s="1"/>
  <c r="BO190" i="5" s="1"/>
  <c r="BO191" i="5" s="1"/>
  <c r="BO192" i="5" s="1"/>
  <c r="BO193" i="5" s="1"/>
  <c r="BO194" i="5" s="1"/>
  <c r="BO195" i="5" s="1"/>
  <c r="BO196" i="5" s="1"/>
  <c r="BO197" i="5" s="1"/>
  <c r="BO198" i="5" s="1"/>
  <c r="BO199" i="5" s="1"/>
  <c r="BO200" i="5" s="1"/>
  <c r="BO201" i="5" s="1"/>
  <c r="BO202" i="5" s="1"/>
  <c r="BO203" i="5" s="1"/>
  <c r="BO204" i="5" s="1"/>
  <c r="BO205" i="5" s="1"/>
  <c r="BO206" i="5" s="1"/>
  <c r="BO207" i="5" s="1"/>
  <c r="BO208" i="5" s="1"/>
  <c r="BO209" i="5" s="1"/>
  <c r="BO210" i="5" s="1"/>
  <c r="BO211" i="5" s="1"/>
  <c r="BO212" i="5" s="1"/>
  <c r="BO213" i="5" s="1"/>
  <c r="BO214" i="5" s="1"/>
  <c r="BO215" i="5" s="1"/>
  <c r="BO216" i="5" s="1"/>
  <c r="BO217" i="5" s="1"/>
  <c r="BO218" i="5" s="1"/>
  <c r="BO219" i="5" s="1"/>
  <c r="BO220" i="5" s="1"/>
  <c r="BO221" i="5" s="1"/>
  <c r="BO222" i="5" s="1"/>
  <c r="BO223" i="5" s="1"/>
  <c r="BO224" i="5" s="1"/>
  <c r="BO225" i="5" s="1"/>
  <c r="BO226" i="5" s="1"/>
  <c r="BO227" i="5" s="1"/>
  <c r="BO228" i="5" s="1"/>
  <c r="BO229" i="5" s="1"/>
  <c r="BO230" i="5" s="1"/>
  <c r="BO231" i="5" s="1"/>
  <c r="BO232" i="5" s="1"/>
  <c r="BO233" i="5" s="1"/>
  <c r="BO234" i="5" s="1"/>
  <c r="BO235" i="5" s="1"/>
  <c r="BO236" i="5" s="1"/>
  <c r="BO237" i="5" s="1"/>
  <c r="BO238" i="5" s="1"/>
  <c r="BO239" i="5" s="1"/>
  <c r="BO240" i="5" s="1"/>
  <c r="BO241" i="5" s="1"/>
  <c r="BO242" i="5" s="1"/>
  <c r="BO243" i="5" s="1"/>
  <c r="BO244" i="5" s="1"/>
  <c r="BO245" i="5" s="1"/>
  <c r="BO246" i="5" s="1"/>
  <c r="BO247" i="5" s="1"/>
  <c r="BO248" i="5" s="1"/>
  <c r="BO249" i="5" s="1"/>
  <c r="BO250" i="5" s="1"/>
  <c r="BO251" i="5" s="1"/>
  <c r="BO252" i="5" s="1"/>
  <c r="BO253" i="5" s="1"/>
  <c r="BO254" i="5" s="1"/>
  <c r="BO255" i="5" s="1"/>
  <c r="BO256" i="5" s="1"/>
  <c r="BO257" i="5" s="1"/>
  <c r="BO258" i="5" s="1"/>
  <c r="BO259" i="5" s="1"/>
  <c r="BO260" i="5" s="1"/>
  <c r="BO261" i="5" s="1"/>
  <c r="BO262" i="5" s="1"/>
  <c r="BO263" i="5" s="1"/>
  <c r="BO264" i="5" s="1"/>
  <c r="BO265" i="5" s="1"/>
  <c r="BO266" i="5" s="1"/>
  <c r="BO267" i="5" s="1"/>
  <c r="BO268" i="5" s="1"/>
  <c r="BO269" i="5" s="1"/>
  <c r="BO270" i="5" s="1"/>
  <c r="BO271" i="5" s="1"/>
  <c r="BO272" i="5" s="1"/>
  <c r="BO273" i="5" s="1"/>
  <c r="BO274" i="5" s="1"/>
  <c r="BO275" i="5" s="1"/>
  <c r="BO276" i="5" s="1"/>
  <c r="BO277" i="5" s="1"/>
  <c r="BO278" i="5" s="1"/>
  <c r="BO279" i="5" s="1"/>
  <c r="BO280" i="5" s="1"/>
  <c r="BO281" i="5" s="1"/>
  <c r="BO282" i="5" s="1"/>
  <c r="BO283" i="5" s="1"/>
  <c r="BO284" i="5" s="1"/>
  <c r="BO285" i="5" s="1"/>
  <c r="BO286" i="5" s="1"/>
  <c r="BO287" i="5" s="1"/>
  <c r="BO288" i="5" s="1"/>
  <c r="BO289" i="5" s="1"/>
  <c r="BO290" i="5" s="1"/>
  <c r="BO291" i="5" s="1"/>
  <c r="BO292" i="5" s="1"/>
  <c r="BO293" i="5" s="1"/>
  <c r="BO294" i="5" s="1"/>
  <c r="BO295" i="5" s="1"/>
  <c r="BO296" i="5" s="1"/>
  <c r="BO297" i="5" s="1"/>
  <c r="BO298" i="5" s="1"/>
  <c r="BO299" i="5" s="1"/>
  <c r="BO300" i="5" s="1"/>
  <c r="BO301" i="5" s="1"/>
  <c r="BO302" i="5" s="1"/>
  <c r="BO303" i="5" s="1"/>
  <c r="BO304" i="5" s="1"/>
  <c r="BO305" i="5" s="1"/>
  <c r="BO306" i="5" s="1"/>
  <c r="BO307" i="5" s="1"/>
  <c r="BO308" i="5" s="1"/>
  <c r="BO309" i="5" s="1"/>
  <c r="BO310" i="5" s="1"/>
  <c r="BO311" i="5" s="1"/>
  <c r="BO312" i="5" s="1"/>
  <c r="BO313" i="5" s="1"/>
  <c r="BO314" i="5" s="1"/>
  <c r="BO315" i="5" s="1"/>
  <c r="BO316" i="5" s="1"/>
  <c r="BO317" i="5" s="1"/>
  <c r="BO318" i="5" s="1"/>
  <c r="BO319" i="5" s="1"/>
  <c r="BO320" i="5" s="1"/>
  <c r="BO321" i="5" s="1"/>
  <c r="BO322" i="5" s="1"/>
  <c r="BO323" i="5" s="1"/>
  <c r="BO324" i="5" s="1"/>
  <c r="BO325" i="5" s="1"/>
  <c r="BO326" i="5" s="1"/>
  <c r="BO327" i="5" s="1"/>
  <c r="BO328" i="5" s="1"/>
  <c r="BO329" i="5" s="1"/>
  <c r="BO330" i="5" s="1"/>
  <c r="BO331" i="5" s="1"/>
  <c r="BO332" i="5" s="1"/>
  <c r="BO333" i="5" s="1"/>
  <c r="BO334" i="5" s="1"/>
  <c r="BO335" i="5" s="1"/>
  <c r="BO336" i="5" s="1"/>
  <c r="BO337" i="5" s="1"/>
  <c r="BO338" i="5" s="1"/>
  <c r="BO339" i="5" s="1"/>
  <c r="BO340" i="5" s="1"/>
  <c r="BO341" i="5" s="1"/>
  <c r="BO342" i="5" s="1"/>
  <c r="BO343" i="5" s="1"/>
  <c r="BO344" i="5" s="1"/>
  <c r="BO345" i="5" s="1"/>
  <c r="BO346" i="5" s="1"/>
  <c r="BO347" i="5" s="1"/>
  <c r="BO348" i="5" s="1"/>
  <c r="BO349" i="5" s="1"/>
  <c r="BO350" i="5" s="1"/>
  <c r="BO351" i="5" s="1"/>
  <c r="BO352" i="5" s="1"/>
  <c r="BO353" i="5" s="1"/>
  <c r="BO354" i="5" s="1"/>
  <c r="BO355" i="5" s="1"/>
  <c r="BO356" i="5" s="1"/>
  <c r="BO357" i="5" s="1"/>
  <c r="BO358" i="5" s="1"/>
  <c r="BO359" i="5" s="1"/>
  <c r="BO360" i="5" s="1"/>
  <c r="BO361" i="5" s="1"/>
  <c r="BO362" i="5" s="1"/>
  <c r="BO363" i="5" s="1"/>
  <c r="BO364" i="5" s="1"/>
  <c r="BO365" i="5" s="1"/>
  <c r="BO366" i="5" s="1"/>
  <c r="BO367" i="5" s="1"/>
  <c r="BO368" i="5" s="1"/>
  <c r="BO369" i="5" s="1"/>
  <c r="BO370" i="5" s="1"/>
  <c r="BO371" i="5" s="1"/>
  <c r="BO372" i="5" s="1"/>
  <c r="BO373" i="5" s="1"/>
  <c r="BO374" i="5" s="1"/>
  <c r="BO375" i="5" s="1"/>
  <c r="BO376" i="5" s="1"/>
  <c r="BO377" i="5" s="1"/>
  <c r="BO378" i="5" s="1"/>
  <c r="BO379" i="5" s="1"/>
  <c r="BO380" i="5" s="1"/>
  <c r="BO381" i="5" s="1"/>
  <c r="BO382" i="5" s="1"/>
  <c r="BO383" i="5" s="1"/>
  <c r="BO384" i="5" s="1"/>
  <c r="BO385" i="5" s="1"/>
  <c r="BO386" i="5" s="1"/>
  <c r="BO387" i="5" s="1"/>
  <c r="BO388" i="5" s="1"/>
  <c r="BO389" i="5" s="1"/>
  <c r="BO390" i="5" s="1"/>
  <c r="BO391" i="5" s="1"/>
  <c r="BO392" i="5" s="1"/>
  <c r="BO393" i="5" s="1"/>
  <c r="BO394" i="5" s="1"/>
  <c r="BO395" i="5" s="1"/>
  <c r="BO396" i="5" s="1"/>
  <c r="BO397" i="5" s="1"/>
  <c r="BO398" i="5" s="1"/>
  <c r="BO399" i="5" s="1"/>
  <c r="BO400" i="5" s="1"/>
  <c r="BO401" i="5" s="1"/>
  <c r="BO402" i="5" s="1"/>
  <c r="BO403" i="5" s="1"/>
  <c r="BO404" i="5" s="1"/>
  <c r="BO405" i="5" s="1"/>
  <c r="BO406" i="5" s="1"/>
  <c r="BO407" i="5" s="1"/>
  <c r="BO408" i="5" s="1"/>
  <c r="BO409" i="5" s="1"/>
  <c r="BO410" i="5" s="1"/>
  <c r="BO411" i="5" s="1"/>
  <c r="BO412" i="5" s="1"/>
  <c r="BO413" i="5" s="1"/>
  <c r="BO414" i="5" s="1"/>
  <c r="BO415" i="5" s="1"/>
  <c r="BO416" i="5" s="1"/>
  <c r="BO417" i="5" s="1"/>
  <c r="BO418" i="5" s="1"/>
  <c r="BO419" i="5" s="1"/>
  <c r="BO420" i="5" s="1"/>
  <c r="BO421" i="5" s="1"/>
  <c r="BO422" i="5" s="1"/>
  <c r="BO423" i="5" s="1"/>
  <c r="BO424" i="5" s="1"/>
  <c r="BO425" i="5" s="1"/>
  <c r="BO426" i="5" s="1"/>
  <c r="BO427" i="5" s="1"/>
  <c r="BO428" i="5" s="1"/>
  <c r="BO429" i="5" s="1"/>
  <c r="BO430" i="5" s="1"/>
  <c r="BO431" i="5" s="1"/>
  <c r="BO432" i="5" s="1"/>
  <c r="BO433" i="5" s="1"/>
  <c r="BO434" i="5" s="1"/>
  <c r="BO435" i="5" s="1"/>
  <c r="BO436" i="5" s="1"/>
  <c r="BO437" i="5" s="1"/>
  <c r="BO438" i="5" s="1"/>
  <c r="BO439" i="5" s="1"/>
  <c r="BO440" i="5" s="1"/>
  <c r="BO441" i="5" s="1"/>
  <c r="BO442" i="5" s="1"/>
  <c r="BO443" i="5" s="1"/>
  <c r="BO444" i="5" s="1"/>
  <c r="BO445" i="5" s="1"/>
  <c r="BO446" i="5" s="1"/>
  <c r="BO447" i="5" s="1"/>
  <c r="BO448" i="5" s="1"/>
  <c r="BO449" i="5" s="1"/>
  <c r="BO450" i="5" s="1"/>
  <c r="BO451" i="5" s="1"/>
  <c r="BO452" i="5" s="1"/>
  <c r="BO453" i="5" s="1"/>
  <c r="BO454" i="5" s="1"/>
  <c r="BO455" i="5" s="1"/>
  <c r="BO456" i="5" s="1"/>
  <c r="BO457" i="5" s="1"/>
  <c r="BO458" i="5" s="1"/>
  <c r="BO459" i="5" s="1"/>
  <c r="BO460" i="5" s="1"/>
  <c r="BO461" i="5" s="1"/>
  <c r="BO462" i="5" s="1"/>
  <c r="BO463" i="5" s="1"/>
  <c r="BO464" i="5" s="1"/>
  <c r="BO465" i="5" s="1"/>
  <c r="BO466" i="5" s="1"/>
  <c r="BO467" i="5" s="1"/>
  <c r="BO468" i="5" s="1"/>
  <c r="BO469" i="5" s="1"/>
  <c r="BO470" i="5" s="1"/>
  <c r="BO471" i="5" s="1"/>
  <c r="BO472" i="5" s="1"/>
  <c r="BO473" i="5" s="1"/>
  <c r="BO474" i="5" s="1"/>
  <c r="BO475" i="5" s="1"/>
  <c r="BO476" i="5" s="1"/>
  <c r="BO477" i="5" s="1"/>
  <c r="BO478" i="5" s="1"/>
  <c r="BO479" i="5" s="1"/>
  <c r="BO480" i="5" s="1"/>
  <c r="BO481" i="5" s="1"/>
  <c r="BO482" i="5" s="1"/>
  <c r="BO483" i="5" s="1"/>
  <c r="BO484" i="5" s="1"/>
  <c r="BO485" i="5" s="1"/>
  <c r="BO486" i="5" s="1"/>
  <c r="BO487" i="5" s="1"/>
  <c r="BO488" i="5" s="1"/>
  <c r="BO489" i="5" s="1"/>
  <c r="BO490" i="5" s="1"/>
  <c r="BO491" i="5" s="1"/>
  <c r="BO492" i="5" s="1"/>
  <c r="BO493" i="5" s="1"/>
  <c r="BO494" i="5" s="1"/>
  <c r="BO495" i="5" s="1"/>
  <c r="BO496" i="5" s="1"/>
  <c r="BO497" i="5" s="1"/>
  <c r="BO498" i="5" s="1"/>
  <c r="BO499" i="5" s="1"/>
  <c r="BO500" i="5" s="1"/>
  <c r="BO501" i="5" s="1"/>
  <c r="BO502" i="5" s="1"/>
  <c r="BO503" i="5" s="1"/>
  <c r="BO504" i="5" s="1"/>
  <c r="BO505" i="5" s="1"/>
  <c r="BO506" i="5" s="1"/>
  <c r="BO507" i="5" s="1"/>
  <c r="BO508" i="5" s="1"/>
  <c r="BO509" i="5" s="1"/>
  <c r="BO510" i="5" s="1"/>
  <c r="BO511" i="5" s="1"/>
  <c r="BO512" i="5" s="1"/>
  <c r="BO513" i="5" s="1"/>
  <c r="BO514" i="5" s="1"/>
  <c r="BO515" i="5" s="1"/>
  <c r="BO516" i="5" s="1"/>
  <c r="BO517" i="5" s="1"/>
  <c r="BO518" i="5" s="1"/>
  <c r="BO519" i="5" s="1"/>
  <c r="BO520" i="5" s="1"/>
  <c r="BO521" i="5" s="1"/>
  <c r="BO522" i="5" s="1"/>
  <c r="BO523" i="5" s="1"/>
  <c r="BO524" i="5" s="1"/>
  <c r="BO525" i="5" s="1"/>
  <c r="BO526" i="5" s="1"/>
  <c r="BO527" i="5" s="1"/>
  <c r="BO528" i="5" s="1"/>
  <c r="BO529" i="5" s="1"/>
  <c r="BO530" i="5" s="1"/>
  <c r="BO531" i="5" s="1"/>
  <c r="BO532" i="5" s="1"/>
  <c r="BO533" i="5" s="1"/>
  <c r="BO534" i="5" s="1"/>
  <c r="BO535" i="5" s="1"/>
  <c r="BO536" i="5" s="1"/>
  <c r="BO537" i="5" s="1"/>
  <c r="BO538" i="5" s="1"/>
  <c r="BO539" i="5" s="1"/>
  <c r="BO540" i="5" s="1"/>
  <c r="BO541" i="5" s="1"/>
  <c r="BO542" i="5" s="1"/>
  <c r="BO543" i="5" s="1"/>
  <c r="BO544" i="5" s="1"/>
  <c r="BO545" i="5" s="1"/>
  <c r="BO546" i="5" s="1"/>
  <c r="BO547" i="5" s="1"/>
  <c r="BO548" i="5" s="1"/>
  <c r="BO549" i="5" s="1"/>
  <c r="BO550" i="5" s="1"/>
  <c r="BO551" i="5" s="1"/>
  <c r="BO552" i="5" s="1"/>
  <c r="BO553" i="5" s="1"/>
  <c r="BO554" i="5" s="1"/>
  <c r="BO555" i="5" s="1"/>
  <c r="BO556" i="5" s="1"/>
  <c r="BO557" i="5" s="1"/>
  <c r="BO558" i="5" s="1"/>
  <c r="BO559" i="5" s="1"/>
  <c r="BO560" i="5" s="1"/>
  <c r="BO561" i="5" s="1"/>
  <c r="BO562" i="5" s="1"/>
  <c r="BO563" i="5" s="1"/>
  <c r="BO564" i="5" s="1"/>
  <c r="BO565" i="5" s="1"/>
  <c r="BO566" i="5" s="1"/>
  <c r="BO567" i="5" s="1"/>
  <c r="BO568" i="5" s="1"/>
  <c r="BO569" i="5" s="1"/>
  <c r="BO570" i="5" s="1"/>
  <c r="BO571" i="5" s="1"/>
  <c r="BO572" i="5" s="1"/>
  <c r="BO573" i="5" s="1"/>
  <c r="BO574" i="5" s="1"/>
  <c r="BO575" i="5" s="1"/>
  <c r="BO576" i="5" s="1"/>
  <c r="BO577" i="5" s="1"/>
  <c r="BO578" i="5" s="1"/>
  <c r="BO579" i="5" s="1"/>
  <c r="BO580" i="5" s="1"/>
  <c r="BO581" i="5" s="1"/>
  <c r="BO582" i="5" s="1"/>
  <c r="BO583" i="5" s="1"/>
  <c r="BO584" i="5" s="1"/>
  <c r="BO585" i="5" s="1"/>
  <c r="BO586" i="5" s="1"/>
  <c r="BO587" i="5" s="1"/>
  <c r="BO588" i="5" s="1"/>
  <c r="BO589" i="5" s="1"/>
  <c r="BO590" i="5" s="1"/>
  <c r="BO591" i="5" s="1"/>
  <c r="BO592" i="5" s="1"/>
  <c r="BO593" i="5" s="1"/>
  <c r="BO594" i="5" s="1"/>
  <c r="BO595" i="5" s="1"/>
  <c r="BO596" i="5" s="1"/>
  <c r="BO597" i="5" s="1"/>
  <c r="BO598" i="5" s="1"/>
  <c r="BO599" i="5" s="1"/>
  <c r="BO600" i="5" s="1"/>
  <c r="BO601" i="5" s="1"/>
  <c r="BO602" i="5" s="1"/>
  <c r="BO603" i="5" s="1"/>
  <c r="BO604" i="5" s="1"/>
  <c r="BO605" i="5" s="1"/>
  <c r="BO606" i="5" s="1"/>
  <c r="BO607" i="5" s="1"/>
  <c r="BO608" i="5" s="1"/>
  <c r="BO609" i="5" s="1"/>
  <c r="BO610" i="5" s="1"/>
  <c r="BO611" i="5" s="1"/>
  <c r="BO612" i="5" s="1"/>
  <c r="BO613" i="5" s="1"/>
  <c r="BO614" i="5" s="1"/>
  <c r="BO615" i="5" s="1"/>
  <c r="BO616" i="5" s="1"/>
  <c r="BO617" i="5" s="1"/>
  <c r="BO618" i="5" s="1"/>
  <c r="BO619" i="5" s="1"/>
  <c r="BO620" i="5" s="1"/>
  <c r="BO621" i="5" s="1"/>
  <c r="BO622" i="5" s="1"/>
  <c r="BO623" i="5" s="1"/>
  <c r="BO624" i="5" s="1"/>
  <c r="BO625" i="5" s="1"/>
  <c r="BO626" i="5" s="1"/>
  <c r="BO627" i="5" s="1"/>
  <c r="BO628" i="5" s="1"/>
  <c r="BO629" i="5" s="1"/>
  <c r="BO630" i="5" s="1"/>
  <c r="BO631" i="5" s="1"/>
  <c r="BO632" i="5" s="1"/>
  <c r="BO633" i="5" s="1"/>
  <c r="BO634" i="5" s="1"/>
  <c r="BO635" i="5" s="1"/>
  <c r="BO636" i="5" s="1"/>
  <c r="BO637" i="5" s="1"/>
  <c r="BO638" i="5" s="1"/>
  <c r="BO639" i="5" s="1"/>
  <c r="BO640" i="5" s="1"/>
  <c r="BO641" i="5" s="1"/>
  <c r="BO642" i="5" s="1"/>
  <c r="BO643" i="5" s="1"/>
  <c r="BO644" i="5" s="1"/>
  <c r="BO645" i="5" s="1"/>
  <c r="BO646" i="5" s="1"/>
  <c r="BO647" i="5" s="1"/>
  <c r="BO648" i="5" s="1"/>
  <c r="BO649" i="5" s="1"/>
  <c r="BO650" i="5" s="1"/>
  <c r="BO651" i="5" s="1"/>
  <c r="BO652" i="5" s="1"/>
  <c r="BO653" i="5" s="1"/>
  <c r="BO654" i="5" s="1"/>
  <c r="BO655" i="5" s="1"/>
  <c r="BO656" i="5" s="1"/>
  <c r="BO657" i="5" s="1"/>
  <c r="BO658" i="5" s="1"/>
  <c r="BO659" i="5" s="1"/>
  <c r="BO660" i="5" s="1"/>
  <c r="BO661" i="5" s="1"/>
  <c r="BO662" i="5" s="1"/>
  <c r="BO663" i="5" s="1"/>
  <c r="BO664" i="5" s="1"/>
  <c r="BO665" i="5" s="1"/>
  <c r="BO666" i="5" s="1"/>
  <c r="BO667" i="5" s="1"/>
  <c r="BO668" i="5" s="1"/>
  <c r="BO669" i="5" s="1"/>
  <c r="BO670" i="5" s="1"/>
  <c r="BO671" i="5" s="1"/>
  <c r="BO672" i="5" s="1"/>
  <c r="BO673" i="5" s="1"/>
  <c r="BO674" i="5" s="1"/>
  <c r="BO675" i="5" s="1"/>
  <c r="BO676" i="5" s="1"/>
  <c r="BO677" i="5" s="1"/>
  <c r="BO678" i="5" s="1"/>
  <c r="BO679" i="5" s="1"/>
  <c r="BO680" i="5" s="1"/>
  <c r="BO681" i="5" s="1"/>
  <c r="BO682" i="5" s="1"/>
  <c r="BO683" i="5" s="1"/>
  <c r="BO684" i="5" s="1"/>
  <c r="BO685" i="5" s="1"/>
  <c r="BO686" i="5" s="1"/>
  <c r="BO687" i="5" s="1"/>
  <c r="BO688" i="5" s="1"/>
  <c r="BO689" i="5" s="1"/>
  <c r="BO690" i="5" s="1"/>
  <c r="BO691" i="5" s="1"/>
  <c r="BO692" i="5" s="1"/>
  <c r="BO693" i="5" s="1"/>
  <c r="BO694" i="5" s="1"/>
  <c r="BO695" i="5" s="1"/>
  <c r="BO696" i="5" s="1"/>
  <c r="BO697" i="5" s="1"/>
  <c r="BO698" i="5" s="1"/>
  <c r="BO699" i="5" s="1"/>
  <c r="BO700" i="5" s="1"/>
  <c r="BO701" i="5" s="1"/>
  <c r="BO702" i="5" s="1"/>
  <c r="BO703" i="5" s="1"/>
  <c r="BO704" i="5" s="1"/>
  <c r="BO705" i="5" s="1"/>
  <c r="BO706" i="5" s="1"/>
  <c r="BO707" i="5" s="1"/>
  <c r="BO708" i="5" s="1"/>
  <c r="BO709" i="5" s="1"/>
  <c r="BO710" i="5" s="1"/>
  <c r="BO711" i="5" s="1"/>
  <c r="BO712" i="5" s="1"/>
  <c r="BO713" i="5" s="1"/>
  <c r="BO714" i="5" s="1"/>
  <c r="BO715" i="5" s="1"/>
  <c r="BO716" i="5" s="1"/>
  <c r="BO717" i="5" s="1"/>
  <c r="BO718" i="5" s="1"/>
  <c r="BO719" i="5" s="1"/>
  <c r="BO720" i="5" s="1"/>
  <c r="BO721" i="5" s="1"/>
  <c r="BO722" i="5" s="1"/>
  <c r="BO723" i="5" s="1"/>
  <c r="BO724" i="5" s="1"/>
  <c r="BO725" i="5" s="1"/>
  <c r="BO726" i="5" s="1"/>
  <c r="BO727" i="5" s="1"/>
  <c r="BO728" i="5" s="1"/>
  <c r="BO729" i="5" s="1"/>
  <c r="BO730" i="5" s="1"/>
  <c r="BO731" i="5" s="1"/>
  <c r="BO732" i="5" s="1"/>
  <c r="BO733" i="5" s="1"/>
  <c r="BO734" i="5" s="1"/>
  <c r="BO735" i="5" s="1"/>
  <c r="BO736" i="5" s="1"/>
  <c r="BO737" i="5" s="1"/>
  <c r="BO738" i="5" s="1"/>
  <c r="BO739" i="5" s="1"/>
  <c r="BO740" i="5" s="1"/>
  <c r="BO741" i="5" s="1"/>
  <c r="BO742" i="5" s="1"/>
  <c r="BO743" i="5" s="1"/>
  <c r="BO744" i="5" s="1"/>
  <c r="BO745" i="5" s="1"/>
  <c r="BO746" i="5" s="1"/>
  <c r="BO747" i="5" s="1"/>
  <c r="BO748" i="5" s="1"/>
  <c r="BO749" i="5" s="1"/>
  <c r="BO750" i="5" s="1"/>
  <c r="BO751" i="5" s="1"/>
  <c r="BO752" i="5" s="1"/>
  <c r="BO753" i="5" s="1"/>
  <c r="BO754" i="5" s="1"/>
  <c r="BO755" i="5" s="1"/>
  <c r="BO756" i="5" s="1"/>
  <c r="BO757" i="5" s="1"/>
  <c r="BO758" i="5" s="1"/>
  <c r="BO759" i="5" s="1"/>
  <c r="BO760" i="5" s="1"/>
  <c r="BO761" i="5" s="1"/>
  <c r="BO762" i="5" s="1"/>
  <c r="BO763" i="5" s="1"/>
  <c r="BO764" i="5" s="1"/>
  <c r="BO765" i="5" s="1"/>
  <c r="BO766" i="5" s="1"/>
  <c r="BO767" i="5" s="1"/>
  <c r="BO768" i="5" s="1"/>
  <c r="BO769" i="5" s="1"/>
  <c r="BO770" i="5" s="1"/>
  <c r="BO771" i="5" s="1"/>
  <c r="BO772" i="5" s="1"/>
  <c r="BO773" i="5" s="1"/>
  <c r="BO774" i="5" s="1"/>
  <c r="BO775" i="5" s="1"/>
  <c r="BO776" i="5" s="1"/>
  <c r="BO777" i="5" s="1"/>
  <c r="BO778" i="5" s="1"/>
  <c r="BO779" i="5" s="1"/>
  <c r="BO780" i="5" s="1"/>
  <c r="BO781" i="5" s="1"/>
  <c r="BO782" i="5" s="1"/>
  <c r="BO783" i="5" s="1"/>
  <c r="BO784" i="5" s="1"/>
  <c r="BO785" i="5" s="1"/>
  <c r="BO786" i="5" s="1"/>
  <c r="BO787" i="5" s="1"/>
  <c r="BO788" i="5" s="1"/>
  <c r="BO789" i="5" s="1"/>
  <c r="BO790" i="5" s="1"/>
  <c r="BO791" i="5" s="1"/>
  <c r="BO792" i="5" s="1"/>
  <c r="BO793" i="5" s="1"/>
  <c r="BO794" i="5" s="1"/>
  <c r="BO795" i="5" s="1"/>
  <c r="BO796" i="5" s="1"/>
  <c r="BO797" i="5" s="1"/>
  <c r="BO798" i="5" s="1"/>
  <c r="BO799" i="5" s="1"/>
  <c r="BO800" i="5" s="1"/>
  <c r="BO801" i="5" s="1"/>
  <c r="BO802" i="5" s="1"/>
  <c r="BO803" i="5" s="1"/>
  <c r="BO804" i="5" s="1"/>
  <c r="BO805" i="5" s="1"/>
  <c r="BO806" i="5" s="1"/>
  <c r="BO807" i="5" s="1"/>
  <c r="BO808" i="5" s="1"/>
  <c r="BO809" i="5" s="1"/>
  <c r="BO810" i="5" s="1"/>
  <c r="BO811" i="5" s="1"/>
  <c r="BO812" i="5" s="1"/>
  <c r="BO813" i="5" s="1"/>
  <c r="BO814" i="5" s="1"/>
  <c r="BO815" i="5" s="1"/>
  <c r="BO816" i="5" s="1"/>
  <c r="BO817" i="5" s="1"/>
  <c r="BO818" i="5" s="1"/>
  <c r="BO819" i="5" s="1"/>
  <c r="BO820" i="5" s="1"/>
  <c r="BO821" i="5" s="1"/>
  <c r="BO822" i="5" s="1"/>
  <c r="BO823" i="5" s="1"/>
  <c r="BO824" i="5" s="1"/>
  <c r="BO825" i="5" s="1"/>
  <c r="BO826" i="5" s="1"/>
  <c r="BO827" i="5" s="1"/>
  <c r="BO828" i="5" s="1"/>
  <c r="BO829" i="5" s="1"/>
  <c r="BO830" i="5" s="1"/>
  <c r="BO831" i="5" s="1"/>
  <c r="BO832" i="5" s="1"/>
  <c r="BO833" i="5" s="1"/>
  <c r="BO834" i="5" s="1"/>
  <c r="BO835" i="5" s="1"/>
  <c r="BO836" i="5" s="1"/>
  <c r="BO837" i="5" s="1"/>
  <c r="BO838" i="5" s="1"/>
  <c r="BO839" i="5" s="1"/>
  <c r="BO840" i="5" s="1"/>
  <c r="BO841" i="5" s="1"/>
  <c r="BO842" i="5" s="1"/>
  <c r="BO843" i="5" s="1"/>
  <c r="BO844" i="5" s="1"/>
  <c r="BO845" i="5" s="1"/>
  <c r="BO846" i="5" s="1"/>
  <c r="BO847" i="5" s="1"/>
  <c r="BO848" i="5" s="1"/>
  <c r="BO849" i="5" s="1"/>
  <c r="BO850" i="5" s="1"/>
  <c r="BO851" i="5" s="1"/>
  <c r="BO852" i="5" s="1"/>
  <c r="BO853" i="5" s="1"/>
  <c r="BO854" i="5" s="1"/>
  <c r="BO855" i="5" s="1"/>
  <c r="BO856" i="5" s="1"/>
  <c r="BO857" i="5" s="1"/>
  <c r="BO858" i="5" s="1"/>
  <c r="BO859" i="5" s="1"/>
  <c r="BO860" i="5" s="1"/>
  <c r="BO861" i="5" s="1"/>
  <c r="BO862" i="5" s="1"/>
  <c r="BO863" i="5" s="1"/>
  <c r="BO864" i="5" s="1"/>
  <c r="BO865" i="5" s="1"/>
  <c r="BO866" i="5" s="1"/>
  <c r="BO867" i="5" s="1"/>
  <c r="BO868" i="5" s="1"/>
  <c r="BO869" i="5" s="1"/>
  <c r="BO870" i="5" s="1"/>
  <c r="BO871" i="5" s="1"/>
  <c r="BO872" i="5" s="1"/>
  <c r="BO873" i="5" s="1"/>
  <c r="BO874" i="5" s="1"/>
  <c r="BO875" i="5" s="1"/>
  <c r="BO876" i="5" s="1"/>
  <c r="BO877" i="5" s="1"/>
  <c r="BO878" i="5" s="1"/>
  <c r="BO879" i="5" s="1"/>
  <c r="BO880" i="5" s="1"/>
  <c r="BO881" i="5" s="1"/>
  <c r="BO882" i="5" s="1"/>
  <c r="BO883" i="5" s="1"/>
  <c r="BO884" i="5" s="1"/>
  <c r="BO885" i="5" s="1"/>
  <c r="BO886" i="5" s="1"/>
  <c r="BO887" i="5" s="1"/>
  <c r="BO888" i="5" s="1"/>
  <c r="BO889" i="5" s="1"/>
  <c r="BO890" i="5" s="1"/>
  <c r="BO891" i="5" s="1"/>
  <c r="BO892" i="5" s="1"/>
  <c r="BO893" i="5" s="1"/>
  <c r="BO894" i="5" s="1"/>
  <c r="BO895" i="5" s="1"/>
  <c r="BO896" i="5" s="1"/>
  <c r="BO897" i="5" s="1"/>
  <c r="BO898" i="5" s="1"/>
  <c r="BO899" i="5" s="1"/>
  <c r="BO900" i="5" s="1"/>
  <c r="BO901" i="5" s="1"/>
  <c r="BO902" i="5" s="1"/>
  <c r="BO903" i="5" s="1"/>
  <c r="BO904" i="5" s="1"/>
  <c r="BO905" i="5" s="1"/>
  <c r="BO3" i="5"/>
  <c r="F101" i="4"/>
  <c r="H101" i="4" s="1"/>
  <c r="F100" i="4"/>
  <c r="H100" i="4" s="1"/>
  <c r="F99" i="4"/>
  <c r="H99" i="4" s="1"/>
  <c r="F98" i="4"/>
  <c r="H98" i="4" s="1"/>
  <c r="F97" i="4"/>
  <c r="H97" i="4" s="1"/>
  <c r="F96" i="4"/>
  <c r="H96" i="4" s="1"/>
  <c r="F95" i="4"/>
  <c r="H95" i="4" s="1"/>
  <c r="F94" i="4"/>
  <c r="H94" i="4" s="1"/>
  <c r="F93" i="4"/>
  <c r="H93" i="4" s="1"/>
  <c r="F92" i="4"/>
  <c r="H92" i="4" s="1"/>
  <c r="F91" i="4"/>
  <c r="H91" i="4" s="1"/>
  <c r="F90" i="4"/>
  <c r="H90" i="4" s="1"/>
  <c r="F89" i="4"/>
  <c r="H89" i="4" s="1"/>
  <c r="F88" i="4"/>
  <c r="H88" i="4" s="1"/>
  <c r="F87" i="4"/>
  <c r="H87" i="4" s="1"/>
  <c r="F86" i="4"/>
  <c r="H86" i="4" s="1"/>
  <c r="F85" i="4"/>
  <c r="H85" i="4" s="1"/>
  <c r="F84" i="4"/>
  <c r="H84" i="4" s="1"/>
  <c r="F83" i="4"/>
  <c r="H83" i="4" s="1"/>
  <c r="H82" i="4"/>
  <c r="F82" i="4"/>
  <c r="H81" i="4"/>
  <c r="F81" i="4"/>
  <c r="F80" i="4"/>
  <c r="H80" i="4" s="1"/>
  <c r="F79" i="4"/>
  <c r="H79" i="4" s="1"/>
  <c r="F78" i="4"/>
  <c r="H78" i="4" s="1"/>
  <c r="F77" i="4"/>
  <c r="H77" i="4" s="1"/>
  <c r="F76" i="4"/>
  <c r="H76" i="4" s="1"/>
  <c r="F75" i="4"/>
  <c r="H75" i="4" s="1"/>
  <c r="F74" i="4"/>
  <c r="H74" i="4" s="1"/>
  <c r="F73" i="4"/>
  <c r="H73" i="4" s="1"/>
  <c r="F72" i="4"/>
  <c r="H72" i="4" s="1"/>
  <c r="F71" i="4"/>
  <c r="H71" i="4" s="1"/>
  <c r="H70" i="4"/>
  <c r="F70" i="4"/>
  <c r="F69" i="4"/>
  <c r="H69" i="4" s="1"/>
  <c r="H68" i="4"/>
  <c r="F68" i="4"/>
  <c r="F67" i="4"/>
  <c r="H67" i="4" s="1"/>
  <c r="F66" i="4"/>
  <c r="H66" i="4" s="1"/>
  <c r="F65" i="4"/>
  <c r="H65" i="4" s="1"/>
  <c r="F64" i="4"/>
  <c r="H64" i="4" s="1"/>
  <c r="F63" i="4"/>
  <c r="H63" i="4" s="1"/>
  <c r="F62" i="4"/>
  <c r="H62" i="4" s="1"/>
  <c r="F61" i="4"/>
  <c r="H61" i="4" s="1"/>
  <c r="F60" i="4"/>
  <c r="H60" i="4" s="1"/>
  <c r="F59" i="4"/>
  <c r="H59" i="4" s="1"/>
  <c r="F58" i="4"/>
  <c r="H58" i="4" s="1"/>
  <c r="F57" i="4"/>
  <c r="H57" i="4" s="1"/>
  <c r="H56" i="4"/>
  <c r="F56" i="4"/>
  <c r="H55" i="4"/>
  <c r="F55" i="4"/>
  <c r="F54" i="4"/>
  <c r="H54" i="4" s="1"/>
  <c r="F53" i="4"/>
  <c r="H53" i="4" s="1"/>
  <c r="F52" i="4"/>
  <c r="H52" i="4" s="1"/>
  <c r="F51" i="4"/>
  <c r="H51" i="4" s="1"/>
  <c r="F50" i="4"/>
  <c r="H50" i="4" s="1"/>
  <c r="F49" i="4"/>
  <c r="H49" i="4" s="1"/>
  <c r="F48" i="4"/>
  <c r="H48" i="4" s="1"/>
  <c r="F47" i="4"/>
  <c r="H47" i="4" s="1"/>
  <c r="H46" i="4"/>
  <c r="F46" i="4"/>
  <c r="F45" i="4"/>
  <c r="H45" i="4" s="1"/>
  <c r="F44" i="4"/>
  <c r="H44" i="4" s="1"/>
  <c r="F43" i="4"/>
  <c r="H43" i="4" s="1"/>
  <c r="F42" i="4"/>
  <c r="H42" i="4" s="1"/>
  <c r="F41" i="4"/>
  <c r="H41" i="4" s="1"/>
  <c r="F40" i="4"/>
  <c r="H40" i="4" s="1"/>
  <c r="F39" i="4"/>
  <c r="H39" i="4" s="1"/>
  <c r="H38" i="4"/>
  <c r="F38" i="4"/>
  <c r="F37" i="4"/>
  <c r="H37" i="4" s="1"/>
  <c r="F36" i="4"/>
  <c r="H36" i="4" s="1"/>
  <c r="F35" i="4"/>
  <c r="H35" i="4" s="1"/>
  <c r="F34" i="4"/>
  <c r="H34" i="4" s="1"/>
  <c r="F33" i="4"/>
  <c r="H33" i="4" s="1"/>
  <c r="F32" i="4"/>
  <c r="H32" i="4" s="1"/>
  <c r="F31" i="4"/>
  <c r="H31" i="4" s="1"/>
  <c r="F30" i="4"/>
  <c r="H30" i="4" s="1"/>
  <c r="F29" i="4"/>
  <c r="H29" i="4" s="1"/>
  <c r="F28" i="4"/>
  <c r="H28" i="4" s="1"/>
  <c r="H27" i="4"/>
  <c r="F27" i="4"/>
  <c r="F26" i="4"/>
  <c r="H26" i="4" s="1"/>
  <c r="H25" i="4"/>
  <c r="F25" i="4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H13" i="4"/>
  <c r="F13" i="4"/>
  <c r="F12" i="4"/>
  <c r="H12" i="4" s="1"/>
  <c r="H11" i="4"/>
  <c r="F11" i="4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F4" i="4"/>
  <c r="H4" i="4" s="1"/>
  <c r="F3" i="4"/>
  <c r="H3" i="4" s="1"/>
  <c r="F2" i="4"/>
  <c r="H2" i="4" s="1"/>
  <c r="G313" i="3"/>
  <c r="I313" i="3" s="1"/>
  <c r="I312" i="3"/>
  <c r="G312" i="3"/>
  <c r="G311" i="3"/>
  <c r="I311" i="3" s="1"/>
  <c r="G310" i="3"/>
  <c r="I310" i="3" s="1"/>
  <c r="G309" i="3"/>
  <c r="I309" i="3" s="1"/>
  <c r="G308" i="3"/>
  <c r="I308" i="3" s="1"/>
  <c r="G307" i="3"/>
  <c r="I307" i="3" s="1"/>
  <c r="G306" i="3"/>
  <c r="I306" i="3" s="1"/>
  <c r="G305" i="3"/>
  <c r="I305" i="3" s="1"/>
  <c r="G304" i="3"/>
  <c r="I304" i="3" s="1"/>
  <c r="G303" i="3"/>
  <c r="I303" i="3" s="1"/>
  <c r="G302" i="3"/>
  <c r="I302" i="3" s="1"/>
  <c r="G301" i="3"/>
  <c r="I301" i="3" s="1"/>
  <c r="G300" i="3"/>
  <c r="I300" i="3" s="1"/>
  <c r="G299" i="3"/>
  <c r="I299" i="3" s="1"/>
  <c r="G298" i="3"/>
  <c r="I298" i="3" s="1"/>
  <c r="G297" i="3"/>
  <c r="I297" i="3" s="1"/>
  <c r="G296" i="3"/>
  <c r="I296" i="3" s="1"/>
  <c r="G295" i="3"/>
  <c r="I295" i="3" s="1"/>
  <c r="I294" i="3"/>
  <c r="G294" i="3"/>
  <c r="G293" i="3"/>
  <c r="I293" i="3" s="1"/>
  <c r="G292" i="3"/>
  <c r="I292" i="3" s="1"/>
  <c r="G291" i="3"/>
  <c r="I291" i="3" s="1"/>
  <c r="G290" i="3"/>
  <c r="I290" i="3" s="1"/>
  <c r="G289" i="3"/>
  <c r="I289" i="3" s="1"/>
  <c r="G288" i="3"/>
  <c r="I288" i="3" s="1"/>
  <c r="G287" i="3"/>
  <c r="I287" i="3" s="1"/>
  <c r="G286" i="3"/>
  <c r="I286" i="3" s="1"/>
  <c r="G285" i="3"/>
  <c r="I285" i="3" s="1"/>
  <c r="G284" i="3"/>
  <c r="I284" i="3" s="1"/>
  <c r="I283" i="3"/>
  <c r="G283" i="3"/>
  <c r="I282" i="3"/>
  <c r="G282" i="3"/>
  <c r="G281" i="3"/>
  <c r="I281" i="3" s="1"/>
  <c r="I280" i="3"/>
  <c r="G280" i="3"/>
  <c r="G279" i="3"/>
  <c r="I279" i="3" s="1"/>
  <c r="G278" i="3"/>
  <c r="I278" i="3" s="1"/>
  <c r="G277" i="3"/>
  <c r="I277" i="3" s="1"/>
  <c r="G276" i="3"/>
  <c r="I276" i="3" s="1"/>
  <c r="G275" i="3"/>
  <c r="I275" i="3" s="1"/>
  <c r="G274" i="3"/>
  <c r="I274" i="3" s="1"/>
  <c r="G273" i="3"/>
  <c r="I273" i="3" s="1"/>
  <c r="G272" i="3"/>
  <c r="I272" i="3" s="1"/>
  <c r="G271" i="3"/>
  <c r="I271" i="3" s="1"/>
  <c r="I270" i="3"/>
  <c r="G270" i="3"/>
  <c r="I269" i="3"/>
  <c r="G269" i="3"/>
  <c r="G268" i="3"/>
  <c r="I268" i="3" s="1"/>
  <c r="G267" i="3"/>
  <c r="I267" i="3" s="1"/>
  <c r="G266" i="3"/>
  <c r="I266" i="3" s="1"/>
  <c r="G265" i="3"/>
  <c r="I265" i="3" s="1"/>
  <c r="G264" i="3"/>
  <c r="I264" i="3" s="1"/>
  <c r="G263" i="3"/>
  <c r="I263" i="3" s="1"/>
  <c r="G262" i="3"/>
  <c r="I262" i="3" s="1"/>
  <c r="G261" i="3"/>
  <c r="I261" i="3" s="1"/>
  <c r="G260" i="3"/>
  <c r="I260" i="3" s="1"/>
  <c r="G259" i="3"/>
  <c r="I259" i="3" s="1"/>
  <c r="G258" i="3"/>
  <c r="I258" i="3" s="1"/>
  <c r="G257" i="3"/>
  <c r="I257" i="3" s="1"/>
  <c r="G256" i="3"/>
  <c r="I256" i="3" s="1"/>
  <c r="G255" i="3"/>
  <c r="I255" i="3" s="1"/>
  <c r="G254" i="3"/>
  <c r="I254" i="3" s="1"/>
  <c r="G253" i="3"/>
  <c r="I253" i="3" s="1"/>
  <c r="G252" i="3"/>
  <c r="I252" i="3" s="1"/>
  <c r="G251" i="3"/>
  <c r="I251" i="3" s="1"/>
  <c r="G250" i="3"/>
  <c r="I250" i="3" s="1"/>
  <c r="G249" i="3"/>
  <c r="I249" i="3" s="1"/>
  <c r="G248" i="3"/>
  <c r="I248" i="3" s="1"/>
  <c r="G247" i="3"/>
  <c r="I247" i="3" s="1"/>
  <c r="G246" i="3"/>
  <c r="I246" i="3" s="1"/>
  <c r="G245" i="3"/>
  <c r="I245" i="3" s="1"/>
  <c r="G244" i="3"/>
  <c r="I244" i="3" s="1"/>
  <c r="G243" i="3"/>
  <c r="I243" i="3" s="1"/>
  <c r="G242" i="3"/>
  <c r="I242" i="3" s="1"/>
  <c r="G241" i="3"/>
  <c r="I241" i="3" s="1"/>
  <c r="G240" i="3"/>
  <c r="I240" i="3" s="1"/>
  <c r="G239" i="3"/>
  <c r="I239" i="3" s="1"/>
  <c r="G238" i="3"/>
  <c r="I238" i="3" s="1"/>
  <c r="I237" i="3"/>
  <c r="G237" i="3"/>
  <c r="G236" i="3"/>
  <c r="I236" i="3" s="1"/>
  <c r="G235" i="3"/>
  <c r="I235" i="3" s="1"/>
  <c r="G234" i="3"/>
  <c r="I234" i="3" s="1"/>
  <c r="G233" i="3"/>
  <c r="I233" i="3" s="1"/>
  <c r="G232" i="3"/>
  <c r="I232" i="3" s="1"/>
  <c r="G231" i="3"/>
  <c r="I231" i="3" s="1"/>
  <c r="G230" i="3"/>
  <c r="I230" i="3" s="1"/>
  <c r="I229" i="3"/>
  <c r="G229" i="3"/>
  <c r="G228" i="3"/>
  <c r="I228" i="3" s="1"/>
  <c r="G227" i="3"/>
  <c r="I227" i="3" s="1"/>
  <c r="I226" i="3"/>
  <c r="G226" i="3"/>
  <c r="I225" i="3"/>
  <c r="G225" i="3"/>
  <c r="I224" i="3"/>
  <c r="G224" i="3"/>
  <c r="G223" i="3"/>
  <c r="I223" i="3" s="1"/>
  <c r="G222" i="3"/>
  <c r="I222" i="3" s="1"/>
  <c r="G221" i="3"/>
  <c r="I221" i="3" s="1"/>
  <c r="G220" i="3"/>
  <c r="I220" i="3" s="1"/>
  <c r="G219" i="3"/>
  <c r="I219" i="3" s="1"/>
  <c r="G218" i="3"/>
  <c r="I218" i="3" s="1"/>
  <c r="G217" i="3"/>
  <c r="I217" i="3" s="1"/>
  <c r="G216" i="3"/>
  <c r="I216" i="3" s="1"/>
  <c r="G215" i="3"/>
  <c r="I215" i="3" s="1"/>
  <c r="I214" i="3"/>
  <c r="G214" i="3"/>
  <c r="G213" i="3"/>
  <c r="I213" i="3" s="1"/>
  <c r="G212" i="3"/>
  <c r="I212" i="3" s="1"/>
  <c r="G211" i="3"/>
  <c r="I211" i="3" s="1"/>
  <c r="G210" i="3"/>
  <c r="I210" i="3" s="1"/>
  <c r="G209" i="3"/>
  <c r="I209" i="3" s="1"/>
  <c r="G208" i="3"/>
  <c r="I208" i="3" s="1"/>
  <c r="G207" i="3"/>
  <c r="I207" i="3" s="1"/>
  <c r="G206" i="3"/>
  <c r="I206" i="3" s="1"/>
  <c r="G205" i="3"/>
  <c r="I205" i="3" s="1"/>
  <c r="G204" i="3"/>
  <c r="I204" i="3" s="1"/>
  <c r="G203" i="3"/>
  <c r="I203" i="3" s="1"/>
  <c r="G202" i="3"/>
  <c r="I202" i="3" s="1"/>
  <c r="G201" i="3"/>
  <c r="I201" i="3" s="1"/>
  <c r="G200" i="3"/>
  <c r="I200" i="3" s="1"/>
  <c r="G199" i="3"/>
  <c r="I199" i="3" s="1"/>
  <c r="G198" i="3"/>
  <c r="I198" i="3" s="1"/>
  <c r="G197" i="3"/>
  <c r="I197" i="3" s="1"/>
  <c r="G196" i="3"/>
  <c r="I196" i="3" s="1"/>
  <c r="G195" i="3"/>
  <c r="I195" i="3" s="1"/>
  <c r="I194" i="3"/>
  <c r="G194" i="3"/>
  <c r="G193" i="3"/>
  <c r="I193" i="3" s="1"/>
  <c r="G192" i="3"/>
  <c r="I192" i="3" s="1"/>
  <c r="G191" i="3"/>
  <c r="I191" i="3" s="1"/>
  <c r="G190" i="3"/>
  <c r="I190" i="3" s="1"/>
  <c r="G189" i="3"/>
  <c r="I189" i="3" s="1"/>
  <c r="G188" i="3"/>
  <c r="I188" i="3" s="1"/>
  <c r="G187" i="3"/>
  <c r="I187" i="3" s="1"/>
  <c r="G186" i="3"/>
  <c r="I186" i="3" s="1"/>
  <c r="G185" i="3"/>
  <c r="I185" i="3" s="1"/>
  <c r="G184" i="3"/>
  <c r="I184" i="3" s="1"/>
  <c r="I183" i="3"/>
  <c r="G183" i="3"/>
  <c r="I182" i="3"/>
  <c r="G182" i="3"/>
  <c r="I181" i="3"/>
  <c r="G181" i="3"/>
  <c r="G180" i="3"/>
  <c r="I180" i="3" s="1"/>
  <c r="G179" i="3"/>
  <c r="I179" i="3" s="1"/>
  <c r="G178" i="3"/>
  <c r="I178" i="3" s="1"/>
  <c r="G177" i="3"/>
  <c r="I177" i="3" s="1"/>
  <c r="G176" i="3"/>
  <c r="I176" i="3" s="1"/>
  <c r="G175" i="3"/>
  <c r="I175" i="3" s="1"/>
  <c r="G174" i="3"/>
  <c r="I174" i="3" s="1"/>
  <c r="G173" i="3"/>
  <c r="I173" i="3" s="1"/>
  <c r="G172" i="3"/>
  <c r="I172" i="3" s="1"/>
  <c r="G171" i="3"/>
  <c r="I171" i="3" s="1"/>
  <c r="G170" i="3"/>
  <c r="I170" i="3" s="1"/>
  <c r="G169" i="3"/>
  <c r="I169" i="3" s="1"/>
  <c r="G168" i="3"/>
  <c r="I168" i="3" s="1"/>
  <c r="G167" i="3"/>
  <c r="I167" i="3" s="1"/>
  <c r="G166" i="3"/>
  <c r="I166" i="3" s="1"/>
  <c r="G165" i="3"/>
  <c r="I165" i="3" s="1"/>
  <c r="G164" i="3"/>
  <c r="I164" i="3" s="1"/>
  <c r="G163" i="3"/>
  <c r="I163" i="3" s="1"/>
  <c r="G162" i="3"/>
  <c r="I162" i="3" s="1"/>
  <c r="G161" i="3"/>
  <c r="I161" i="3" s="1"/>
  <c r="G160" i="3"/>
  <c r="I160" i="3" s="1"/>
  <c r="I159" i="3"/>
  <c r="G159" i="3"/>
  <c r="I158" i="3"/>
  <c r="G158" i="3"/>
  <c r="G157" i="3"/>
  <c r="I157" i="3" s="1"/>
  <c r="G156" i="3"/>
  <c r="I156" i="3" s="1"/>
  <c r="G155" i="3"/>
  <c r="I155" i="3" s="1"/>
  <c r="G154" i="3"/>
  <c r="I154" i="3" s="1"/>
  <c r="G153" i="3"/>
  <c r="I153" i="3" s="1"/>
  <c r="G152" i="3"/>
  <c r="I152" i="3" s="1"/>
  <c r="I151" i="3"/>
  <c r="G151" i="3"/>
  <c r="G150" i="3"/>
  <c r="I150" i="3" s="1"/>
  <c r="G149" i="3"/>
  <c r="I149" i="3" s="1"/>
  <c r="G148" i="3"/>
  <c r="I148" i="3" s="1"/>
  <c r="G147" i="3"/>
  <c r="I147" i="3" s="1"/>
  <c r="G146" i="3"/>
  <c r="I146" i="3" s="1"/>
  <c r="G145" i="3"/>
  <c r="I145" i="3" s="1"/>
  <c r="G144" i="3"/>
  <c r="I144" i="3" s="1"/>
  <c r="G143" i="3"/>
  <c r="I143" i="3" s="1"/>
  <c r="G142" i="3"/>
  <c r="I142" i="3" s="1"/>
  <c r="I141" i="3"/>
  <c r="G141" i="3"/>
  <c r="I140" i="3"/>
  <c r="G140" i="3"/>
  <c r="I139" i="3"/>
  <c r="G139" i="3"/>
  <c r="I138" i="3"/>
  <c r="G138" i="3"/>
  <c r="G137" i="3"/>
  <c r="I137" i="3" s="1"/>
  <c r="G136" i="3"/>
  <c r="I136" i="3" s="1"/>
  <c r="G135" i="3"/>
  <c r="I135" i="3" s="1"/>
  <c r="G134" i="3"/>
  <c r="I134" i="3" s="1"/>
  <c r="G133" i="3"/>
  <c r="I133" i="3" s="1"/>
  <c r="G132" i="3"/>
  <c r="I132" i="3" s="1"/>
  <c r="G131" i="3"/>
  <c r="I131" i="3" s="1"/>
  <c r="G130" i="3"/>
  <c r="I130" i="3" s="1"/>
  <c r="G129" i="3"/>
  <c r="I129" i="3" s="1"/>
  <c r="I128" i="3"/>
  <c r="G128" i="3"/>
  <c r="G127" i="3"/>
  <c r="I127" i="3" s="1"/>
  <c r="G126" i="3"/>
  <c r="I126" i="3" s="1"/>
  <c r="G125" i="3"/>
  <c r="I125" i="3" s="1"/>
  <c r="G124" i="3"/>
  <c r="I124" i="3" s="1"/>
  <c r="G123" i="3"/>
  <c r="I123" i="3" s="1"/>
  <c r="G122" i="3"/>
  <c r="I122" i="3" s="1"/>
  <c r="G121" i="3"/>
  <c r="I121" i="3" s="1"/>
  <c r="G120" i="3"/>
  <c r="I120" i="3" s="1"/>
  <c r="G119" i="3"/>
  <c r="I119" i="3" s="1"/>
  <c r="G118" i="3"/>
  <c r="I118" i="3" s="1"/>
  <c r="G117" i="3"/>
  <c r="I117" i="3" s="1"/>
  <c r="G116" i="3"/>
  <c r="I116" i="3" s="1"/>
  <c r="G115" i="3"/>
  <c r="I115" i="3" s="1"/>
  <c r="G114" i="3"/>
  <c r="I114" i="3" s="1"/>
  <c r="G113" i="3"/>
  <c r="I113" i="3" s="1"/>
  <c r="G112" i="3"/>
  <c r="I112" i="3" s="1"/>
  <c r="G111" i="3"/>
  <c r="I111" i="3" s="1"/>
  <c r="G110" i="3"/>
  <c r="I110" i="3" s="1"/>
  <c r="G109" i="3"/>
  <c r="I109" i="3" s="1"/>
  <c r="I108" i="3"/>
  <c r="G108" i="3"/>
  <c r="G107" i="3"/>
  <c r="I107" i="3" s="1"/>
  <c r="G106" i="3"/>
  <c r="I106" i="3" s="1"/>
  <c r="G105" i="3"/>
  <c r="I105" i="3" s="1"/>
  <c r="G104" i="3"/>
  <c r="I104" i="3" s="1"/>
  <c r="G103" i="3"/>
  <c r="I103" i="3" s="1"/>
  <c r="G102" i="3"/>
  <c r="I102" i="3" s="1"/>
  <c r="G101" i="3"/>
  <c r="I101" i="3" s="1"/>
  <c r="G100" i="3"/>
  <c r="I100" i="3" s="1"/>
  <c r="G99" i="3"/>
  <c r="I99" i="3" s="1"/>
  <c r="G98" i="3"/>
  <c r="I98" i="3" s="1"/>
  <c r="I97" i="3"/>
  <c r="G97" i="3"/>
  <c r="I96" i="3"/>
  <c r="G96" i="3"/>
  <c r="G95" i="3"/>
  <c r="I95" i="3" s="1"/>
  <c r="G94" i="3"/>
  <c r="I94" i="3" s="1"/>
  <c r="G93" i="3"/>
  <c r="I93" i="3" s="1"/>
  <c r="G92" i="3"/>
  <c r="I92" i="3" s="1"/>
  <c r="G91" i="3"/>
  <c r="I91" i="3" s="1"/>
  <c r="G90" i="3"/>
  <c r="I90" i="3" s="1"/>
  <c r="G89" i="3"/>
  <c r="I89" i="3" s="1"/>
  <c r="G88" i="3"/>
  <c r="I88" i="3" s="1"/>
  <c r="G87" i="3"/>
  <c r="I87" i="3" s="1"/>
  <c r="G86" i="3"/>
  <c r="I86" i="3" s="1"/>
  <c r="G85" i="3"/>
  <c r="I85" i="3" s="1"/>
  <c r="G84" i="3"/>
  <c r="I84" i="3" s="1"/>
  <c r="G83" i="3"/>
  <c r="I83" i="3" s="1"/>
  <c r="G82" i="3"/>
  <c r="I82" i="3" s="1"/>
  <c r="I81" i="3"/>
  <c r="G81" i="3"/>
  <c r="G80" i="3"/>
  <c r="I80" i="3" s="1"/>
  <c r="G79" i="3"/>
  <c r="I79" i="3" s="1"/>
  <c r="G78" i="3"/>
  <c r="I78" i="3" s="1"/>
  <c r="G77" i="3"/>
  <c r="I77" i="3" s="1"/>
  <c r="G76" i="3"/>
  <c r="I76" i="3" s="1"/>
  <c r="G75" i="3"/>
  <c r="I75" i="3" s="1"/>
  <c r="G74" i="3"/>
  <c r="I74" i="3" s="1"/>
  <c r="I73" i="3"/>
  <c r="G73" i="3"/>
  <c r="G72" i="3"/>
  <c r="I72" i="3" s="1"/>
  <c r="I71" i="3"/>
  <c r="G71" i="3"/>
  <c r="I70" i="3"/>
  <c r="G70" i="3"/>
  <c r="G69" i="3"/>
  <c r="I69" i="3" s="1"/>
  <c r="G68" i="3"/>
  <c r="I68" i="3" s="1"/>
  <c r="G67" i="3"/>
  <c r="I67" i="3" s="1"/>
  <c r="G66" i="3"/>
  <c r="I66" i="3" s="1"/>
  <c r="G65" i="3"/>
  <c r="I65" i="3" s="1"/>
  <c r="G64" i="3"/>
  <c r="I64" i="3" s="1"/>
  <c r="G63" i="3"/>
  <c r="I63" i="3" s="1"/>
  <c r="G62" i="3"/>
  <c r="I62" i="3" s="1"/>
  <c r="G61" i="3"/>
  <c r="I61" i="3" s="1"/>
  <c r="G60" i="3"/>
  <c r="I60" i="3" s="1"/>
  <c r="G59" i="3"/>
  <c r="I59" i="3" s="1"/>
  <c r="G58" i="3"/>
  <c r="I58" i="3" s="1"/>
  <c r="G57" i="3"/>
  <c r="I57" i="3" s="1"/>
  <c r="G56" i="3"/>
  <c r="I56" i="3" s="1"/>
  <c r="G55" i="3"/>
  <c r="I55" i="3" s="1"/>
  <c r="G54" i="3"/>
  <c r="I54" i="3" s="1"/>
  <c r="I53" i="3"/>
  <c r="G53" i="3"/>
  <c r="G52" i="3"/>
  <c r="I52" i="3" s="1"/>
  <c r="G51" i="3"/>
  <c r="I51" i="3" s="1"/>
  <c r="G50" i="3"/>
  <c r="I50" i="3" s="1"/>
  <c r="G49" i="3"/>
  <c r="I49" i="3" s="1"/>
  <c r="G48" i="3"/>
  <c r="I48" i="3" s="1"/>
  <c r="G47" i="3"/>
  <c r="I47" i="3" s="1"/>
  <c r="G46" i="3"/>
  <c r="I46" i="3" s="1"/>
  <c r="G45" i="3"/>
  <c r="I45" i="3" s="1"/>
  <c r="G44" i="3"/>
  <c r="I44" i="3" s="1"/>
  <c r="G43" i="3"/>
  <c r="I43" i="3" s="1"/>
  <c r="G42" i="3"/>
  <c r="I42" i="3" s="1"/>
  <c r="G41" i="3"/>
  <c r="I41" i="3" s="1"/>
  <c r="G40" i="3"/>
  <c r="I40" i="3" s="1"/>
  <c r="G39" i="3"/>
  <c r="I39" i="3" s="1"/>
  <c r="I38" i="3"/>
  <c r="G38" i="3"/>
  <c r="G37" i="3"/>
  <c r="I37" i="3" s="1"/>
  <c r="G36" i="3"/>
  <c r="I36" i="3" s="1"/>
  <c r="G35" i="3"/>
  <c r="I35" i="3" s="1"/>
  <c r="G34" i="3"/>
  <c r="I34" i="3" s="1"/>
  <c r="G33" i="3"/>
  <c r="I33" i="3" s="1"/>
  <c r="G32" i="3"/>
  <c r="I32" i="3" s="1"/>
  <c r="G31" i="3"/>
  <c r="I31" i="3" s="1"/>
  <c r="G30" i="3"/>
  <c r="I30" i="3" s="1"/>
  <c r="G29" i="3"/>
  <c r="I29" i="3" s="1"/>
  <c r="G28" i="3"/>
  <c r="I28" i="3" s="1"/>
  <c r="I27" i="3"/>
  <c r="G27" i="3"/>
  <c r="I26" i="3"/>
  <c r="G26" i="3"/>
  <c r="G25" i="3"/>
  <c r="I25" i="3" s="1"/>
  <c r="G24" i="3"/>
  <c r="I24" i="3" s="1"/>
  <c r="G23" i="3"/>
  <c r="I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G7" i="3"/>
  <c r="I7" i="3" s="1"/>
  <c r="G6" i="3"/>
  <c r="I6" i="3" s="1"/>
  <c r="G5" i="3"/>
  <c r="I5" i="3" s="1"/>
  <c r="G4" i="3"/>
  <c r="I4" i="3" s="1"/>
  <c r="G3" i="3"/>
  <c r="I3" i="3" s="1"/>
  <c r="G2" i="3"/>
  <c r="I2" i="3" s="1"/>
  <c r="F101" i="2"/>
  <c r="H101" i="2" s="1"/>
  <c r="F100" i="2"/>
  <c r="H100" i="2" s="1"/>
  <c r="F99" i="2"/>
  <c r="H99" i="2" s="1"/>
  <c r="H98" i="2"/>
  <c r="F98" i="2"/>
  <c r="F97" i="2"/>
  <c r="H97" i="2" s="1"/>
  <c r="F96" i="2"/>
  <c r="H96" i="2" s="1"/>
  <c r="H95" i="2"/>
  <c r="F95" i="2"/>
  <c r="F94" i="2"/>
  <c r="H94" i="2" s="1"/>
  <c r="F93" i="2"/>
  <c r="H93" i="2" s="1"/>
  <c r="F92" i="2"/>
  <c r="H92" i="2" s="1"/>
  <c r="F91" i="2"/>
  <c r="H91" i="2" s="1"/>
  <c r="F90" i="2"/>
  <c r="H90" i="2" s="1"/>
  <c r="F89" i="2"/>
  <c r="H89" i="2" s="1"/>
  <c r="F88" i="2"/>
  <c r="H88" i="2" s="1"/>
  <c r="F87" i="2"/>
  <c r="H87" i="2" s="1"/>
  <c r="F86" i="2"/>
  <c r="H86" i="2" s="1"/>
  <c r="F85" i="2"/>
  <c r="H85" i="2" s="1"/>
  <c r="H84" i="2"/>
  <c r="F84" i="2"/>
  <c r="H83" i="2"/>
  <c r="F83" i="2"/>
  <c r="F82" i="2"/>
  <c r="H82" i="2" s="1"/>
  <c r="F81" i="2"/>
  <c r="H81" i="2" s="1"/>
  <c r="F80" i="2"/>
  <c r="H80" i="2" s="1"/>
  <c r="F79" i="2"/>
  <c r="H79" i="2" s="1"/>
  <c r="F78" i="2"/>
  <c r="H78" i="2" s="1"/>
  <c r="F77" i="2"/>
  <c r="H77" i="2" s="1"/>
  <c r="F76" i="2"/>
  <c r="H76" i="2" s="1"/>
  <c r="F75" i="2"/>
  <c r="H75" i="2" s="1"/>
  <c r="F74" i="2"/>
  <c r="H74" i="2" s="1"/>
  <c r="F73" i="2"/>
  <c r="H73" i="2" s="1"/>
  <c r="F72" i="2"/>
  <c r="H72" i="2" s="1"/>
  <c r="F71" i="2"/>
  <c r="H71" i="2" s="1"/>
  <c r="F70" i="2"/>
  <c r="H70" i="2" s="1"/>
  <c r="F69" i="2"/>
  <c r="H69" i="2" s="1"/>
  <c r="F68" i="2"/>
  <c r="H68" i="2" s="1"/>
  <c r="F67" i="2"/>
  <c r="H67" i="2" s="1"/>
  <c r="F66" i="2"/>
  <c r="H66" i="2" s="1"/>
  <c r="F65" i="2"/>
  <c r="H65" i="2" s="1"/>
  <c r="F64" i="2"/>
  <c r="H64" i="2" s="1"/>
  <c r="F63" i="2"/>
  <c r="H63" i="2" s="1"/>
  <c r="F62" i="2"/>
  <c r="H62" i="2" s="1"/>
  <c r="F61" i="2"/>
  <c r="H61" i="2" s="1"/>
  <c r="F60" i="2"/>
  <c r="H60" i="2" s="1"/>
  <c r="F59" i="2"/>
  <c r="H59" i="2" s="1"/>
  <c r="F58" i="2"/>
  <c r="H58" i="2" s="1"/>
  <c r="F57" i="2"/>
  <c r="H57" i="2" s="1"/>
  <c r="F56" i="2"/>
  <c r="H56" i="2" s="1"/>
  <c r="F55" i="2"/>
  <c r="H55" i="2" s="1"/>
  <c r="F54" i="2"/>
  <c r="H54" i="2" s="1"/>
  <c r="F53" i="2"/>
  <c r="H53" i="2" s="1"/>
  <c r="H52" i="2"/>
  <c r="F52" i="2"/>
  <c r="F51" i="2"/>
  <c r="H51" i="2" s="1"/>
  <c r="F50" i="2"/>
  <c r="H50" i="2" s="1"/>
  <c r="F49" i="2"/>
  <c r="H49" i="2" s="1"/>
  <c r="F48" i="2"/>
  <c r="H48" i="2" s="1"/>
  <c r="F47" i="2"/>
  <c r="H47" i="2" s="1"/>
  <c r="F46" i="2"/>
  <c r="H46" i="2" s="1"/>
  <c r="F45" i="2"/>
  <c r="H45" i="2" s="1"/>
  <c r="F44" i="2"/>
  <c r="H44" i="2" s="1"/>
  <c r="H43" i="2"/>
  <c r="F43" i="2"/>
  <c r="H42" i="2"/>
  <c r="F42" i="2"/>
  <c r="H41" i="2"/>
  <c r="F41" i="2"/>
  <c r="H40" i="2"/>
  <c r="F40" i="2"/>
  <c r="F39" i="2"/>
  <c r="H39" i="2" s="1"/>
  <c r="F38" i="2"/>
  <c r="H38" i="2" s="1"/>
  <c r="F37" i="2"/>
  <c r="H37" i="2" s="1"/>
  <c r="F36" i="2"/>
  <c r="H36" i="2" s="1"/>
  <c r="F35" i="2"/>
  <c r="H35" i="2" s="1"/>
  <c r="F34" i="2"/>
  <c r="H34" i="2" s="1"/>
  <c r="F33" i="2"/>
  <c r="H33" i="2" s="1"/>
  <c r="F32" i="2"/>
  <c r="H32" i="2" s="1"/>
  <c r="F31" i="2"/>
  <c r="H31" i="2" s="1"/>
  <c r="H30" i="2"/>
  <c r="F30" i="2"/>
  <c r="F29" i="2"/>
  <c r="H29" i="2" s="1"/>
  <c r="H28" i="2"/>
  <c r="F28" i="2"/>
  <c r="F27" i="2"/>
  <c r="H27" i="2" s="1"/>
  <c r="F26" i="2"/>
  <c r="H26" i="2" s="1"/>
  <c r="F25" i="2"/>
  <c r="H25" i="2" s="1"/>
  <c r="F24" i="2"/>
  <c r="H24" i="2" s="1"/>
  <c r="F23" i="2"/>
  <c r="H23" i="2" s="1"/>
  <c r="F22" i="2"/>
  <c r="H22" i="2" s="1"/>
  <c r="F21" i="2"/>
  <c r="H21" i="2" s="1"/>
  <c r="F20" i="2"/>
  <c r="H20" i="2" s="1"/>
  <c r="F19" i="2"/>
  <c r="H19" i="2" s="1"/>
  <c r="F18" i="2"/>
  <c r="H18" i="2" s="1"/>
  <c r="F17" i="2"/>
  <c r="H17" i="2" s="1"/>
  <c r="F16" i="2"/>
  <c r="H16" i="2" s="1"/>
  <c r="F15" i="2"/>
  <c r="H15" i="2" s="1"/>
  <c r="F14" i="2"/>
  <c r="H14" i="2" s="1"/>
  <c r="F13" i="2"/>
  <c r="H13" i="2" s="1"/>
  <c r="F12" i="2"/>
  <c r="H12" i="2" s="1"/>
  <c r="F11" i="2"/>
  <c r="H11" i="2" s="1"/>
  <c r="F10" i="2"/>
  <c r="H10" i="2" s="1"/>
  <c r="H9" i="2"/>
  <c r="F9" i="2"/>
  <c r="F8" i="2"/>
  <c r="H8" i="2" s="1"/>
  <c r="F7" i="2"/>
  <c r="H7" i="2" s="1"/>
  <c r="F6" i="2"/>
  <c r="H6" i="2" s="1"/>
  <c r="F5" i="2"/>
  <c r="H5" i="2" s="1"/>
  <c r="F4" i="2"/>
  <c r="H4" i="2" s="1"/>
  <c r="F3" i="2"/>
  <c r="H3" i="2" s="1"/>
  <c r="F2" i="2"/>
  <c r="H2" i="2" s="1"/>
  <c r="F905" i="1"/>
  <c r="H905" i="1" s="1"/>
  <c r="F904" i="1"/>
  <c r="H904" i="1" s="1"/>
  <c r="F903" i="1"/>
  <c r="H903" i="1" s="1"/>
  <c r="H902" i="1"/>
  <c r="F902" i="1"/>
  <c r="H901" i="1"/>
  <c r="F901" i="1"/>
  <c r="F900" i="1"/>
  <c r="H900" i="1" s="1"/>
  <c r="F899" i="1"/>
  <c r="H899" i="1" s="1"/>
  <c r="F898" i="1"/>
  <c r="H898" i="1" s="1"/>
  <c r="F897" i="1"/>
  <c r="H897" i="1" s="1"/>
  <c r="F896" i="1"/>
  <c r="H896" i="1" s="1"/>
  <c r="F895" i="1"/>
  <c r="H895" i="1" s="1"/>
  <c r="F894" i="1"/>
  <c r="H894" i="1" s="1"/>
  <c r="F893" i="1"/>
  <c r="H893" i="1" s="1"/>
  <c r="F892" i="1"/>
  <c r="H892" i="1" s="1"/>
  <c r="F891" i="1"/>
  <c r="H891" i="1" s="1"/>
  <c r="F890" i="1"/>
  <c r="H890" i="1" s="1"/>
  <c r="F889" i="1"/>
  <c r="H889" i="1" s="1"/>
  <c r="F888" i="1"/>
  <c r="H888" i="1" s="1"/>
  <c r="F887" i="1"/>
  <c r="H887" i="1" s="1"/>
  <c r="F886" i="1"/>
  <c r="H886" i="1" s="1"/>
  <c r="F885" i="1"/>
  <c r="H885" i="1" s="1"/>
  <c r="F884" i="1"/>
  <c r="H884" i="1" s="1"/>
  <c r="F883" i="1"/>
  <c r="H883" i="1" s="1"/>
  <c r="F882" i="1"/>
  <c r="H882" i="1" s="1"/>
  <c r="F881" i="1"/>
  <c r="H881" i="1" s="1"/>
  <c r="F880" i="1"/>
  <c r="H880" i="1" s="1"/>
  <c r="F879" i="1"/>
  <c r="H879" i="1" s="1"/>
  <c r="F878" i="1"/>
  <c r="H878" i="1" s="1"/>
  <c r="H877" i="1"/>
  <c r="F877" i="1"/>
  <c r="F876" i="1"/>
  <c r="H876" i="1" s="1"/>
  <c r="F875" i="1"/>
  <c r="H875" i="1" s="1"/>
  <c r="F874" i="1"/>
  <c r="H874" i="1" s="1"/>
  <c r="F873" i="1"/>
  <c r="H873" i="1" s="1"/>
  <c r="F872" i="1"/>
  <c r="H872" i="1" s="1"/>
  <c r="F871" i="1"/>
  <c r="H871" i="1" s="1"/>
  <c r="H870" i="1"/>
  <c r="F870" i="1"/>
  <c r="F869" i="1"/>
  <c r="H869" i="1" s="1"/>
  <c r="F868" i="1"/>
  <c r="H868" i="1" s="1"/>
  <c r="F867" i="1"/>
  <c r="H867" i="1" s="1"/>
  <c r="F866" i="1"/>
  <c r="H866" i="1" s="1"/>
  <c r="F865" i="1"/>
  <c r="H865" i="1" s="1"/>
  <c r="F864" i="1"/>
  <c r="H864" i="1" s="1"/>
  <c r="F863" i="1"/>
  <c r="H863" i="1" s="1"/>
  <c r="F862" i="1"/>
  <c r="H862" i="1" s="1"/>
  <c r="F861" i="1"/>
  <c r="H861" i="1" s="1"/>
  <c r="F860" i="1"/>
  <c r="H860" i="1" s="1"/>
  <c r="H859" i="1"/>
  <c r="F859" i="1"/>
  <c r="H858" i="1"/>
  <c r="F858" i="1"/>
  <c r="F857" i="1"/>
  <c r="H857" i="1" s="1"/>
  <c r="F856" i="1"/>
  <c r="H856" i="1" s="1"/>
  <c r="F855" i="1"/>
  <c r="H855" i="1" s="1"/>
  <c r="F854" i="1"/>
  <c r="H854" i="1" s="1"/>
  <c r="F853" i="1"/>
  <c r="H853" i="1" s="1"/>
  <c r="F852" i="1"/>
  <c r="H852" i="1" s="1"/>
  <c r="F851" i="1"/>
  <c r="H851" i="1" s="1"/>
  <c r="F850" i="1"/>
  <c r="H850" i="1" s="1"/>
  <c r="F849" i="1"/>
  <c r="H849" i="1" s="1"/>
  <c r="F848" i="1"/>
  <c r="H848" i="1" s="1"/>
  <c r="F847" i="1"/>
  <c r="H847" i="1" s="1"/>
  <c r="F846" i="1"/>
  <c r="H846" i="1" s="1"/>
  <c r="F845" i="1"/>
  <c r="H845" i="1" s="1"/>
  <c r="F844" i="1"/>
  <c r="H844" i="1" s="1"/>
  <c r="H843" i="1"/>
  <c r="F843" i="1"/>
  <c r="F842" i="1"/>
  <c r="H842" i="1" s="1"/>
  <c r="F841" i="1"/>
  <c r="H841" i="1" s="1"/>
  <c r="F840" i="1"/>
  <c r="H840" i="1" s="1"/>
  <c r="F839" i="1"/>
  <c r="H839" i="1" s="1"/>
  <c r="F838" i="1"/>
  <c r="H838" i="1" s="1"/>
  <c r="F837" i="1"/>
  <c r="H837" i="1" s="1"/>
  <c r="F836" i="1"/>
  <c r="H836" i="1" s="1"/>
  <c r="F835" i="1"/>
  <c r="H835" i="1" s="1"/>
  <c r="F834" i="1"/>
  <c r="H834" i="1" s="1"/>
  <c r="F833" i="1"/>
  <c r="H833" i="1" s="1"/>
  <c r="H832" i="1"/>
  <c r="F832" i="1"/>
  <c r="F831" i="1"/>
  <c r="H831" i="1" s="1"/>
  <c r="F830" i="1"/>
  <c r="H830" i="1" s="1"/>
  <c r="F829" i="1"/>
  <c r="H829" i="1" s="1"/>
  <c r="F828" i="1"/>
  <c r="H828" i="1" s="1"/>
  <c r="F827" i="1"/>
  <c r="H827" i="1" s="1"/>
  <c r="F826" i="1"/>
  <c r="H826" i="1" s="1"/>
  <c r="F825" i="1"/>
  <c r="H825" i="1" s="1"/>
  <c r="F824" i="1"/>
  <c r="H824" i="1" s="1"/>
  <c r="F823" i="1"/>
  <c r="H823" i="1" s="1"/>
  <c r="F822" i="1"/>
  <c r="H822" i="1" s="1"/>
  <c r="H821" i="1"/>
  <c r="F821" i="1"/>
  <c r="F820" i="1"/>
  <c r="H820" i="1" s="1"/>
  <c r="F819" i="1"/>
  <c r="H819" i="1" s="1"/>
  <c r="F818" i="1"/>
  <c r="H818" i="1" s="1"/>
  <c r="F817" i="1"/>
  <c r="H817" i="1" s="1"/>
  <c r="F816" i="1"/>
  <c r="H816" i="1" s="1"/>
  <c r="H815" i="1"/>
  <c r="F815" i="1"/>
  <c r="F814" i="1"/>
  <c r="H814" i="1" s="1"/>
  <c r="F813" i="1"/>
  <c r="H813" i="1" s="1"/>
  <c r="F812" i="1"/>
  <c r="H812" i="1" s="1"/>
  <c r="F811" i="1"/>
  <c r="H811" i="1" s="1"/>
  <c r="F810" i="1"/>
  <c r="H810" i="1" s="1"/>
  <c r="F809" i="1"/>
  <c r="H809" i="1" s="1"/>
  <c r="F808" i="1"/>
  <c r="H808" i="1" s="1"/>
  <c r="F807" i="1"/>
  <c r="H807" i="1" s="1"/>
  <c r="F806" i="1"/>
  <c r="H806" i="1" s="1"/>
  <c r="F805" i="1"/>
  <c r="H805" i="1" s="1"/>
  <c r="H804" i="1"/>
  <c r="F804" i="1"/>
  <c r="F803" i="1"/>
  <c r="H803" i="1" s="1"/>
  <c r="F802" i="1"/>
  <c r="H802" i="1" s="1"/>
  <c r="F801" i="1"/>
  <c r="H801" i="1" s="1"/>
  <c r="H800" i="1"/>
  <c r="F800" i="1"/>
  <c r="F799" i="1"/>
  <c r="H799" i="1" s="1"/>
  <c r="F798" i="1"/>
  <c r="H798" i="1" s="1"/>
  <c r="F797" i="1"/>
  <c r="H797" i="1" s="1"/>
  <c r="F796" i="1"/>
  <c r="H796" i="1" s="1"/>
  <c r="F795" i="1"/>
  <c r="H795" i="1" s="1"/>
  <c r="F794" i="1"/>
  <c r="H794" i="1" s="1"/>
  <c r="F793" i="1"/>
  <c r="H793" i="1" s="1"/>
  <c r="F792" i="1"/>
  <c r="H792" i="1" s="1"/>
  <c r="F791" i="1"/>
  <c r="H791" i="1" s="1"/>
  <c r="H790" i="1"/>
  <c r="F790" i="1"/>
  <c r="H789" i="1"/>
  <c r="F789" i="1"/>
  <c r="H788" i="1"/>
  <c r="F788" i="1"/>
  <c r="F787" i="1"/>
  <c r="H787" i="1" s="1"/>
  <c r="F786" i="1"/>
  <c r="H786" i="1" s="1"/>
  <c r="F785" i="1"/>
  <c r="H785" i="1" s="1"/>
  <c r="F784" i="1"/>
  <c r="H784" i="1" s="1"/>
  <c r="F783" i="1"/>
  <c r="H783" i="1" s="1"/>
  <c r="F782" i="1"/>
  <c r="H782" i="1" s="1"/>
  <c r="F781" i="1"/>
  <c r="H781" i="1" s="1"/>
  <c r="F780" i="1"/>
  <c r="H780" i="1" s="1"/>
  <c r="F779" i="1"/>
  <c r="H779" i="1" s="1"/>
  <c r="F778" i="1"/>
  <c r="H778" i="1" s="1"/>
  <c r="F777" i="1"/>
  <c r="H777" i="1" s="1"/>
  <c r="F776" i="1"/>
  <c r="H776" i="1" s="1"/>
  <c r="F775" i="1"/>
  <c r="H775" i="1" s="1"/>
  <c r="F774" i="1"/>
  <c r="H774" i="1" s="1"/>
  <c r="F773" i="1"/>
  <c r="H773" i="1" s="1"/>
  <c r="F772" i="1"/>
  <c r="H772" i="1" s="1"/>
  <c r="F771" i="1"/>
  <c r="H771" i="1" s="1"/>
  <c r="F770" i="1"/>
  <c r="H770" i="1" s="1"/>
  <c r="F769" i="1"/>
  <c r="H769" i="1" s="1"/>
  <c r="F768" i="1"/>
  <c r="H768" i="1" s="1"/>
  <c r="F767" i="1"/>
  <c r="H767" i="1" s="1"/>
  <c r="F766" i="1"/>
  <c r="H766" i="1" s="1"/>
  <c r="F765" i="1"/>
  <c r="H765" i="1" s="1"/>
  <c r="F764" i="1"/>
  <c r="H764" i="1" s="1"/>
  <c r="F763" i="1"/>
  <c r="H763" i="1" s="1"/>
  <c r="F762" i="1"/>
  <c r="H762" i="1" s="1"/>
  <c r="F761" i="1"/>
  <c r="H761" i="1" s="1"/>
  <c r="F760" i="1"/>
  <c r="H760" i="1" s="1"/>
  <c r="F759" i="1"/>
  <c r="H759" i="1" s="1"/>
  <c r="F758" i="1"/>
  <c r="H758" i="1" s="1"/>
  <c r="H757" i="1"/>
  <c r="F757" i="1"/>
  <c r="F756" i="1"/>
  <c r="H756" i="1" s="1"/>
  <c r="F755" i="1"/>
  <c r="H755" i="1" s="1"/>
  <c r="F754" i="1"/>
  <c r="H754" i="1" s="1"/>
  <c r="F753" i="1"/>
  <c r="H753" i="1" s="1"/>
  <c r="F752" i="1"/>
  <c r="H752" i="1" s="1"/>
  <c r="F751" i="1"/>
  <c r="H751" i="1" s="1"/>
  <c r="F750" i="1"/>
  <c r="H750" i="1" s="1"/>
  <c r="H749" i="1"/>
  <c r="F749" i="1"/>
  <c r="H748" i="1"/>
  <c r="F748" i="1"/>
  <c r="F747" i="1"/>
  <c r="H747" i="1" s="1"/>
  <c r="H746" i="1"/>
  <c r="F746" i="1"/>
  <c r="H745" i="1"/>
  <c r="F745" i="1"/>
  <c r="F744" i="1"/>
  <c r="H744" i="1" s="1"/>
  <c r="F743" i="1"/>
  <c r="H743" i="1" s="1"/>
  <c r="F742" i="1"/>
  <c r="H742" i="1" s="1"/>
  <c r="F741" i="1"/>
  <c r="H741" i="1" s="1"/>
  <c r="F740" i="1"/>
  <c r="H740" i="1" s="1"/>
  <c r="F739" i="1"/>
  <c r="H739" i="1" s="1"/>
  <c r="F738" i="1"/>
  <c r="H738" i="1" s="1"/>
  <c r="F737" i="1"/>
  <c r="H737" i="1" s="1"/>
  <c r="H736" i="1"/>
  <c r="F736" i="1"/>
  <c r="F735" i="1"/>
  <c r="H735" i="1" s="1"/>
  <c r="H734" i="1"/>
  <c r="F734" i="1"/>
  <c r="H733" i="1"/>
  <c r="F733" i="1"/>
  <c r="F732" i="1"/>
  <c r="H732" i="1" s="1"/>
  <c r="F731" i="1"/>
  <c r="H731" i="1" s="1"/>
  <c r="F730" i="1"/>
  <c r="H730" i="1" s="1"/>
  <c r="F729" i="1"/>
  <c r="H729" i="1" s="1"/>
  <c r="F728" i="1"/>
  <c r="H728" i="1" s="1"/>
  <c r="F727" i="1"/>
  <c r="H727" i="1" s="1"/>
  <c r="F726" i="1"/>
  <c r="H726" i="1" s="1"/>
  <c r="F725" i="1"/>
  <c r="H725" i="1" s="1"/>
  <c r="F724" i="1"/>
  <c r="H724" i="1" s="1"/>
  <c r="F723" i="1"/>
  <c r="H723" i="1" s="1"/>
  <c r="F722" i="1"/>
  <c r="H722" i="1" s="1"/>
  <c r="F721" i="1"/>
  <c r="H721" i="1" s="1"/>
  <c r="F720" i="1"/>
  <c r="H720" i="1" s="1"/>
  <c r="F719" i="1"/>
  <c r="H719" i="1" s="1"/>
  <c r="F718" i="1"/>
  <c r="H718" i="1" s="1"/>
  <c r="F717" i="1"/>
  <c r="H717" i="1" s="1"/>
  <c r="F716" i="1"/>
  <c r="H716" i="1" s="1"/>
  <c r="F715" i="1"/>
  <c r="H715" i="1" s="1"/>
  <c r="H714" i="1"/>
  <c r="F714" i="1"/>
  <c r="F713" i="1"/>
  <c r="H713" i="1" s="1"/>
  <c r="F712" i="1"/>
  <c r="H712" i="1" s="1"/>
  <c r="F711" i="1"/>
  <c r="H711" i="1" s="1"/>
  <c r="F710" i="1"/>
  <c r="H710" i="1" s="1"/>
  <c r="F709" i="1"/>
  <c r="H709" i="1" s="1"/>
  <c r="F708" i="1"/>
  <c r="H708" i="1" s="1"/>
  <c r="F707" i="1"/>
  <c r="H707" i="1" s="1"/>
  <c r="F706" i="1"/>
  <c r="H706" i="1" s="1"/>
  <c r="F705" i="1"/>
  <c r="H705" i="1" s="1"/>
  <c r="F704" i="1"/>
  <c r="H704" i="1" s="1"/>
  <c r="H703" i="1"/>
  <c r="F703" i="1"/>
  <c r="H702" i="1"/>
  <c r="F702" i="1"/>
  <c r="F701" i="1"/>
  <c r="H701" i="1" s="1"/>
  <c r="F700" i="1"/>
  <c r="H700" i="1" s="1"/>
  <c r="F699" i="1"/>
  <c r="H699" i="1" s="1"/>
  <c r="F698" i="1"/>
  <c r="H698" i="1" s="1"/>
  <c r="F697" i="1"/>
  <c r="H697" i="1" s="1"/>
  <c r="F696" i="1"/>
  <c r="H696" i="1" s="1"/>
  <c r="F695" i="1"/>
  <c r="H695" i="1" s="1"/>
  <c r="F694" i="1"/>
  <c r="H694" i="1" s="1"/>
  <c r="F693" i="1"/>
  <c r="H693" i="1" s="1"/>
  <c r="F692" i="1"/>
  <c r="H692" i="1" s="1"/>
  <c r="F691" i="1"/>
  <c r="H691" i="1" s="1"/>
  <c r="F690" i="1"/>
  <c r="H690" i="1" s="1"/>
  <c r="F689" i="1"/>
  <c r="H689" i="1" s="1"/>
  <c r="F688" i="1"/>
  <c r="H688" i="1" s="1"/>
  <c r="F687" i="1"/>
  <c r="H687" i="1" s="1"/>
  <c r="F686" i="1"/>
  <c r="H686" i="1" s="1"/>
  <c r="F685" i="1"/>
  <c r="H685" i="1" s="1"/>
  <c r="F684" i="1"/>
  <c r="H684" i="1" s="1"/>
  <c r="F683" i="1"/>
  <c r="H683" i="1" s="1"/>
  <c r="F682" i="1"/>
  <c r="H682" i="1" s="1"/>
  <c r="F681" i="1"/>
  <c r="H681" i="1" s="1"/>
  <c r="F680" i="1"/>
  <c r="H680" i="1" s="1"/>
  <c r="F679" i="1"/>
  <c r="H679" i="1" s="1"/>
  <c r="F678" i="1"/>
  <c r="H678" i="1" s="1"/>
  <c r="F677" i="1"/>
  <c r="H677" i="1" s="1"/>
  <c r="F676" i="1"/>
  <c r="H676" i="1" s="1"/>
  <c r="F675" i="1"/>
  <c r="H675" i="1" s="1"/>
  <c r="F674" i="1"/>
  <c r="H674" i="1" s="1"/>
  <c r="F673" i="1"/>
  <c r="H673" i="1" s="1"/>
  <c r="F672" i="1"/>
  <c r="H672" i="1" s="1"/>
  <c r="H671" i="1"/>
  <c r="F671" i="1"/>
  <c r="F670" i="1"/>
  <c r="H670" i="1" s="1"/>
  <c r="F669" i="1"/>
  <c r="H669" i="1" s="1"/>
  <c r="F668" i="1"/>
  <c r="H668" i="1" s="1"/>
  <c r="F667" i="1"/>
  <c r="H667" i="1" s="1"/>
  <c r="F666" i="1"/>
  <c r="H666" i="1" s="1"/>
  <c r="F665" i="1"/>
  <c r="H665" i="1" s="1"/>
  <c r="F664" i="1"/>
  <c r="H664" i="1" s="1"/>
  <c r="F663" i="1"/>
  <c r="H663" i="1" s="1"/>
  <c r="F662" i="1"/>
  <c r="H662" i="1" s="1"/>
  <c r="H661" i="1"/>
  <c r="F661" i="1"/>
  <c r="H660" i="1"/>
  <c r="F660" i="1"/>
  <c r="H659" i="1"/>
  <c r="F659" i="1"/>
  <c r="F658" i="1"/>
  <c r="H658" i="1" s="1"/>
  <c r="F657" i="1"/>
  <c r="H657" i="1" s="1"/>
  <c r="F656" i="1"/>
  <c r="H656" i="1" s="1"/>
  <c r="F655" i="1"/>
  <c r="H655" i="1" s="1"/>
  <c r="F654" i="1"/>
  <c r="H654" i="1" s="1"/>
  <c r="F653" i="1"/>
  <c r="H653" i="1" s="1"/>
  <c r="F652" i="1"/>
  <c r="H652" i="1" s="1"/>
  <c r="F651" i="1"/>
  <c r="H651" i="1" s="1"/>
  <c r="F650" i="1"/>
  <c r="H650" i="1" s="1"/>
  <c r="F649" i="1"/>
  <c r="H649" i="1" s="1"/>
  <c r="H648" i="1"/>
  <c r="F648" i="1"/>
  <c r="F647" i="1"/>
  <c r="H647" i="1" s="1"/>
  <c r="F646" i="1"/>
  <c r="H646" i="1" s="1"/>
  <c r="F645" i="1"/>
  <c r="H645" i="1" s="1"/>
  <c r="F644" i="1"/>
  <c r="H644" i="1" s="1"/>
  <c r="F643" i="1"/>
  <c r="H643" i="1" s="1"/>
  <c r="F642" i="1"/>
  <c r="H642" i="1" s="1"/>
  <c r="F641" i="1"/>
  <c r="H641" i="1" s="1"/>
  <c r="F640" i="1"/>
  <c r="H640" i="1" s="1"/>
  <c r="F639" i="1"/>
  <c r="H639" i="1" s="1"/>
  <c r="F638" i="1"/>
  <c r="H638" i="1" s="1"/>
  <c r="F637" i="1"/>
  <c r="H637" i="1" s="1"/>
  <c r="F636" i="1"/>
  <c r="H636" i="1" s="1"/>
  <c r="F635" i="1"/>
  <c r="H635" i="1" s="1"/>
  <c r="F634" i="1"/>
  <c r="H634" i="1" s="1"/>
  <c r="F633" i="1"/>
  <c r="H633" i="1" s="1"/>
  <c r="F632" i="1"/>
  <c r="H632" i="1" s="1"/>
  <c r="F631" i="1"/>
  <c r="H631" i="1" s="1"/>
  <c r="F630" i="1"/>
  <c r="H630" i="1" s="1"/>
  <c r="F629" i="1"/>
  <c r="H629" i="1" s="1"/>
  <c r="H628" i="1"/>
  <c r="F628" i="1"/>
  <c r="F627" i="1"/>
  <c r="H627" i="1" s="1"/>
  <c r="F626" i="1"/>
  <c r="H626" i="1" s="1"/>
  <c r="F625" i="1"/>
  <c r="H625" i="1" s="1"/>
  <c r="F624" i="1"/>
  <c r="H624" i="1" s="1"/>
  <c r="F623" i="1"/>
  <c r="H623" i="1" s="1"/>
  <c r="F622" i="1"/>
  <c r="H622" i="1" s="1"/>
  <c r="F621" i="1"/>
  <c r="H621" i="1" s="1"/>
  <c r="F620" i="1"/>
  <c r="H620" i="1" s="1"/>
  <c r="F619" i="1"/>
  <c r="H619" i="1" s="1"/>
  <c r="F618" i="1"/>
  <c r="H618" i="1" s="1"/>
  <c r="H617" i="1"/>
  <c r="F617" i="1"/>
  <c r="H616" i="1"/>
  <c r="F616" i="1"/>
  <c r="F615" i="1"/>
  <c r="H615" i="1" s="1"/>
  <c r="F614" i="1"/>
  <c r="H614" i="1" s="1"/>
  <c r="F613" i="1"/>
  <c r="H613" i="1" s="1"/>
  <c r="F612" i="1"/>
  <c r="H612" i="1" s="1"/>
  <c r="F611" i="1"/>
  <c r="H611" i="1" s="1"/>
  <c r="F610" i="1"/>
  <c r="H610" i="1" s="1"/>
  <c r="F609" i="1"/>
  <c r="H609" i="1" s="1"/>
  <c r="F608" i="1"/>
  <c r="H608" i="1" s="1"/>
  <c r="F607" i="1"/>
  <c r="H607" i="1" s="1"/>
  <c r="F606" i="1"/>
  <c r="H606" i="1" s="1"/>
  <c r="F605" i="1"/>
  <c r="H605" i="1" s="1"/>
  <c r="F604" i="1"/>
  <c r="H604" i="1" s="1"/>
  <c r="F603" i="1"/>
  <c r="H603" i="1" s="1"/>
  <c r="F602" i="1"/>
  <c r="H602" i="1" s="1"/>
  <c r="H601" i="1"/>
  <c r="F601" i="1"/>
  <c r="F600" i="1"/>
  <c r="H600" i="1" s="1"/>
  <c r="F599" i="1"/>
  <c r="H599" i="1" s="1"/>
  <c r="F598" i="1"/>
  <c r="H598" i="1" s="1"/>
  <c r="F597" i="1"/>
  <c r="H597" i="1" s="1"/>
  <c r="F596" i="1"/>
  <c r="H596" i="1" s="1"/>
  <c r="F595" i="1"/>
  <c r="H595" i="1" s="1"/>
  <c r="F594" i="1"/>
  <c r="H594" i="1" s="1"/>
  <c r="F593" i="1"/>
  <c r="H593" i="1" s="1"/>
  <c r="H592" i="1"/>
  <c r="F592" i="1"/>
  <c r="H591" i="1"/>
  <c r="F591" i="1"/>
  <c r="H590" i="1"/>
  <c r="F590" i="1"/>
  <c r="F589" i="1"/>
  <c r="H589" i="1" s="1"/>
  <c r="F588" i="1"/>
  <c r="H588" i="1" s="1"/>
  <c r="F587" i="1"/>
  <c r="H587" i="1" s="1"/>
  <c r="F586" i="1"/>
  <c r="H586" i="1" s="1"/>
  <c r="F585" i="1"/>
  <c r="H585" i="1" s="1"/>
  <c r="F584" i="1"/>
  <c r="H584" i="1" s="1"/>
  <c r="F583" i="1"/>
  <c r="H583" i="1" s="1"/>
  <c r="F582" i="1"/>
  <c r="H582" i="1" s="1"/>
  <c r="F581" i="1"/>
  <c r="H581" i="1" s="1"/>
  <c r="F580" i="1"/>
  <c r="H580" i="1" s="1"/>
  <c r="H579" i="1"/>
  <c r="F579" i="1"/>
  <c r="F578" i="1"/>
  <c r="H578" i="1" s="1"/>
  <c r="F577" i="1"/>
  <c r="H577" i="1" s="1"/>
  <c r="F576" i="1"/>
  <c r="H576" i="1" s="1"/>
  <c r="F575" i="1"/>
  <c r="H575" i="1" s="1"/>
  <c r="F574" i="1"/>
  <c r="H574" i="1" s="1"/>
  <c r="H573" i="1"/>
  <c r="F573" i="1"/>
  <c r="F572" i="1"/>
  <c r="H572" i="1" s="1"/>
  <c r="F571" i="1"/>
  <c r="H571" i="1" s="1"/>
  <c r="F570" i="1"/>
  <c r="H570" i="1" s="1"/>
  <c r="F569" i="1"/>
  <c r="H569" i="1" s="1"/>
  <c r="F568" i="1"/>
  <c r="H568" i="1" s="1"/>
  <c r="F567" i="1"/>
  <c r="H567" i="1" s="1"/>
  <c r="F566" i="1"/>
  <c r="H566" i="1" s="1"/>
  <c r="F565" i="1"/>
  <c r="H565" i="1" s="1"/>
  <c r="F564" i="1"/>
  <c r="H564" i="1" s="1"/>
  <c r="F563" i="1"/>
  <c r="H563" i="1" s="1"/>
  <c r="F562" i="1"/>
  <c r="H562" i="1" s="1"/>
  <c r="F561" i="1"/>
  <c r="H561" i="1" s="1"/>
  <c r="F560" i="1"/>
  <c r="H560" i="1" s="1"/>
  <c r="F559" i="1"/>
  <c r="H559" i="1" s="1"/>
  <c r="H558" i="1"/>
  <c r="F558" i="1"/>
  <c r="F557" i="1"/>
  <c r="H557" i="1" s="1"/>
  <c r="F556" i="1"/>
  <c r="H556" i="1" s="1"/>
  <c r="F555" i="1"/>
  <c r="H555" i="1" s="1"/>
  <c r="F554" i="1"/>
  <c r="H554" i="1" s="1"/>
  <c r="F553" i="1"/>
  <c r="H553" i="1" s="1"/>
  <c r="F552" i="1"/>
  <c r="H552" i="1" s="1"/>
  <c r="F551" i="1"/>
  <c r="H551" i="1" s="1"/>
  <c r="F550" i="1"/>
  <c r="H550" i="1" s="1"/>
  <c r="F549" i="1"/>
  <c r="H549" i="1" s="1"/>
  <c r="F548" i="1"/>
  <c r="H548" i="1" s="1"/>
  <c r="H547" i="1"/>
  <c r="F547" i="1"/>
  <c r="H546" i="1"/>
  <c r="F546" i="1"/>
  <c r="F545" i="1"/>
  <c r="H545" i="1" s="1"/>
  <c r="F544" i="1"/>
  <c r="H544" i="1" s="1"/>
  <c r="F543" i="1"/>
  <c r="H543" i="1" s="1"/>
  <c r="F542" i="1"/>
  <c r="H542" i="1" s="1"/>
  <c r="F541" i="1"/>
  <c r="H541" i="1" s="1"/>
  <c r="F540" i="1"/>
  <c r="H540" i="1" s="1"/>
  <c r="F539" i="1"/>
  <c r="H539" i="1" s="1"/>
  <c r="F538" i="1"/>
  <c r="H538" i="1" s="1"/>
  <c r="F537" i="1"/>
  <c r="H537" i="1" s="1"/>
  <c r="F536" i="1"/>
  <c r="H536" i="1" s="1"/>
  <c r="F535" i="1"/>
  <c r="H535" i="1" s="1"/>
  <c r="F534" i="1"/>
  <c r="H534" i="1" s="1"/>
  <c r="F533" i="1"/>
  <c r="H533" i="1" s="1"/>
  <c r="F532" i="1"/>
  <c r="H532" i="1" s="1"/>
  <c r="F531" i="1"/>
  <c r="H531" i="1" s="1"/>
  <c r="F530" i="1"/>
  <c r="H530" i="1" s="1"/>
  <c r="F529" i="1"/>
  <c r="H529" i="1" s="1"/>
  <c r="F528" i="1"/>
  <c r="H528" i="1" s="1"/>
  <c r="F527" i="1"/>
  <c r="H527" i="1" s="1"/>
  <c r="F526" i="1"/>
  <c r="H526" i="1" s="1"/>
  <c r="F525" i="1"/>
  <c r="H525" i="1" s="1"/>
  <c r="F524" i="1"/>
  <c r="H524" i="1" s="1"/>
  <c r="F523" i="1"/>
  <c r="H523" i="1" s="1"/>
  <c r="F522" i="1"/>
  <c r="H522" i="1" s="1"/>
  <c r="F521" i="1"/>
  <c r="H521" i="1" s="1"/>
  <c r="F520" i="1"/>
  <c r="H520" i="1" s="1"/>
  <c r="F519" i="1"/>
  <c r="H519" i="1" s="1"/>
  <c r="F518" i="1"/>
  <c r="H518" i="1" s="1"/>
  <c r="F517" i="1"/>
  <c r="H517" i="1" s="1"/>
  <c r="F516" i="1"/>
  <c r="H516" i="1" s="1"/>
  <c r="H515" i="1"/>
  <c r="F515" i="1"/>
  <c r="F514" i="1"/>
  <c r="H514" i="1" s="1"/>
  <c r="F513" i="1"/>
  <c r="H513" i="1" s="1"/>
  <c r="F512" i="1"/>
  <c r="H512" i="1" s="1"/>
  <c r="F511" i="1"/>
  <c r="H511" i="1" s="1"/>
  <c r="F510" i="1"/>
  <c r="H510" i="1" s="1"/>
  <c r="F509" i="1"/>
  <c r="H509" i="1" s="1"/>
  <c r="F508" i="1"/>
  <c r="H508" i="1" s="1"/>
  <c r="F507" i="1"/>
  <c r="H507" i="1" s="1"/>
  <c r="H506" i="1"/>
  <c r="F506" i="1"/>
  <c r="F505" i="1"/>
  <c r="H505" i="1" s="1"/>
  <c r="H504" i="1"/>
  <c r="F504" i="1"/>
  <c r="H503" i="1"/>
  <c r="F503" i="1"/>
  <c r="F502" i="1"/>
  <c r="H502" i="1" s="1"/>
  <c r="F501" i="1"/>
  <c r="H501" i="1" s="1"/>
  <c r="F500" i="1"/>
  <c r="H500" i="1" s="1"/>
  <c r="F499" i="1"/>
  <c r="H499" i="1" s="1"/>
  <c r="F498" i="1"/>
  <c r="H498" i="1" s="1"/>
  <c r="F497" i="1"/>
  <c r="H497" i="1" s="1"/>
  <c r="F496" i="1"/>
  <c r="H496" i="1" s="1"/>
  <c r="F495" i="1"/>
  <c r="H495" i="1" s="1"/>
  <c r="F494" i="1"/>
  <c r="H494" i="1" s="1"/>
  <c r="F493" i="1"/>
  <c r="H493" i="1" s="1"/>
  <c r="F492" i="1"/>
  <c r="H492" i="1" s="1"/>
  <c r="H491" i="1"/>
  <c r="F491" i="1"/>
  <c r="F490" i="1"/>
  <c r="H490" i="1" s="1"/>
  <c r="F489" i="1"/>
  <c r="H489" i="1" s="1"/>
  <c r="F488" i="1"/>
  <c r="H488" i="1" s="1"/>
  <c r="F487" i="1"/>
  <c r="H487" i="1" s="1"/>
  <c r="F486" i="1"/>
  <c r="H486" i="1" s="1"/>
  <c r="F485" i="1"/>
  <c r="H485" i="1" s="1"/>
  <c r="F484" i="1"/>
  <c r="H484" i="1" s="1"/>
  <c r="F483" i="1"/>
  <c r="H483" i="1" s="1"/>
  <c r="F482" i="1"/>
  <c r="H482" i="1" s="1"/>
  <c r="F481" i="1"/>
  <c r="H481" i="1" s="1"/>
  <c r="F480" i="1"/>
  <c r="H480" i="1" s="1"/>
  <c r="F479" i="1"/>
  <c r="H479" i="1" s="1"/>
  <c r="F478" i="1"/>
  <c r="H478" i="1" s="1"/>
  <c r="F477" i="1"/>
  <c r="H477" i="1" s="1"/>
  <c r="F476" i="1"/>
  <c r="H476" i="1" s="1"/>
  <c r="F475" i="1"/>
  <c r="H475" i="1" s="1"/>
  <c r="F474" i="1"/>
  <c r="H474" i="1" s="1"/>
  <c r="F473" i="1"/>
  <c r="H473" i="1" s="1"/>
  <c r="H472" i="1"/>
  <c r="F472" i="1"/>
  <c r="F471" i="1"/>
  <c r="H471" i="1" s="1"/>
  <c r="F470" i="1"/>
  <c r="H470" i="1" s="1"/>
  <c r="F469" i="1"/>
  <c r="H469" i="1" s="1"/>
  <c r="F468" i="1"/>
  <c r="H468" i="1" s="1"/>
  <c r="F467" i="1"/>
  <c r="H467" i="1" s="1"/>
  <c r="F466" i="1"/>
  <c r="H466" i="1" s="1"/>
  <c r="F465" i="1"/>
  <c r="H465" i="1" s="1"/>
  <c r="F464" i="1"/>
  <c r="H464" i="1" s="1"/>
  <c r="F463" i="1"/>
  <c r="H463" i="1" s="1"/>
  <c r="F462" i="1"/>
  <c r="H462" i="1" s="1"/>
  <c r="H461" i="1"/>
  <c r="F461" i="1"/>
  <c r="H460" i="1"/>
  <c r="F460" i="1"/>
  <c r="F459" i="1"/>
  <c r="H459" i="1" s="1"/>
  <c r="F458" i="1"/>
  <c r="H458" i="1" s="1"/>
  <c r="F457" i="1"/>
  <c r="H457" i="1" s="1"/>
  <c r="F456" i="1"/>
  <c r="H456" i="1" s="1"/>
  <c r="F455" i="1"/>
  <c r="H455" i="1" s="1"/>
  <c r="F454" i="1"/>
  <c r="H454" i="1" s="1"/>
  <c r="F453" i="1"/>
  <c r="H453" i="1" s="1"/>
  <c r="F452" i="1"/>
  <c r="H452" i="1" s="1"/>
  <c r="H451" i="1"/>
  <c r="F451" i="1"/>
  <c r="F450" i="1"/>
  <c r="H450" i="1" s="1"/>
  <c r="F449" i="1"/>
  <c r="H449" i="1" s="1"/>
  <c r="F448" i="1"/>
  <c r="H448" i="1" s="1"/>
  <c r="F447" i="1"/>
  <c r="H447" i="1" s="1"/>
  <c r="F446" i="1"/>
  <c r="H446" i="1" s="1"/>
  <c r="F445" i="1"/>
  <c r="H445" i="1" s="1"/>
  <c r="F444" i="1"/>
  <c r="H444" i="1" s="1"/>
  <c r="F443" i="1"/>
  <c r="H443" i="1" s="1"/>
  <c r="F442" i="1"/>
  <c r="H442" i="1" s="1"/>
  <c r="F441" i="1"/>
  <c r="H441" i="1" s="1"/>
  <c r="F440" i="1"/>
  <c r="H440" i="1" s="1"/>
  <c r="F439" i="1"/>
  <c r="H439" i="1" s="1"/>
  <c r="F438" i="1"/>
  <c r="H438" i="1" s="1"/>
  <c r="H437" i="1"/>
  <c r="F437" i="1"/>
  <c r="F436" i="1"/>
  <c r="H436" i="1" s="1"/>
  <c r="F435" i="1"/>
  <c r="H435" i="1" s="1"/>
  <c r="F434" i="1"/>
  <c r="H434" i="1" s="1"/>
  <c r="F433" i="1"/>
  <c r="H433" i="1" s="1"/>
  <c r="F432" i="1"/>
  <c r="H432" i="1" s="1"/>
  <c r="F431" i="1"/>
  <c r="H431" i="1" s="1"/>
  <c r="F430" i="1"/>
  <c r="H430" i="1" s="1"/>
  <c r="H429" i="1"/>
  <c r="F429" i="1"/>
  <c r="F428" i="1"/>
  <c r="H428" i="1" s="1"/>
  <c r="F427" i="1"/>
  <c r="H427" i="1" s="1"/>
  <c r="F426" i="1"/>
  <c r="H426" i="1" s="1"/>
  <c r="F425" i="1"/>
  <c r="H425" i="1" s="1"/>
  <c r="F424" i="1"/>
  <c r="H424" i="1" s="1"/>
  <c r="F423" i="1"/>
  <c r="H423" i="1" s="1"/>
  <c r="F422" i="1"/>
  <c r="H422" i="1" s="1"/>
  <c r="F421" i="1"/>
  <c r="H421" i="1" s="1"/>
  <c r="F420" i="1"/>
  <c r="H420" i="1" s="1"/>
  <c r="F419" i="1"/>
  <c r="H419" i="1" s="1"/>
  <c r="H418" i="1"/>
  <c r="F418" i="1"/>
  <c r="H417" i="1"/>
  <c r="F417" i="1"/>
  <c r="F416" i="1"/>
  <c r="H416" i="1" s="1"/>
  <c r="F415" i="1"/>
  <c r="H415" i="1" s="1"/>
  <c r="F414" i="1"/>
  <c r="H414" i="1" s="1"/>
  <c r="F413" i="1"/>
  <c r="H413" i="1" s="1"/>
  <c r="F412" i="1"/>
  <c r="H412" i="1" s="1"/>
  <c r="F411" i="1"/>
  <c r="H411" i="1" s="1"/>
  <c r="F410" i="1"/>
  <c r="H410" i="1" s="1"/>
  <c r="F409" i="1"/>
  <c r="H409" i="1" s="1"/>
  <c r="F408" i="1"/>
  <c r="H408" i="1" s="1"/>
  <c r="F407" i="1"/>
  <c r="H407" i="1" s="1"/>
  <c r="F406" i="1"/>
  <c r="H406" i="1" s="1"/>
  <c r="F405" i="1"/>
  <c r="H405" i="1" s="1"/>
  <c r="F404" i="1"/>
  <c r="H404" i="1" s="1"/>
  <c r="F403" i="1"/>
  <c r="H403" i="1" s="1"/>
  <c r="F402" i="1"/>
  <c r="H402" i="1" s="1"/>
  <c r="F401" i="1"/>
  <c r="H401" i="1" s="1"/>
  <c r="F400" i="1"/>
  <c r="H400" i="1" s="1"/>
  <c r="F399" i="1"/>
  <c r="H399" i="1" s="1"/>
  <c r="F398" i="1"/>
  <c r="H398" i="1" s="1"/>
  <c r="F397" i="1"/>
  <c r="H397" i="1" s="1"/>
  <c r="F396" i="1"/>
  <c r="H396" i="1" s="1"/>
  <c r="F395" i="1"/>
  <c r="H395" i="1" s="1"/>
  <c r="F394" i="1"/>
  <c r="H394" i="1" s="1"/>
  <c r="F393" i="1"/>
  <c r="H393" i="1" s="1"/>
  <c r="F392" i="1"/>
  <c r="H392" i="1" s="1"/>
  <c r="F391" i="1"/>
  <c r="H391" i="1" s="1"/>
  <c r="F390" i="1"/>
  <c r="H390" i="1" s="1"/>
  <c r="F389" i="1"/>
  <c r="H389" i="1" s="1"/>
  <c r="F388" i="1"/>
  <c r="H388" i="1" s="1"/>
  <c r="F387" i="1"/>
  <c r="H387" i="1" s="1"/>
  <c r="H386" i="1"/>
  <c r="F386" i="1"/>
  <c r="F385" i="1"/>
  <c r="H385" i="1" s="1"/>
  <c r="F384" i="1"/>
  <c r="H384" i="1" s="1"/>
  <c r="F383" i="1"/>
  <c r="H383" i="1" s="1"/>
  <c r="F382" i="1"/>
  <c r="H382" i="1" s="1"/>
  <c r="H381" i="1"/>
  <c r="F381" i="1"/>
  <c r="F380" i="1"/>
  <c r="H380" i="1" s="1"/>
  <c r="F379" i="1"/>
  <c r="H379" i="1" s="1"/>
  <c r="F378" i="1"/>
  <c r="H378" i="1" s="1"/>
  <c r="F377" i="1"/>
  <c r="H377" i="1" s="1"/>
  <c r="F376" i="1"/>
  <c r="H376" i="1" s="1"/>
  <c r="H375" i="1"/>
  <c r="F375" i="1"/>
  <c r="H374" i="1"/>
  <c r="F374" i="1"/>
  <c r="F373" i="1"/>
  <c r="H373" i="1" s="1"/>
  <c r="F372" i="1"/>
  <c r="H372" i="1" s="1"/>
  <c r="F371" i="1"/>
  <c r="H371" i="1" s="1"/>
  <c r="F370" i="1"/>
  <c r="H370" i="1" s="1"/>
  <c r="F369" i="1"/>
  <c r="H369" i="1" s="1"/>
  <c r="F368" i="1"/>
  <c r="H368" i="1" s="1"/>
  <c r="F367" i="1"/>
  <c r="H367" i="1" s="1"/>
  <c r="F366" i="1"/>
  <c r="H366" i="1" s="1"/>
  <c r="F365" i="1"/>
  <c r="H365" i="1" s="1"/>
  <c r="F364" i="1"/>
  <c r="H364" i="1" s="1"/>
  <c r="H363" i="1"/>
  <c r="F363" i="1"/>
  <c r="F362" i="1"/>
  <c r="H362" i="1" s="1"/>
  <c r="F361" i="1"/>
  <c r="H361" i="1" s="1"/>
  <c r="F360" i="1"/>
  <c r="H360" i="1" s="1"/>
  <c r="H359" i="1"/>
  <c r="F359" i="1"/>
  <c r="F358" i="1"/>
  <c r="H358" i="1" s="1"/>
  <c r="F357" i="1"/>
  <c r="H357" i="1" s="1"/>
  <c r="F356" i="1"/>
  <c r="H356" i="1" s="1"/>
  <c r="F355" i="1"/>
  <c r="H355" i="1" s="1"/>
  <c r="F354" i="1"/>
  <c r="H354" i="1" s="1"/>
  <c r="F353" i="1"/>
  <c r="H353" i="1" s="1"/>
  <c r="F352" i="1"/>
  <c r="H352" i="1" s="1"/>
  <c r="F351" i="1"/>
  <c r="H351" i="1" s="1"/>
  <c r="F350" i="1"/>
  <c r="H350" i="1" s="1"/>
  <c r="H349" i="1"/>
  <c r="F349" i="1"/>
  <c r="H348" i="1"/>
  <c r="F348" i="1"/>
  <c r="F347" i="1"/>
  <c r="H347" i="1" s="1"/>
  <c r="F346" i="1"/>
  <c r="H346" i="1" s="1"/>
  <c r="F345" i="1"/>
  <c r="H345" i="1" s="1"/>
  <c r="F344" i="1"/>
  <c r="H344" i="1" s="1"/>
  <c r="F343" i="1"/>
  <c r="H343" i="1" s="1"/>
  <c r="F342" i="1"/>
  <c r="H342" i="1" s="1"/>
  <c r="F341" i="1"/>
  <c r="H341" i="1" s="1"/>
  <c r="F340" i="1"/>
  <c r="H340" i="1" s="1"/>
  <c r="F339" i="1"/>
  <c r="H339" i="1" s="1"/>
  <c r="F338" i="1"/>
  <c r="H338" i="1" s="1"/>
  <c r="F337" i="1"/>
  <c r="H337" i="1" s="1"/>
  <c r="F336" i="1"/>
  <c r="H336" i="1" s="1"/>
  <c r="F335" i="1"/>
  <c r="H335" i="1" s="1"/>
  <c r="F334" i="1"/>
  <c r="H334" i="1" s="1"/>
  <c r="F333" i="1"/>
  <c r="H333" i="1" s="1"/>
  <c r="F332" i="1"/>
  <c r="H332" i="1" s="1"/>
  <c r="H331" i="1"/>
  <c r="F331" i="1"/>
  <c r="F330" i="1"/>
  <c r="H330" i="1" s="1"/>
  <c r="F329" i="1"/>
  <c r="H329" i="1" s="1"/>
  <c r="F328" i="1"/>
  <c r="H328" i="1" s="1"/>
  <c r="F327" i="1"/>
  <c r="H327" i="1" s="1"/>
  <c r="F326" i="1"/>
  <c r="H326" i="1" s="1"/>
  <c r="F325" i="1"/>
  <c r="H325" i="1" s="1"/>
  <c r="F324" i="1"/>
  <c r="H324" i="1" s="1"/>
  <c r="F323" i="1"/>
  <c r="H323" i="1" s="1"/>
  <c r="F322" i="1"/>
  <c r="H322" i="1" s="1"/>
  <c r="F321" i="1"/>
  <c r="H321" i="1" s="1"/>
  <c r="F320" i="1"/>
  <c r="H320" i="1" s="1"/>
  <c r="F319" i="1"/>
  <c r="H319" i="1" s="1"/>
  <c r="F318" i="1"/>
  <c r="H318" i="1" s="1"/>
  <c r="F317" i="1"/>
  <c r="H317" i="1" s="1"/>
  <c r="H316" i="1"/>
  <c r="F316" i="1"/>
  <c r="F315" i="1"/>
  <c r="H315" i="1" s="1"/>
  <c r="F314" i="1"/>
  <c r="H314" i="1" s="1"/>
  <c r="F313" i="1"/>
  <c r="H313" i="1" s="1"/>
  <c r="F312" i="1"/>
  <c r="H312" i="1" s="1"/>
  <c r="F311" i="1"/>
  <c r="H311" i="1" s="1"/>
  <c r="F310" i="1"/>
  <c r="H310" i="1" s="1"/>
  <c r="F309" i="1"/>
  <c r="H309" i="1" s="1"/>
  <c r="F308" i="1"/>
  <c r="H308" i="1" s="1"/>
  <c r="F307" i="1"/>
  <c r="H307" i="1" s="1"/>
  <c r="F306" i="1"/>
  <c r="H306" i="1" s="1"/>
  <c r="H305" i="1"/>
  <c r="F305" i="1"/>
  <c r="H304" i="1"/>
  <c r="F304" i="1"/>
  <c r="F303" i="1"/>
  <c r="H303" i="1" s="1"/>
  <c r="F302" i="1"/>
  <c r="H302" i="1" s="1"/>
  <c r="F301" i="1"/>
  <c r="H301" i="1" s="1"/>
  <c r="F300" i="1"/>
  <c r="H300" i="1" s="1"/>
  <c r="F299" i="1"/>
  <c r="H299" i="1" s="1"/>
  <c r="F298" i="1"/>
  <c r="H298" i="1" s="1"/>
  <c r="F297" i="1"/>
  <c r="H297" i="1" s="1"/>
  <c r="F296" i="1"/>
  <c r="H296" i="1" s="1"/>
  <c r="F295" i="1"/>
  <c r="H295" i="1" s="1"/>
  <c r="H294" i="1"/>
  <c r="F294" i="1"/>
  <c r="F293" i="1"/>
  <c r="H293" i="1" s="1"/>
  <c r="F292" i="1"/>
  <c r="H292" i="1" s="1"/>
  <c r="F291" i="1"/>
  <c r="H291" i="1" s="1"/>
  <c r="F290" i="1"/>
  <c r="H290" i="1" s="1"/>
  <c r="F289" i="1"/>
  <c r="H289" i="1" s="1"/>
  <c r="F288" i="1"/>
  <c r="H288" i="1" s="1"/>
  <c r="F287" i="1"/>
  <c r="H287" i="1" s="1"/>
  <c r="F286" i="1"/>
  <c r="H286" i="1" s="1"/>
  <c r="F285" i="1"/>
  <c r="H285" i="1" s="1"/>
  <c r="F284" i="1"/>
  <c r="H284" i="1" s="1"/>
  <c r="F283" i="1"/>
  <c r="H283" i="1" s="1"/>
  <c r="F282" i="1"/>
  <c r="H282" i="1" s="1"/>
  <c r="F281" i="1"/>
  <c r="H281" i="1" s="1"/>
  <c r="F280" i="1"/>
  <c r="H280" i="1" s="1"/>
  <c r="F279" i="1"/>
  <c r="H279" i="1" s="1"/>
  <c r="F278" i="1"/>
  <c r="H278" i="1" s="1"/>
  <c r="F277" i="1"/>
  <c r="H277" i="1" s="1"/>
  <c r="F276" i="1"/>
  <c r="H276" i="1" s="1"/>
  <c r="F275" i="1"/>
  <c r="H275" i="1" s="1"/>
  <c r="F274" i="1"/>
  <c r="H274" i="1" s="1"/>
  <c r="H273" i="1"/>
  <c r="F273" i="1"/>
  <c r="F272" i="1"/>
  <c r="H272" i="1" s="1"/>
  <c r="F271" i="1"/>
  <c r="H271" i="1" s="1"/>
  <c r="F270" i="1"/>
  <c r="H270" i="1" s="1"/>
  <c r="F269" i="1"/>
  <c r="H269" i="1" s="1"/>
  <c r="F268" i="1"/>
  <c r="H268" i="1" s="1"/>
  <c r="F267" i="1"/>
  <c r="H267" i="1" s="1"/>
  <c r="F266" i="1"/>
  <c r="H266" i="1" s="1"/>
  <c r="F265" i="1"/>
  <c r="H265" i="1" s="1"/>
  <c r="F264" i="1"/>
  <c r="H264" i="1" s="1"/>
  <c r="F263" i="1"/>
  <c r="H263" i="1" s="1"/>
  <c r="H262" i="1"/>
  <c r="F262" i="1"/>
  <c r="H261" i="1"/>
  <c r="F261" i="1"/>
  <c r="F260" i="1"/>
  <c r="H260" i="1" s="1"/>
  <c r="F259" i="1"/>
  <c r="H259" i="1" s="1"/>
  <c r="F258" i="1"/>
  <c r="H258" i="1" s="1"/>
  <c r="F257" i="1"/>
  <c r="H257" i="1" s="1"/>
  <c r="F256" i="1"/>
  <c r="H256" i="1" s="1"/>
  <c r="F255" i="1"/>
  <c r="H255" i="1" s="1"/>
  <c r="F254" i="1"/>
  <c r="H254" i="1" s="1"/>
  <c r="F253" i="1"/>
  <c r="H253" i="1" s="1"/>
  <c r="F252" i="1"/>
  <c r="H252" i="1" s="1"/>
  <c r="F251" i="1"/>
  <c r="H251" i="1" s="1"/>
  <c r="F250" i="1"/>
  <c r="H250" i="1" s="1"/>
  <c r="F249" i="1"/>
  <c r="H249" i="1" s="1"/>
  <c r="F248" i="1"/>
  <c r="H248" i="1" s="1"/>
  <c r="F247" i="1"/>
  <c r="H247" i="1" s="1"/>
  <c r="F246" i="1"/>
  <c r="H246" i="1" s="1"/>
  <c r="F245" i="1"/>
  <c r="H245" i="1" s="1"/>
  <c r="F244" i="1"/>
  <c r="H244" i="1" s="1"/>
  <c r="F243" i="1"/>
  <c r="H243" i="1" s="1"/>
  <c r="F242" i="1"/>
  <c r="H242" i="1" s="1"/>
  <c r="F241" i="1"/>
  <c r="H241" i="1" s="1"/>
  <c r="F240" i="1"/>
  <c r="H240" i="1" s="1"/>
  <c r="F239" i="1"/>
  <c r="H239" i="1" s="1"/>
  <c r="H238" i="1"/>
  <c r="F238" i="1"/>
  <c r="F237" i="1"/>
  <c r="H237" i="1" s="1"/>
  <c r="F236" i="1"/>
  <c r="H236" i="1" s="1"/>
  <c r="F235" i="1"/>
  <c r="H235" i="1" s="1"/>
  <c r="F234" i="1"/>
  <c r="H234" i="1" s="1"/>
  <c r="F233" i="1"/>
  <c r="H233" i="1" s="1"/>
  <c r="F232" i="1"/>
  <c r="H232" i="1" s="1"/>
  <c r="F231" i="1"/>
  <c r="H231" i="1" s="1"/>
  <c r="H230" i="1"/>
  <c r="F230" i="1"/>
  <c r="F229" i="1"/>
  <c r="H229" i="1" s="1"/>
  <c r="F228" i="1"/>
  <c r="H228" i="1" s="1"/>
  <c r="F227" i="1"/>
  <c r="H227" i="1" s="1"/>
  <c r="F226" i="1"/>
  <c r="H226" i="1" s="1"/>
  <c r="F225" i="1"/>
  <c r="H225" i="1" s="1"/>
  <c r="F224" i="1"/>
  <c r="H224" i="1" s="1"/>
  <c r="F223" i="1"/>
  <c r="H223" i="1" s="1"/>
  <c r="F222" i="1"/>
  <c r="H222" i="1" s="1"/>
  <c r="H221" i="1"/>
  <c r="F221" i="1"/>
  <c r="F220" i="1"/>
  <c r="H220" i="1" s="1"/>
  <c r="H219" i="1"/>
  <c r="F219" i="1"/>
  <c r="H218" i="1"/>
  <c r="F218" i="1"/>
  <c r="F217" i="1"/>
  <c r="H217" i="1" s="1"/>
  <c r="F216" i="1"/>
  <c r="H216" i="1" s="1"/>
  <c r="F215" i="1"/>
  <c r="H215" i="1" s="1"/>
  <c r="F214" i="1"/>
  <c r="H214" i="1" s="1"/>
  <c r="F213" i="1"/>
  <c r="H213" i="1" s="1"/>
  <c r="F212" i="1"/>
  <c r="H212" i="1" s="1"/>
  <c r="F211" i="1"/>
  <c r="H211" i="1" s="1"/>
  <c r="F210" i="1"/>
  <c r="H210" i="1" s="1"/>
  <c r="F209" i="1"/>
  <c r="H209" i="1" s="1"/>
  <c r="H208" i="1"/>
  <c r="F208" i="1"/>
  <c r="F207" i="1"/>
  <c r="H207" i="1" s="1"/>
  <c r="H206" i="1"/>
  <c r="F206" i="1"/>
  <c r="F205" i="1"/>
  <c r="H205" i="1" s="1"/>
  <c r="F204" i="1"/>
  <c r="H204" i="1" s="1"/>
  <c r="F203" i="1"/>
  <c r="H203" i="1" s="1"/>
  <c r="F202" i="1"/>
  <c r="H202" i="1" s="1"/>
  <c r="F201" i="1"/>
  <c r="H201" i="1" s="1"/>
  <c r="F200" i="1"/>
  <c r="H200" i="1" s="1"/>
  <c r="F199" i="1"/>
  <c r="H199" i="1" s="1"/>
  <c r="F198" i="1"/>
  <c r="H198" i="1" s="1"/>
  <c r="F197" i="1"/>
  <c r="H197" i="1" s="1"/>
  <c r="F196" i="1"/>
  <c r="H196" i="1" s="1"/>
  <c r="F195" i="1"/>
  <c r="H195" i="1" s="1"/>
  <c r="F194" i="1"/>
  <c r="H194" i="1" s="1"/>
  <c r="F193" i="1"/>
  <c r="H193" i="1" s="1"/>
  <c r="F192" i="1"/>
  <c r="H192" i="1" s="1"/>
  <c r="F191" i="1"/>
  <c r="H191" i="1" s="1"/>
  <c r="F190" i="1"/>
  <c r="H190" i="1" s="1"/>
  <c r="F189" i="1"/>
  <c r="H189" i="1" s="1"/>
  <c r="F188" i="1"/>
  <c r="H188" i="1" s="1"/>
  <c r="H187" i="1"/>
  <c r="F187" i="1"/>
  <c r="F186" i="1"/>
  <c r="H186" i="1" s="1"/>
  <c r="F185" i="1"/>
  <c r="H185" i="1" s="1"/>
  <c r="F184" i="1"/>
  <c r="H184" i="1" s="1"/>
  <c r="F183" i="1"/>
  <c r="H183" i="1" s="1"/>
  <c r="F182" i="1"/>
  <c r="H182" i="1" s="1"/>
  <c r="F181" i="1"/>
  <c r="H181" i="1" s="1"/>
  <c r="F180" i="1"/>
  <c r="H180" i="1" s="1"/>
  <c r="F179" i="1"/>
  <c r="H179" i="1" s="1"/>
  <c r="F178" i="1"/>
  <c r="H178" i="1" s="1"/>
  <c r="F177" i="1"/>
  <c r="H177" i="1" s="1"/>
  <c r="H176" i="1"/>
  <c r="F176" i="1"/>
  <c r="H175" i="1"/>
  <c r="F175" i="1"/>
  <c r="F174" i="1"/>
  <c r="H174" i="1" s="1"/>
  <c r="F173" i="1"/>
  <c r="H173" i="1" s="1"/>
  <c r="F172" i="1"/>
  <c r="H172" i="1" s="1"/>
  <c r="F171" i="1"/>
  <c r="H171" i="1" s="1"/>
  <c r="F170" i="1"/>
  <c r="H170" i="1" s="1"/>
  <c r="F169" i="1"/>
  <c r="H169" i="1" s="1"/>
  <c r="F168" i="1"/>
  <c r="H168" i="1" s="1"/>
  <c r="F167" i="1"/>
  <c r="H167" i="1" s="1"/>
  <c r="H166" i="1"/>
  <c r="F166" i="1"/>
  <c r="F165" i="1"/>
  <c r="H165" i="1" s="1"/>
  <c r="F164" i="1"/>
  <c r="H164" i="1" s="1"/>
  <c r="F163" i="1"/>
  <c r="H163" i="1" s="1"/>
  <c r="F162" i="1"/>
  <c r="H162" i="1" s="1"/>
  <c r="F161" i="1"/>
  <c r="H161" i="1" s="1"/>
  <c r="F160" i="1"/>
  <c r="H160" i="1" s="1"/>
  <c r="F159" i="1"/>
  <c r="H159" i="1" s="1"/>
  <c r="F158" i="1"/>
  <c r="H158" i="1" s="1"/>
  <c r="F157" i="1"/>
  <c r="H157" i="1" s="1"/>
  <c r="F156" i="1"/>
  <c r="H156" i="1" s="1"/>
  <c r="F155" i="1"/>
  <c r="H155" i="1" s="1"/>
  <c r="F154" i="1"/>
  <c r="H154" i="1" s="1"/>
  <c r="F153" i="1"/>
  <c r="H153" i="1" s="1"/>
  <c r="F152" i="1"/>
  <c r="H152" i="1" s="1"/>
  <c r="F151" i="1"/>
  <c r="H151" i="1" s="1"/>
  <c r="H150" i="1"/>
  <c r="F150" i="1"/>
  <c r="F149" i="1"/>
  <c r="H149" i="1" s="1"/>
  <c r="F148" i="1"/>
  <c r="H148" i="1" s="1"/>
  <c r="F147" i="1"/>
  <c r="H147" i="1" s="1"/>
  <c r="F146" i="1"/>
  <c r="H146" i="1" s="1"/>
  <c r="F145" i="1"/>
  <c r="H145" i="1" s="1"/>
  <c r="H144" i="1"/>
  <c r="F144" i="1"/>
  <c r="F143" i="1"/>
  <c r="H143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H136" i="1" s="1"/>
  <c r="F135" i="1"/>
  <c r="H135" i="1" s="1"/>
  <c r="F134" i="1"/>
  <c r="H134" i="1" s="1"/>
  <c r="H133" i="1"/>
  <c r="F133" i="1"/>
  <c r="H132" i="1"/>
  <c r="F132" i="1"/>
  <c r="F131" i="1"/>
  <c r="H131" i="1" s="1"/>
  <c r="F130" i="1"/>
  <c r="H130" i="1" s="1"/>
  <c r="F129" i="1"/>
  <c r="H129" i="1" s="1"/>
  <c r="F128" i="1"/>
  <c r="H128" i="1" s="1"/>
  <c r="F127" i="1"/>
  <c r="H127" i="1" s="1"/>
  <c r="F126" i="1"/>
  <c r="H126" i="1" s="1"/>
  <c r="F125" i="1"/>
  <c r="H125" i="1" s="1"/>
  <c r="F124" i="1"/>
  <c r="H124" i="1" s="1"/>
  <c r="F123" i="1"/>
  <c r="H123" i="1" s="1"/>
  <c r="F122" i="1"/>
  <c r="H122" i="1" s="1"/>
  <c r="F121" i="1"/>
  <c r="H121" i="1" s="1"/>
  <c r="H120" i="1"/>
  <c r="F120" i="1"/>
  <c r="F119" i="1"/>
  <c r="H119" i="1" s="1"/>
  <c r="F118" i="1"/>
  <c r="H118" i="1" s="1"/>
  <c r="H117" i="1"/>
  <c r="F117" i="1"/>
  <c r="F116" i="1"/>
  <c r="H116" i="1" s="1"/>
  <c r="F115" i="1"/>
  <c r="H115" i="1" s="1"/>
  <c r="F114" i="1"/>
  <c r="H114" i="1" s="1"/>
  <c r="F113" i="1"/>
  <c r="H113" i="1" s="1"/>
  <c r="F112" i="1"/>
  <c r="H112" i="1" s="1"/>
  <c r="F111" i="1"/>
  <c r="H111" i="1" s="1"/>
  <c r="F110" i="1"/>
  <c r="H110" i="1" s="1"/>
  <c r="F109" i="1"/>
  <c r="H109" i="1" s="1"/>
  <c r="F108" i="1"/>
  <c r="H108" i="1" s="1"/>
  <c r="F107" i="1"/>
  <c r="H107" i="1" s="1"/>
  <c r="H106" i="1"/>
  <c r="F106" i="1"/>
  <c r="F105" i="1"/>
  <c r="H105" i="1" s="1"/>
  <c r="F104" i="1"/>
  <c r="H104" i="1" s="1"/>
  <c r="F103" i="1"/>
  <c r="H103" i="1" s="1"/>
  <c r="F102" i="1"/>
  <c r="H102" i="1" s="1"/>
  <c r="F101" i="1"/>
  <c r="H101" i="1" s="1"/>
  <c r="F100" i="1"/>
  <c r="H100" i="1" s="1"/>
  <c r="F99" i="1"/>
  <c r="H99" i="1" s="1"/>
  <c r="F98" i="1"/>
  <c r="H98" i="1" s="1"/>
  <c r="F97" i="1"/>
  <c r="H97" i="1" s="1"/>
  <c r="F96" i="1"/>
  <c r="H96" i="1" s="1"/>
  <c r="F95" i="1"/>
  <c r="H95" i="1" s="1"/>
  <c r="F94" i="1"/>
  <c r="H94" i="1" s="1"/>
  <c r="F93" i="1"/>
  <c r="H93" i="1" s="1"/>
  <c r="F92" i="1"/>
  <c r="H92" i="1" s="1"/>
  <c r="F91" i="1"/>
  <c r="H91" i="1" s="1"/>
  <c r="F90" i="1"/>
  <c r="H90" i="1" s="1"/>
  <c r="H89" i="1"/>
  <c r="F89" i="1"/>
  <c r="F88" i="1"/>
  <c r="H88" i="1" s="1"/>
  <c r="F87" i="1"/>
  <c r="H87" i="1" s="1"/>
  <c r="F86" i="1"/>
  <c r="H86" i="1" s="1"/>
  <c r="F85" i="1"/>
  <c r="H85" i="1" s="1"/>
  <c r="F84" i="1"/>
  <c r="H84" i="1" s="1"/>
  <c r="F83" i="1"/>
  <c r="H83" i="1" s="1"/>
  <c r="F82" i="1"/>
  <c r="H82" i="1" s="1"/>
  <c r="F81" i="1"/>
  <c r="H81" i="1" s="1"/>
  <c r="F80" i="1"/>
  <c r="H80" i="1" s="1"/>
  <c r="F79" i="1"/>
  <c r="H79" i="1" s="1"/>
  <c r="H78" i="1"/>
  <c r="F78" i="1"/>
  <c r="F77" i="1"/>
  <c r="H77" i="1" s="1"/>
  <c r="F76" i="1"/>
  <c r="H76" i="1" s="1"/>
  <c r="F75" i="1"/>
  <c r="H75" i="1" s="1"/>
  <c r="H74" i="1"/>
  <c r="F74" i="1"/>
  <c r="F73" i="1"/>
  <c r="H73" i="1" s="1"/>
  <c r="F72" i="1"/>
  <c r="H72" i="1" s="1"/>
  <c r="F71" i="1"/>
  <c r="H71" i="1" s="1"/>
  <c r="F70" i="1"/>
  <c r="H70" i="1" s="1"/>
  <c r="F69" i="1"/>
  <c r="H69" i="1" s="1"/>
  <c r="F68" i="1"/>
  <c r="H68" i="1" s="1"/>
  <c r="F67" i="1"/>
  <c r="H67" i="1" s="1"/>
  <c r="H66" i="1"/>
  <c r="F66" i="1"/>
  <c r="F65" i="1"/>
  <c r="H65" i="1" s="1"/>
  <c r="H64" i="1"/>
  <c r="F64" i="1"/>
  <c r="H63" i="1"/>
  <c r="F63" i="1"/>
  <c r="H62" i="1"/>
  <c r="F62" i="1"/>
  <c r="F61" i="1"/>
  <c r="H61" i="1" s="1"/>
  <c r="F60" i="1"/>
  <c r="H60" i="1" s="1"/>
  <c r="F59" i="1"/>
  <c r="H59" i="1" s="1"/>
  <c r="F58" i="1"/>
  <c r="H58" i="1" s="1"/>
  <c r="F57" i="1"/>
  <c r="H57" i="1" s="1"/>
  <c r="F56" i="1"/>
  <c r="H56" i="1" s="1"/>
  <c r="F55" i="1"/>
  <c r="H55" i="1" s="1"/>
  <c r="F54" i="1"/>
  <c r="H54" i="1" s="1"/>
  <c r="F53" i="1"/>
  <c r="H53" i="1" s="1"/>
  <c r="F52" i="1"/>
  <c r="H52" i="1" s="1"/>
  <c r="H51" i="1"/>
  <c r="F51" i="1"/>
  <c r="F50" i="1"/>
  <c r="H50" i="1" s="1"/>
  <c r="F49" i="1"/>
  <c r="H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H31" i="1"/>
  <c r="F31" i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H20" i="1"/>
  <c r="F20" i="1"/>
  <c r="H19" i="1"/>
  <c r="F19" i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H9" i="1"/>
  <c r="F9" i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F2" i="1"/>
  <c r="H2" i="1" s="1"/>
  <c r="F5" i="9"/>
  <c r="G11" i="9"/>
  <c r="G9" i="9"/>
  <c r="AW9" i="9"/>
  <c r="C5" i="9"/>
  <c r="D10" i="9"/>
  <c r="AW36" i="9"/>
  <c r="G2" i="9"/>
  <c r="F7" i="9"/>
  <c r="AW38" i="9"/>
  <c r="AW24" i="9"/>
  <c r="H16" i="9"/>
  <c r="H9" i="9"/>
  <c r="F12" i="9"/>
  <c r="C10" i="9"/>
  <c r="B12" i="9"/>
  <c r="AW12" i="9"/>
  <c r="D8" i="9"/>
  <c r="E2" i="9"/>
  <c r="G3" i="9"/>
  <c r="AW3" i="9" a="1"/>
  <c r="D12" i="9"/>
  <c r="I7" i="9"/>
  <c r="E3" i="9"/>
  <c r="E9" i="9"/>
  <c r="B7" i="9"/>
  <c r="C13" i="9"/>
  <c r="AW28" i="9"/>
  <c r="E12" i="9"/>
  <c r="AW1" i="9" a="1"/>
  <c r="G8" i="9"/>
  <c r="I2" i="9"/>
  <c r="I15" i="9"/>
  <c r="I14" i="9"/>
  <c r="D5" i="9"/>
  <c r="F10" i="9"/>
  <c r="E10" i="9"/>
  <c r="H14" i="9"/>
  <c r="B15" i="9"/>
  <c r="F2" i="9"/>
  <c r="F14" i="9"/>
  <c r="C4" i="9"/>
  <c r="I9" i="9"/>
  <c r="C3" i="9"/>
  <c r="C16" i="9"/>
  <c r="G6" i="9"/>
  <c r="E8" i="9"/>
  <c r="D16" i="9"/>
  <c r="I11" i="9"/>
  <c r="AW33" i="9"/>
  <c r="D2" i="9"/>
  <c r="AW26" i="9"/>
  <c r="G5" i="9"/>
  <c r="H5" i="9"/>
  <c r="D15" i="9"/>
  <c r="AW30" i="9"/>
  <c r="D3" i="9"/>
  <c r="D14" i="9"/>
  <c r="E6" i="9"/>
  <c r="I10" i="9"/>
  <c r="C7" i="9"/>
  <c r="AW13" i="9"/>
  <c r="G10" i="9"/>
  <c r="F6" i="9"/>
  <c r="AW31" i="9"/>
  <c r="AW22" i="9"/>
  <c r="AW7" i="9"/>
  <c r="I6" i="9"/>
  <c r="E14" i="9"/>
  <c r="AW27" i="9"/>
  <c r="H10" i="9"/>
  <c r="B3" i="9"/>
  <c r="H3" i="9"/>
  <c r="B11" i="9"/>
  <c r="H2" i="9"/>
  <c r="AW29" i="9"/>
  <c r="E7" i="9"/>
  <c r="B8" i="9"/>
  <c r="AW4" i="9" a="1"/>
  <c r="G7" i="9"/>
  <c r="B6" i="9"/>
  <c r="AW20" i="9"/>
  <c r="B14" i="9"/>
  <c r="I13" i="9"/>
  <c r="AW15" i="9"/>
  <c r="F9" i="9"/>
  <c r="B10" i="9"/>
  <c r="D9" i="9"/>
  <c r="H7" i="9"/>
  <c r="I4" i="9"/>
  <c r="C12" i="9"/>
  <c r="F13" i="9"/>
  <c r="C6" i="9"/>
  <c r="AW19" i="9"/>
  <c r="H11" i="9"/>
  <c r="H12" i="9"/>
  <c r="C15" i="9"/>
  <c r="E11" i="9"/>
  <c r="D4" i="9"/>
  <c r="AW32" i="9"/>
  <c r="AW23" i="9"/>
  <c r="B16" i="9"/>
  <c r="H13" i="9"/>
  <c r="D7" i="9"/>
  <c r="G15" i="9"/>
  <c r="AW25" i="9"/>
  <c r="F4" i="9"/>
  <c r="F3" i="9"/>
  <c r="G4" i="9"/>
  <c r="AW21" i="9"/>
  <c r="AW14" i="9"/>
  <c r="C11" i="9"/>
  <c r="G16" i="9"/>
  <c r="G13" i="9"/>
  <c r="F8" i="9"/>
  <c r="C2" i="9"/>
  <c r="B5" i="9"/>
  <c r="AW10" i="9"/>
  <c r="AW37" i="9"/>
  <c r="E13" i="9"/>
  <c r="I12" i="9"/>
  <c r="C9" i="9"/>
  <c r="G12" i="9"/>
  <c r="H15" i="9"/>
  <c r="B2" i="9"/>
  <c r="H4" i="9"/>
  <c r="AW18" i="9"/>
  <c r="E4" i="9"/>
  <c r="AW34" i="9"/>
  <c r="I3" i="9"/>
  <c r="AW17" i="9"/>
  <c r="B13" i="9"/>
  <c r="AW16" i="9"/>
  <c r="I16" i="9"/>
  <c r="B4" i="9"/>
  <c r="I5" i="9"/>
  <c r="AW39" i="9"/>
  <c r="C14" i="9"/>
  <c r="AW6" i="9"/>
  <c r="E15" i="9"/>
  <c r="AW35" i="9"/>
  <c r="H8" i="9"/>
  <c r="E5" i="9"/>
  <c r="F11" i="9"/>
  <c r="B9" i="9"/>
  <c r="F15" i="9"/>
  <c r="C8" i="9"/>
  <c r="G14" i="9"/>
  <c r="F16" i="9"/>
  <c r="AW11" i="9"/>
  <c r="E16" i="9"/>
  <c r="H6" i="9"/>
  <c r="D11" i="9"/>
  <c r="D13" i="9"/>
  <c r="I8" i="9"/>
  <c r="AW8" i="9"/>
  <c r="AW5" i="9" a="1"/>
  <c r="D6" i="9"/>
  <c r="AW2" i="9" a="1"/>
  <c r="BA99" i="8" l="1"/>
  <c r="BA74" i="8"/>
  <c r="BA63" i="8"/>
  <c r="BA43" i="8"/>
  <c r="AQ9" i="9"/>
  <c r="BA72" i="8"/>
  <c r="AQ14" i="9"/>
  <c r="BA96" i="8"/>
  <c r="BA84" i="8"/>
  <c r="AQ11" i="9"/>
  <c r="BA94" i="8"/>
  <c r="BA90" i="8"/>
  <c r="BA88" i="8"/>
  <c r="BA86" i="8"/>
  <c r="AQ7" i="9"/>
  <c r="BA91" i="8"/>
  <c r="BA76" i="8"/>
  <c r="BA69" i="8"/>
  <c r="BA66" i="8"/>
  <c r="BA58" i="8"/>
  <c r="BA55" i="8"/>
  <c r="BA98" i="8"/>
  <c r="BA87" i="8"/>
  <c r="BA54" i="8"/>
  <c r="BA37" i="8"/>
  <c r="BA31" i="8"/>
  <c r="BA92" i="8"/>
  <c r="AQ10" i="9"/>
  <c r="BA49" i="8"/>
  <c r="BA10" i="8"/>
  <c r="BA87" i="7"/>
  <c r="BA68" i="7"/>
  <c r="BA49" i="7"/>
  <c r="BA38" i="7"/>
  <c r="BA27" i="7"/>
  <c r="AQ13" i="9"/>
  <c r="BA11" i="8"/>
  <c r="BA2" i="8"/>
  <c r="BA84" i="7"/>
  <c r="BA97" i="8"/>
  <c r="BA53" i="8"/>
  <c r="BA51" i="8"/>
  <c r="BA24" i="8"/>
  <c r="BA15" i="8"/>
  <c r="BA61" i="7"/>
  <c r="AQ16" i="9"/>
  <c r="BA81" i="8"/>
  <c r="BA67" i="8"/>
  <c r="BA9" i="8"/>
  <c r="BA97" i="7"/>
  <c r="BA71" i="7"/>
  <c r="AQ15" i="9"/>
  <c r="BA78" i="8"/>
  <c r="BA68" i="8"/>
  <c r="BA100" i="8"/>
  <c r="BA48" i="8"/>
  <c r="BA98" i="7"/>
  <c r="BA41" i="7"/>
  <c r="BA16" i="7"/>
  <c r="BA12" i="7"/>
  <c r="BA6" i="7"/>
  <c r="BA64" i="8"/>
  <c r="BA86" i="7"/>
  <c r="BA63" i="7"/>
  <c r="BA54" i="7"/>
  <c r="BA43" i="7"/>
  <c r="BA13" i="7"/>
  <c r="BA307" i="6"/>
  <c r="BA296" i="6"/>
  <c r="BA285" i="6"/>
  <c r="BA274" i="6"/>
  <c r="BA256" i="6"/>
  <c r="AQ6" i="9"/>
  <c r="BA28" i="8"/>
  <c r="BA25" i="8"/>
  <c r="BA88" i="7"/>
  <c r="BA85" i="7"/>
  <c r="BA12" i="8"/>
  <c r="BA47" i="8"/>
  <c r="BA17" i="8"/>
  <c r="BA6" i="8"/>
  <c r="BA96" i="7"/>
  <c r="BA73" i="7"/>
  <c r="BA39" i="7"/>
  <c r="BA32" i="7"/>
  <c r="BA25" i="7"/>
  <c r="BA23" i="8"/>
  <c r="BA76" i="7"/>
  <c r="AQ2" i="9"/>
  <c r="BA93" i="8"/>
  <c r="BA19" i="8"/>
  <c r="BA16" i="8"/>
  <c r="BA5" i="8"/>
  <c r="AQ12" i="9"/>
  <c r="BA82" i="8"/>
  <c r="BA75" i="8"/>
  <c r="BA62" i="8"/>
  <c r="BA70" i="7"/>
  <c r="BA64" i="7"/>
  <c r="BA42" i="7"/>
  <c r="BA26" i="7"/>
  <c r="BA23" i="7"/>
  <c r="BA287" i="6"/>
  <c r="AQ4" i="9"/>
  <c r="BA45" i="8"/>
  <c r="BA27" i="8"/>
  <c r="BA69" i="7"/>
  <c r="BA58" i="7"/>
  <c r="BA290" i="6"/>
  <c r="BA95" i="8"/>
  <c r="BA73" i="8"/>
  <c r="BA70" i="8"/>
  <c r="BA99" i="7"/>
  <c r="BA65" i="8"/>
  <c r="BA50" i="8"/>
  <c r="BA33" i="8"/>
  <c r="BA40" i="8"/>
  <c r="BA67" i="7"/>
  <c r="BA55" i="7"/>
  <c r="BA36" i="7"/>
  <c r="BA101" i="8"/>
  <c r="BA77" i="8"/>
  <c r="BA60" i="8"/>
  <c r="BA34" i="8"/>
  <c r="BA79" i="8"/>
  <c r="BA22" i="8"/>
  <c r="BA83" i="8"/>
  <c r="BA35" i="8"/>
  <c r="BA20" i="8"/>
  <c r="BA4" i="8"/>
  <c r="BA61" i="8"/>
  <c r="BA59" i="8"/>
  <c r="BA57" i="8"/>
  <c r="BA77" i="7"/>
  <c r="BA53" i="7"/>
  <c r="BA95" i="7"/>
  <c r="BA100" i="7"/>
  <c r="BA46" i="8"/>
  <c r="AQ3" i="9"/>
  <c r="BA36" i="8"/>
  <c r="BA29" i="8"/>
  <c r="BA38" i="8"/>
  <c r="BA14" i="8"/>
  <c r="BA42" i="8"/>
  <c r="BA79" i="7"/>
  <c r="BA44" i="8"/>
  <c r="BA32" i="8"/>
  <c r="BA83" i="7"/>
  <c r="BA75" i="7"/>
  <c r="BA7" i="8"/>
  <c r="BA59" i="7"/>
  <c r="BA33" i="7"/>
  <c r="BA29" i="7"/>
  <c r="AQ8" i="9"/>
  <c r="BA18" i="8"/>
  <c r="BA80" i="8"/>
  <c r="BA85" i="8"/>
  <c r="BA101" i="7"/>
  <c r="BA78" i="7"/>
  <c r="BA37" i="7"/>
  <c r="BA14" i="7"/>
  <c r="BA90" i="7"/>
  <c r="BA21" i="7"/>
  <c r="BA5" i="7"/>
  <c r="BA2" i="7"/>
  <c r="BA71" i="8"/>
  <c r="BA41" i="8"/>
  <c r="BA26" i="8"/>
  <c r="BA80" i="7"/>
  <c r="BA8" i="7"/>
  <c r="BA301" i="6"/>
  <c r="BA34" i="7"/>
  <c r="BA304" i="6"/>
  <c r="AQ5" i="9"/>
  <c r="BA51" i="7"/>
  <c r="BA35" i="7"/>
  <c r="BA18" i="7"/>
  <c r="BA17" i="7"/>
  <c r="BA11" i="7"/>
  <c r="BA288" i="6"/>
  <c r="BA286" i="6"/>
  <c r="BA92" i="7"/>
  <c r="BA82" i="7"/>
  <c r="BA52" i="8"/>
  <c r="BA48" i="7"/>
  <c r="BA89" i="8"/>
  <c r="BA74" i="7"/>
  <c r="BA46" i="7"/>
  <c r="BA305" i="6"/>
  <c r="BA300" i="6"/>
  <c r="BA299" i="6"/>
  <c r="BA293" i="6"/>
  <c r="BA259" i="6"/>
  <c r="BA39" i="8"/>
  <c r="BA91" i="7"/>
  <c r="BA40" i="7"/>
  <c r="BA310" i="6"/>
  <c r="BA309" i="6"/>
  <c r="BA308" i="6"/>
  <c r="BA279" i="6"/>
  <c r="BA268" i="6"/>
  <c r="BA298" i="6"/>
  <c r="BA276" i="6"/>
  <c r="BA56" i="7"/>
  <c r="BA24" i="7"/>
  <c r="BA19" i="7"/>
  <c r="BA313" i="6"/>
  <c r="BA297" i="6"/>
  <c r="BA13" i="8"/>
  <c r="BA30" i="7"/>
  <c r="BA265" i="6"/>
  <c r="BA260" i="6"/>
  <c r="BA254" i="6"/>
  <c r="BA243" i="6"/>
  <c r="BA232" i="6"/>
  <c r="BA221" i="6"/>
  <c r="BA52" i="7"/>
  <c r="BA45" i="7"/>
  <c r="BA311" i="6"/>
  <c r="BA291" i="6"/>
  <c r="BA263" i="6"/>
  <c r="BA253" i="6"/>
  <c r="BA242" i="6"/>
  <c r="BA231" i="6"/>
  <c r="BA269" i="6"/>
  <c r="BA50" i="7"/>
  <c r="BA280" i="6"/>
  <c r="BA236" i="6"/>
  <c r="BA281" i="6"/>
  <c r="BA264" i="6"/>
  <c r="BA245" i="6"/>
  <c r="BA220" i="6"/>
  <c r="BA93" i="7"/>
  <c r="BA302" i="6"/>
  <c r="BA282" i="6"/>
  <c r="BA284" i="6"/>
  <c r="BA261" i="6"/>
  <c r="BA246" i="6"/>
  <c r="BA237" i="6"/>
  <c r="BA219" i="6"/>
  <c r="BA62" i="7"/>
  <c r="BA57" i="7"/>
  <c r="BA9" i="7"/>
  <c r="BA283" i="6"/>
  <c r="BA3" i="8"/>
  <c r="BA20" i="7"/>
  <c r="BA7" i="7"/>
  <c r="BA312" i="6"/>
  <c r="BA218" i="6"/>
  <c r="BA72" i="7"/>
  <c r="BA247" i="6"/>
  <c r="BA238" i="6"/>
  <c r="BA303" i="6"/>
  <c r="BA277" i="6"/>
  <c r="BA224" i="6"/>
  <c r="BA204" i="6"/>
  <c r="BA193" i="6"/>
  <c r="BA182" i="6"/>
  <c r="BA171" i="6"/>
  <c r="BA160" i="6"/>
  <c r="BA149" i="6"/>
  <c r="BA138" i="6"/>
  <c r="BA127" i="6"/>
  <c r="BA116" i="6"/>
  <c r="BA30" i="8"/>
  <c r="BA272" i="6"/>
  <c r="BA31" i="7"/>
  <c r="BA270" i="6"/>
  <c r="BA262" i="6"/>
  <c r="BA249" i="6"/>
  <c r="BA226" i="6"/>
  <c r="BA209" i="6"/>
  <c r="BA198" i="6"/>
  <c r="BA187" i="6"/>
  <c r="BA176" i="6"/>
  <c r="BA165" i="6"/>
  <c r="BA154" i="6"/>
  <c r="BA143" i="6"/>
  <c r="BA132" i="6"/>
  <c r="BA121" i="6"/>
  <c r="BA292" i="6"/>
  <c r="BA235" i="6"/>
  <c r="BA94" i="7"/>
  <c r="BA306" i="6"/>
  <c r="BA294" i="6"/>
  <c r="BA275" i="6"/>
  <c r="BA203" i="6"/>
  <c r="BA192" i="6"/>
  <c r="BA181" i="6"/>
  <c r="BA170" i="6"/>
  <c r="BA159" i="6"/>
  <c r="BA148" i="6"/>
  <c r="BA137" i="6"/>
  <c r="BA126" i="6"/>
  <c r="BA65" i="7"/>
  <c r="BA10" i="7"/>
  <c r="BA252" i="6"/>
  <c r="BA208" i="6"/>
  <c r="BA197" i="6"/>
  <c r="BA186" i="6"/>
  <c r="BA175" i="6"/>
  <c r="BA164" i="6"/>
  <c r="BA153" i="6"/>
  <c r="BA142" i="6"/>
  <c r="BA131" i="6"/>
  <c r="BA189" i="6"/>
  <c r="BA158" i="6"/>
  <c r="BA144" i="6"/>
  <c r="BA56" i="8"/>
  <c r="BA278" i="6"/>
  <c r="BA273" i="6"/>
  <c r="BA271" i="6"/>
  <c r="BA233" i="6"/>
  <c r="BA195" i="6"/>
  <c r="BA150" i="6"/>
  <c r="BA111" i="6"/>
  <c r="BA109" i="6"/>
  <c r="BA98" i="6"/>
  <c r="BA87" i="6"/>
  <c r="BA76" i="6"/>
  <c r="BA66" i="7"/>
  <c r="BA234" i="6"/>
  <c r="BA201" i="6"/>
  <c r="BA156" i="6"/>
  <c r="BA125" i="6"/>
  <c r="BA3" i="7"/>
  <c r="BA207" i="6"/>
  <c r="BA162" i="6"/>
  <c r="BA118" i="6"/>
  <c r="BA112" i="6"/>
  <c r="BA103" i="6"/>
  <c r="BA92" i="6"/>
  <c r="BA81" i="6"/>
  <c r="BA70" i="6"/>
  <c r="BA21" i="8"/>
  <c r="BA266" i="6"/>
  <c r="BA250" i="6"/>
  <c r="BA199" i="6"/>
  <c r="BA168" i="6"/>
  <c r="BA15" i="7"/>
  <c r="BA251" i="6"/>
  <c r="BA217" i="6"/>
  <c r="BA216" i="6"/>
  <c r="BA205" i="6"/>
  <c r="BA174" i="6"/>
  <c r="BA129" i="6"/>
  <c r="BA123" i="6"/>
  <c r="BA108" i="6"/>
  <c r="BA97" i="6"/>
  <c r="BA86" i="6"/>
  <c r="BA75" i="6"/>
  <c r="BA64" i="6"/>
  <c r="BA172" i="6"/>
  <c r="BA141" i="6"/>
  <c r="BA102" i="6"/>
  <c r="BA91" i="6"/>
  <c r="BA80" i="6"/>
  <c r="BA215" i="6"/>
  <c r="BA211" i="6"/>
  <c r="BA100" i="6"/>
  <c r="BA72" i="6"/>
  <c r="BA240" i="6"/>
  <c r="BA230" i="6"/>
  <c r="BA212" i="6"/>
  <c r="BA146" i="6"/>
  <c r="BA139" i="6"/>
  <c r="BA135" i="6"/>
  <c r="BA115" i="6"/>
  <c r="BA106" i="6"/>
  <c r="BA53" i="6"/>
  <c r="BA42" i="6"/>
  <c r="BA31" i="6"/>
  <c r="BA214" i="6"/>
  <c r="BA202" i="6"/>
  <c r="BA136" i="6"/>
  <c r="BA114" i="6"/>
  <c r="BA65" i="6"/>
  <c r="BA289" i="6"/>
  <c r="BA206" i="6"/>
  <c r="BA140" i="6"/>
  <c r="BA133" i="6"/>
  <c r="BA104" i="6"/>
  <c r="BA47" i="6"/>
  <c r="BA36" i="6"/>
  <c r="BA25" i="6"/>
  <c r="BA248" i="6"/>
  <c r="BA228" i="6"/>
  <c r="BA225" i="6"/>
  <c r="BA210" i="6"/>
  <c r="BA196" i="6"/>
  <c r="BA130" i="6"/>
  <c r="BA79" i="6"/>
  <c r="BA81" i="7"/>
  <c r="BA200" i="6"/>
  <c r="BA134" i="6"/>
  <c r="BA113" i="6"/>
  <c r="BA110" i="6"/>
  <c r="BA85" i="6"/>
  <c r="BA52" i="6"/>
  <c r="BA41" i="6"/>
  <c r="BA30" i="6"/>
  <c r="BA28" i="7"/>
  <c r="BA257" i="6"/>
  <c r="BA255" i="6"/>
  <c r="BA190" i="6"/>
  <c r="BA124" i="6"/>
  <c r="BA77" i="6"/>
  <c r="BA267" i="6"/>
  <c r="BA222" i="6"/>
  <c r="BA194" i="6"/>
  <c r="BA128" i="6"/>
  <c r="BA83" i="6"/>
  <c r="BA73" i="6"/>
  <c r="BA66" i="6"/>
  <c r="BA61" i="6"/>
  <c r="BA46" i="6"/>
  <c r="BA35" i="6"/>
  <c r="BA24" i="6"/>
  <c r="BA191" i="6"/>
  <c r="BA184" i="6"/>
  <c r="BA47" i="7"/>
  <c r="BA227" i="6"/>
  <c r="BA152" i="6"/>
  <c r="BA59" i="6"/>
  <c r="BA38" i="6"/>
  <c r="BA17" i="6"/>
  <c r="BA6" i="6"/>
  <c r="BA8" i="8"/>
  <c r="BA155" i="6"/>
  <c r="BA147" i="6"/>
  <c r="BA44" i="7"/>
  <c r="BA95" i="6"/>
  <c r="BA93" i="6"/>
  <c r="BA74" i="6"/>
  <c r="BA63" i="6"/>
  <c r="BA56" i="6"/>
  <c r="BA43" i="6"/>
  <c r="BA40" i="6"/>
  <c r="BA22" i="6"/>
  <c r="BA11" i="6"/>
  <c r="BA161" i="6"/>
  <c r="BA62" i="6"/>
  <c r="BA48" i="6"/>
  <c r="BA45" i="6"/>
  <c r="BA16" i="6"/>
  <c r="BA5" i="6"/>
  <c r="BA258" i="6"/>
  <c r="BA167" i="6"/>
  <c r="BA229" i="6"/>
  <c r="BA119" i="6"/>
  <c r="BA96" i="6"/>
  <c r="BA94" i="6"/>
  <c r="BA50" i="6"/>
  <c r="BA27" i="6"/>
  <c r="BA21" i="6"/>
  <c r="BA10" i="6"/>
  <c r="BA105" i="6"/>
  <c r="BA89" i="7"/>
  <c r="BA22" i="7"/>
  <c r="BA151" i="6"/>
  <c r="BA2" i="6"/>
  <c r="BA180" i="6"/>
  <c r="BA169" i="6"/>
  <c r="BA120" i="6"/>
  <c r="BA69" i="6"/>
  <c r="BA3" i="6"/>
  <c r="BA241" i="6"/>
  <c r="BA178" i="6"/>
  <c r="BA7" i="6"/>
  <c r="BA4" i="6"/>
  <c r="BA4" i="7"/>
  <c r="BA173" i="6"/>
  <c r="BA60" i="7"/>
  <c r="BA78" i="6"/>
  <c r="BA14" i="6"/>
  <c r="BA9" i="6"/>
  <c r="BA84" i="6"/>
  <c r="BA67" i="6"/>
  <c r="BA185" i="6"/>
  <c r="BA90" i="6"/>
  <c r="BA19" i="6"/>
  <c r="BA166" i="6"/>
  <c r="BA163" i="6"/>
  <c r="BA37" i="6"/>
  <c r="BA33" i="6"/>
  <c r="BA223" i="6"/>
  <c r="BA122" i="6"/>
  <c r="BA82" i="6"/>
  <c r="BA34" i="6"/>
  <c r="BA117" i="6"/>
  <c r="BA101" i="6"/>
  <c r="BA295" i="6"/>
  <c r="BA188" i="6"/>
  <c r="BA88" i="6"/>
  <c r="BA49" i="6"/>
  <c r="BA26" i="6"/>
  <c r="BA60" i="6"/>
  <c r="BA54" i="6"/>
  <c r="BA23" i="6"/>
  <c r="BA99" i="6"/>
  <c r="BA244" i="6"/>
  <c r="BA51" i="6"/>
  <c r="BA15" i="6"/>
  <c r="BA68" i="6"/>
  <c r="BA39" i="6"/>
  <c r="BA179" i="6"/>
  <c r="BA32" i="6"/>
  <c r="BA12" i="6"/>
  <c r="BA71" i="6"/>
  <c r="BA213" i="6"/>
  <c r="BA13" i="6"/>
  <c r="BA177" i="6"/>
  <c r="BA18" i="6"/>
  <c r="BA107" i="6"/>
  <c r="BA29" i="6"/>
  <c r="BA58" i="6"/>
  <c r="BA145" i="6"/>
  <c r="BA239" i="6"/>
  <c r="BA20" i="6"/>
  <c r="BA183" i="6"/>
  <c r="BA57" i="6"/>
  <c r="BA55" i="6"/>
  <c r="BA28" i="6"/>
  <c r="BA44" i="6"/>
  <c r="BA89" i="6"/>
  <c r="BA157" i="6"/>
  <c r="BA8" i="6"/>
  <c r="AW1" i="9"/>
  <c r="R25" i="8"/>
  <c r="R23" i="8"/>
  <c r="R24" i="8"/>
  <c r="R22" i="7"/>
  <c r="R22" i="8"/>
  <c r="R25" i="7"/>
  <c r="R24" i="7"/>
  <c r="R23" i="7"/>
  <c r="R63" i="6"/>
  <c r="R68" i="6"/>
  <c r="R73" i="6"/>
  <c r="R58" i="6"/>
  <c r="R72" i="6"/>
  <c r="R64" i="6"/>
  <c r="R69" i="6"/>
  <c r="R71" i="6"/>
  <c r="R70" i="6"/>
  <c r="R62" i="6"/>
  <c r="R59" i="6"/>
  <c r="R67" i="6"/>
  <c r="R66" i="6"/>
  <c r="R61" i="6"/>
  <c r="R65" i="6"/>
  <c r="R60" i="6"/>
  <c r="Q33" i="7"/>
  <c r="Q32" i="7"/>
  <c r="Q31" i="7"/>
  <c r="Q30" i="8"/>
  <c r="Q31" i="8"/>
  <c r="Q33" i="8"/>
  <c r="Q96" i="6"/>
  <c r="Q101" i="6"/>
  <c r="Q90" i="6"/>
  <c r="Q95" i="6"/>
  <c r="Q30" i="7"/>
  <c r="Q100" i="6"/>
  <c r="Q32" i="8"/>
  <c r="Q92" i="6"/>
  <c r="Q98" i="6"/>
  <c r="Q104" i="6"/>
  <c r="Q102" i="6"/>
  <c r="Q97" i="6"/>
  <c r="Q94" i="6"/>
  <c r="Q91" i="6"/>
  <c r="Q105" i="6"/>
  <c r="Q93" i="6"/>
  <c r="Q103" i="6"/>
  <c r="Q99" i="6"/>
  <c r="R47" i="8"/>
  <c r="R49" i="7"/>
  <c r="R48" i="8"/>
  <c r="R47" i="7"/>
  <c r="R46" i="8"/>
  <c r="R46" i="7"/>
  <c r="R48" i="7"/>
  <c r="R49" i="8"/>
  <c r="R163" i="6"/>
  <c r="R168" i="6"/>
  <c r="R157" i="6"/>
  <c r="R162" i="6"/>
  <c r="R156" i="6"/>
  <c r="R154" i="6"/>
  <c r="R160" i="6"/>
  <c r="R166" i="6"/>
  <c r="R164" i="6"/>
  <c r="R167" i="6"/>
  <c r="R158" i="6"/>
  <c r="R165" i="6"/>
  <c r="R169" i="6"/>
  <c r="R155" i="6"/>
  <c r="R161" i="6"/>
  <c r="R159" i="6"/>
  <c r="M216" i="6"/>
  <c r="M203" i="6"/>
  <c r="M215" i="6"/>
  <c r="M214" i="6"/>
  <c r="M208" i="6"/>
  <c r="M213" i="6"/>
  <c r="M202" i="6"/>
  <c r="M207" i="6"/>
  <c r="M210" i="6"/>
  <c r="M217" i="6"/>
  <c r="M206" i="6"/>
  <c r="M204" i="6"/>
  <c r="M212" i="6"/>
  <c r="M205" i="6"/>
  <c r="M209" i="6"/>
  <c r="M211" i="6"/>
  <c r="AW5" i="9"/>
  <c r="P31" i="8"/>
  <c r="P33" i="8"/>
  <c r="P30" i="7"/>
  <c r="P31" i="7"/>
  <c r="P30" i="8"/>
  <c r="P33" i="7"/>
  <c r="P32" i="7"/>
  <c r="P102" i="6"/>
  <c r="P91" i="6"/>
  <c r="P96" i="6"/>
  <c r="P101" i="6"/>
  <c r="P90" i="6"/>
  <c r="P94" i="6"/>
  <c r="P100" i="6"/>
  <c r="P32" i="8"/>
  <c r="P92" i="6"/>
  <c r="P98" i="6"/>
  <c r="P104" i="6"/>
  <c r="P99" i="6"/>
  <c r="P97" i="6"/>
  <c r="P103" i="6"/>
  <c r="P93" i="6"/>
  <c r="P105" i="6"/>
  <c r="P95" i="6"/>
  <c r="O225" i="6"/>
  <c r="O229" i="6"/>
  <c r="O228" i="6"/>
  <c r="O230" i="6"/>
  <c r="O233" i="6"/>
  <c r="O232" i="6"/>
  <c r="O231" i="6"/>
  <c r="O227" i="6"/>
  <c r="O226" i="6"/>
  <c r="O224" i="6"/>
  <c r="O219" i="6"/>
  <c r="O221" i="6"/>
  <c r="O223" i="6"/>
  <c r="O218" i="6"/>
  <c r="O220" i="6"/>
  <c r="O222" i="6"/>
  <c r="S16" i="8"/>
  <c r="S17" i="8"/>
  <c r="S15" i="8"/>
  <c r="S14" i="8"/>
  <c r="S2" i="8" s="1"/>
  <c r="S3" i="8" s="1"/>
  <c r="S4" i="8" s="1"/>
  <c r="S5" i="8" s="1"/>
  <c r="S6" i="8" s="1"/>
  <c r="S7" i="8" s="1"/>
  <c r="S8" i="8" s="1"/>
  <c r="S9" i="8" s="1"/>
  <c r="S10" i="8" s="1"/>
  <c r="S11" i="8" s="1"/>
  <c r="S12" i="8" s="1"/>
  <c r="S13" i="8" s="1"/>
  <c r="S16" i="7"/>
  <c r="S17" i="7"/>
  <c r="S14" i="7"/>
  <c r="S2" i="7" s="1"/>
  <c r="S3" i="7" s="1"/>
  <c r="S4" i="7" s="1"/>
  <c r="S5" i="7" s="1"/>
  <c r="S6" i="7" s="1"/>
  <c r="S7" i="7" s="1"/>
  <c r="S8" i="7" s="1"/>
  <c r="S9" i="7" s="1"/>
  <c r="S10" i="7" s="1"/>
  <c r="S11" i="7" s="1"/>
  <c r="S12" i="7" s="1"/>
  <c r="S13" i="7" s="1"/>
  <c r="S15" i="7"/>
  <c r="S34" i="6"/>
  <c r="S39" i="6"/>
  <c r="S28" i="6"/>
  <c r="S33" i="6"/>
  <c r="S38" i="6"/>
  <c r="S27" i="6"/>
  <c r="S30" i="6"/>
  <c r="S35" i="6"/>
  <c r="S32" i="6"/>
  <c r="S40" i="6"/>
  <c r="S37" i="6"/>
  <c r="S36" i="6"/>
  <c r="S29" i="6"/>
  <c r="S41" i="6"/>
  <c r="S31" i="6"/>
  <c r="S26" i="6"/>
  <c r="O10" i="9"/>
  <c r="AA91" i="8"/>
  <c r="AA73" i="8"/>
  <c r="AA62" i="8"/>
  <c r="AA44" i="8"/>
  <c r="AA64" i="8"/>
  <c r="AA42" i="8"/>
  <c r="O16" i="9"/>
  <c r="AA84" i="8"/>
  <c r="O7" i="9"/>
  <c r="AA94" i="8"/>
  <c r="AA90" i="8"/>
  <c r="AA77" i="8"/>
  <c r="O4" i="9"/>
  <c r="AA88" i="8"/>
  <c r="AA86" i="8"/>
  <c r="O3" i="9"/>
  <c r="AA97" i="8"/>
  <c r="AA76" i="8"/>
  <c r="AA74" i="8"/>
  <c r="O2" i="9"/>
  <c r="AA93" i="8"/>
  <c r="AA80" i="8"/>
  <c r="AA27" i="8"/>
  <c r="O11" i="9"/>
  <c r="AA98" i="8"/>
  <c r="AA87" i="8"/>
  <c r="AA78" i="8"/>
  <c r="AA49" i="8"/>
  <c r="AA81" i="8"/>
  <c r="AA92" i="8"/>
  <c r="AA63" i="8"/>
  <c r="AA48" i="8"/>
  <c r="O12" i="9"/>
  <c r="AA101" i="8"/>
  <c r="AA67" i="8"/>
  <c r="AA54" i="8"/>
  <c r="AA38" i="8"/>
  <c r="AA94" i="7"/>
  <c r="AA60" i="7"/>
  <c r="AA56" i="7"/>
  <c r="AA50" i="7"/>
  <c r="AA39" i="7"/>
  <c r="AA28" i="7"/>
  <c r="AA79" i="8"/>
  <c r="AA56" i="8"/>
  <c r="AA47" i="8"/>
  <c r="AA31" i="8"/>
  <c r="AA76" i="7"/>
  <c r="AA57" i="7"/>
  <c r="AA72" i="8"/>
  <c r="AA15" i="8"/>
  <c r="AA11" i="8"/>
  <c r="AA87" i="7"/>
  <c r="AA80" i="7"/>
  <c r="AA68" i="7"/>
  <c r="AA61" i="7"/>
  <c r="AA85" i="8"/>
  <c r="AA25" i="8"/>
  <c r="AA97" i="7"/>
  <c r="AA78" i="7"/>
  <c r="O8" i="9"/>
  <c r="AA53" i="8"/>
  <c r="AA50" i="8"/>
  <c r="AA39" i="8"/>
  <c r="AA30" i="8"/>
  <c r="AA84" i="7"/>
  <c r="O9" i="9"/>
  <c r="AA60" i="8"/>
  <c r="AA88" i="7"/>
  <c r="AA72" i="7"/>
  <c r="AA65" i="7"/>
  <c r="AA43" i="7"/>
  <c r="AA306" i="6"/>
  <c r="AA295" i="6"/>
  <c r="AA284" i="6"/>
  <c r="AA273" i="6"/>
  <c r="AA257" i="6"/>
  <c r="AA96" i="8"/>
  <c r="AA22" i="8"/>
  <c r="AA20" i="8"/>
  <c r="AA18" i="8"/>
  <c r="AA16" i="8"/>
  <c r="AA3" i="8"/>
  <c r="AA81" i="7"/>
  <c r="O5" i="9"/>
  <c r="AA14" i="8"/>
  <c r="AA71" i="8"/>
  <c r="AA59" i="8"/>
  <c r="AA41" i="8"/>
  <c r="AA99" i="7"/>
  <c r="AA95" i="7"/>
  <c r="AA91" i="7"/>
  <c r="AA69" i="7"/>
  <c r="AA66" i="7"/>
  <c r="AA25" i="7"/>
  <c r="AA11" i="7"/>
  <c r="AA8" i="7"/>
  <c r="O15" i="9"/>
  <c r="AA99" i="8"/>
  <c r="AA34" i="8"/>
  <c r="AA19" i="8"/>
  <c r="AA5" i="8"/>
  <c r="AA79" i="7"/>
  <c r="AA36" i="7"/>
  <c r="AA21" i="8"/>
  <c r="AA98" i="7"/>
  <c r="AA75" i="7"/>
  <c r="AA100" i="8"/>
  <c r="AA51" i="8"/>
  <c r="AA23" i="8"/>
  <c r="AA63" i="7"/>
  <c r="AA49" i="7"/>
  <c r="AA47" i="7"/>
  <c r="AA40" i="7"/>
  <c r="AA9" i="7"/>
  <c r="AA281" i="6"/>
  <c r="AA7" i="8"/>
  <c r="AA85" i="7"/>
  <c r="AA62" i="7"/>
  <c r="AA2" i="8"/>
  <c r="AA96" i="7"/>
  <c r="AA82" i="8"/>
  <c r="AA37" i="8"/>
  <c r="AA26" i="8"/>
  <c r="AA13" i="8"/>
  <c r="AA31" i="7"/>
  <c r="AA53" i="7"/>
  <c r="AA38" i="7"/>
  <c r="AA43" i="8"/>
  <c r="AA52" i="8"/>
  <c r="AA33" i="8"/>
  <c r="AA6" i="8"/>
  <c r="AA70" i="8"/>
  <c r="AA36" i="8"/>
  <c r="AA42" i="7"/>
  <c r="AA92" i="7"/>
  <c r="O13" i="9"/>
  <c r="AA10" i="8"/>
  <c r="AA45" i="8"/>
  <c r="AA93" i="7"/>
  <c r="AA35" i="8"/>
  <c r="AA101" i="7"/>
  <c r="AA45" i="7"/>
  <c r="AA8" i="8"/>
  <c r="AA67" i="7"/>
  <c r="AA44" i="7"/>
  <c r="AA40" i="8"/>
  <c r="AA24" i="8"/>
  <c r="AA73" i="7"/>
  <c r="O6" i="9"/>
  <c r="AA95" i="8"/>
  <c r="AA61" i="8"/>
  <c r="AA29" i="8"/>
  <c r="AA82" i="7"/>
  <c r="AA32" i="7"/>
  <c r="AA28" i="8"/>
  <c r="AA71" i="7"/>
  <c r="AA21" i="7"/>
  <c r="AA75" i="8"/>
  <c r="AA58" i="8"/>
  <c r="AA77" i="7"/>
  <c r="O14" i="9"/>
  <c r="AA48" i="7"/>
  <c r="AA23" i="7"/>
  <c r="AA19" i="7"/>
  <c r="AA66" i="8"/>
  <c r="AA52" i="7"/>
  <c r="AA35" i="7"/>
  <c r="AA46" i="8"/>
  <c r="AA24" i="7"/>
  <c r="AA307" i="6"/>
  <c r="AA58" i="7"/>
  <c r="AA298" i="6"/>
  <c r="AA65" i="8"/>
  <c r="AA4" i="8"/>
  <c r="AA46" i="7"/>
  <c r="AA30" i="7"/>
  <c r="AA29" i="7"/>
  <c r="AA16" i="7"/>
  <c r="AA7" i="7"/>
  <c r="AA288" i="6"/>
  <c r="AA286" i="6"/>
  <c r="AA22" i="7"/>
  <c r="AA310" i="6"/>
  <c r="AA17" i="8"/>
  <c r="AA90" i="7"/>
  <c r="AA41" i="7"/>
  <c r="AA303" i="6"/>
  <c r="AA4" i="7"/>
  <c r="AA3" i="7"/>
  <c r="AA55" i="7"/>
  <c r="AA2" i="7"/>
  <c r="AA297" i="6"/>
  <c r="AA259" i="6"/>
  <c r="AA5" i="7"/>
  <c r="AA34" i="7"/>
  <c r="AA6" i="7"/>
  <c r="AA10" i="7"/>
  <c r="AA32" i="8"/>
  <c r="AA74" i="7"/>
  <c r="AA15" i="7"/>
  <c r="AA89" i="8"/>
  <c r="AA68" i="8"/>
  <c r="AA100" i="7"/>
  <c r="AA54" i="7"/>
  <c r="AA296" i="6"/>
  <c r="AA270" i="6"/>
  <c r="AA20" i="7"/>
  <c r="AA12" i="7"/>
  <c r="AA256" i="6"/>
  <c r="AA244" i="6"/>
  <c r="AA233" i="6"/>
  <c r="AA222" i="6"/>
  <c r="AA83" i="8"/>
  <c r="AA69" i="8"/>
  <c r="AA276" i="6"/>
  <c r="AA254" i="6"/>
  <c r="AA243" i="6"/>
  <c r="AA232" i="6"/>
  <c r="AA89" i="7"/>
  <c r="AA83" i="7"/>
  <c r="AA64" i="7"/>
  <c r="AA275" i="6"/>
  <c r="AA301" i="6"/>
  <c r="AA287" i="6"/>
  <c r="AA236" i="6"/>
  <c r="AA294" i="6"/>
  <c r="AA245" i="6"/>
  <c r="AA221" i="6"/>
  <c r="AA313" i="6"/>
  <c r="AA267" i="6"/>
  <c r="AA237" i="6"/>
  <c r="AA86" i="7"/>
  <c r="AA13" i="7"/>
  <c r="AA263" i="6"/>
  <c r="AA246" i="6"/>
  <c r="AA220" i="6"/>
  <c r="AA304" i="6"/>
  <c r="AA268" i="6"/>
  <c r="AA290" i="6"/>
  <c r="AA289" i="6"/>
  <c r="AA269" i="6"/>
  <c r="AA258" i="6"/>
  <c r="AA255" i="6"/>
  <c r="AA247" i="6"/>
  <c r="AA238" i="6"/>
  <c r="AA219" i="6"/>
  <c r="AA27" i="7"/>
  <c r="AA309" i="6"/>
  <c r="AA299" i="6"/>
  <c r="AA291" i="6"/>
  <c r="AA271" i="6"/>
  <c r="AA260" i="6"/>
  <c r="AA59" i="7"/>
  <c r="AA293" i="6"/>
  <c r="AA252" i="6"/>
  <c r="AA248" i="6"/>
  <c r="AA231" i="6"/>
  <c r="AA205" i="6"/>
  <c r="AA194" i="6"/>
  <c r="AA183" i="6"/>
  <c r="AA172" i="6"/>
  <c r="AA161" i="6"/>
  <c r="AA150" i="6"/>
  <c r="AA139" i="6"/>
  <c r="AA128" i="6"/>
  <c r="AA117" i="6"/>
  <c r="AA12" i="8"/>
  <c r="AA17" i="7"/>
  <c r="AA274" i="6"/>
  <c r="AA241" i="6"/>
  <c r="AA51" i="7"/>
  <c r="AA14" i="7"/>
  <c r="AA279" i="6"/>
  <c r="AA228" i="6"/>
  <c r="AA210" i="6"/>
  <c r="AA199" i="6"/>
  <c r="AA188" i="6"/>
  <c r="AA177" i="6"/>
  <c r="AA166" i="6"/>
  <c r="AA155" i="6"/>
  <c r="AA144" i="6"/>
  <c r="AA133" i="6"/>
  <c r="AA122" i="6"/>
  <c r="AA111" i="6"/>
  <c r="AA266" i="6"/>
  <c r="AA234" i="6"/>
  <c r="AA218" i="6"/>
  <c r="AA204" i="6"/>
  <c r="AA193" i="6"/>
  <c r="AA182" i="6"/>
  <c r="AA171" i="6"/>
  <c r="AA160" i="6"/>
  <c r="AA149" i="6"/>
  <c r="AA138" i="6"/>
  <c r="AA127" i="6"/>
  <c r="AA116" i="6"/>
  <c r="AA282" i="6"/>
  <c r="AA312" i="6"/>
  <c r="AA272" i="6"/>
  <c r="AA251" i="6"/>
  <c r="AA223" i="6"/>
  <c r="AA209" i="6"/>
  <c r="AA198" i="6"/>
  <c r="AA187" i="6"/>
  <c r="AA176" i="6"/>
  <c r="AA165" i="6"/>
  <c r="AA154" i="6"/>
  <c r="AA143" i="6"/>
  <c r="AA132" i="6"/>
  <c r="AA207" i="6"/>
  <c r="AA162" i="6"/>
  <c r="AA131" i="6"/>
  <c r="AA224" i="6"/>
  <c r="AA168" i="6"/>
  <c r="AA137" i="6"/>
  <c r="AA118" i="6"/>
  <c r="AA110" i="6"/>
  <c r="AA99" i="6"/>
  <c r="AA88" i="6"/>
  <c r="AA77" i="6"/>
  <c r="AA55" i="8"/>
  <c r="AA253" i="6"/>
  <c r="AA226" i="6"/>
  <c r="AA213" i="6"/>
  <c r="AA174" i="6"/>
  <c r="AA129" i="6"/>
  <c r="AA300" i="6"/>
  <c r="AA230" i="6"/>
  <c r="AA211" i="6"/>
  <c r="AA180" i="6"/>
  <c r="AA135" i="6"/>
  <c r="AA123" i="6"/>
  <c r="AA121" i="6"/>
  <c r="AA104" i="6"/>
  <c r="AA93" i="6"/>
  <c r="AA82" i="6"/>
  <c r="AA71" i="6"/>
  <c r="AA239" i="6"/>
  <c r="AA229" i="6"/>
  <c r="AA215" i="6"/>
  <c r="AA186" i="6"/>
  <c r="AA141" i="6"/>
  <c r="AA112" i="6"/>
  <c r="AA308" i="6"/>
  <c r="AA283" i="6"/>
  <c r="AA240" i="6"/>
  <c r="AA192" i="6"/>
  <c r="AA178" i="6"/>
  <c r="AA147" i="6"/>
  <c r="AA109" i="6"/>
  <c r="AA98" i="6"/>
  <c r="AA87" i="6"/>
  <c r="AA76" i="6"/>
  <c r="AA65" i="6"/>
  <c r="AA278" i="6"/>
  <c r="AA190" i="6"/>
  <c r="AA159" i="6"/>
  <c r="AA145" i="6"/>
  <c r="AA103" i="6"/>
  <c r="AA92" i="6"/>
  <c r="AA81" i="6"/>
  <c r="AA185" i="6"/>
  <c r="AA70" i="7"/>
  <c r="AA217" i="6"/>
  <c r="AA189" i="6"/>
  <c r="AA175" i="6"/>
  <c r="AA79" i="6"/>
  <c r="AA54" i="6"/>
  <c r="AA43" i="6"/>
  <c r="AA32" i="6"/>
  <c r="AA179" i="6"/>
  <c r="AA85" i="6"/>
  <c r="AA169" i="6"/>
  <c r="AA91" i="6"/>
  <c r="AA48" i="6"/>
  <c r="AA37" i="6"/>
  <c r="AA26" i="6"/>
  <c r="AA242" i="6"/>
  <c r="AA173" i="6"/>
  <c r="AA120" i="6"/>
  <c r="AA119" i="6"/>
  <c r="AA97" i="6"/>
  <c r="AA83" i="6"/>
  <c r="AA70" i="6"/>
  <c r="AA265" i="6"/>
  <c r="AA170" i="6"/>
  <c r="AA163" i="6"/>
  <c r="AA89" i="6"/>
  <c r="AA73" i="6"/>
  <c r="AA53" i="6"/>
  <c r="AA42" i="6"/>
  <c r="AA31" i="6"/>
  <c r="AA302" i="6"/>
  <c r="AA262" i="6"/>
  <c r="AA167" i="6"/>
  <c r="AA95" i="6"/>
  <c r="AA66" i="6"/>
  <c r="AA285" i="6"/>
  <c r="AA164" i="6"/>
  <c r="AA157" i="6"/>
  <c r="AA153" i="6"/>
  <c r="AA101" i="6"/>
  <c r="AA47" i="6"/>
  <c r="AA36" i="6"/>
  <c r="AA25" i="6"/>
  <c r="AA37" i="7"/>
  <c r="AA250" i="6"/>
  <c r="AA227" i="6"/>
  <c r="AA292" i="6"/>
  <c r="AA140" i="6"/>
  <c r="AA45" i="6"/>
  <c r="AA18" i="6"/>
  <c r="AA7" i="6"/>
  <c r="AA200" i="6"/>
  <c r="AA208" i="6"/>
  <c r="AA146" i="6"/>
  <c r="AA102" i="6"/>
  <c r="AA100" i="6"/>
  <c r="AA68" i="6"/>
  <c r="AA61" i="6"/>
  <c r="AA50" i="6"/>
  <c r="AA27" i="6"/>
  <c r="AA23" i="6"/>
  <c r="AA12" i="6"/>
  <c r="AA86" i="6"/>
  <c r="AA84" i="6"/>
  <c r="AA58" i="6"/>
  <c r="AA57" i="8"/>
  <c r="AA195" i="6"/>
  <c r="AA152" i="6"/>
  <c r="AA67" i="6"/>
  <c r="AA55" i="6"/>
  <c r="AA52" i="6"/>
  <c r="AA29" i="6"/>
  <c r="AA24" i="6"/>
  <c r="AA17" i="6"/>
  <c r="AA6" i="6"/>
  <c r="AA235" i="6"/>
  <c r="AA203" i="6"/>
  <c r="AA114" i="6"/>
  <c r="AA107" i="6"/>
  <c r="AA105" i="6"/>
  <c r="AA26" i="7"/>
  <c r="AA158" i="6"/>
  <c r="AA34" i="6"/>
  <c r="AA22" i="6"/>
  <c r="AA11" i="6"/>
  <c r="AA191" i="6"/>
  <c r="AA78" i="6"/>
  <c r="AA16" i="6"/>
  <c r="AA75" i="6"/>
  <c r="AA51" i="6"/>
  <c r="AA46" i="6"/>
  <c r="AA41" i="6"/>
  <c r="AA305" i="6"/>
  <c r="AA156" i="6"/>
  <c r="AA113" i="6"/>
  <c r="AA49" i="6"/>
  <c r="AA44" i="6"/>
  <c r="AA39" i="6"/>
  <c r="AA21" i="6"/>
  <c r="AA142" i="6"/>
  <c r="AA108" i="6"/>
  <c r="AA59" i="6"/>
  <c r="AA56" i="6"/>
  <c r="AA4" i="6"/>
  <c r="AA151" i="6"/>
  <c r="AA40" i="6"/>
  <c r="AA35" i="6"/>
  <c r="AA30" i="6"/>
  <c r="AA206" i="6"/>
  <c r="AA148" i="6"/>
  <c r="AA3" i="6"/>
  <c r="AA2" i="6"/>
  <c r="AA28" i="6"/>
  <c r="AA15" i="6"/>
  <c r="AA5" i="6"/>
  <c r="AA202" i="6"/>
  <c r="AA33" i="6"/>
  <c r="AA216" i="6"/>
  <c r="AA212" i="6"/>
  <c r="AA10" i="6"/>
  <c r="AA8" i="6"/>
  <c r="AA280" i="6"/>
  <c r="AA261" i="6"/>
  <c r="AA126" i="6"/>
  <c r="AA64" i="6"/>
  <c r="AA74" i="6"/>
  <c r="AA18" i="7"/>
  <c r="AA115" i="6"/>
  <c r="AA90" i="6"/>
  <c r="AA80" i="6"/>
  <c r="AA69" i="6"/>
  <c r="AA62" i="6"/>
  <c r="AA13" i="6"/>
  <c r="AA9" i="8"/>
  <c r="AA225" i="6"/>
  <c r="AA106" i="6"/>
  <c r="AA96" i="6"/>
  <c r="AA20" i="6"/>
  <c r="AA125" i="6"/>
  <c r="AA60" i="6"/>
  <c r="AA33" i="7"/>
  <c r="AA130" i="6"/>
  <c r="AA124" i="6"/>
  <c r="AA63" i="6"/>
  <c r="AA38" i="6"/>
  <c r="AA9" i="6"/>
  <c r="AA136" i="6"/>
  <c r="AA72" i="6"/>
  <c r="AA57" i="6"/>
  <c r="AA184" i="6"/>
  <c r="AA134" i="6"/>
  <c r="AA14" i="6"/>
  <c r="AA197" i="6"/>
  <c r="AA264" i="6"/>
  <c r="AA277" i="6"/>
  <c r="AA196" i="6"/>
  <c r="AA249" i="6"/>
  <c r="AA214" i="6"/>
  <c r="AA19" i="6"/>
  <c r="AA181" i="6"/>
  <c r="AA94" i="6"/>
  <c r="AA201" i="6"/>
  <c r="AA311" i="6"/>
  <c r="R42" i="8"/>
  <c r="R44" i="8"/>
  <c r="R42" i="7"/>
  <c r="R44" i="7"/>
  <c r="R43" i="8"/>
  <c r="R45" i="8"/>
  <c r="R45" i="7"/>
  <c r="R43" i="7"/>
  <c r="R152" i="6"/>
  <c r="R141" i="6"/>
  <c r="R146" i="6"/>
  <c r="R151" i="6"/>
  <c r="R140" i="6"/>
  <c r="R150" i="6"/>
  <c r="R142" i="6"/>
  <c r="R148" i="6"/>
  <c r="R143" i="6"/>
  <c r="R149" i="6"/>
  <c r="R145" i="6"/>
  <c r="R138" i="6"/>
  <c r="R147" i="6"/>
  <c r="R144" i="6"/>
  <c r="R153" i="6"/>
  <c r="R139" i="6"/>
  <c r="P22" i="8"/>
  <c r="P25" i="7"/>
  <c r="P23" i="7"/>
  <c r="P23" i="8"/>
  <c r="P22" i="7"/>
  <c r="P24" i="8"/>
  <c r="P25" i="8"/>
  <c r="P24" i="7"/>
  <c r="P69" i="6"/>
  <c r="P58" i="6"/>
  <c r="P63" i="6"/>
  <c r="P68" i="6"/>
  <c r="P59" i="6"/>
  <c r="P72" i="6"/>
  <c r="P64" i="6"/>
  <c r="P71" i="6"/>
  <c r="P70" i="6"/>
  <c r="P62" i="6"/>
  <c r="P66" i="6"/>
  <c r="P73" i="6"/>
  <c r="P60" i="6"/>
  <c r="P61" i="6"/>
  <c r="P67" i="6"/>
  <c r="P65" i="6"/>
  <c r="O247" i="6"/>
  <c r="O236" i="6"/>
  <c r="O246" i="6"/>
  <c r="O235" i="6"/>
  <c r="O249" i="6"/>
  <c r="O241" i="6"/>
  <c r="O242" i="6"/>
  <c r="O234" i="6"/>
  <c r="O239" i="6"/>
  <c r="O245" i="6"/>
  <c r="O238" i="6"/>
  <c r="O237" i="6"/>
  <c r="O244" i="6"/>
  <c r="O243" i="6"/>
  <c r="O248" i="6"/>
  <c r="O240" i="6"/>
  <c r="R239" i="6"/>
  <c r="R241" i="6"/>
  <c r="R242" i="6"/>
  <c r="R234" i="6"/>
  <c r="R243" i="6"/>
  <c r="R244" i="6"/>
  <c r="R235" i="6"/>
  <c r="R249" i="6"/>
  <c r="R245" i="6"/>
  <c r="R238" i="6"/>
  <c r="R236" i="6"/>
  <c r="R237" i="6"/>
  <c r="R246" i="6"/>
  <c r="R247" i="6"/>
  <c r="R248" i="6"/>
  <c r="R240" i="6"/>
  <c r="O36" i="8"/>
  <c r="O37" i="8"/>
  <c r="O35" i="8"/>
  <c r="O37" i="7"/>
  <c r="O34" i="8"/>
  <c r="O36" i="7"/>
  <c r="O34" i="7"/>
  <c r="O120" i="6"/>
  <c r="O114" i="6"/>
  <c r="O119" i="6"/>
  <c r="O107" i="6"/>
  <c r="O118" i="6"/>
  <c r="O115" i="6"/>
  <c r="O106" i="6"/>
  <c r="O113" i="6"/>
  <c r="O110" i="6"/>
  <c r="O116" i="6"/>
  <c r="O121" i="6"/>
  <c r="O117" i="6"/>
  <c r="O111" i="6"/>
  <c r="O109" i="6"/>
  <c r="O108" i="6"/>
  <c r="O112" i="6"/>
  <c r="O35" i="7"/>
  <c r="M16" i="9"/>
  <c r="U90" i="8"/>
  <c r="U77" i="8"/>
  <c r="U66" i="8"/>
  <c r="U55" i="8"/>
  <c r="U51" i="8"/>
  <c r="U40" i="8"/>
  <c r="U63" i="8"/>
  <c r="U45" i="8"/>
  <c r="M2" i="9"/>
  <c r="M10" i="9"/>
  <c r="M3" i="9"/>
  <c r="U87" i="8"/>
  <c r="U85" i="8"/>
  <c r="U83" i="8"/>
  <c r="M15" i="9"/>
  <c r="U101" i="8"/>
  <c r="U94" i="8"/>
  <c r="U91" i="8"/>
  <c r="U68" i="8"/>
  <c r="U65" i="8"/>
  <c r="U100" i="8"/>
  <c r="U97" i="8"/>
  <c r="U76" i="8"/>
  <c r="U74" i="8"/>
  <c r="U57" i="8"/>
  <c r="U54" i="8"/>
  <c r="M5" i="9"/>
  <c r="U92" i="8"/>
  <c r="U95" i="8"/>
  <c r="U59" i="8"/>
  <c r="U47" i="8"/>
  <c r="M13" i="9"/>
  <c r="U67" i="8"/>
  <c r="U43" i="8"/>
  <c r="U22" i="8"/>
  <c r="U14" i="8"/>
  <c r="U93" i="7"/>
  <c r="U59" i="7"/>
  <c r="U46" i="7"/>
  <c r="U35" i="7"/>
  <c r="U52" i="8"/>
  <c r="U38" i="8"/>
  <c r="U75" i="7"/>
  <c r="U53" i="8"/>
  <c r="U49" i="8"/>
  <c r="U37" i="8"/>
  <c r="U13" i="8"/>
  <c r="U58" i="7"/>
  <c r="U44" i="7"/>
  <c r="U43" i="7"/>
  <c r="U42" i="7"/>
  <c r="U41" i="7"/>
  <c r="M4" i="9"/>
  <c r="U84" i="8"/>
  <c r="U56" i="8"/>
  <c r="U20" i="8"/>
  <c r="U3" i="8"/>
  <c r="U87" i="7"/>
  <c r="U48" i="8"/>
  <c r="M8" i="9"/>
  <c r="U96" i="7"/>
  <c r="U48" i="7"/>
  <c r="U29" i="7"/>
  <c r="U10" i="7"/>
  <c r="U98" i="8"/>
  <c r="U50" i="8"/>
  <c r="U39" i="8"/>
  <c r="U34" i="8"/>
  <c r="U32" i="8"/>
  <c r="U84" i="7"/>
  <c r="U31" i="7"/>
  <c r="U310" i="6"/>
  <c r="U299" i="6"/>
  <c r="U288" i="6"/>
  <c r="U277" i="6"/>
  <c r="U266" i="6"/>
  <c r="U264" i="6"/>
  <c r="M14" i="9"/>
  <c r="M11" i="9"/>
  <c r="U73" i="8"/>
  <c r="U58" i="8"/>
  <c r="U70" i="8"/>
  <c r="U35" i="8"/>
  <c r="U100" i="7"/>
  <c r="U60" i="7"/>
  <c r="U54" i="7"/>
  <c r="U13" i="7"/>
  <c r="U304" i="6"/>
  <c r="U81" i="8"/>
  <c r="U78" i="8"/>
  <c r="U75" i="8"/>
  <c r="U30" i="8"/>
  <c r="U73" i="7"/>
  <c r="U63" i="7"/>
  <c r="U52" i="7"/>
  <c r="U28" i="7"/>
  <c r="U23" i="7"/>
  <c r="M6" i="9"/>
  <c r="U79" i="8"/>
  <c r="U72" i="8"/>
  <c r="U29" i="8"/>
  <c r="U25" i="8"/>
  <c r="U9" i="8"/>
  <c r="U11" i="8"/>
  <c r="U101" i="7"/>
  <c r="U88" i="7"/>
  <c r="U77" i="7"/>
  <c r="U69" i="7"/>
  <c r="U303" i="6"/>
  <c r="U289" i="6"/>
  <c r="U286" i="6"/>
  <c r="M7" i="9"/>
  <c r="U10" i="8"/>
  <c r="U11" i="7"/>
  <c r="U33" i="8"/>
  <c r="U5" i="8"/>
  <c r="U97" i="7"/>
  <c r="U24" i="8"/>
  <c r="U23" i="8"/>
  <c r="U18" i="8"/>
  <c r="U17" i="8"/>
  <c r="U15" i="8"/>
  <c r="U55" i="7"/>
  <c r="M12" i="9"/>
  <c r="U93" i="8"/>
  <c r="U64" i="8"/>
  <c r="U86" i="8"/>
  <c r="U62" i="7"/>
  <c r="U45" i="7"/>
  <c r="U80" i="8"/>
  <c r="U19" i="8"/>
  <c r="U57" i="7"/>
  <c r="U88" i="8"/>
  <c r="U91" i="7"/>
  <c r="U70" i="7"/>
  <c r="U39" i="7"/>
  <c r="U6" i="8"/>
  <c r="U2" i="8"/>
  <c r="U99" i="8"/>
  <c r="U42" i="8"/>
  <c r="U71" i="8"/>
  <c r="U65" i="7"/>
  <c r="U89" i="8"/>
  <c r="U62" i="8"/>
  <c r="U41" i="8"/>
  <c r="U26" i="8"/>
  <c r="U21" i="8"/>
  <c r="U96" i="8"/>
  <c r="U31" i="8"/>
  <c r="U8" i="8"/>
  <c r="U99" i="7"/>
  <c r="U72" i="7"/>
  <c r="U66" i="7"/>
  <c r="U94" i="7"/>
  <c r="U56" i="7"/>
  <c r="U16" i="7"/>
  <c r="U79" i="7"/>
  <c r="U68" i="7"/>
  <c r="U61" i="7"/>
  <c r="U37" i="7"/>
  <c r="U82" i="7"/>
  <c r="U32" i="7"/>
  <c r="U28" i="8"/>
  <c r="U74" i="7"/>
  <c r="U71" i="7"/>
  <c r="U302" i="6"/>
  <c r="U300" i="6"/>
  <c r="U296" i="6"/>
  <c r="U294" i="6"/>
  <c r="U36" i="7"/>
  <c r="U49" i="7"/>
  <c r="U83" i="7"/>
  <c r="U25" i="7"/>
  <c r="U64" i="7"/>
  <c r="U38" i="7"/>
  <c r="U5" i="7"/>
  <c r="U85" i="7"/>
  <c r="U53" i="7"/>
  <c r="U26" i="7"/>
  <c r="U8" i="7"/>
  <c r="U301" i="6"/>
  <c r="U46" i="8"/>
  <c r="U50" i="7"/>
  <c r="U40" i="7"/>
  <c r="U27" i="7"/>
  <c r="U2" i="7"/>
  <c r="U76" i="7"/>
  <c r="U24" i="7"/>
  <c r="U60" i="8"/>
  <c r="U4" i="8"/>
  <c r="U80" i="7"/>
  <c r="U78" i="7"/>
  <c r="U307" i="6"/>
  <c r="U69" i="8"/>
  <c r="U92" i="7"/>
  <c r="U20" i="7"/>
  <c r="U313" i="6"/>
  <c r="U298" i="6"/>
  <c r="U293" i="6"/>
  <c r="U81" i="7"/>
  <c r="U311" i="6"/>
  <c r="U263" i="6"/>
  <c r="U21" i="7"/>
  <c r="U4" i="7"/>
  <c r="U312" i="6"/>
  <c r="U292" i="6"/>
  <c r="U282" i="6"/>
  <c r="U95" i="7"/>
  <c r="U44" i="8"/>
  <c r="U7" i="7"/>
  <c r="U3" i="7"/>
  <c r="U6" i="7"/>
  <c r="U279" i="6"/>
  <c r="U268" i="6"/>
  <c r="M9" i="9"/>
  <c r="U86" i="7"/>
  <c r="U22" i="7"/>
  <c r="U251" i="6"/>
  <c r="U240" i="6"/>
  <c r="U229" i="6"/>
  <c r="U218" i="6"/>
  <c r="U36" i="8"/>
  <c r="U27" i="8"/>
  <c r="U90" i="7"/>
  <c r="U12" i="7"/>
  <c r="U260" i="6"/>
  <c r="U250" i="6"/>
  <c r="U239" i="6"/>
  <c r="U228" i="6"/>
  <c r="U30" i="7"/>
  <c r="U295" i="6"/>
  <c r="U257" i="6"/>
  <c r="U255" i="6"/>
  <c r="U19" i="7"/>
  <c r="U285" i="6"/>
  <c r="U259" i="6"/>
  <c r="U243" i="6"/>
  <c r="U234" i="6"/>
  <c r="U225" i="6"/>
  <c r="U16" i="8"/>
  <c r="U7" i="8"/>
  <c r="U17" i="7"/>
  <c r="U15" i="7"/>
  <c r="U308" i="6"/>
  <c r="U306" i="6"/>
  <c r="U252" i="6"/>
  <c r="U224" i="6"/>
  <c r="U287" i="6"/>
  <c r="U261" i="6"/>
  <c r="U244" i="6"/>
  <c r="U235" i="6"/>
  <c r="U223" i="6"/>
  <c r="U253" i="6"/>
  <c r="U67" i="7"/>
  <c r="U236" i="6"/>
  <c r="U222" i="6"/>
  <c r="U82" i="8"/>
  <c r="U33" i="7"/>
  <c r="U290" i="6"/>
  <c r="U270" i="6"/>
  <c r="U269" i="6"/>
  <c r="U258" i="6"/>
  <c r="U281" i="6"/>
  <c r="U265" i="6"/>
  <c r="U245" i="6"/>
  <c r="U238" i="6"/>
  <c r="U219" i="6"/>
  <c r="U217" i="6"/>
  <c r="U212" i="6"/>
  <c r="U201" i="6"/>
  <c r="U190" i="6"/>
  <c r="U179" i="6"/>
  <c r="U168" i="6"/>
  <c r="U157" i="6"/>
  <c r="U146" i="6"/>
  <c r="U135" i="6"/>
  <c r="U124" i="6"/>
  <c r="U113" i="6"/>
  <c r="U291" i="6"/>
  <c r="U271" i="6"/>
  <c r="U242" i="6"/>
  <c r="U284" i="6"/>
  <c r="U221" i="6"/>
  <c r="U206" i="6"/>
  <c r="U195" i="6"/>
  <c r="U184" i="6"/>
  <c r="U173" i="6"/>
  <c r="U162" i="6"/>
  <c r="U151" i="6"/>
  <c r="U140" i="6"/>
  <c r="U129" i="6"/>
  <c r="U118" i="6"/>
  <c r="U12" i="8"/>
  <c r="U51" i="7"/>
  <c r="U297" i="6"/>
  <c r="U14" i="7"/>
  <c r="U226" i="6"/>
  <c r="U211" i="6"/>
  <c r="U200" i="6"/>
  <c r="U189" i="6"/>
  <c r="U178" i="6"/>
  <c r="U167" i="6"/>
  <c r="U156" i="6"/>
  <c r="U145" i="6"/>
  <c r="U134" i="6"/>
  <c r="U123" i="6"/>
  <c r="U274" i="6"/>
  <c r="U248" i="6"/>
  <c r="U237" i="6"/>
  <c r="U231" i="6"/>
  <c r="U205" i="6"/>
  <c r="U194" i="6"/>
  <c r="U183" i="6"/>
  <c r="U172" i="6"/>
  <c r="U161" i="6"/>
  <c r="U150" i="6"/>
  <c r="U139" i="6"/>
  <c r="U128" i="6"/>
  <c r="U305" i="6"/>
  <c r="U199" i="6"/>
  <c r="U185" i="6"/>
  <c r="U154" i="6"/>
  <c r="U191" i="6"/>
  <c r="U160" i="6"/>
  <c r="U120" i="6"/>
  <c r="U115" i="6"/>
  <c r="U106" i="6"/>
  <c r="U95" i="6"/>
  <c r="U84" i="6"/>
  <c r="U47" i="7"/>
  <c r="U197" i="6"/>
  <c r="U166" i="6"/>
  <c r="U152" i="6"/>
  <c r="U216" i="6"/>
  <c r="U203" i="6"/>
  <c r="U158" i="6"/>
  <c r="U127" i="6"/>
  <c r="U100" i="6"/>
  <c r="U89" i="6"/>
  <c r="U78" i="6"/>
  <c r="U67" i="6"/>
  <c r="U254" i="6"/>
  <c r="U209" i="6"/>
  <c r="U164" i="6"/>
  <c r="U133" i="6"/>
  <c r="U246" i="6"/>
  <c r="U227" i="6"/>
  <c r="U170" i="6"/>
  <c r="U125" i="6"/>
  <c r="U111" i="6"/>
  <c r="U105" i="6"/>
  <c r="U94" i="6"/>
  <c r="U83" i="6"/>
  <c r="U72" i="6"/>
  <c r="U182" i="6"/>
  <c r="U137" i="6"/>
  <c r="U116" i="6"/>
  <c r="U110" i="6"/>
  <c r="U99" i="6"/>
  <c r="U88" i="6"/>
  <c r="U77" i="6"/>
  <c r="U272" i="6"/>
  <c r="U256" i="6"/>
  <c r="U196" i="6"/>
  <c r="U130" i="6"/>
  <c r="U114" i="6"/>
  <c r="U96" i="6"/>
  <c r="U57" i="6"/>
  <c r="U220" i="6"/>
  <c r="U193" i="6"/>
  <c r="U186" i="6"/>
  <c r="U102" i="6"/>
  <c r="U64" i="6"/>
  <c r="U56" i="6"/>
  <c r="U50" i="6"/>
  <c r="U39" i="6"/>
  <c r="U28" i="6"/>
  <c r="U108" i="6"/>
  <c r="U249" i="6"/>
  <c r="U247" i="6"/>
  <c r="U187" i="6"/>
  <c r="U180" i="6"/>
  <c r="U176" i="6"/>
  <c r="U122" i="6"/>
  <c r="U121" i="6"/>
  <c r="U55" i="6"/>
  <c r="U44" i="6"/>
  <c r="U33" i="6"/>
  <c r="U9" i="7"/>
  <c r="U309" i="6"/>
  <c r="U275" i="6"/>
  <c r="U177" i="6"/>
  <c r="U69" i="6"/>
  <c r="U181" i="6"/>
  <c r="U174" i="6"/>
  <c r="U81" i="6"/>
  <c r="U75" i="6"/>
  <c r="U65" i="6"/>
  <c r="U49" i="6"/>
  <c r="U38" i="6"/>
  <c r="U27" i="6"/>
  <c r="U278" i="6"/>
  <c r="U171" i="6"/>
  <c r="U87" i="6"/>
  <c r="U232" i="6"/>
  <c r="U175" i="6"/>
  <c r="U112" i="6"/>
  <c r="U93" i="6"/>
  <c r="U79" i="6"/>
  <c r="U54" i="6"/>
  <c r="U43" i="6"/>
  <c r="U32" i="6"/>
  <c r="U18" i="7"/>
  <c r="U202" i="6"/>
  <c r="U143" i="6"/>
  <c r="U63" i="6"/>
  <c r="U53" i="6"/>
  <c r="U30" i="6"/>
  <c r="U14" i="6"/>
  <c r="U3" i="6"/>
  <c r="U210" i="6"/>
  <c r="U61" i="8"/>
  <c r="U149" i="6"/>
  <c r="U117" i="6"/>
  <c r="U82" i="6"/>
  <c r="U80" i="6"/>
  <c r="U35" i="6"/>
  <c r="U19" i="6"/>
  <c r="U8" i="6"/>
  <c r="U241" i="6"/>
  <c r="U215" i="6"/>
  <c r="U280" i="6"/>
  <c r="U267" i="6"/>
  <c r="U163" i="6"/>
  <c r="U155" i="6"/>
  <c r="U126" i="6"/>
  <c r="U103" i="6"/>
  <c r="U101" i="6"/>
  <c r="U40" i="6"/>
  <c r="U37" i="6"/>
  <c r="U13" i="6"/>
  <c r="U2" i="6"/>
  <c r="U273" i="6"/>
  <c r="U85" i="6"/>
  <c r="U213" i="6"/>
  <c r="U188" i="6"/>
  <c r="U169" i="6"/>
  <c r="U132" i="6"/>
  <c r="U45" i="6"/>
  <c r="U42" i="6"/>
  <c r="U18" i="6"/>
  <c r="U7" i="6"/>
  <c r="U98" i="7"/>
  <c r="U91" i="6"/>
  <c r="U74" i="6"/>
  <c r="U66" i="6"/>
  <c r="U6" i="6"/>
  <c r="U276" i="6"/>
  <c r="U198" i="6"/>
  <c r="U147" i="6"/>
  <c r="U104" i="6"/>
  <c r="U165" i="6"/>
  <c r="U52" i="6"/>
  <c r="U47" i="6"/>
  <c r="U23" i="6"/>
  <c r="U89" i="7"/>
  <c r="U71" i="6"/>
  <c r="U20" i="6"/>
  <c r="U48" i="6"/>
  <c r="U16" i="6"/>
  <c r="U283" i="6"/>
  <c r="U131" i="6"/>
  <c r="U61" i="6"/>
  <c r="U58" i="6"/>
  <c r="U97" i="6"/>
  <c r="U73" i="6"/>
  <c r="U92" i="6"/>
  <c r="U29" i="6"/>
  <c r="U24" i="6"/>
  <c r="U5" i="6"/>
  <c r="U11" i="6"/>
  <c r="U262" i="6"/>
  <c r="U142" i="6"/>
  <c r="U136" i="6"/>
  <c r="U21" i="6"/>
  <c r="U153" i="6"/>
  <c r="U25" i="6"/>
  <c r="U230" i="6"/>
  <c r="U36" i="6"/>
  <c r="U98" i="6"/>
  <c r="U148" i="6"/>
  <c r="U144" i="6"/>
  <c r="U141" i="6"/>
  <c r="U138" i="6"/>
  <c r="U51" i="6"/>
  <c r="U192" i="6"/>
  <c r="U86" i="6"/>
  <c r="U76" i="6"/>
  <c r="U15" i="6"/>
  <c r="U34" i="7"/>
  <c r="U207" i="6"/>
  <c r="U109" i="6"/>
  <c r="U9" i="6"/>
  <c r="U233" i="6"/>
  <c r="U214" i="6"/>
  <c r="U119" i="6"/>
  <c r="U70" i="6"/>
  <c r="U60" i="6"/>
  <c r="U22" i="6"/>
  <c r="U159" i="6"/>
  <c r="U10" i="6"/>
  <c r="U204" i="6"/>
  <c r="U12" i="6"/>
  <c r="U46" i="6"/>
  <c r="U62" i="6"/>
  <c r="U59" i="6"/>
  <c r="U34" i="6"/>
  <c r="U26" i="6"/>
  <c r="U90" i="6"/>
  <c r="U41" i="6"/>
  <c r="U31" i="6"/>
  <c r="U4" i="6"/>
  <c r="U107" i="6"/>
  <c r="U17" i="6"/>
  <c r="U68" i="6"/>
  <c r="U208" i="6"/>
  <c r="R40" i="7"/>
  <c r="R41" i="8"/>
  <c r="R40" i="8"/>
  <c r="R41" i="7"/>
  <c r="R38" i="8"/>
  <c r="R39" i="8"/>
  <c r="R38" i="7"/>
  <c r="R39" i="7"/>
  <c r="R130" i="6"/>
  <c r="R135" i="6"/>
  <c r="R124" i="6"/>
  <c r="R129" i="6"/>
  <c r="R136" i="6"/>
  <c r="R133" i="6"/>
  <c r="R132" i="6"/>
  <c r="R125" i="6"/>
  <c r="R123" i="6"/>
  <c r="R126" i="6"/>
  <c r="R122" i="6"/>
  <c r="R134" i="6"/>
  <c r="R137" i="6"/>
  <c r="R127" i="6"/>
  <c r="R128" i="6"/>
  <c r="R131" i="6"/>
  <c r="P191" i="6"/>
  <c r="P196" i="6"/>
  <c r="P201" i="6"/>
  <c r="P190" i="6"/>
  <c r="P189" i="6"/>
  <c r="P195" i="6"/>
  <c r="P187" i="6"/>
  <c r="P193" i="6"/>
  <c r="P199" i="6"/>
  <c r="P197" i="6"/>
  <c r="P194" i="6"/>
  <c r="P198" i="6"/>
  <c r="P188" i="6"/>
  <c r="P192" i="6"/>
  <c r="P186" i="6"/>
  <c r="P200" i="6"/>
  <c r="Q23" i="8"/>
  <c r="Q24" i="8"/>
  <c r="Q23" i="7"/>
  <c r="Q25" i="7"/>
  <c r="Q25" i="8"/>
  <c r="Q24" i="7"/>
  <c r="Q22" i="8"/>
  <c r="Q68" i="6"/>
  <c r="Q73" i="6"/>
  <c r="Q22" i="7"/>
  <c r="Q63" i="6"/>
  <c r="Q59" i="6"/>
  <c r="Q58" i="6"/>
  <c r="Q72" i="6"/>
  <c r="Q64" i="6"/>
  <c r="Q71" i="6"/>
  <c r="Q70" i="6"/>
  <c r="Q69" i="6"/>
  <c r="Q62" i="6"/>
  <c r="Q65" i="6"/>
  <c r="Q66" i="6"/>
  <c r="Q60" i="6"/>
  <c r="Q61" i="6"/>
  <c r="Q67" i="6"/>
  <c r="O47" i="8"/>
  <c r="O46" i="8"/>
  <c r="O46" i="7"/>
  <c r="O49" i="8"/>
  <c r="O48" i="8"/>
  <c r="O48" i="7"/>
  <c r="O49" i="7"/>
  <c r="O164" i="6"/>
  <c r="O47" i="7"/>
  <c r="O169" i="6"/>
  <c r="O158" i="6"/>
  <c r="O163" i="6"/>
  <c r="O168" i="6"/>
  <c r="O157" i="6"/>
  <c r="O156" i="6"/>
  <c r="O162" i="6"/>
  <c r="O160" i="6"/>
  <c r="O165" i="6"/>
  <c r="O154" i="6"/>
  <c r="O166" i="6"/>
  <c r="O161" i="6"/>
  <c r="O159" i="6"/>
  <c r="O155" i="6"/>
  <c r="O167" i="6"/>
  <c r="S24" i="8"/>
  <c r="S25" i="8"/>
  <c r="S23" i="8"/>
  <c r="S22" i="7"/>
  <c r="S25" i="7"/>
  <c r="S23" i="7"/>
  <c r="S24" i="7"/>
  <c r="S22" i="8"/>
  <c r="S73" i="6"/>
  <c r="S67" i="6"/>
  <c r="S68" i="6"/>
  <c r="S58" i="6"/>
  <c r="S72" i="6"/>
  <c r="S64" i="6"/>
  <c r="S69" i="6"/>
  <c r="S65" i="6"/>
  <c r="S63" i="6"/>
  <c r="S62" i="6"/>
  <c r="S59" i="6"/>
  <c r="S70" i="6"/>
  <c r="S66" i="6"/>
  <c r="S71" i="6"/>
  <c r="S61" i="6"/>
  <c r="S60" i="6"/>
  <c r="L262" i="6"/>
  <c r="L261" i="6"/>
  <c r="L265" i="6"/>
  <c r="L264" i="6"/>
  <c r="L263" i="6"/>
  <c r="L256" i="6"/>
  <c r="L250" i="6"/>
  <c r="L257" i="6"/>
  <c r="L253" i="6"/>
  <c r="L252" i="6"/>
  <c r="L260" i="6"/>
  <c r="L258" i="6"/>
  <c r="L254" i="6"/>
  <c r="L259" i="6"/>
  <c r="L255" i="6"/>
  <c r="L251" i="6"/>
  <c r="S259" i="6"/>
  <c r="S265" i="6"/>
  <c r="S258" i="6"/>
  <c r="S262" i="6"/>
  <c r="S263" i="6"/>
  <c r="S264" i="6"/>
  <c r="S257" i="6"/>
  <c r="S251" i="6"/>
  <c r="S252" i="6"/>
  <c r="S261" i="6"/>
  <c r="S254" i="6"/>
  <c r="S260" i="6"/>
  <c r="S253" i="6"/>
  <c r="S256" i="6"/>
  <c r="S250" i="6"/>
  <c r="S255" i="6"/>
  <c r="L218" i="6"/>
  <c r="L230" i="6"/>
  <c r="L229" i="6"/>
  <c r="L228" i="6"/>
  <c r="L231" i="6"/>
  <c r="L233" i="6"/>
  <c r="L232" i="6"/>
  <c r="L227" i="6"/>
  <c r="L222" i="6"/>
  <c r="L224" i="6"/>
  <c r="L226" i="6"/>
  <c r="L219" i="6"/>
  <c r="L221" i="6"/>
  <c r="L223" i="6"/>
  <c r="L225" i="6"/>
  <c r="L220" i="6"/>
  <c r="Q230" i="6"/>
  <c r="Q219" i="6"/>
  <c r="Q229" i="6"/>
  <c r="Q233" i="6"/>
  <c r="Q232" i="6"/>
  <c r="Q231" i="6"/>
  <c r="Q227" i="6"/>
  <c r="Q226" i="6"/>
  <c r="Q225" i="6"/>
  <c r="Q224" i="6"/>
  <c r="Q221" i="6"/>
  <c r="Q220" i="6"/>
  <c r="Q222" i="6"/>
  <c r="Q223" i="6"/>
  <c r="Q218" i="6"/>
  <c r="Q228" i="6"/>
  <c r="N197" i="6"/>
  <c r="N186" i="6"/>
  <c r="N191" i="6"/>
  <c r="N196" i="6"/>
  <c r="N189" i="6"/>
  <c r="N195" i="6"/>
  <c r="N201" i="6"/>
  <c r="N187" i="6"/>
  <c r="N199" i="6"/>
  <c r="N200" i="6"/>
  <c r="N193" i="6"/>
  <c r="N190" i="6"/>
  <c r="N194" i="6"/>
  <c r="N198" i="6"/>
  <c r="N188" i="6"/>
  <c r="N192" i="6"/>
  <c r="AW2" i="9"/>
  <c r="L46" i="8"/>
  <c r="L47" i="7"/>
  <c r="L47" i="8"/>
  <c r="L48" i="8"/>
  <c r="L46" i="7"/>
  <c r="L49" i="8"/>
  <c r="L49" i="7"/>
  <c r="L159" i="6"/>
  <c r="L164" i="6"/>
  <c r="L169" i="6"/>
  <c r="L158" i="6"/>
  <c r="L165" i="6"/>
  <c r="L156" i="6"/>
  <c r="L48" i="7"/>
  <c r="L154" i="6"/>
  <c r="L157" i="6"/>
  <c r="L160" i="6"/>
  <c r="L163" i="6"/>
  <c r="L155" i="6"/>
  <c r="L167" i="6"/>
  <c r="L161" i="6"/>
  <c r="L166" i="6"/>
  <c r="L168" i="6"/>
  <c r="L162" i="6"/>
  <c r="M48" i="7"/>
  <c r="M49" i="8"/>
  <c r="M47" i="7"/>
  <c r="M47" i="8"/>
  <c r="M46" i="8"/>
  <c r="M46" i="7"/>
  <c r="M48" i="8"/>
  <c r="M49" i="7"/>
  <c r="M159" i="6"/>
  <c r="M164" i="6"/>
  <c r="M169" i="6"/>
  <c r="M158" i="6"/>
  <c r="M163" i="6"/>
  <c r="M165" i="6"/>
  <c r="M162" i="6"/>
  <c r="M154" i="6"/>
  <c r="M157" i="6"/>
  <c r="M160" i="6"/>
  <c r="M166" i="6"/>
  <c r="M161" i="6"/>
  <c r="M156" i="6"/>
  <c r="M167" i="6"/>
  <c r="M168" i="6"/>
  <c r="M155" i="6"/>
  <c r="Q20" i="7"/>
  <c r="Q21" i="7"/>
  <c r="Q19" i="8"/>
  <c r="Q18" i="8"/>
  <c r="Q18" i="7"/>
  <c r="Q21" i="8"/>
  <c r="Q20" i="8"/>
  <c r="Q19" i="7"/>
  <c r="Q51" i="6"/>
  <c r="Q57" i="6"/>
  <c r="Q45" i="6"/>
  <c r="Q56" i="6"/>
  <c r="Q50" i="6"/>
  <c r="Q55" i="6"/>
  <c r="Q44" i="6"/>
  <c r="Q46" i="6"/>
  <c r="Q43" i="6"/>
  <c r="Q48" i="6"/>
  <c r="Q53" i="6"/>
  <c r="Q54" i="6"/>
  <c r="Q49" i="6"/>
  <c r="Q47" i="6"/>
  <c r="Q52" i="6"/>
  <c r="Q42" i="6"/>
  <c r="L15" i="9"/>
  <c r="V99" i="8"/>
  <c r="V88" i="8"/>
  <c r="L9" i="9"/>
  <c r="V94" i="8"/>
  <c r="V85" i="8"/>
  <c r="V82" i="8"/>
  <c r="V67" i="8"/>
  <c r="V35" i="8"/>
  <c r="V24" i="8"/>
  <c r="V13" i="8"/>
  <c r="V95" i="7"/>
  <c r="V84" i="7"/>
  <c r="V73" i="7"/>
  <c r="V62" i="7"/>
  <c r="L10" i="9"/>
  <c r="L3" i="9"/>
  <c r="V79" i="8"/>
  <c r="L14" i="9"/>
  <c r="V71" i="8"/>
  <c r="V87" i="8"/>
  <c r="V60" i="8"/>
  <c r="V30" i="8"/>
  <c r="V59" i="8"/>
  <c r="V55" i="8"/>
  <c r="V53" i="8"/>
  <c r="V68" i="8"/>
  <c r="V40" i="8"/>
  <c r="V36" i="8"/>
  <c r="V29" i="8"/>
  <c r="V90" i="8"/>
  <c r="L16" i="9"/>
  <c r="V97" i="7"/>
  <c r="V78" i="7"/>
  <c r="V63" i="7"/>
  <c r="V73" i="8"/>
  <c r="V63" i="8"/>
  <c r="V94" i="7"/>
  <c r="V79" i="7"/>
  <c r="V60" i="7"/>
  <c r="V56" i="7"/>
  <c r="V50" i="7"/>
  <c r="V39" i="7"/>
  <c r="V28" i="7"/>
  <c r="V91" i="8"/>
  <c r="V51" i="8"/>
  <c r="V47" i="8"/>
  <c r="V19" i="8"/>
  <c r="V96" i="7"/>
  <c r="V77" i="7"/>
  <c r="V45" i="7"/>
  <c r="V18" i="7"/>
  <c r="L11" i="9"/>
  <c r="V93" i="8"/>
  <c r="V15" i="8"/>
  <c r="V11" i="8"/>
  <c r="V80" i="7"/>
  <c r="V61" i="7"/>
  <c r="L12" i="9"/>
  <c r="V81" i="8"/>
  <c r="V65" i="8"/>
  <c r="V54" i="8"/>
  <c r="V5" i="8"/>
  <c r="V66" i="7"/>
  <c r="V20" i="7"/>
  <c r="V3" i="7"/>
  <c r="V309" i="6"/>
  <c r="V298" i="6"/>
  <c r="V287" i="6"/>
  <c r="V276" i="6"/>
  <c r="V265" i="6"/>
  <c r="V62" i="8"/>
  <c r="V17" i="7"/>
  <c r="V58" i="8"/>
  <c r="V52" i="8"/>
  <c r="V85" i="7"/>
  <c r="L8" i="9"/>
  <c r="V89" i="8"/>
  <c r="V33" i="8"/>
  <c r="V6" i="8"/>
  <c r="V101" i="8"/>
  <c r="V78" i="8"/>
  <c r="V75" i="8"/>
  <c r="V52" i="7"/>
  <c r="V35" i="7"/>
  <c r="V23" i="7"/>
  <c r="V4" i="7"/>
  <c r="V307" i="6"/>
  <c r="V26" i="8"/>
  <c r="V14" i="8"/>
  <c r="V46" i="7"/>
  <c r="V97" i="8"/>
  <c r="V61" i="8"/>
  <c r="V72" i="7"/>
  <c r="L5" i="9"/>
  <c r="V56" i="8"/>
  <c r="V50" i="8"/>
  <c r="V49" i="8"/>
  <c r="V10" i="8"/>
  <c r="V9" i="8"/>
  <c r="V87" i="7"/>
  <c r="V58" i="7"/>
  <c r="V11" i="7"/>
  <c r="V266" i="6"/>
  <c r="V100" i="8"/>
  <c r="V86" i="7"/>
  <c r="V76" i="7"/>
  <c r="V42" i="7"/>
  <c r="V33" i="7"/>
  <c r="V26" i="7"/>
  <c r="V6" i="7"/>
  <c r="V308" i="6"/>
  <c r="V295" i="6"/>
  <c r="V292" i="6"/>
  <c r="V272" i="6"/>
  <c r="V269" i="6"/>
  <c r="V34" i="8"/>
  <c r="V4" i="8"/>
  <c r="V48" i="7"/>
  <c r="V29" i="7"/>
  <c r="V80" i="8"/>
  <c r="V76" i="8"/>
  <c r="V69" i="8"/>
  <c r="V25" i="8"/>
  <c r="V12" i="8"/>
  <c r="V92" i="7"/>
  <c r="V65" i="7"/>
  <c r="V43" i="7"/>
  <c r="V36" i="7"/>
  <c r="V64" i="8"/>
  <c r="V37" i="8"/>
  <c r="V72" i="8"/>
  <c r="V43" i="8"/>
  <c r="V38" i="8"/>
  <c r="V27" i="8"/>
  <c r="V48" i="8"/>
  <c r="V44" i="8"/>
  <c r="V28" i="8"/>
  <c r="V39" i="8"/>
  <c r="V101" i="7"/>
  <c r="V91" i="7"/>
  <c r="V70" i="7"/>
  <c r="V55" i="7"/>
  <c r="V77" i="8"/>
  <c r="V66" i="8"/>
  <c r="V32" i="7"/>
  <c r="L4" i="9"/>
  <c r="L13" i="9"/>
  <c r="L7" i="9"/>
  <c r="V70" i="8"/>
  <c r="V81" i="7"/>
  <c r="V21" i="8"/>
  <c r="V98" i="7"/>
  <c r="V45" i="8"/>
  <c r="V41" i="8"/>
  <c r="V71" i="7"/>
  <c r="V59" i="7"/>
  <c r="V96" i="8"/>
  <c r="V84" i="8"/>
  <c r="V92" i="8"/>
  <c r="V31" i="8"/>
  <c r="V18" i="8"/>
  <c r="V8" i="8"/>
  <c r="V99" i="7"/>
  <c r="V16" i="8"/>
  <c r="V88" i="7"/>
  <c r="V17" i="8"/>
  <c r="V68" i="7"/>
  <c r="V37" i="7"/>
  <c r="V3" i="8"/>
  <c r="V100" i="7"/>
  <c r="V82" i="7"/>
  <c r="V41" i="7"/>
  <c r="V74" i="7"/>
  <c r="V98" i="8"/>
  <c r="V86" i="8"/>
  <c r="V14" i="7"/>
  <c r="V10" i="7"/>
  <c r="V311" i="6"/>
  <c r="V40" i="7"/>
  <c r="V93" i="7"/>
  <c r="V51" i="7"/>
  <c r="V25" i="7"/>
  <c r="V21" i="7"/>
  <c r="V19" i="7"/>
  <c r="V64" i="7"/>
  <c r="V38" i="7"/>
  <c r="V5" i="7"/>
  <c r="V293" i="6"/>
  <c r="V53" i="7"/>
  <c r="V8" i="7"/>
  <c r="V301" i="6"/>
  <c r="V46" i="8"/>
  <c r="V27" i="7"/>
  <c r="V2" i="7"/>
  <c r="V304" i="6"/>
  <c r="V24" i="7"/>
  <c r="V23" i="8"/>
  <c r="V20" i="8"/>
  <c r="V31" i="7"/>
  <c r="V16" i="7"/>
  <c r="V2" i="8"/>
  <c r="V274" i="6"/>
  <c r="V258" i="6"/>
  <c r="V312" i="6"/>
  <c r="V57" i="7"/>
  <c r="V7" i="7"/>
  <c r="V285" i="6"/>
  <c r="V271" i="6"/>
  <c r="V297" i="6"/>
  <c r="V44" i="7"/>
  <c r="V34" i="7"/>
  <c r="V15" i="7"/>
  <c r="V290" i="6"/>
  <c r="V278" i="6"/>
  <c r="V270" i="6"/>
  <c r="L6" i="9"/>
  <c r="V83" i="8"/>
  <c r="V69" i="7"/>
  <c r="V300" i="6"/>
  <c r="V284" i="6"/>
  <c r="V277" i="6"/>
  <c r="V249" i="6"/>
  <c r="V238" i="6"/>
  <c r="V257" i="6"/>
  <c r="V251" i="6"/>
  <c r="V243" i="6"/>
  <c r="V234" i="6"/>
  <c r="V225" i="6"/>
  <c r="V7" i="8"/>
  <c r="L2" i="9"/>
  <c r="V306" i="6"/>
  <c r="V286" i="6"/>
  <c r="V252" i="6"/>
  <c r="V224" i="6"/>
  <c r="V294" i="6"/>
  <c r="V261" i="6"/>
  <c r="V244" i="6"/>
  <c r="V235" i="6"/>
  <c r="V223" i="6"/>
  <c r="V313" i="6"/>
  <c r="V253" i="6"/>
  <c r="V67" i="7"/>
  <c r="V288" i="6"/>
  <c r="V236" i="6"/>
  <c r="V222" i="6"/>
  <c r="V49" i="7"/>
  <c r="V268" i="6"/>
  <c r="V267" i="6"/>
  <c r="V254" i="6"/>
  <c r="V245" i="6"/>
  <c r="V13" i="7"/>
  <c r="V289" i="6"/>
  <c r="V74" i="8"/>
  <c r="V291" i="6"/>
  <c r="V242" i="6"/>
  <c r="V310" i="6"/>
  <c r="V221" i="6"/>
  <c r="V206" i="6"/>
  <c r="V195" i="6"/>
  <c r="V184" i="6"/>
  <c r="V173" i="6"/>
  <c r="V162" i="6"/>
  <c r="V151" i="6"/>
  <c r="V140" i="6"/>
  <c r="V129" i="6"/>
  <c r="V118" i="6"/>
  <c r="V226" i="6"/>
  <c r="V211" i="6"/>
  <c r="V200" i="6"/>
  <c r="V189" i="6"/>
  <c r="V178" i="6"/>
  <c r="V167" i="6"/>
  <c r="V156" i="6"/>
  <c r="V145" i="6"/>
  <c r="V134" i="6"/>
  <c r="V123" i="6"/>
  <c r="V83" i="7"/>
  <c r="V299" i="6"/>
  <c r="V279" i="6"/>
  <c r="V248" i="6"/>
  <c r="V22" i="8"/>
  <c r="V75" i="7"/>
  <c r="V237" i="6"/>
  <c r="V231" i="6"/>
  <c r="V205" i="6"/>
  <c r="V194" i="6"/>
  <c r="V183" i="6"/>
  <c r="V172" i="6"/>
  <c r="V161" i="6"/>
  <c r="V150" i="6"/>
  <c r="V139" i="6"/>
  <c r="V128" i="6"/>
  <c r="V117" i="6"/>
  <c r="V241" i="6"/>
  <c r="V228" i="6"/>
  <c r="V217" i="6"/>
  <c r="V191" i="6"/>
  <c r="V160" i="6"/>
  <c r="V146" i="6"/>
  <c r="V120" i="6"/>
  <c r="V115" i="6"/>
  <c r="V106" i="6"/>
  <c r="V95" i="6"/>
  <c r="V84" i="6"/>
  <c r="V73" i="6"/>
  <c r="V62" i="6"/>
  <c r="V47" i="7"/>
  <c r="V197" i="6"/>
  <c r="V166" i="6"/>
  <c r="V152" i="6"/>
  <c r="V216" i="6"/>
  <c r="V203" i="6"/>
  <c r="V158" i="6"/>
  <c r="V127" i="6"/>
  <c r="V100" i="6"/>
  <c r="V89" i="6"/>
  <c r="V78" i="6"/>
  <c r="V67" i="6"/>
  <c r="V263" i="6"/>
  <c r="V209" i="6"/>
  <c r="V164" i="6"/>
  <c r="V133" i="6"/>
  <c r="V246" i="6"/>
  <c r="V227" i="6"/>
  <c r="V201" i="6"/>
  <c r="V170" i="6"/>
  <c r="V125" i="6"/>
  <c r="V111" i="6"/>
  <c r="V105" i="6"/>
  <c r="V94" i="6"/>
  <c r="V83" i="6"/>
  <c r="V72" i="6"/>
  <c r="V95" i="8"/>
  <c r="V247" i="6"/>
  <c r="V207" i="6"/>
  <c r="V176" i="6"/>
  <c r="V131" i="6"/>
  <c r="V255" i="6"/>
  <c r="V213" i="6"/>
  <c r="V188" i="6"/>
  <c r="V174" i="6"/>
  <c r="V143" i="6"/>
  <c r="V112" i="6"/>
  <c r="V32" i="8"/>
  <c r="V305" i="6"/>
  <c r="V220" i="6"/>
  <c r="V193" i="6"/>
  <c r="V186" i="6"/>
  <c r="V182" i="6"/>
  <c r="V110" i="6"/>
  <c r="V102" i="6"/>
  <c r="V64" i="6"/>
  <c r="V56" i="6"/>
  <c r="V50" i="6"/>
  <c r="V39" i="6"/>
  <c r="V28" i="6"/>
  <c r="V190" i="6"/>
  <c r="V124" i="6"/>
  <c r="V108" i="6"/>
  <c r="V187" i="6"/>
  <c r="V180" i="6"/>
  <c r="V122" i="6"/>
  <c r="V121" i="6"/>
  <c r="V113" i="6"/>
  <c r="V77" i="6"/>
  <c r="V55" i="6"/>
  <c r="V44" i="6"/>
  <c r="V33" i="6"/>
  <c r="V9" i="7"/>
  <c r="V275" i="6"/>
  <c r="V229" i="6"/>
  <c r="V177" i="6"/>
  <c r="V69" i="6"/>
  <c r="V303" i="6"/>
  <c r="V282" i="6"/>
  <c r="V181" i="6"/>
  <c r="V81" i="6"/>
  <c r="V75" i="6"/>
  <c r="V65" i="6"/>
  <c r="V49" i="6"/>
  <c r="V38" i="6"/>
  <c r="V27" i="6"/>
  <c r="V185" i="6"/>
  <c r="V171" i="6"/>
  <c r="V87" i="6"/>
  <c r="V260" i="6"/>
  <c r="V232" i="6"/>
  <c r="V175" i="6"/>
  <c r="V93" i="6"/>
  <c r="V79" i="6"/>
  <c r="V54" i="6"/>
  <c r="V43" i="6"/>
  <c r="V32" i="6"/>
  <c r="V218" i="6"/>
  <c r="V179" i="6"/>
  <c r="V168" i="6"/>
  <c r="V165" i="6"/>
  <c r="V85" i="6"/>
  <c r="V240" i="6"/>
  <c r="V256" i="6"/>
  <c r="V212" i="6"/>
  <c r="V210" i="6"/>
  <c r="V154" i="6"/>
  <c r="V98" i="6"/>
  <c r="V96" i="6"/>
  <c r="V59" i="6"/>
  <c r="V30" i="7"/>
  <c r="V157" i="6"/>
  <c r="V149" i="6"/>
  <c r="V259" i="6"/>
  <c r="V215" i="6"/>
  <c r="V280" i="6"/>
  <c r="V163" i="6"/>
  <c r="V155" i="6"/>
  <c r="V126" i="6"/>
  <c r="V103" i="6"/>
  <c r="V101" i="6"/>
  <c r="V40" i="6"/>
  <c r="V37" i="6"/>
  <c r="V273" i="6"/>
  <c r="V57" i="8"/>
  <c r="V169" i="6"/>
  <c r="V132" i="6"/>
  <c r="V45" i="6"/>
  <c r="V42" i="6"/>
  <c r="V18" i="6"/>
  <c r="V7" i="6"/>
  <c r="V198" i="6"/>
  <c r="V135" i="6"/>
  <c r="V61" i="6"/>
  <c r="V208" i="6"/>
  <c r="V138" i="6"/>
  <c r="V119" i="6"/>
  <c r="V107" i="6"/>
  <c r="V15" i="6"/>
  <c r="V230" i="6"/>
  <c r="V136" i="6"/>
  <c r="V19" i="6"/>
  <c r="V11" i="6"/>
  <c r="V89" i="7"/>
  <c r="V71" i="6"/>
  <c r="V20" i="6"/>
  <c r="V2" i="6"/>
  <c r="V22" i="7"/>
  <c r="V53" i="6"/>
  <c r="V48" i="6"/>
  <c r="V16" i="6"/>
  <c r="V283" i="6"/>
  <c r="V82" i="6"/>
  <c r="V58" i="6"/>
  <c r="V51" i="6"/>
  <c r="V46" i="6"/>
  <c r="V41" i="6"/>
  <c r="V36" i="6"/>
  <c r="V31" i="6"/>
  <c r="V26" i="6"/>
  <c r="V42" i="8"/>
  <c r="V66" i="6"/>
  <c r="V63" i="6"/>
  <c r="V54" i="7"/>
  <c r="V262" i="6"/>
  <c r="V142" i="6"/>
  <c r="V130" i="6"/>
  <c r="V35" i="6"/>
  <c r="V3" i="6"/>
  <c r="V296" i="6"/>
  <c r="V21" i="6"/>
  <c r="V10" i="6"/>
  <c r="V196" i="6"/>
  <c r="V147" i="6"/>
  <c r="V47" i="6"/>
  <c r="V104" i="6"/>
  <c r="V148" i="6"/>
  <c r="V144" i="6"/>
  <c r="V5" i="6"/>
  <c r="V199" i="6"/>
  <c r="V141" i="6"/>
  <c r="V88" i="6"/>
  <c r="V281" i="6"/>
  <c r="V192" i="6"/>
  <c r="V86" i="6"/>
  <c r="V76" i="6"/>
  <c r="V202" i="6"/>
  <c r="V153" i="6"/>
  <c r="V92" i="6"/>
  <c r="V29" i="6"/>
  <c r="V25" i="6"/>
  <c r="V24" i="6"/>
  <c r="V8" i="6"/>
  <c r="V34" i="6"/>
  <c r="V302" i="6"/>
  <c r="V109" i="6"/>
  <c r="V219" i="6"/>
  <c r="V204" i="6"/>
  <c r="V233" i="6"/>
  <c r="V214" i="6"/>
  <c r="V70" i="6"/>
  <c r="V60" i="6"/>
  <c r="V22" i="6"/>
  <c r="V30" i="6"/>
  <c r="V116" i="6"/>
  <c r="V97" i="6"/>
  <c r="V159" i="6"/>
  <c r="V12" i="6"/>
  <c r="V12" i="7"/>
  <c r="V80" i="6"/>
  <c r="V57" i="6"/>
  <c r="V23" i="6"/>
  <c r="V90" i="7"/>
  <c r="V9" i="6"/>
  <c r="V250" i="6"/>
  <c r="V68" i="6"/>
  <c r="V99" i="6"/>
  <c r="V14" i="6"/>
  <c r="V52" i="6"/>
  <c r="V91" i="6"/>
  <c r="V13" i="6"/>
  <c r="V264" i="6"/>
  <c r="V114" i="6"/>
  <c r="V74" i="6"/>
  <c r="V6" i="6"/>
  <c r="V4" i="6"/>
  <c r="V137" i="6"/>
  <c r="V90" i="6"/>
  <c r="V17" i="6"/>
  <c r="V239" i="6"/>
  <c r="L50" i="8"/>
  <c r="L53" i="8"/>
  <c r="L52" i="8"/>
  <c r="L51" i="8"/>
  <c r="L53" i="7"/>
  <c r="L50" i="7"/>
  <c r="L52" i="7"/>
  <c r="L181" i="6"/>
  <c r="L170" i="6"/>
  <c r="L175" i="6"/>
  <c r="L180" i="6"/>
  <c r="L173" i="6"/>
  <c r="L179" i="6"/>
  <c r="L185" i="6"/>
  <c r="L171" i="6"/>
  <c r="L177" i="6"/>
  <c r="L183" i="6"/>
  <c r="L51" i="7"/>
  <c r="L184" i="6"/>
  <c r="L174" i="6"/>
  <c r="L182" i="6"/>
  <c r="L172" i="6"/>
  <c r="L178" i="6"/>
  <c r="L176" i="6"/>
  <c r="AB95" i="8"/>
  <c r="AB84" i="8"/>
  <c r="R11" i="9"/>
  <c r="R4" i="9"/>
  <c r="AB68" i="8"/>
  <c r="AB28" i="8"/>
  <c r="AB17" i="8"/>
  <c r="AB91" i="7"/>
  <c r="AB80" i="7"/>
  <c r="AB69" i="7"/>
  <c r="AB58" i="7"/>
  <c r="R14" i="9"/>
  <c r="AB96" i="8"/>
  <c r="R15" i="9"/>
  <c r="R13" i="9"/>
  <c r="AB79" i="8"/>
  <c r="R6" i="9"/>
  <c r="AB88" i="8"/>
  <c r="AB86" i="8"/>
  <c r="R8" i="9"/>
  <c r="R2" i="9"/>
  <c r="AB82" i="8"/>
  <c r="AB87" i="8"/>
  <c r="AB63" i="8"/>
  <c r="AB60" i="8"/>
  <c r="R5" i="9"/>
  <c r="AB83" i="8"/>
  <c r="AB92" i="8"/>
  <c r="R9" i="9"/>
  <c r="R3" i="9"/>
  <c r="AB77" i="8"/>
  <c r="R16" i="9"/>
  <c r="AB75" i="8"/>
  <c r="AB72" i="8"/>
  <c r="AB41" i="8"/>
  <c r="AB31" i="8"/>
  <c r="R10" i="9"/>
  <c r="AB73" i="8"/>
  <c r="AB5" i="8"/>
  <c r="AB98" i="7"/>
  <c r="AB79" i="7"/>
  <c r="AB64" i="7"/>
  <c r="AB89" i="8"/>
  <c r="AB81" i="8"/>
  <c r="AB50" i="8"/>
  <c r="AB26" i="8"/>
  <c r="AB6" i="8"/>
  <c r="AB95" i="7"/>
  <c r="AB61" i="7"/>
  <c r="AB43" i="7"/>
  <c r="AB32" i="7"/>
  <c r="AB67" i="8"/>
  <c r="AB33" i="8"/>
  <c r="AB30" i="8"/>
  <c r="AB99" i="7"/>
  <c r="AB22" i="7"/>
  <c r="AB71" i="8"/>
  <c r="AB42" i="8"/>
  <c r="AB40" i="8"/>
  <c r="AB38" i="8"/>
  <c r="AB9" i="8"/>
  <c r="AB71" i="7"/>
  <c r="AB54" i="7"/>
  <c r="AB34" i="8"/>
  <c r="AB24" i="8"/>
  <c r="AB19" i="8"/>
  <c r="AB100" i="7"/>
  <c r="AB77" i="7"/>
  <c r="AB41" i="7"/>
  <c r="AB17" i="7"/>
  <c r="AB5" i="7"/>
  <c r="AB305" i="6"/>
  <c r="AB294" i="6"/>
  <c r="AB283" i="6"/>
  <c r="AB272" i="6"/>
  <c r="AB258" i="6"/>
  <c r="AB99" i="8"/>
  <c r="AB74" i="8"/>
  <c r="AB4" i="8"/>
  <c r="AB81" i="7"/>
  <c r="AB56" i="7"/>
  <c r="AB14" i="7"/>
  <c r="AB14" i="8"/>
  <c r="AB101" i="7"/>
  <c r="AB61" i="8"/>
  <c r="AB51" i="8"/>
  <c r="AB27" i="8"/>
  <c r="R12" i="9"/>
  <c r="AB100" i="8"/>
  <c r="AB36" i="7"/>
  <c r="AB16" i="7"/>
  <c r="AB302" i="6"/>
  <c r="AB94" i="8"/>
  <c r="AB66" i="8"/>
  <c r="AB13" i="8"/>
  <c r="AB8" i="8"/>
  <c r="AB78" i="7"/>
  <c r="AB64" i="8"/>
  <c r="AB7" i="8"/>
  <c r="AB85" i="7"/>
  <c r="AB68" i="7"/>
  <c r="AB62" i="7"/>
  <c r="AB57" i="7"/>
  <c r="AB284" i="6"/>
  <c r="AB52" i="8"/>
  <c r="AB97" i="7"/>
  <c r="AB31" i="7"/>
  <c r="AB20" i="7"/>
  <c r="AB311" i="6"/>
  <c r="AB290" i="6"/>
  <c r="AB287" i="6"/>
  <c r="AB65" i="8"/>
  <c r="AB78" i="8"/>
  <c r="AB94" i="7"/>
  <c r="AB53" i="7"/>
  <c r="AB38" i="7"/>
  <c r="AB91" i="8"/>
  <c r="AB3" i="8"/>
  <c r="AB50" i="7"/>
  <c r="AB45" i="7"/>
  <c r="AB56" i="8"/>
  <c r="AB62" i="8"/>
  <c r="AB29" i="8"/>
  <c r="AB97" i="8"/>
  <c r="AB49" i="8"/>
  <c r="AB60" i="7"/>
  <c r="AB70" i="8"/>
  <c r="AB36" i="8"/>
  <c r="AB25" i="8"/>
  <c r="AB20" i="8"/>
  <c r="AB72" i="7"/>
  <c r="AB2" i="8"/>
  <c r="AB92" i="7"/>
  <c r="AB35" i="7"/>
  <c r="R7" i="9"/>
  <c r="AB85" i="8"/>
  <c r="AB74" i="7"/>
  <c r="AB90" i="8"/>
  <c r="AB21" i="8"/>
  <c r="AB18" i="8"/>
  <c r="AB47" i="8"/>
  <c r="AB88" i="7"/>
  <c r="AB67" i="7"/>
  <c r="AB53" i="8"/>
  <c r="AB16" i="8"/>
  <c r="AB80" i="8"/>
  <c r="AB76" i="8"/>
  <c r="AB12" i="7"/>
  <c r="AB304" i="6"/>
  <c r="AB65" i="7"/>
  <c r="AB21" i="7"/>
  <c r="AB98" i="8"/>
  <c r="AB58" i="8"/>
  <c r="AB40" i="7"/>
  <c r="AB25" i="7"/>
  <c r="AB10" i="8"/>
  <c r="AB48" i="7"/>
  <c r="AB28" i="7"/>
  <c r="AB23" i="7"/>
  <c r="AB19" i="7"/>
  <c r="AB313" i="6"/>
  <c r="AB44" i="8"/>
  <c r="AB93" i="7"/>
  <c r="AB89" i="7"/>
  <c r="AB51" i="7"/>
  <c r="AB49" i="7"/>
  <c r="AB32" i="8"/>
  <c r="AB12" i="8"/>
  <c r="AB39" i="7"/>
  <c r="AB307" i="6"/>
  <c r="AB11" i="8"/>
  <c r="AB46" i="7"/>
  <c r="AB30" i="7"/>
  <c r="AB29" i="7"/>
  <c r="AB7" i="7"/>
  <c r="AB295" i="6"/>
  <c r="AB288" i="6"/>
  <c r="AB286" i="6"/>
  <c r="AB282" i="6"/>
  <c r="AB280" i="6"/>
  <c r="AB276" i="6"/>
  <c r="AB274" i="6"/>
  <c r="AB270" i="6"/>
  <c r="AB268" i="6"/>
  <c r="AB76" i="7"/>
  <c r="AB310" i="6"/>
  <c r="AB101" i="8"/>
  <c r="AB54" i="8"/>
  <c r="AB37" i="8"/>
  <c r="AB23" i="8"/>
  <c r="AB96" i="7"/>
  <c r="AB90" i="7"/>
  <c r="AB10" i="7"/>
  <c r="AB4" i="7"/>
  <c r="AB300" i="6"/>
  <c r="AB55" i="7"/>
  <c r="AB2" i="7"/>
  <c r="AB297" i="6"/>
  <c r="AB264" i="6"/>
  <c r="AB34" i="7"/>
  <c r="AB6" i="7"/>
  <c r="AB46" i="8"/>
  <c r="AB52" i="7"/>
  <c r="AB44" i="7"/>
  <c r="AB9" i="7"/>
  <c r="AB59" i="8"/>
  <c r="AB45" i="8"/>
  <c r="AB87" i="7"/>
  <c r="AB84" i="7"/>
  <c r="AB15" i="7"/>
  <c r="AB291" i="6"/>
  <c r="AB273" i="6"/>
  <c r="AB260" i="6"/>
  <c r="AB42" i="7"/>
  <c r="AB8" i="7"/>
  <c r="AB15" i="8"/>
  <c r="AB57" i="8"/>
  <c r="AB39" i="8"/>
  <c r="AB22" i="8"/>
  <c r="AB73" i="7"/>
  <c r="AB59" i="7"/>
  <c r="AB70" i="7"/>
  <c r="AB33" i="7"/>
  <c r="AB312" i="6"/>
  <c r="AB293" i="6"/>
  <c r="AB289" i="6"/>
  <c r="AB269" i="6"/>
  <c r="AB263" i="6"/>
  <c r="AB255" i="6"/>
  <c r="AB69" i="8"/>
  <c r="AB55" i="8"/>
  <c r="AB18" i="7"/>
  <c r="AB267" i="6"/>
  <c r="AB13" i="7"/>
  <c r="AB301" i="6"/>
  <c r="AB296" i="6"/>
  <c r="AB253" i="6"/>
  <c r="AB242" i="6"/>
  <c r="AB93" i="8"/>
  <c r="AB63" i="7"/>
  <c r="AB222" i="6"/>
  <c r="AB3" i="7"/>
  <c r="AB245" i="6"/>
  <c r="AB221" i="6"/>
  <c r="AB254" i="6"/>
  <c r="AB237" i="6"/>
  <c r="AB86" i="7"/>
  <c r="AB246" i="6"/>
  <c r="AB220" i="6"/>
  <c r="AB298" i="6"/>
  <c r="AB247" i="6"/>
  <c r="AB238" i="6"/>
  <c r="AB219" i="6"/>
  <c r="AB83" i="7"/>
  <c r="AB11" i="7"/>
  <c r="AB275" i="6"/>
  <c r="AB265" i="6"/>
  <c r="AB27" i="7"/>
  <c r="AB241" i="6"/>
  <c r="AB299" i="6"/>
  <c r="AB279" i="6"/>
  <c r="AB228" i="6"/>
  <c r="AB210" i="6"/>
  <c r="AB199" i="6"/>
  <c r="AB188" i="6"/>
  <c r="AB177" i="6"/>
  <c r="AB166" i="6"/>
  <c r="AB155" i="6"/>
  <c r="AB144" i="6"/>
  <c r="AB133" i="6"/>
  <c r="AB122" i="6"/>
  <c r="AB266" i="6"/>
  <c r="AB234" i="6"/>
  <c r="AB75" i="7"/>
  <c r="AB256" i="6"/>
  <c r="AB218" i="6"/>
  <c r="AB204" i="6"/>
  <c r="AB193" i="6"/>
  <c r="AB182" i="6"/>
  <c r="AB171" i="6"/>
  <c r="AB160" i="6"/>
  <c r="AB149" i="6"/>
  <c r="AB138" i="6"/>
  <c r="AB127" i="6"/>
  <c r="AB116" i="6"/>
  <c r="AB43" i="8"/>
  <c r="AB66" i="7"/>
  <c r="AB257" i="6"/>
  <c r="AB309" i="6"/>
  <c r="AB251" i="6"/>
  <c r="AB223" i="6"/>
  <c r="AB209" i="6"/>
  <c r="AB198" i="6"/>
  <c r="AB187" i="6"/>
  <c r="AB176" i="6"/>
  <c r="AB165" i="6"/>
  <c r="AB154" i="6"/>
  <c r="AB143" i="6"/>
  <c r="AB132" i="6"/>
  <c r="AB121" i="6"/>
  <c r="AB82" i="7"/>
  <c r="AB277" i="6"/>
  <c r="AB259" i="6"/>
  <c r="AB240" i="6"/>
  <c r="AB47" i="7"/>
  <c r="AB224" i="6"/>
  <c r="AB168" i="6"/>
  <c r="AB137" i="6"/>
  <c r="AB118" i="6"/>
  <c r="AB111" i="6"/>
  <c r="AB110" i="6"/>
  <c r="AB99" i="6"/>
  <c r="AB88" i="6"/>
  <c r="AB77" i="6"/>
  <c r="AB66" i="6"/>
  <c r="AB55" i="6"/>
  <c r="AB226" i="6"/>
  <c r="AB213" i="6"/>
  <c r="AB205" i="6"/>
  <c r="AB174" i="6"/>
  <c r="AB129" i="6"/>
  <c r="AB281" i="6"/>
  <c r="AB230" i="6"/>
  <c r="AB211" i="6"/>
  <c r="AB180" i="6"/>
  <c r="AB135" i="6"/>
  <c r="AB123" i="6"/>
  <c r="AB104" i="6"/>
  <c r="AB93" i="6"/>
  <c r="AB82" i="6"/>
  <c r="AB71" i="6"/>
  <c r="AB239" i="6"/>
  <c r="AB229" i="6"/>
  <c r="AB215" i="6"/>
  <c r="AB186" i="6"/>
  <c r="AB172" i="6"/>
  <c r="AB141" i="6"/>
  <c r="AB112" i="6"/>
  <c r="AB308" i="6"/>
  <c r="AB192" i="6"/>
  <c r="AB178" i="6"/>
  <c r="AB147" i="6"/>
  <c r="AB109" i="6"/>
  <c r="AB98" i="6"/>
  <c r="AB87" i="6"/>
  <c r="AB76" i="6"/>
  <c r="AB184" i="6"/>
  <c r="AB153" i="6"/>
  <c r="AB139" i="6"/>
  <c r="AB113" i="6"/>
  <c r="AB48" i="8"/>
  <c r="AB261" i="6"/>
  <c r="AB196" i="6"/>
  <c r="AB151" i="6"/>
  <c r="AB244" i="6"/>
  <c r="AB217" i="6"/>
  <c r="AB189" i="6"/>
  <c r="AB175" i="6"/>
  <c r="AB79" i="6"/>
  <c r="AB54" i="6"/>
  <c r="AB43" i="6"/>
  <c r="AB32" i="6"/>
  <c r="AB303" i="6"/>
  <c r="AB232" i="6"/>
  <c r="AB179" i="6"/>
  <c r="AB85" i="6"/>
  <c r="AB183" i="6"/>
  <c r="AB169" i="6"/>
  <c r="AB91" i="6"/>
  <c r="AB48" i="6"/>
  <c r="AB37" i="6"/>
  <c r="AB26" i="6"/>
  <c r="AB173" i="6"/>
  <c r="AB120" i="6"/>
  <c r="AB119" i="6"/>
  <c r="AB97" i="6"/>
  <c r="AB83" i="6"/>
  <c r="AB70" i="6"/>
  <c r="AB278" i="6"/>
  <c r="AB170" i="6"/>
  <c r="AB163" i="6"/>
  <c r="AB159" i="6"/>
  <c r="AB89" i="6"/>
  <c r="AB73" i="6"/>
  <c r="AB53" i="6"/>
  <c r="AB42" i="6"/>
  <c r="AB31" i="6"/>
  <c r="AB262" i="6"/>
  <c r="AB167" i="6"/>
  <c r="AB103" i="6"/>
  <c r="AB95" i="6"/>
  <c r="AB285" i="6"/>
  <c r="AB271" i="6"/>
  <c r="AB164" i="6"/>
  <c r="AB157" i="6"/>
  <c r="AB101" i="6"/>
  <c r="AB47" i="6"/>
  <c r="AB36" i="6"/>
  <c r="AB25" i="6"/>
  <c r="AB37" i="7"/>
  <c r="AB250" i="6"/>
  <c r="AB227" i="6"/>
  <c r="AB161" i="6"/>
  <c r="AB107" i="6"/>
  <c r="AB252" i="6"/>
  <c r="AB200" i="6"/>
  <c r="AB190" i="6"/>
  <c r="AB81" i="6"/>
  <c r="AB69" i="6"/>
  <c r="AB208" i="6"/>
  <c r="AB146" i="6"/>
  <c r="AB185" i="6"/>
  <c r="AB86" i="6"/>
  <c r="AB84" i="6"/>
  <c r="AB58" i="6"/>
  <c r="AB195" i="6"/>
  <c r="AB152" i="6"/>
  <c r="AB67" i="6"/>
  <c r="AB52" i="6"/>
  <c r="AB29" i="6"/>
  <c r="AB24" i="6"/>
  <c r="AB235" i="6"/>
  <c r="AB203" i="6"/>
  <c r="AB114" i="6"/>
  <c r="AB105" i="6"/>
  <c r="AB26" i="7"/>
  <c r="AB158" i="6"/>
  <c r="AB34" i="6"/>
  <c r="AB22" i="6"/>
  <c r="AB11" i="6"/>
  <c r="AB124" i="6"/>
  <c r="AB117" i="6"/>
  <c r="AB94" i="6"/>
  <c r="AB2" i="6"/>
  <c r="AB181" i="6"/>
  <c r="AB125" i="6"/>
  <c r="AB60" i="6"/>
  <c r="AB57" i="6"/>
  <c r="AB23" i="6"/>
  <c r="AB3" i="6"/>
  <c r="AB142" i="6"/>
  <c r="AB108" i="6"/>
  <c r="AB92" i="6"/>
  <c r="AB59" i="6"/>
  <c r="AB56" i="6"/>
  <c r="AB50" i="6"/>
  <c r="AB7" i="6"/>
  <c r="AB4" i="6"/>
  <c r="AB35" i="8"/>
  <c r="AB292" i="6"/>
  <c r="AB233" i="6"/>
  <c r="AB45" i="6"/>
  <c r="AB40" i="6"/>
  <c r="AB35" i="6"/>
  <c r="AB30" i="6"/>
  <c r="AB140" i="6"/>
  <c r="AB131" i="6"/>
  <c r="AB61" i="6"/>
  <c r="AB12" i="6"/>
  <c r="AB62" i="6"/>
  <c r="AB38" i="6"/>
  <c r="AB33" i="6"/>
  <c r="AB28" i="6"/>
  <c r="AB8" i="6"/>
  <c r="AB39" i="6"/>
  <c r="AB21" i="6"/>
  <c r="AB243" i="6"/>
  <c r="AB145" i="6"/>
  <c r="AB248" i="6"/>
  <c r="AB202" i="6"/>
  <c r="AB15" i="6"/>
  <c r="AB5" i="6"/>
  <c r="AB10" i="6"/>
  <c r="AB216" i="6"/>
  <c r="AB212" i="6"/>
  <c r="AB236" i="6"/>
  <c r="AB150" i="6"/>
  <c r="AB24" i="7"/>
  <c r="AB126" i="6"/>
  <c r="AB64" i="6"/>
  <c r="AB231" i="6"/>
  <c r="AB115" i="6"/>
  <c r="AB51" i="6"/>
  <c r="AB90" i="6"/>
  <c r="AB80" i="6"/>
  <c r="AB18" i="6"/>
  <c r="AB13" i="6"/>
  <c r="AB78" i="6"/>
  <c r="AB225" i="6"/>
  <c r="AB106" i="6"/>
  <c r="AB102" i="6"/>
  <c r="AB96" i="6"/>
  <c r="AB20" i="6"/>
  <c r="AB74" i="6"/>
  <c r="AB44" i="6"/>
  <c r="AB14" i="6"/>
  <c r="AB207" i="6"/>
  <c r="AB130" i="6"/>
  <c r="AB63" i="6"/>
  <c r="AB49" i="6"/>
  <c r="AB72" i="6"/>
  <c r="AB9" i="6"/>
  <c r="AB134" i="6"/>
  <c r="AB136" i="6"/>
  <c r="AB46" i="6"/>
  <c r="AB16" i="6"/>
  <c r="AB206" i="6"/>
  <c r="AB148" i="6"/>
  <c r="AB128" i="6"/>
  <c r="AB197" i="6"/>
  <c r="AB100" i="6"/>
  <c r="AB191" i="6"/>
  <c r="AB27" i="6"/>
  <c r="AB65" i="6"/>
  <c r="AB17" i="6"/>
  <c r="AB68" i="6"/>
  <c r="AB194" i="6"/>
  <c r="AB19" i="6"/>
  <c r="AB162" i="6"/>
  <c r="AB249" i="6"/>
  <c r="AB214" i="6"/>
  <c r="AB6" i="6"/>
  <c r="AB201" i="6"/>
  <c r="AB156" i="6"/>
  <c r="AB41" i="6"/>
  <c r="AB306" i="6"/>
  <c r="AB75" i="6"/>
  <c r="R19" i="7"/>
  <c r="R18" i="8"/>
  <c r="R18" i="7"/>
  <c r="R20" i="8"/>
  <c r="R19" i="8"/>
  <c r="R21" i="8"/>
  <c r="R20" i="7"/>
  <c r="R21" i="7"/>
  <c r="R51" i="6"/>
  <c r="R57" i="6"/>
  <c r="R45" i="6"/>
  <c r="R56" i="6"/>
  <c r="R50" i="6"/>
  <c r="R55" i="6"/>
  <c r="R44" i="6"/>
  <c r="R53" i="6"/>
  <c r="R54" i="6"/>
  <c r="R49" i="6"/>
  <c r="R52" i="6"/>
  <c r="R47" i="6"/>
  <c r="R42" i="6"/>
  <c r="R46" i="6"/>
  <c r="R43" i="6"/>
  <c r="R48" i="6"/>
  <c r="L43" i="8"/>
  <c r="L42" i="8"/>
  <c r="L45" i="8"/>
  <c r="L44" i="7"/>
  <c r="L42" i="7"/>
  <c r="L45" i="7"/>
  <c r="L43" i="7"/>
  <c r="L44" i="8"/>
  <c r="L148" i="6"/>
  <c r="L153" i="6"/>
  <c r="L142" i="6"/>
  <c r="L147" i="6"/>
  <c r="L140" i="6"/>
  <c r="L146" i="6"/>
  <c r="L152" i="6"/>
  <c r="L138" i="6"/>
  <c r="L144" i="6"/>
  <c r="L143" i="6"/>
  <c r="L145" i="6"/>
  <c r="L151" i="6"/>
  <c r="L141" i="6"/>
  <c r="L139" i="6"/>
  <c r="L149" i="6"/>
  <c r="L150" i="6"/>
  <c r="M53" i="8"/>
  <c r="M52" i="7"/>
  <c r="M53" i="7"/>
  <c r="M51" i="8"/>
  <c r="M50" i="8"/>
  <c r="M52" i="8"/>
  <c r="M50" i="7"/>
  <c r="M181" i="6"/>
  <c r="M170" i="6"/>
  <c r="M175" i="6"/>
  <c r="M180" i="6"/>
  <c r="M185" i="6"/>
  <c r="M174" i="6"/>
  <c r="M179" i="6"/>
  <c r="M171" i="6"/>
  <c r="M177" i="6"/>
  <c r="M183" i="6"/>
  <c r="M51" i="7"/>
  <c r="M184" i="6"/>
  <c r="M178" i="6"/>
  <c r="M176" i="6"/>
  <c r="M173" i="6"/>
  <c r="M172" i="6"/>
  <c r="M182" i="6"/>
  <c r="N240" i="6"/>
  <c r="N249" i="6"/>
  <c r="N241" i="6"/>
  <c r="N242" i="6"/>
  <c r="N234" i="6"/>
  <c r="N246" i="6"/>
  <c r="N239" i="6"/>
  <c r="N235" i="6"/>
  <c r="N245" i="6"/>
  <c r="N244" i="6"/>
  <c r="N236" i="6"/>
  <c r="N237" i="6"/>
  <c r="N247" i="6"/>
  <c r="N238" i="6"/>
  <c r="N243" i="6"/>
  <c r="N248" i="6"/>
  <c r="N41" i="8"/>
  <c r="N40" i="8"/>
  <c r="N39" i="8"/>
  <c r="N38" i="8"/>
  <c r="N41" i="7"/>
  <c r="N38" i="7"/>
  <c r="N39" i="7"/>
  <c r="N40" i="7"/>
  <c r="N131" i="6"/>
  <c r="N136" i="6"/>
  <c r="N125" i="6"/>
  <c r="N130" i="6"/>
  <c r="N126" i="6"/>
  <c r="N132" i="6"/>
  <c r="N122" i="6"/>
  <c r="N137" i="6"/>
  <c r="N134" i="6"/>
  <c r="N127" i="6"/>
  <c r="N128" i="6"/>
  <c r="N124" i="6"/>
  <c r="N123" i="6"/>
  <c r="N129" i="6"/>
  <c r="N135" i="6"/>
  <c r="N133" i="6"/>
  <c r="P214" i="6"/>
  <c r="P213" i="6"/>
  <c r="P202" i="6"/>
  <c r="P207" i="6"/>
  <c r="P217" i="6"/>
  <c r="P212" i="6"/>
  <c r="P211" i="6"/>
  <c r="P204" i="6"/>
  <c r="P208" i="6"/>
  <c r="P205" i="6"/>
  <c r="P210" i="6"/>
  <c r="P215" i="6"/>
  <c r="P203" i="6"/>
  <c r="P206" i="6"/>
  <c r="P209" i="6"/>
  <c r="P216" i="6"/>
  <c r="S28" i="8"/>
  <c r="S28" i="7"/>
  <c r="S27" i="7"/>
  <c r="S26" i="8"/>
  <c r="S27" i="8"/>
  <c r="S29" i="8"/>
  <c r="S29" i="7"/>
  <c r="S26" i="7"/>
  <c r="S79" i="6"/>
  <c r="S84" i="6"/>
  <c r="S89" i="6"/>
  <c r="S78" i="6"/>
  <c r="S83" i="6"/>
  <c r="S77" i="6"/>
  <c r="S81" i="6"/>
  <c r="S75" i="6"/>
  <c r="S74" i="6"/>
  <c r="S82" i="6"/>
  <c r="S80" i="6"/>
  <c r="S88" i="6"/>
  <c r="S86" i="6"/>
  <c r="S76" i="6"/>
  <c r="S85" i="6"/>
  <c r="S87" i="6"/>
  <c r="S46" i="8"/>
  <c r="S47" i="8"/>
  <c r="S49" i="8"/>
  <c r="S47" i="7"/>
  <c r="S49" i="7"/>
  <c r="S48" i="8"/>
  <c r="S46" i="7"/>
  <c r="S48" i="7"/>
  <c r="S163" i="6"/>
  <c r="S168" i="6"/>
  <c r="S157" i="6"/>
  <c r="S162" i="6"/>
  <c r="S167" i="6"/>
  <c r="S156" i="6"/>
  <c r="S154" i="6"/>
  <c r="S160" i="6"/>
  <c r="S166" i="6"/>
  <c r="S158" i="6"/>
  <c r="S155" i="6"/>
  <c r="S165" i="6"/>
  <c r="S169" i="6"/>
  <c r="S161" i="6"/>
  <c r="S159" i="6"/>
  <c r="S164" i="6"/>
  <c r="J13" i="9"/>
  <c r="T93" i="8"/>
  <c r="J16" i="9"/>
  <c r="T86" i="8"/>
  <c r="J2" i="9"/>
  <c r="T78" i="8"/>
  <c r="T59" i="8"/>
  <c r="T46" i="8"/>
  <c r="T30" i="8"/>
  <c r="T19" i="8"/>
  <c r="T5" i="8"/>
  <c r="T100" i="7"/>
  <c r="T89" i="7"/>
  <c r="T78" i="7"/>
  <c r="T67" i="7"/>
  <c r="T100" i="8"/>
  <c r="T89" i="8"/>
  <c r="T62" i="8"/>
  <c r="J6" i="9"/>
  <c r="T31" i="8"/>
  <c r="J12" i="9"/>
  <c r="T99" i="8"/>
  <c r="T88" i="8"/>
  <c r="T73" i="8"/>
  <c r="T65" i="8"/>
  <c r="T61" i="8"/>
  <c r="T57" i="8"/>
  <c r="T37" i="8"/>
  <c r="J10" i="9"/>
  <c r="J4" i="9"/>
  <c r="T94" i="8"/>
  <c r="T82" i="8"/>
  <c r="T76" i="8"/>
  <c r="T28" i="8"/>
  <c r="J14" i="9"/>
  <c r="T91" i="8"/>
  <c r="T80" i="8"/>
  <c r="T75" i="8"/>
  <c r="T72" i="8"/>
  <c r="J15" i="9"/>
  <c r="T74" i="8"/>
  <c r="T64" i="8"/>
  <c r="T21" i="8"/>
  <c r="T20" i="8"/>
  <c r="T8" i="8"/>
  <c r="T74" i="7"/>
  <c r="T24" i="8"/>
  <c r="T9" i="8"/>
  <c r="T90" i="7"/>
  <c r="T71" i="7"/>
  <c r="T45" i="7"/>
  <c r="T34" i="7"/>
  <c r="T81" i="8"/>
  <c r="T68" i="8"/>
  <c r="T45" i="8"/>
  <c r="T43" i="8"/>
  <c r="T41" i="8"/>
  <c r="T39" i="8"/>
  <c r="T32" i="8"/>
  <c r="T84" i="7"/>
  <c r="T65" i="7"/>
  <c r="T40" i="7"/>
  <c r="T24" i="7"/>
  <c r="T13" i="7"/>
  <c r="J3" i="9"/>
  <c r="T27" i="8"/>
  <c r="T94" i="7"/>
  <c r="T68" i="7"/>
  <c r="T56" i="7"/>
  <c r="T53" i="7"/>
  <c r="T52" i="7"/>
  <c r="J7" i="9"/>
  <c r="T48" i="8"/>
  <c r="T3" i="8"/>
  <c r="T73" i="7"/>
  <c r="T55" i="7"/>
  <c r="T38" i="7"/>
  <c r="T21" i="7"/>
  <c r="T303" i="6"/>
  <c r="T292" i="6"/>
  <c r="T281" i="6"/>
  <c r="T270" i="6"/>
  <c r="T260" i="6"/>
  <c r="T26" i="8"/>
  <c r="T16" i="8"/>
  <c r="T11" i="8"/>
  <c r="T91" i="7"/>
  <c r="T61" i="7"/>
  <c r="T18" i="7"/>
  <c r="T11" i="7"/>
  <c r="T4" i="7"/>
  <c r="T25" i="8"/>
  <c r="T95" i="7"/>
  <c r="T82" i="7"/>
  <c r="T52" i="8"/>
  <c r="T83" i="8"/>
  <c r="J5" i="9"/>
  <c r="T96" i="8"/>
  <c r="T58" i="8"/>
  <c r="T17" i="8"/>
  <c r="T96" i="7"/>
  <c r="T92" i="7"/>
  <c r="T70" i="7"/>
  <c r="T22" i="7"/>
  <c r="T7" i="7"/>
  <c r="T101" i="8"/>
  <c r="T70" i="8"/>
  <c r="T35" i="8"/>
  <c r="T60" i="7"/>
  <c r="T54" i="7"/>
  <c r="T35" i="7"/>
  <c r="T69" i="7"/>
  <c r="T85" i="8"/>
  <c r="T60" i="8"/>
  <c r="T12" i="8"/>
  <c r="T3" i="7"/>
  <c r="T56" i="8"/>
  <c r="T50" i="8"/>
  <c r="T49" i="8"/>
  <c r="T101" i="7"/>
  <c r="T88" i="7"/>
  <c r="T87" i="7"/>
  <c r="T77" i="7"/>
  <c r="T63" i="7"/>
  <c r="T58" i="7"/>
  <c r="T289" i="6"/>
  <c r="T286" i="6"/>
  <c r="T266" i="6"/>
  <c r="T92" i="8"/>
  <c r="T90" i="8"/>
  <c r="T36" i="8"/>
  <c r="T7" i="8"/>
  <c r="T55" i="8"/>
  <c r="T42" i="8"/>
  <c r="T66" i="7"/>
  <c r="T41" i="7"/>
  <c r="T23" i="8"/>
  <c r="T18" i="8"/>
  <c r="T15" i="8"/>
  <c r="T14" i="8"/>
  <c r="T48" i="7"/>
  <c r="T84" i="8"/>
  <c r="T69" i="8"/>
  <c r="T53" i="8"/>
  <c r="T2" i="8"/>
  <c r="T4" i="8"/>
  <c r="T29" i="8"/>
  <c r="T13" i="8"/>
  <c r="T86" i="7"/>
  <c r="T79" i="7"/>
  <c r="T57" i="7"/>
  <c r="T77" i="8"/>
  <c r="T66" i="8"/>
  <c r="T33" i="8"/>
  <c r="T80" i="7"/>
  <c r="T79" i="8"/>
  <c r="T10" i="8"/>
  <c r="T54" i="8"/>
  <c r="J8" i="9"/>
  <c r="T71" i="8"/>
  <c r="T47" i="8"/>
  <c r="T51" i="8"/>
  <c r="T6" i="8"/>
  <c r="T81" i="7"/>
  <c r="J11" i="9"/>
  <c r="J9" i="9"/>
  <c r="T63" i="8"/>
  <c r="T6" i="7"/>
  <c r="T307" i="6"/>
  <c r="T37" i="7"/>
  <c r="T32" i="7"/>
  <c r="T8" i="7"/>
  <c r="T309" i="6"/>
  <c r="T298" i="6"/>
  <c r="T98" i="8"/>
  <c r="T38" i="8"/>
  <c r="T44" i="8"/>
  <c r="T97" i="7"/>
  <c r="T50" i="7"/>
  <c r="T23" i="7"/>
  <c r="T87" i="8"/>
  <c r="T99" i="7"/>
  <c r="T17" i="7"/>
  <c r="T14" i="7"/>
  <c r="T311" i="6"/>
  <c r="T83" i="7"/>
  <c r="T25" i="7"/>
  <c r="T93" i="7"/>
  <c r="T64" i="7"/>
  <c r="T39" i="7"/>
  <c r="T28" i="7"/>
  <c r="T5" i="7"/>
  <c r="T293" i="6"/>
  <c r="T85" i="7"/>
  <c r="T26" i="7"/>
  <c r="T304" i="6"/>
  <c r="T301" i="6"/>
  <c r="T27" i="7"/>
  <c r="T2" i="7"/>
  <c r="T76" i="7"/>
  <c r="T46" i="7"/>
  <c r="T40" i="8"/>
  <c r="T31" i="7"/>
  <c r="T29" i="7"/>
  <c r="T299" i="6"/>
  <c r="T20" i="7"/>
  <c r="T313" i="6"/>
  <c r="T277" i="6"/>
  <c r="T36" i="7"/>
  <c r="T34" i="8"/>
  <c r="T274" i="6"/>
  <c r="T312" i="6"/>
  <c r="T282" i="6"/>
  <c r="T62" i="7"/>
  <c r="T288" i="6"/>
  <c r="T285" i="6"/>
  <c r="T271" i="6"/>
  <c r="T98" i="7"/>
  <c r="T75" i="7"/>
  <c r="T306" i="6"/>
  <c r="T280" i="6"/>
  <c r="T279" i="6"/>
  <c r="T67" i="8"/>
  <c r="T33" i="7"/>
  <c r="T294" i="6"/>
  <c r="T287" i="6"/>
  <c r="T276" i="6"/>
  <c r="T256" i="6"/>
  <c r="T244" i="6"/>
  <c r="T233" i="6"/>
  <c r="T43" i="7"/>
  <c r="T242" i="6"/>
  <c r="T226" i="6"/>
  <c r="T19" i="7"/>
  <c r="T259" i="6"/>
  <c r="T257" i="6"/>
  <c r="T251" i="6"/>
  <c r="T243" i="6"/>
  <c r="T234" i="6"/>
  <c r="T225" i="6"/>
  <c r="T15" i="7"/>
  <c r="T42" i="7"/>
  <c r="T308" i="6"/>
  <c r="T252" i="6"/>
  <c r="T224" i="6"/>
  <c r="T261" i="6"/>
  <c r="T235" i="6"/>
  <c r="T223" i="6"/>
  <c r="T253" i="6"/>
  <c r="T22" i="8"/>
  <c r="T30" i="7"/>
  <c r="T12" i="7"/>
  <c r="T249" i="6"/>
  <c r="T229" i="6"/>
  <c r="T59" i="7"/>
  <c r="T265" i="6"/>
  <c r="T245" i="6"/>
  <c r="T238" i="6"/>
  <c r="T219" i="6"/>
  <c r="T217" i="6"/>
  <c r="T212" i="6"/>
  <c r="T201" i="6"/>
  <c r="T190" i="6"/>
  <c r="T179" i="6"/>
  <c r="T168" i="6"/>
  <c r="T157" i="6"/>
  <c r="T146" i="6"/>
  <c r="T135" i="6"/>
  <c r="T124" i="6"/>
  <c r="T310" i="6"/>
  <c r="T291" i="6"/>
  <c r="T284" i="6"/>
  <c r="T221" i="6"/>
  <c r="T206" i="6"/>
  <c r="T195" i="6"/>
  <c r="T184" i="6"/>
  <c r="T173" i="6"/>
  <c r="T162" i="6"/>
  <c r="T151" i="6"/>
  <c r="T140" i="6"/>
  <c r="T129" i="6"/>
  <c r="T118" i="6"/>
  <c r="T51" i="7"/>
  <c r="T297" i="6"/>
  <c r="T258" i="6"/>
  <c r="T16" i="7"/>
  <c r="T211" i="6"/>
  <c r="T200" i="6"/>
  <c r="T189" i="6"/>
  <c r="T178" i="6"/>
  <c r="T167" i="6"/>
  <c r="T156" i="6"/>
  <c r="T145" i="6"/>
  <c r="T134" i="6"/>
  <c r="T123" i="6"/>
  <c r="T112" i="6"/>
  <c r="T269" i="6"/>
  <c r="T248" i="6"/>
  <c r="T193" i="6"/>
  <c r="T148" i="6"/>
  <c r="T101" i="6"/>
  <c r="T90" i="6"/>
  <c r="T79" i="6"/>
  <c r="T68" i="6"/>
  <c r="T57" i="6"/>
  <c r="T97" i="8"/>
  <c r="T305" i="6"/>
  <c r="T199" i="6"/>
  <c r="T185" i="6"/>
  <c r="T154" i="6"/>
  <c r="T205" i="6"/>
  <c r="T191" i="6"/>
  <c r="T160" i="6"/>
  <c r="T120" i="6"/>
  <c r="T115" i="6"/>
  <c r="T106" i="6"/>
  <c r="T95" i="6"/>
  <c r="T84" i="6"/>
  <c r="T73" i="6"/>
  <c r="T62" i="6"/>
  <c r="T47" i="7"/>
  <c r="T228" i="6"/>
  <c r="T197" i="6"/>
  <c r="T166" i="6"/>
  <c r="T152" i="6"/>
  <c r="T263" i="6"/>
  <c r="T216" i="6"/>
  <c r="T203" i="6"/>
  <c r="T172" i="6"/>
  <c r="T158" i="6"/>
  <c r="T127" i="6"/>
  <c r="T100" i="6"/>
  <c r="T89" i="6"/>
  <c r="T78" i="6"/>
  <c r="T254" i="6"/>
  <c r="T209" i="6"/>
  <c r="T164" i="6"/>
  <c r="T133" i="6"/>
  <c r="T44" i="7"/>
  <c r="T247" i="6"/>
  <c r="T207" i="6"/>
  <c r="T176" i="6"/>
  <c r="T131" i="6"/>
  <c r="T95" i="8"/>
  <c r="T283" i="6"/>
  <c r="T239" i="6"/>
  <c r="T192" i="6"/>
  <c r="T126" i="6"/>
  <c r="T104" i="6"/>
  <c r="T45" i="6"/>
  <c r="T34" i="6"/>
  <c r="T272" i="6"/>
  <c r="T196" i="6"/>
  <c r="T182" i="6"/>
  <c r="T130" i="6"/>
  <c r="T114" i="6"/>
  <c r="T110" i="6"/>
  <c r="T96" i="6"/>
  <c r="T72" i="6"/>
  <c r="T220" i="6"/>
  <c r="T186" i="6"/>
  <c r="T102" i="6"/>
  <c r="T64" i="6"/>
  <c r="T56" i="6"/>
  <c r="T50" i="6"/>
  <c r="T39" i="6"/>
  <c r="T28" i="6"/>
  <c r="T183" i="6"/>
  <c r="T113" i="6"/>
  <c r="T108" i="6"/>
  <c r="T77" i="6"/>
  <c r="T49" i="7"/>
  <c r="T268" i="6"/>
  <c r="T187" i="6"/>
  <c r="T180" i="6"/>
  <c r="T122" i="6"/>
  <c r="T121" i="6"/>
  <c r="T55" i="6"/>
  <c r="T44" i="6"/>
  <c r="T33" i="6"/>
  <c r="T9" i="7"/>
  <c r="T275" i="6"/>
  <c r="T237" i="6"/>
  <c r="T177" i="6"/>
  <c r="T83" i="6"/>
  <c r="T69" i="6"/>
  <c r="T181" i="6"/>
  <c r="T174" i="6"/>
  <c r="T170" i="6"/>
  <c r="T81" i="6"/>
  <c r="T75" i="6"/>
  <c r="T65" i="6"/>
  <c r="T49" i="6"/>
  <c r="T38" i="6"/>
  <c r="T27" i="6"/>
  <c r="T278" i="6"/>
  <c r="T171" i="6"/>
  <c r="T87" i="6"/>
  <c r="T232" i="6"/>
  <c r="T218" i="6"/>
  <c r="T264" i="6"/>
  <c r="T250" i="6"/>
  <c r="T236" i="6"/>
  <c r="T230" i="6"/>
  <c r="T71" i="6"/>
  <c r="T70" i="6"/>
  <c r="T255" i="6"/>
  <c r="T202" i="6"/>
  <c r="T143" i="6"/>
  <c r="T300" i="6"/>
  <c r="T227" i="6"/>
  <c r="T210" i="6"/>
  <c r="T98" i="6"/>
  <c r="T59" i="6"/>
  <c r="T72" i="7"/>
  <c r="T149" i="6"/>
  <c r="T117" i="6"/>
  <c r="T82" i="6"/>
  <c r="T80" i="6"/>
  <c r="T35" i="6"/>
  <c r="T32" i="6"/>
  <c r="T241" i="6"/>
  <c r="T215" i="6"/>
  <c r="T267" i="6"/>
  <c r="T222" i="6"/>
  <c r="T163" i="6"/>
  <c r="T155" i="6"/>
  <c r="T103" i="6"/>
  <c r="T40" i="6"/>
  <c r="T37" i="6"/>
  <c r="T13" i="6"/>
  <c r="T2" i="6"/>
  <c r="T273" i="6"/>
  <c r="T105" i="6"/>
  <c r="T85" i="6"/>
  <c r="T10" i="7"/>
  <c r="T97" i="6"/>
  <c r="T295" i="6"/>
  <c r="T208" i="6"/>
  <c r="T138" i="6"/>
  <c r="T119" i="6"/>
  <c r="T107" i="6"/>
  <c r="T94" i="6"/>
  <c r="T88" i="6"/>
  <c r="T15" i="6"/>
  <c r="T246" i="6"/>
  <c r="T188" i="6"/>
  <c r="T136" i="6"/>
  <c r="T125" i="6"/>
  <c r="T11" i="6"/>
  <c r="T165" i="6"/>
  <c r="T52" i="6"/>
  <c r="T47" i="6"/>
  <c r="T42" i="6"/>
  <c r="T23" i="6"/>
  <c r="T67" i="6"/>
  <c r="T53" i="6"/>
  <c r="T20" i="6"/>
  <c r="T111" i="6"/>
  <c r="T48" i="6"/>
  <c r="T43" i="6"/>
  <c r="T16" i="6"/>
  <c r="T7" i="6"/>
  <c r="T213" i="6"/>
  <c r="T46" i="6"/>
  <c r="T9" i="6"/>
  <c r="T6" i="6"/>
  <c r="T76" i="6"/>
  <c r="T18" i="6"/>
  <c r="T66" i="6"/>
  <c r="T63" i="6"/>
  <c r="T61" i="6"/>
  <c r="T54" i="6"/>
  <c r="T3" i="6"/>
  <c r="T296" i="6"/>
  <c r="T262" i="6"/>
  <c r="T142" i="6"/>
  <c r="T175" i="6"/>
  <c r="T8" i="6"/>
  <c r="T198" i="6"/>
  <c r="T153" i="6"/>
  <c r="T21" i="6"/>
  <c r="T86" i="6"/>
  <c r="T169" i="6"/>
  <c r="T58" i="6"/>
  <c r="T92" i="6"/>
  <c r="T231" i="6"/>
  <c r="T132" i="6"/>
  <c r="T36" i="6"/>
  <c r="T240" i="6"/>
  <c r="T147" i="6"/>
  <c r="T144" i="6"/>
  <c r="T141" i="6"/>
  <c r="T51" i="6"/>
  <c r="T41" i="6"/>
  <c r="T29" i="6"/>
  <c r="T302" i="6"/>
  <c r="T161" i="6"/>
  <c r="T93" i="6"/>
  <c r="T25" i="6"/>
  <c r="T109" i="6"/>
  <c r="T214" i="6"/>
  <c r="T60" i="6"/>
  <c r="T22" i="6"/>
  <c r="T30" i="6"/>
  <c r="T10" i="6"/>
  <c r="T128" i="6"/>
  <c r="T290" i="6"/>
  <c r="T159" i="6"/>
  <c r="T12" i="6"/>
  <c r="T99" i="6"/>
  <c r="T24" i="6"/>
  <c r="T204" i="6"/>
  <c r="T116" i="6"/>
  <c r="T26" i="6"/>
  <c r="T91" i="6"/>
  <c r="T137" i="6"/>
  <c r="T14" i="6"/>
  <c r="T4" i="6"/>
  <c r="T17" i="6"/>
  <c r="T31" i="6"/>
  <c r="T5" i="6"/>
  <c r="T139" i="6"/>
  <c r="T194" i="6"/>
  <c r="T74" i="6"/>
  <c r="T19" i="6"/>
  <c r="T150" i="6"/>
  <c r="AD101" i="8"/>
  <c r="AD90" i="8"/>
  <c r="AD99" i="8"/>
  <c r="AD86" i="8"/>
  <c r="AD83" i="8"/>
  <c r="AD72" i="8"/>
  <c r="AD33" i="8"/>
  <c r="AD22" i="8"/>
  <c r="AD97" i="7"/>
  <c r="AD86" i="7"/>
  <c r="AD75" i="7"/>
  <c r="AD64" i="7"/>
  <c r="T3" i="9"/>
  <c r="T4" i="9"/>
  <c r="AD89" i="8"/>
  <c r="T11" i="9"/>
  <c r="AD74" i="8"/>
  <c r="AD100" i="8"/>
  <c r="AD78" i="8"/>
  <c r="T16" i="9"/>
  <c r="T12" i="9"/>
  <c r="AD61" i="8"/>
  <c r="T10" i="9"/>
  <c r="T15" i="9"/>
  <c r="AD96" i="8"/>
  <c r="AD85" i="8"/>
  <c r="AD80" i="8"/>
  <c r="T14" i="9"/>
  <c r="AD65" i="8"/>
  <c r="AD32" i="8"/>
  <c r="T8" i="9"/>
  <c r="AD88" i="8"/>
  <c r="AD69" i="8"/>
  <c r="AD63" i="8"/>
  <c r="AD41" i="8"/>
  <c r="AD35" i="8"/>
  <c r="AD10" i="8"/>
  <c r="AD87" i="7"/>
  <c r="AD68" i="7"/>
  <c r="AD62" i="8"/>
  <c r="AD53" i="8"/>
  <c r="AD11" i="8"/>
  <c r="AD2" i="8"/>
  <c r="AD84" i="7"/>
  <c r="AD48" i="7"/>
  <c r="AD37" i="7"/>
  <c r="AD26" i="7"/>
  <c r="AD56" i="8"/>
  <c r="AD21" i="8"/>
  <c r="AD6" i="8"/>
  <c r="AD66" i="7"/>
  <c r="AD16" i="7"/>
  <c r="AD95" i="8"/>
  <c r="AD55" i="8"/>
  <c r="AD52" i="8"/>
  <c r="AD44" i="8"/>
  <c r="AD28" i="8"/>
  <c r="AD4" i="8"/>
  <c r="AD83" i="7"/>
  <c r="AD76" i="7"/>
  <c r="AD57" i="7"/>
  <c r="AD87" i="8"/>
  <c r="AD50" i="8"/>
  <c r="T13" i="9"/>
  <c r="AD42" i="7"/>
  <c r="AD12" i="7"/>
  <c r="AD311" i="6"/>
  <c r="AD300" i="6"/>
  <c r="AD289" i="6"/>
  <c r="AD278" i="6"/>
  <c r="AD267" i="6"/>
  <c r="AD263" i="6"/>
  <c r="T5" i="9"/>
  <c r="AD76" i="8"/>
  <c r="AD59" i="8"/>
  <c r="AD14" i="8"/>
  <c r="AD74" i="7"/>
  <c r="AD51" i="7"/>
  <c r="AD25" i="7"/>
  <c r="AD13" i="7"/>
  <c r="AD45" i="8"/>
  <c r="AD30" i="8"/>
  <c r="AD79" i="8"/>
  <c r="T9" i="9"/>
  <c r="T6" i="9"/>
  <c r="AD94" i="8"/>
  <c r="AD81" i="8"/>
  <c r="AD66" i="8"/>
  <c r="AD59" i="7"/>
  <c r="AD56" i="7"/>
  <c r="AD50" i="7"/>
  <c r="AD47" i="7"/>
  <c r="AD29" i="7"/>
  <c r="AD5" i="7"/>
  <c r="AD308" i="6"/>
  <c r="AD305" i="6"/>
  <c r="AD84" i="8"/>
  <c r="AD40" i="8"/>
  <c r="AD25" i="8"/>
  <c r="AD16" i="8"/>
  <c r="AD72" i="7"/>
  <c r="AD62" i="7"/>
  <c r="AD53" i="7"/>
  <c r="AD92" i="8"/>
  <c r="AD82" i="8"/>
  <c r="AD54" i="8"/>
  <c r="AD51" i="8"/>
  <c r="AD24" i="8"/>
  <c r="AD18" i="8"/>
  <c r="AD81" i="7"/>
  <c r="AD98" i="8"/>
  <c r="AD71" i="8"/>
  <c r="AD37" i="8"/>
  <c r="AD98" i="7"/>
  <c r="AD38" i="7"/>
  <c r="AD15" i="7"/>
  <c r="AD4" i="7"/>
  <c r="AD290" i="6"/>
  <c r="AD77" i="8"/>
  <c r="AD68" i="8"/>
  <c r="AD39" i="8"/>
  <c r="AD38" i="8"/>
  <c r="AD36" i="8"/>
  <c r="AD67" i="7"/>
  <c r="AD45" i="7"/>
  <c r="AD304" i="6"/>
  <c r="AD296" i="6"/>
  <c r="AD293" i="6"/>
  <c r="AD270" i="6"/>
  <c r="AD94" i="7"/>
  <c r="AD93" i="8"/>
  <c r="AD91" i="8"/>
  <c r="AD64" i="8"/>
  <c r="AD43" i="8"/>
  <c r="AD27" i="8"/>
  <c r="AD24" i="7"/>
  <c r="AD48" i="8"/>
  <c r="AD95" i="7"/>
  <c r="AD63" i="7"/>
  <c r="T7" i="9"/>
  <c r="AD67" i="8"/>
  <c r="AD97" i="8"/>
  <c r="AD5" i="8"/>
  <c r="AD70" i="8"/>
  <c r="AD31" i="8"/>
  <c r="AD82" i="7"/>
  <c r="AD52" i="7"/>
  <c r="AD92" i="7"/>
  <c r="AD47" i="8"/>
  <c r="AD15" i="8"/>
  <c r="AD61" i="7"/>
  <c r="AD93" i="7"/>
  <c r="AD88" i="7"/>
  <c r="AD57" i="8"/>
  <c r="AD26" i="8"/>
  <c r="AD3" i="8"/>
  <c r="AD8" i="8"/>
  <c r="AD49" i="8"/>
  <c r="AD99" i="7"/>
  <c r="AD77" i="7"/>
  <c r="AD73" i="8"/>
  <c r="AD91" i="7"/>
  <c r="AD85" i="7"/>
  <c r="AD73" i="7"/>
  <c r="AD65" i="7"/>
  <c r="AD40" i="7"/>
  <c r="AD58" i="8"/>
  <c r="AD28" i="7"/>
  <c r="AD23" i="7"/>
  <c r="AD75" i="8"/>
  <c r="AD89" i="7"/>
  <c r="AD49" i="7"/>
  <c r="AD19" i="7"/>
  <c r="T2" i="9"/>
  <c r="AD23" i="8"/>
  <c r="AD12" i="8"/>
  <c r="AD7" i="8"/>
  <c r="AD35" i="7"/>
  <c r="AD31" i="7"/>
  <c r="AD17" i="7"/>
  <c r="AD58" i="7"/>
  <c r="AD46" i="7"/>
  <c r="AD27" i="7"/>
  <c r="AD78" i="7"/>
  <c r="AD30" i="7"/>
  <c r="AD295" i="6"/>
  <c r="AD288" i="6"/>
  <c r="AD286" i="6"/>
  <c r="AD282" i="6"/>
  <c r="AD280" i="6"/>
  <c r="AD276" i="6"/>
  <c r="AD274" i="6"/>
  <c r="AD60" i="7"/>
  <c r="AD7" i="7"/>
  <c r="AD310" i="6"/>
  <c r="AD22" i="7"/>
  <c r="AD10" i="7"/>
  <c r="AD272" i="6"/>
  <c r="AD20" i="8"/>
  <c r="AD96" i="7"/>
  <c r="AD90" i="7"/>
  <c r="AD313" i="6"/>
  <c r="AD303" i="6"/>
  <c r="AD292" i="6"/>
  <c r="AD60" i="8"/>
  <c r="AD17" i="8"/>
  <c r="AD80" i="7"/>
  <c r="AD41" i="7"/>
  <c r="AD29" i="8"/>
  <c r="AD69" i="7"/>
  <c r="AD21" i="7"/>
  <c r="AD20" i="7"/>
  <c r="AD306" i="6"/>
  <c r="AD34" i="8"/>
  <c r="AD6" i="7"/>
  <c r="AD36" i="7"/>
  <c r="AD34" i="7"/>
  <c r="AD9" i="7"/>
  <c r="AD46" i="8"/>
  <c r="AD71" i="7"/>
  <c r="AD44" i="7"/>
  <c r="AD8" i="7"/>
  <c r="AD19" i="8"/>
  <c r="AD100" i="7"/>
  <c r="AD54" i="7"/>
  <c r="AD39" i="7"/>
  <c r="AD11" i="7"/>
  <c r="AD287" i="6"/>
  <c r="AD277" i="6"/>
  <c r="AD13" i="8"/>
  <c r="AD275" i="6"/>
  <c r="AD258" i="6"/>
  <c r="AD32" i="7"/>
  <c r="AD247" i="6"/>
  <c r="AD236" i="6"/>
  <c r="AD3" i="7"/>
  <c r="AD254" i="6"/>
  <c r="AD246" i="6"/>
  <c r="AD237" i="6"/>
  <c r="AD220" i="6"/>
  <c r="AD101" i="7"/>
  <c r="AD298" i="6"/>
  <c r="AD219" i="6"/>
  <c r="AD269" i="6"/>
  <c r="AD268" i="6"/>
  <c r="AD255" i="6"/>
  <c r="AD238" i="6"/>
  <c r="AD79" i="7"/>
  <c r="AD302" i="6"/>
  <c r="AD266" i="6"/>
  <c r="AD218" i="6"/>
  <c r="AD33" i="7"/>
  <c r="AD309" i="6"/>
  <c r="AD299" i="6"/>
  <c r="AD273" i="6"/>
  <c r="AD271" i="6"/>
  <c r="AD239" i="6"/>
  <c r="AD18" i="7"/>
  <c r="AD256" i="6"/>
  <c r="AD297" i="6"/>
  <c r="AD284" i="6"/>
  <c r="AD279" i="6"/>
  <c r="AD234" i="6"/>
  <c r="AD221" i="6"/>
  <c r="AD14" i="7"/>
  <c r="AD204" i="6"/>
  <c r="AD193" i="6"/>
  <c r="AD182" i="6"/>
  <c r="AD171" i="6"/>
  <c r="AD160" i="6"/>
  <c r="AD149" i="6"/>
  <c r="AD138" i="6"/>
  <c r="AD127" i="6"/>
  <c r="AD116" i="6"/>
  <c r="AD257" i="6"/>
  <c r="AD251" i="6"/>
  <c r="AD223" i="6"/>
  <c r="AD209" i="6"/>
  <c r="AD198" i="6"/>
  <c r="AD187" i="6"/>
  <c r="AD176" i="6"/>
  <c r="AD165" i="6"/>
  <c r="AD154" i="6"/>
  <c r="AD143" i="6"/>
  <c r="AD132" i="6"/>
  <c r="AD121" i="6"/>
  <c r="AD260" i="6"/>
  <c r="AD259" i="6"/>
  <c r="AD240" i="6"/>
  <c r="AD9" i="8"/>
  <c r="AD312" i="6"/>
  <c r="AD244" i="6"/>
  <c r="AD230" i="6"/>
  <c r="AD225" i="6"/>
  <c r="AD203" i="6"/>
  <c r="AD192" i="6"/>
  <c r="AD181" i="6"/>
  <c r="AD170" i="6"/>
  <c r="AD159" i="6"/>
  <c r="AD148" i="6"/>
  <c r="AD137" i="6"/>
  <c r="AD126" i="6"/>
  <c r="AD115" i="6"/>
  <c r="AD233" i="6"/>
  <c r="AD215" i="6"/>
  <c r="AD253" i="6"/>
  <c r="AD211" i="6"/>
  <c r="AD180" i="6"/>
  <c r="AD166" i="6"/>
  <c r="AD135" i="6"/>
  <c r="AD123" i="6"/>
  <c r="AD104" i="6"/>
  <c r="AD93" i="6"/>
  <c r="AD82" i="6"/>
  <c r="AD71" i="6"/>
  <c r="AD60" i="6"/>
  <c r="AD294" i="6"/>
  <c r="AD281" i="6"/>
  <c r="AD229" i="6"/>
  <c r="AD186" i="6"/>
  <c r="AD172" i="6"/>
  <c r="AD141" i="6"/>
  <c r="AD112" i="6"/>
  <c r="AD291" i="6"/>
  <c r="AD245" i="6"/>
  <c r="AD228" i="6"/>
  <c r="AD178" i="6"/>
  <c r="AD147" i="6"/>
  <c r="AD133" i="6"/>
  <c r="AD109" i="6"/>
  <c r="AD98" i="6"/>
  <c r="AD87" i="6"/>
  <c r="AD76" i="6"/>
  <c r="AD65" i="6"/>
  <c r="AD184" i="6"/>
  <c r="AD153" i="6"/>
  <c r="AD139" i="6"/>
  <c r="AD113" i="6"/>
  <c r="AD55" i="7"/>
  <c r="AD283" i="6"/>
  <c r="AD190" i="6"/>
  <c r="AD145" i="6"/>
  <c r="AD103" i="6"/>
  <c r="AD92" i="6"/>
  <c r="AD81" i="6"/>
  <c r="AD70" i="6"/>
  <c r="AD196" i="6"/>
  <c r="AD151" i="6"/>
  <c r="AD248" i="6"/>
  <c r="AD208" i="6"/>
  <c r="AD194" i="6"/>
  <c r="AD163" i="6"/>
  <c r="AD70" i="7"/>
  <c r="AD232" i="6"/>
  <c r="AD183" i="6"/>
  <c r="AD169" i="6"/>
  <c r="AD122" i="6"/>
  <c r="AD91" i="6"/>
  <c r="AD77" i="6"/>
  <c r="AD48" i="6"/>
  <c r="AD37" i="6"/>
  <c r="AD26" i="6"/>
  <c r="AD226" i="6"/>
  <c r="AD173" i="6"/>
  <c r="AD120" i="6"/>
  <c r="AD83" i="6"/>
  <c r="AD242" i="6"/>
  <c r="AD177" i="6"/>
  <c r="AD119" i="6"/>
  <c r="AD97" i="6"/>
  <c r="AD89" i="6"/>
  <c r="AD73" i="6"/>
  <c r="AD53" i="6"/>
  <c r="AD42" i="6"/>
  <c r="AD31" i="6"/>
  <c r="AD265" i="6"/>
  <c r="AD174" i="6"/>
  <c r="AD167" i="6"/>
  <c r="AD95" i="6"/>
  <c r="AD262" i="6"/>
  <c r="AD164" i="6"/>
  <c r="AD101" i="6"/>
  <c r="AD66" i="6"/>
  <c r="AD47" i="6"/>
  <c r="AD36" i="6"/>
  <c r="AD25" i="6"/>
  <c r="AD285" i="6"/>
  <c r="AD250" i="6"/>
  <c r="AD168" i="6"/>
  <c r="AD161" i="6"/>
  <c r="AD157" i="6"/>
  <c r="AD107" i="6"/>
  <c r="AD2" i="7"/>
  <c r="AD252" i="6"/>
  <c r="AD227" i="6"/>
  <c r="AD158" i="6"/>
  <c r="AD99" i="6"/>
  <c r="AD62" i="6"/>
  <c r="AD61" i="6"/>
  <c r="AD52" i="6"/>
  <c r="AD41" i="6"/>
  <c r="AD30" i="6"/>
  <c r="AD162" i="6"/>
  <c r="AD155" i="6"/>
  <c r="AD105" i="6"/>
  <c r="AD235" i="6"/>
  <c r="AD224" i="6"/>
  <c r="AD185" i="6"/>
  <c r="AD84" i="6"/>
  <c r="AD58" i="6"/>
  <c r="AD241" i="6"/>
  <c r="AD195" i="6"/>
  <c r="AD152" i="6"/>
  <c r="AD205" i="6"/>
  <c r="AD114" i="6"/>
  <c r="AD55" i="6"/>
  <c r="AD222" i="6"/>
  <c r="AD217" i="6"/>
  <c r="AD129" i="6"/>
  <c r="AD34" i="6"/>
  <c r="AD22" i="6"/>
  <c r="AD307" i="6"/>
  <c r="AD213" i="6"/>
  <c r="AD124" i="6"/>
  <c r="AD85" i="6"/>
  <c r="AD188" i="6"/>
  <c r="AD39" i="6"/>
  <c r="AD16" i="6"/>
  <c r="AD5" i="6"/>
  <c r="AD249" i="6"/>
  <c r="AD243" i="6"/>
  <c r="AD206" i="6"/>
  <c r="AD130" i="6"/>
  <c r="AD106" i="6"/>
  <c r="AD42" i="8"/>
  <c r="AD125" i="6"/>
  <c r="AD75" i="6"/>
  <c r="AD57" i="6"/>
  <c r="AD3" i="6"/>
  <c r="AD179" i="6"/>
  <c r="AD142" i="6"/>
  <c r="AD59" i="6"/>
  <c r="AD56" i="6"/>
  <c r="AD7" i="6"/>
  <c r="AD4" i="6"/>
  <c r="AD140" i="6"/>
  <c r="AD131" i="6"/>
  <c r="AD67" i="6"/>
  <c r="AD43" i="6"/>
  <c r="AD38" i="6"/>
  <c r="AD33" i="6"/>
  <c r="AD28" i="6"/>
  <c r="AD12" i="6"/>
  <c r="AD8" i="6"/>
  <c r="AD212" i="6"/>
  <c r="AD210" i="6"/>
  <c r="AD111" i="6"/>
  <c r="AD29" i="6"/>
  <c r="AD9" i="6"/>
  <c r="AD200" i="6"/>
  <c r="AD144" i="6"/>
  <c r="AD118" i="6"/>
  <c r="AD79" i="6"/>
  <c r="AD72" i="6"/>
  <c r="AD17" i="6"/>
  <c r="AD50" i="6"/>
  <c r="AD15" i="6"/>
  <c r="AD202" i="6"/>
  <c r="AD54" i="6"/>
  <c r="AD10" i="6"/>
  <c r="AD216" i="6"/>
  <c r="AD64" i="6"/>
  <c r="AD32" i="6"/>
  <c r="AD214" i="6"/>
  <c r="AD191" i="6"/>
  <c r="AD261" i="6"/>
  <c r="AD231" i="6"/>
  <c r="AD189" i="6"/>
  <c r="AD90" i="6"/>
  <c r="AD80" i="6"/>
  <c r="AD51" i="6"/>
  <c r="AD18" i="6"/>
  <c r="AD13" i="6"/>
  <c r="AD199" i="6"/>
  <c r="AD96" i="6"/>
  <c r="AD86" i="6"/>
  <c r="AD69" i="6"/>
  <c r="AD24" i="6"/>
  <c r="AD20" i="6"/>
  <c r="AD110" i="6"/>
  <c r="AD100" i="6"/>
  <c r="AD108" i="6"/>
  <c r="AD102" i="6"/>
  <c r="AD74" i="6"/>
  <c r="AD40" i="6"/>
  <c r="AD94" i="6"/>
  <c r="AD175" i="6"/>
  <c r="AD44" i="6"/>
  <c r="AD2" i="6"/>
  <c r="AD150" i="6"/>
  <c r="AD88" i="6"/>
  <c r="AD78" i="6"/>
  <c r="AD49" i="6"/>
  <c r="AD136" i="6"/>
  <c r="AD21" i="6"/>
  <c r="AD46" i="6"/>
  <c r="AD197" i="6"/>
  <c r="AD301" i="6"/>
  <c r="AD134" i="6"/>
  <c r="AD23" i="6"/>
  <c r="AD128" i="6"/>
  <c r="AD117" i="6"/>
  <c r="AD11" i="6"/>
  <c r="AD27" i="6"/>
  <c r="AD45" i="6"/>
  <c r="AD35" i="6"/>
  <c r="AD14" i="6"/>
  <c r="AD146" i="6"/>
  <c r="AD264" i="6"/>
  <c r="AD68" i="6"/>
  <c r="AD43" i="7"/>
  <c r="AD207" i="6"/>
  <c r="AD6" i="6"/>
  <c r="AD201" i="6"/>
  <c r="AD19" i="6"/>
  <c r="AD156" i="6"/>
  <c r="AD63" i="6"/>
  <c r="Q29" i="8"/>
  <c r="Q26" i="8"/>
  <c r="Q28" i="7"/>
  <c r="Q27" i="7"/>
  <c r="Q28" i="8"/>
  <c r="Q29" i="7"/>
  <c r="Q26" i="7"/>
  <c r="Q27" i="8"/>
  <c r="Q85" i="6"/>
  <c r="Q79" i="6"/>
  <c r="Q84" i="6"/>
  <c r="Q89" i="6"/>
  <c r="Q78" i="6"/>
  <c r="Q86" i="6"/>
  <c r="Q74" i="6"/>
  <c r="Q77" i="6"/>
  <c r="Q83" i="6"/>
  <c r="Q81" i="6"/>
  <c r="Q82" i="6"/>
  <c r="Q80" i="6"/>
  <c r="Q75" i="6"/>
  <c r="Q88" i="6"/>
  <c r="Q76" i="6"/>
  <c r="Q87" i="6"/>
  <c r="L38" i="8"/>
  <c r="L41" i="8"/>
  <c r="L39" i="7"/>
  <c r="L39" i="8"/>
  <c r="L41" i="7"/>
  <c r="L38" i="7"/>
  <c r="L137" i="6"/>
  <c r="L126" i="6"/>
  <c r="L131" i="6"/>
  <c r="L136" i="6"/>
  <c r="L125" i="6"/>
  <c r="L128" i="6"/>
  <c r="L134" i="6"/>
  <c r="L132" i="6"/>
  <c r="L122" i="6"/>
  <c r="L129" i="6"/>
  <c r="L133" i="6"/>
  <c r="L40" i="7"/>
  <c r="L130" i="6"/>
  <c r="L127" i="6"/>
  <c r="L124" i="6"/>
  <c r="L123" i="6"/>
  <c r="L40" i="8"/>
  <c r="L135" i="6"/>
  <c r="S224" i="6"/>
  <c r="S226" i="6"/>
  <c r="S225" i="6"/>
  <c r="S223" i="6"/>
  <c r="S232" i="6"/>
  <c r="S229" i="6"/>
  <c r="S219" i="6"/>
  <c r="S221" i="6"/>
  <c r="S222" i="6"/>
  <c r="S228" i="6"/>
  <c r="S227" i="6"/>
  <c r="S220" i="6"/>
  <c r="S233" i="6"/>
  <c r="S230" i="6"/>
  <c r="S218" i="6"/>
  <c r="S231" i="6"/>
  <c r="W5" i="9"/>
  <c r="AG92" i="8"/>
  <c r="AG80" i="8"/>
  <c r="AG69" i="8"/>
  <c r="AG58" i="8"/>
  <c r="AG48" i="8"/>
  <c r="AG37" i="8"/>
  <c r="AG98" i="8"/>
  <c r="AG95" i="8"/>
  <c r="AG65" i="8"/>
  <c r="AG51" i="8"/>
  <c r="AG39" i="8"/>
  <c r="AG2" i="8"/>
  <c r="W8" i="9"/>
  <c r="AG94" i="8"/>
  <c r="W6" i="9"/>
  <c r="AG90" i="8"/>
  <c r="W12" i="9"/>
  <c r="AG75" i="8"/>
  <c r="W9" i="9"/>
  <c r="W2" i="9"/>
  <c r="AG89" i="8"/>
  <c r="AG42" i="8"/>
  <c r="AG41" i="8"/>
  <c r="AG40" i="8"/>
  <c r="AG36" i="8"/>
  <c r="AG24" i="8"/>
  <c r="AG86" i="8"/>
  <c r="AG72" i="8"/>
  <c r="AG68" i="8"/>
  <c r="AG66" i="8"/>
  <c r="AG64" i="8"/>
  <c r="AG62" i="8"/>
  <c r="AG45" i="8"/>
  <c r="AG26" i="8"/>
  <c r="AG25" i="8"/>
  <c r="AG33" i="8"/>
  <c r="W7" i="9"/>
  <c r="AG100" i="8"/>
  <c r="AG99" i="8"/>
  <c r="AG71" i="8"/>
  <c r="AG85" i="8"/>
  <c r="AG83" i="8"/>
  <c r="AG82" i="8"/>
  <c r="AG56" i="8"/>
  <c r="AG31" i="8"/>
  <c r="AG6" i="8"/>
  <c r="AG95" i="7"/>
  <c r="AG61" i="7"/>
  <c r="AG43" i="7"/>
  <c r="AG32" i="7"/>
  <c r="W3" i="9"/>
  <c r="AG93" i="8"/>
  <c r="AG7" i="8"/>
  <c r="AG92" i="7"/>
  <c r="AG77" i="7"/>
  <c r="AG58" i="7"/>
  <c r="W11" i="9"/>
  <c r="AG84" i="8"/>
  <c r="AG97" i="7"/>
  <c r="AG71" i="7"/>
  <c r="AG54" i="7"/>
  <c r="AG34" i="8"/>
  <c r="AG100" i="7"/>
  <c r="AG81" i="7"/>
  <c r="AG47" i="8"/>
  <c r="AG72" i="7"/>
  <c r="AG65" i="7"/>
  <c r="AG56" i="7"/>
  <c r="AG14" i="7"/>
  <c r="AG77" i="8"/>
  <c r="AG49" i="8"/>
  <c r="AG38" i="8"/>
  <c r="AG10" i="8"/>
  <c r="AG83" i="7"/>
  <c r="AG45" i="7"/>
  <c r="AG36" i="7"/>
  <c r="AG313" i="6"/>
  <c r="AG302" i="6"/>
  <c r="AG291" i="6"/>
  <c r="AG280" i="6"/>
  <c r="AG269" i="6"/>
  <c r="AG261" i="6"/>
  <c r="AG87" i="8"/>
  <c r="AG16" i="8"/>
  <c r="AG82" i="7"/>
  <c r="AG60" i="8"/>
  <c r="AG9" i="8"/>
  <c r="AG4" i="8"/>
  <c r="AG90" i="7"/>
  <c r="AG86" i="7"/>
  <c r="AG33" i="7"/>
  <c r="AG26" i="7"/>
  <c r="AG12" i="8"/>
  <c r="AG74" i="7"/>
  <c r="AG79" i="8"/>
  <c r="AG74" i="8"/>
  <c r="AG52" i="8"/>
  <c r="AG96" i="7"/>
  <c r="AG29" i="7"/>
  <c r="AG24" i="7"/>
  <c r="AG7" i="7"/>
  <c r="AG309" i="6"/>
  <c r="AG299" i="6"/>
  <c r="AG276" i="6"/>
  <c r="AG273" i="6"/>
  <c r="AG57" i="8"/>
  <c r="AG53" i="8"/>
  <c r="AG22" i="8"/>
  <c r="AG21" i="8"/>
  <c r="AG15" i="8"/>
  <c r="AG3" i="8"/>
  <c r="AG12" i="7"/>
  <c r="AG279" i="6"/>
  <c r="AG256" i="6"/>
  <c r="AG54" i="8"/>
  <c r="AG43" i="8"/>
  <c r="W14" i="9"/>
  <c r="AG28" i="8"/>
  <c r="AG62" i="7"/>
  <c r="AG67" i="8"/>
  <c r="AG29" i="8"/>
  <c r="W16" i="9"/>
  <c r="AG97" i="8"/>
  <c r="AG44" i="8"/>
  <c r="AG32" i="8"/>
  <c r="AG99" i="7"/>
  <c r="AG79" i="7"/>
  <c r="AG59" i="7"/>
  <c r="W4" i="9"/>
  <c r="AG73" i="7"/>
  <c r="W13" i="9"/>
  <c r="AG91" i="8"/>
  <c r="AG50" i="8"/>
  <c r="W10" i="9"/>
  <c r="AG96" i="8"/>
  <c r="AG59" i="8"/>
  <c r="AG88" i="7"/>
  <c r="AG44" i="7"/>
  <c r="W15" i="9"/>
  <c r="AG73" i="8"/>
  <c r="AG94" i="7"/>
  <c r="AG91" i="7"/>
  <c r="AG88" i="8"/>
  <c r="AG85" i="7"/>
  <c r="AG76" i="8"/>
  <c r="AG70" i="8"/>
  <c r="AG13" i="8"/>
  <c r="AG55" i="7"/>
  <c r="AG51" i="7"/>
  <c r="AG61" i="8"/>
  <c r="AG89" i="7"/>
  <c r="AG57" i="7"/>
  <c r="AG49" i="7"/>
  <c r="AG306" i="6"/>
  <c r="AG23" i="8"/>
  <c r="AG81" i="8"/>
  <c r="AG30" i="8"/>
  <c r="AG52" i="7"/>
  <c r="AG50" i="7"/>
  <c r="AG47" i="7"/>
  <c r="AG35" i="7"/>
  <c r="AG31" i="7"/>
  <c r="AG17" i="7"/>
  <c r="AG5" i="8"/>
  <c r="AG93" i="7"/>
  <c r="AG46" i="7"/>
  <c r="AG9" i="7"/>
  <c r="AG297" i="6"/>
  <c r="AG69" i="7"/>
  <c r="AG39" i="7"/>
  <c r="AG27" i="7"/>
  <c r="AG14" i="8"/>
  <c r="AG87" i="7"/>
  <c r="AG75" i="7"/>
  <c r="AG66" i="7"/>
  <c r="AG53" i="7"/>
  <c r="AG34" i="7"/>
  <c r="AG30" i="7"/>
  <c r="AG11" i="8"/>
  <c r="AG76" i="7"/>
  <c r="AG60" i="7"/>
  <c r="AG16" i="7"/>
  <c r="AG303" i="6"/>
  <c r="AG292" i="6"/>
  <c r="AG41" i="7"/>
  <c r="AG23" i="7"/>
  <c r="AG4" i="7"/>
  <c r="AG101" i="8"/>
  <c r="AG20" i="8"/>
  <c r="AG17" i="8"/>
  <c r="AG8" i="8"/>
  <c r="AG40" i="7"/>
  <c r="AG300" i="6"/>
  <c r="AG80" i="7"/>
  <c r="AG20" i="7"/>
  <c r="AG13" i="7"/>
  <c r="AG78" i="8"/>
  <c r="AG42" i="7"/>
  <c r="AG21" i="7"/>
  <c r="AG67" i="7"/>
  <c r="AG63" i="7"/>
  <c r="AG15" i="7"/>
  <c r="AG312" i="6"/>
  <c r="AG25" i="7"/>
  <c r="AG48" i="7"/>
  <c r="AG28" i="7"/>
  <c r="AG8" i="7"/>
  <c r="AG19" i="8"/>
  <c r="AG84" i="7"/>
  <c r="AG68" i="7"/>
  <c r="AG11" i="7"/>
  <c r="AG10" i="7"/>
  <c r="AG296" i="6"/>
  <c r="AG287" i="6"/>
  <c r="AG284" i="6"/>
  <c r="AG270" i="6"/>
  <c r="AG37" i="7"/>
  <c r="AG22" i="7"/>
  <c r="AG278" i="6"/>
  <c r="AG275" i="6"/>
  <c r="AG27" i="8"/>
  <c r="AG6" i="7"/>
  <c r="AG286" i="6"/>
  <c r="AG268" i="6"/>
  <c r="AG248" i="6"/>
  <c r="AG237" i="6"/>
  <c r="AG226" i="6"/>
  <c r="AG215" i="6"/>
  <c r="AG46" i="8"/>
  <c r="AG55" i="8"/>
  <c r="AG35" i="8"/>
  <c r="AG64" i="7"/>
  <c r="AG247" i="6"/>
  <c r="AG236" i="6"/>
  <c r="AG305" i="6"/>
  <c r="AG282" i="6"/>
  <c r="AG101" i="7"/>
  <c r="AG298" i="6"/>
  <c r="AG263" i="6"/>
  <c r="AG219" i="6"/>
  <c r="AG267" i="6"/>
  <c r="AG255" i="6"/>
  <c r="AG238" i="6"/>
  <c r="AG289" i="6"/>
  <c r="AG288" i="6"/>
  <c r="AG258" i="6"/>
  <c r="AG218" i="6"/>
  <c r="AG304" i="6"/>
  <c r="AG295" i="6"/>
  <c r="AG271" i="6"/>
  <c r="AG266" i="6"/>
  <c r="AG239" i="6"/>
  <c r="AG290" i="6"/>
  <c r="AG272" i="6"/>
  <c r="AG265" i="6"/>
  <c r="AG260" i="6"/>
  <c r="AG240" i="6"/>
  <c r="AG311" i="6"/>
  <c r="AG274" i="6"/>
  <c r="AG216" i="6"/>
  <c r="AG307" i="6"/>
  <c r="AG251" i="6"/>
  <c r="AG223" i="6"/>
  <c r="AG209" i="6"/>
  <c r="AG198" i="6"/>
  <c r="AG187" i="6"/>
  <c r="AG176" i="6"/>
  <c r="AG165" i="6"/>
  <c r="AG154" i="6"/>
  <c r="AG143" i="6"/>
  <c r="AG132" i="6"/>
  <c r="AG121" i="6"/>
  <c r="AG259" i="6"/>
  <c r="AG257" i="6"/>
  <c r="AG244" i="6"/>
  <c r="AG230" i="6"/>
  <c r="AG225" i="6"/>
  <c r="AG203" i="6"/>
  <c r="AG192" i="6"/>
  <c r="AG181" i="6"/>
  <c r="AG170" i="6"/>
  <c r="AG159" i="6"/>
  <c r="AG148" i="6"/>
  <c r="AG137" i="6"/>
  <c r="AG126" i="6"/>
  <c r="AG115" i="6"/>
  <c r="AG277" i="6"/>
  <c r="AG233" i="6"/>
  <c r="AG3" i="7"/>
  <c r="AG208" i="6"/>
  <c r="AG197" i="6"/>
  <c r="AG186" i="6"/>
  <c r="AG175" i="6"/>
  <c r="AG164" i="6"/>
  <c r="AG153" i="6"/>
  <c r="AG142" i="6"/>
  <c r="AG131" i="6"/>
  <c r="AG120" i="6"/>
  <c r="AG301" i="6"/>
  <c r="AG227" i="6"/>
  <c r="AG214" i="6"/>
  <c r="AG63" i="8"/>
  <c r="AG262" i="6"/>
  <c r="AG250" i="6"/>
  <c r="AG202" i="6"/>
  <c r="AG191" i="6"/>
  <c r="AG180" i="6"/>
  <c r="AG169" i="6"/>
  <c r="AG158" i="6"/>
  <c r="AG147" i="6"/>
  <c r="AG136" i="6"/>
  <c r="AG125" i="6"/>
  <c r="AG281" i="6"/>
  <c r="AG246" i="6"/>
  <c r="AG184" i="6"/>
  <c r="AG139" i="6"/>
  <c r="AG113" i="6"/>
  <c r="AG308" i="6"/>
  <c r="AG190" i="6"/>
  <c r="AG145" i="6"/>
  <c r="AG116" i="6"/>
  <c r="AG103" i="6"/>
  <c r="AG92" i="6"/>
  <c r="AG81" i="6"/>
  <c r="AG283" i="6"/>
  <c r="AG254" i="6"/>
  <c r="AG196" i="6"/>
  <c r="AG182" i="6"/>
  <c r="AG151" i="6"/>
  <c r="AG188" i="6"/>
  <c r="AG157" i="6"/>
  <c r="AG119" i="6"/>
  <c r="AG108" i="6"/>
  <c r="AG97" i="6"/>
  <c r="AG86" i="6"/>
  <c r="AG75" i="6"/>
  <c r="AG64" i="6"/>
  <c r="AG78" i="7"/>
  <c r="AG232" i="6"/>
  <c r="AG231" i="6"/>
  <c r="AG194" i="6"/>
  <c r="AG163" i="6"/>
  <c r="AG149" i="6"/>
  <c r="AG38" i="7"/>
  <c r="AG200" i="6"/>
  <c r="AG155" i="6"/>
  <c r="AG124" i="6"/>
  <c r="AG114" i="6"/>
  <c r="AG102" i="6"/>
  <c r="AG91" i="6"/>
  <c r="AG80" i="6"/>
  <c r="AG69" i="6"/>
  <c r="AG18" i="8"/>
  <c r="AG285" i="6"/>
  <c r="AG212" i="6"/>
  <c r="AG167" i="6"/>
  <c r="AG107" i="6"/>
  <c r="AG96" i="6"/>
  <c r="AG85" i="6"/>
  <c r="AG74" i="6"/>
  <c r="AG242" i="6"/>
  <c r="AG174" i="6"/>
  <c r="AG95" i="6"/>
  <c r="AG294" i="6"/>
  <c r="AG178" i="6"/>
  <c r="AG171" i="6"/>
  <c r="AG101" i="6"/>
  <c r="AG87" i="6"/>
  <c r="AG66" i="6"/>
  <c r="AG47" i="6"/>
  <c r="AG36" i="6"/>
  <c r="AG25" i="6"/>
  <c r="AG310" i="6"/>
  <c r="AG168" i="6"/>
  <c r="AG93" i="6"/>
  <c r="AG70" i="6"/>
  <c r="AG172" i="6"/>
  <c r="AG161" i="6"/>
  <c r="AG99" i="6"/>
  <c r="AG62" i="6"/>
  <c r="AG61" i="6"/>
  <c r="AG52" i="6"/>
  <c r="AG41" i="6"/>
  <c r="AG30" i="6"/>
  <c r="AG2" i="7"/>
  <c r="AG293" i="6"/>
  <c r="AG252" i="6"/>
  <c r="AG162" i="6"/>
  <c r="AG112" i="6"/>
  <c r="AG105" i="6"/>
  <c r="AG235" i="6"/>
  <c r="AG224" i="6"/>
  <c r="AG166" i="6"/>
  <c r="AG152" i="6"/>
  <c r="AG118" i="6"/>
  <c r="AG117" i="6"/>
  <c r="AG67" i="6"/>
  <c r="AG60" i="6"/>
  <c r="AG46" i="6"/>
  <c r="AG35" i="6"/>
  <c r="AG24" i="6"/>
  <c r="AG19" i="7"/>
  <c r="AG156" i="6"/>
  <c r="AG59" i="6"/>
  <c r="AG160" i="6"/>
  <c r="AG146" i="6"/>
  <c r="AG109" i="6"/>
  <c r="AG78" i="6"/>
  <c r="AG63" i="6"/>
  <c r="AG51" i="6"/>
  <c r="AG40" i="6"/>
  <c r="AG29" i="6"/>
  <c r="AG18" i="7"/>
  <c r="AG264" i="6"/>
  <c r="AG221" i="6"/>
  <c r="AG222" i="6"/>
  <c r="AG129" i="6"/>
  <c r="AG123" i="6"/>
  <c r="AG37" i="6"/>
  <c r="AG34" i="6"/>
  <c r="AG22" i="6"/>
  <c r="AG11" i="6"/>
  <c r="AG213" i="6"/>
  <c r="AG217" i="6"/>
  <c r="AG177" i="6"/>
  <c r="AG135" i="6"/>
  <c r="AG42" i="6"/>
  <c r="AG39" i="6"/>
  <c r="AG16" i="6"/>
  <c r="AG5" i="6"/>
  <c r="AG138" i="6"/>
  <c r="AG106" i="6"/>
  <c r="AG104" i="6"/>
  <c r="AG249" i="6"/>
  <c r="AG243" i="6"/>
  <c r="AG206" i="6"/>
  <c r="AG183" i="6"/>
  <c r="AG141" i="6"/>
  <c r="AG130" i="6"/>
  <c r="AG90" i="6"/>
  <c r="AG88" i="6"/>
  <c r="AG44" i="6"/>
  <c r="AG21" i="6"/>
  <c r="AG10" i="6"/>
  <c r="AG193" i="6"/>
  <c r="AG144" i="6"/>
  <c r="AG57" i="6"/>
  <c r="AG201" i="6"/>
  <c r="AG49" i="6"/>
  <c r="AG26" i="6"/>
  <c r="AG15" i="6"/>
  <c r="AG4" i="6"/>
  <c r="AG50" i="6"/>
  <c r="AG45" i="6"/>
  <c r="AG234" i="6"/>
  <c r="AG53" i="6"/>
  <c r="AG48" i="6"/>
  <c r="AG43" i="6"/>
  <c r="AG38" i="6"/>
  <c r="AG33" i="6"/>
  <c r="AG28" i="6"/>
  <c r="AG12" i="6"/>
  <c r="AG8" i="6"/>
  <c r="AG98" i="6"/>
  <c r="AG79" i="6"/>
  <c r="AG76" i="6"/>
  <c r="AG72" i="6"/>
  <c r="AG31" i="6"/>
  <c r="AG5" i="7"/>
  <c r="AG133" i="6"/>
  <c r="AG17" i="6"/>
  <c r="AG89" i="6"/>
  <c r="AG68" i="6"/>
  <c r="AG32" i="6"/>
  <c r="AG27" i="6"/>
  <c r="AG229" i="6"/>
  <c r="AG207" i="6"/>
  <c r="AG205" i="6"/>
  <c r="AG13" i="6"/>
  <c r="AG173" i="6"/>
  <c r="AG189" i="6"/>
  <c r="AG71" i="6"/>
  <c r="AG18" i="6"/>
  <c r="AG199" i="6"/>
  <c r="AG20" i="6"/>
  <c r="AG58" i="6"/>
  <c r="AG211" i="6"/>
  <c r="AG23" i="6"/>
  <c r="AG14" i="6"/>
  <c r="AG204" i="6"/>
  <c r="AG185" i="6"/>
  <c r="AG179" i="6"/>
  <c r="AG2" i="6"/>
  <c r="AG195" i="6"/>
  <c r="AG150" i="6"/>
  <c r="AG94" i="6"/>
  <c r="AG84" i="6"/>
  <c r="AG128" i="6"/>
  <c r="AG134" i="6"/>
  <c r="AG110" i="6"/>
  <c r="AG100" i="6"/>
  <c r="AG55" i="6"/>
  <c r="AG253" i="6"/>
  <c r="AG241" i="6"/>
  <c r="AG220" i="6"/>
  <c r="AG82" i="6"/>
  <c r="AG9" i="6"/>
  <c r="AG65" i="6"/>
  <c r="AG56" i="6"/>
  <c r="AG77" i="6"/>
  <c r="AG73" i="6"/>
  <c r="AG122" i="6"/>
  <c r="AG3" i="6"/>
  <c r="AG98" i="7"/>
  <c r="AG54" i="6"/>
  <c r="AG140" i="6"/>
  <c r="AG228" i="6"/>
  <c r="AG19" i="6"/>
  <c r="AG111" i="6"/>
  <c r="AG83" i="6"/>
  <c r="AG70" i="7"/>
  <c r="AG210" i="6"/>
  <c r="AG6" i="6"/>
  <c r="AG127" i="6"/>
  <c r="AG245" i="6"/>
  <c r="AG7" i="6"/>
  <c r="L23" i="8"/>
  <c r="L25" i="7"/>
  <c r="L22" i="8"/>
  <c r="L25" i="8"/>
  <c r="L24" i="8"/>
  <c r="L22" i="7"/>
  <c r="L24" i="7"/>
  <c r="L23" i="7"/>
  <c r="L70" i="6"/>
  <c r="L59" i="6"/>
  <c r="L64" i="6"/>
  <c r="L69" i="6"/>
  <c r="L67" i="6"/>
  <c r="L62" i="6"/>
  <c r="L61" i="6"/>
  <c r="L63" i="6"/>
  <c r="L71" i="6"/>
  <c r="L60" i="6"/>
  <c r="L68" i="6"/>
  <c r="L58" i="6"/>
  <c r="L73" i="6"/>
  <c r="L72" i="6"/>
  <c r="L65" i="6"/>
  <c r="L66" i="6"/>
  <c r="AH91" i="8"/>
  <c r="X13" i="9"/>
  <c r="X10" i="9"/>
  <c r="AH101" i="8"/>
  <c r="AH32" i="8"/>
  <c r="AH21" i="8"/>
  <c r="AH98" i="7"/>
  <c r="AH87" i="7"/>
  <c r="AH76" i="7"/>
  <c r="AH65" i="7"/>
  <c r="X14" i="9"/>
  <c r="AH87" i="8"/>
  <c r="X15" i="9"/>
  <c r="X2" i="9"/>
  <c r="AH88" i="8"/>
  <c r="AH86" i="8"/>
  <c r="AH80" i="8"/>
  <c r="AH83" i="8"/>
  <c r="AH55" i="8"/>
  <c r="AH75" i="8"/>
  <c r="AH73" i="8"/>
  <c r="AH47" i="8"/>
  <c r="AH46" i="8"/>
  <c r="AH45" i="8"/>
  <c r="AH44" i="8"/>
  <c r="AH43" i="8"/>
  <c r="AH77" i="8"/>
  <c r="AH60" i="8"/>
  <c r="AH58" i="8"/>
  <c r="AH56" i="8"/>
  <c r="AH54" i="8"/>
  <c r="AH31" i="8"/>
  <c r="AH30" i="8"/>
  <c r="AH29" i="8"/>
  <c r="AH28" i="8"/>
  <c r="AH27" i="8"/>
  <c r="AH20" i="8"/>
  <c r="AH90" i="8"/>
  <c r="AH79" i="8"/>
  <c r="AH67" i="8"/>
  <c r="AH49" i="8"/>
  <c r="AH38" i="8"/>
  <c r="AH84" i="8"/>
  <c r="AH81" i="8"/>
  <c r="AH69" i="8"/>
  <c r="AH59" i="8"/>
  <c r="AH50" i="8"/>
  <c r="AH99" i="7"/>
  <c r="AH80" i="7"/>
  <c r="X6" i="9"/>
  <c r="X4" i="9"/>
  <c r="AH97" i="8"/>
  <c r="AH92" i="8"/>
  <c r="AH65" i="8"/>
  <c r="AH96" i="7"/>
  <c r="AH62" i="7"/>
  <c r="AH47" i="7"/>
  <c r="AH36" i="7"/>
  <c r="AH25" i="7"/>
  <c r="AH71" i="8"/>
  <c r="AH66" i="8"/>
  <c r="AH9" i="8"/>
  <c r="AH90" i="7"/>
  <c r="AH15" i="7"/>
  <c r="AH70" i="8"/>
  <c r="AH7" i="8"/>
  <c r="AH93" i="7"/>
  <c r="AH74" i="7"/>
  <c r="AH98" i="8"/>
  <c r="AH82" i="8"/>
  <c r="AH61" i="8"/>
  <c r="AH4" i="8"/>
  <c r="AH95" i="7"/>
  <c r="AH88" i="7"/>
  <c r="AH43" i="7"/>
  <c r="AH34" i="7"/>
  <c r="AH7" i="7"/>
  <c r="AH312" i="6"/>
  <c r="AH301" i="6"/>
  <c r="AH290" i="6"/>
  <c r="AH279" i="6"/>
  <c r="AH268" i="6"/>
  <c r="AH262" i="6"/>
  <c r="AH94" i="8"/>
  <c r="AH89" i="8"/>
  <c r="AH12" i="8"/>
  <c r="AH52" i="7"/>
  <c r="AH23" i="7"/>
  <c r="AH97" i="7"/>
  <c r="AH93" i="8"/>
  <c r="AH62" i="8"/>
  <c r="AH35" i="8"/>
  <c r="AH24" i="8"/>
  <c r="AH11" i="8"/>
  <c r="AH8" i="8"/>
  <c r="AH5" i="8"/>
  <c r="AH86" i="7"/>
  <c r="AH33" i="7"/>
  <c r="AH26" i="7"/>
  <c r="AH18" i="7"/>
  <c r="AH9" i="7"/>
  <c r="X3" i="9"/>
  <c r="AH76" i="8"/>
  <c r="AH53" i="8"/>
  <c r="AH33" i="8"/>
  <c r="AH94" i="7"/>
  <c r="AH75" i="7"/>
  <c r="AH44" i="7"/>
  <c r="AH37" i="7"/>
  <c r="X16" i="9"/>
  <c r="X11" i="9"/>
  <c r="AH100" i="8"/>
  <c r="AH95" i="8"/>
  <c r="AH37" i="8"/>
  <c r="AH101" i="7"/>
  <c r="AH57" i="8"/>
  <c r="AH39" i="8"/>
  <c r="AH36" i="8"/>
  <c r="AH34" i="8"/>
  <c r="AH22" i="8"/>
  <c r="AH16" i="8"/>
  <c r="AH15" i="8"/>
  <c r="AH3" i="8"/>
  <c r="AH83" i="7"/>
  <c r="AH12" i="7"/>
  <c r="AH96" i="8"/>
  <c r="AH27" i="7"/>
  <c r="AH2" i="7"/>
  <c r="AH302" i="6"/>
  <c r="AH282" i="6"/>
  <c r="AH260" i="6"/>
  <c r="AH259" i="6"/>
  <c r="AH258" i="6"/>
  <c r="AH257" i="6"/>
  <c r="X12" i="9"/>
  <c r="AH72" i="8"/>
  <c r="AH74" i="8"/>
  <c r="AH61" i="7"/>
  <c r="AH22" i="7"/>
  <c r="X7" i="9"/>
  <c r="X5" i="9"/>
  <c r="AH60" i="7"/>
  <c r="AH40" i="7"/>
  <c r="X9" i="9"/>
  <c r="AH99" i="8"/>
  <c r="AH6" i="8"/>
  <c r="AH100" i="7"/>
  <c r="AH85" i="7"/>
  <c r="AH84" i="7"/>
  <c r="AH49" i="7"/>
  <c r="AH85" i="8"/>
  <c r="AH41" i="7"/>
  <c r="AH38" i="7"/>
  <c r="AH42" i="8"/>
  <c r="AH72" i="7"/>
  <c r="AH67" i="7"/>
  <c r="AH51" i="8"/>
  <c r="AH13" i="8"/>
  <c r="AH73" i="7"/>
  <c r="AH19" i="8"/>
  <c r="AH68" i="7"/>
  <c r="AH54" i="7"/>
  <c r="AH82" i="7"/>
  <c r="AH78" i="7"/>
  <c r="AH64" i="8"/>
  <c r="AH23" i="8"/>
  <c r="AH89" i="7"/>
  <c r="AH5" i="7"/>
  <c r="AH77" i="7"/>
  <c r="AH50" i="7"/>
  <c r="AH35" i="7"/>
  <c r="AH31" i="7"/>
  <c r="AH10" i="8"/>
  <c r="AH51" i="7"/>
  <c r="AH46" i="7"/>
  <c r="AH69" i="7"/>
  <c r="AH39" i="7"/>
  <c r="AH91" i="7"/>
  <c r="AH58" i="7"/>
  <c r="X8" i="9"/>
  <c r="AH41" i="8"/>
  <c r="AH25" i="8"/>
  <c r="AH45" i="7"/>
  <c r="AH29" i="7"/>
  <c r="AH4" i="7"/>
  <c r="AH17" i="8"/>
  <c r="AH313" i="6"/>
  <c r="AH300" i="6"/>
  <c r="AH14" i="8"/>
  <c r="AH20" i="7"/>
  <c r="AH13" i="7"/>
  <c r="AH297" i="6"/>
  <c r="AH78" i="8"/>
  <c r="AH42" i="7"/>
  <c r="AH21" i="7"/>
  <c r="AH306" i="6"/>
  <c r="AH40" i="8"/>
  <c r="AH63" i="7"/>
  <c r="AH56" i="7"/>
  <c r="AH32" i="7"/>
  <c r="AH26" i="8"/>
  <c r="AH71" i="7"/>
  <c r="AH48" i="7"/>
  <c r="AH28" i="7"/>
  <c r="AH8" i="7"/>
  <c r="AH281" i="6"/>
  <c r="AH273" i="6"/>
  <c r="AH265" i="6"/>
  <c r="AH11" i="7"/>
  <c r="AH10" i="7"/>
  <c r="AH296" i="6"/>
  <c r="AH57" i="7"/>
  <c r="AH287" i="6"/>
  <c r="AH284" i="6"/>
  <c r="AH270" i="6"/>
  <c r="AH52" i="8"/>
  <c r="AH68" i="8"/>
  <c r="AH14" i="7"/>
  <c r="AH59" i="7"/>
  <c r="AH295" i="6"/>
  <c r="AH267" i="6"/>
  <c r="AH18" i="8"/>
  <c r="AH53" i="7"/>
  <c r="AH285" i="6"/>
  <c r="AH264" i="6"/>
  <c r="AH246" i="6"/>
  <c r="AH235" i="6"/>
  <c r="AH255" i="6"/>
  <c r="AH238" i="6"/>
  <c r="AH289" i="6"/>
  <c r="AH288" i="6"/>
  <c r="AH269" i="6"/>
  <c r="AH247" i="6"/>
  <c r="AH218" i="6"/>
  <c r="AH304" i="6"/>
  <c r="AH271" i="6"/>
  <c r="AH266" i="6"/>
  <c r="AH239" i="6"/>
  <c r="AH272" i="6"/>
  <c r="AH217" i="6"/>
  <c r="AH79" i="7"/>
  <c r="AH299" i="6"/>
  <c r="AH248" i="6"/>
  <c r="AH240" i="6"/>
  <c r="AH92" i="7"/>
  <c r="AH6" i="7"/>
  <c r="AH311" i="6"/>
  <c r="AH309" i="6"/>
  <c r="AH275" i="6"/>
  <c r="AH274" i="6"/>
  <c r="AH216" i="6"/>
  <c r="AH63" i="8"/>
  <c r="AH48" i="8"/>
  <c r="AH30" i="7"/>
  <c r="AH291" i="6"/>
  <c r="AH256" i="6"/>
  <c r="AH249" i="6"/>
  <c r="AH230" i="6"/>
  <c r="AH229" i="6"/>
  <c r="AH228" i="6"/>
  <c r="AH16" i="7"/>
  <c r="AH280" i="6"/>
  <c r="AH278" i="6"/>
  <c r="AH276" i="6"/>
  <c r="AH66" i="7"/>
  <c r="AH244" i="6"/>
  <c r="AH225" i="6"/>
  <c r="AH203" i="6"/>
  <c r="AH192" i="6"/>
  <c r="AH181" i="6"/>
  <c r="AH170" i="6"/>
  <c r="AH159" i="6"/>
  <c r="AH148" i="6"/>
  <c r="AH137" i="6"/>
  <c r="AH126" i="6"/>
  <c r="AH115" i="6"/>
  <c r="AH277" i="6"/>
  <c r="AH233" i="6"/>
  <c r="AH3" i="7"/>
  <c r="AH237" i="6"/>
  <c r="AH215" i="6"/>
  <c r="AH208" i="6"/>
  <c r="AH197" i="6"/>
  <c r="AH186" i="6"/>
  <c r="AH175" i="6"/>
  <c r="AH164" i="6"/>
  <c r="AH153" i="6"/>
  <c r="AH142" i="6"/>
  <c r="AH131" i="6"/>
  <c r="AH120" i="6"/>
  <c r="AH227" i="6"/>
  <c r="AH214" i="6"/>
  <c r="AH250" i="6"/>
  <c r="AH202" i="6"/>
  <c r="AH191" i="6"/>
  <c r="AH180" i="6"/>
  <c r="AH169" i="6"/>
  <c r="AH158" i="6"/>
  <c r="AH147" i="6"/>
  <c r="AH136" i="6"/>
  <c r="AH125" i="6"/>
  <c r="AH114" i="6"/>
  <c r="AH292" i="6"/>
  <c r="AH220" i="6"/>
  <c r="AH213" i="6"/>
  <c r="AH308" i="6"/>
  <c r="AH190" i="6"/>
  <c r="AH176" i="6"/>
  <c r="AH145" i="6"/>
  <c r="AH116" i="6"/>
  <c r="AH103" i="6"/>
  <c r="AH92" i="6"/>
  <c r="AH81" i="6"/>
  <c r="AH70" i="6"/>
  <c r="AH59" i="6"/>
  <c r="AH55" i="7"/>
  <c r="AH283" i="6"/>
  <c r="AH254" i="6"/>
  <c r="AH196" i="6"/>
  <c r="AH182" i="6"/>
  <c r="AH151" i="6"/>
  <c r="AH81" i="7"/>
  <c r="AH286" i="6"/>
  <c r="AH263" i="6"/>
  <c r="AH188" i="6"/>
  <c r="AH157" i="6"/>
  <c r="AH143" i="6"/>
  <c r="AH121" i="6"/>
  <c r="AH119" i="6"/>
  <c r="AH108" i="6"/>
  <c r="AH97" i="6"/>
  <c r="AH86" i="6"/>
  <c r="AH75" i="6"/>
  <c r="AH64" i="6"/>
  <c r="AH232" i="6"/>
  <c r="AH231" i="6"/>
  <c r="AH194" i="6"/>
  <c r="AH163" i="6"/>
  <c r="AH149" i="6"/>
  <c r="AH2" i="8"/>
  <c r="AH64" i="7"/>
  <c r="AH303" i="6"/>
  <c r="AH261" i="6"/>
  <c r="AH200" i="6"/>
  <c r="AH155" i="6"/>
  <c r="AH124" i="6"/>
  <c r="AH102" i="6"/>
  <c r="AH91" i="6"/>
  <c r="AH80" i="6"/>
  <c r="AH69" i="6"/>
  <c r="AH206" i="6"/>
  <c r="AH161" i="6"/>
  <c r="AH130" i="6"/>
  <c r="AH19" i="7"/>
  <c r="AH307" i="6"/>
  <c r="AH241" i="6"/>
  <c r="AH204" i="6"/>
  <c r="AH173" i="6"/>
  <c r="AH128" i="6"/>
  <c r="AH294" i="6"/>
  <c r="AH223" i="6"/>
  <c r="AH178" i="6"/>
  <c r="AH171" i="6"/>
  <c r="AH167" i="6"/>
  <c r="AH101" i="6"/>
  <c r="AH87" i="6"/>
  <c r="AH66" i="6"/>
  <c r="AH47" i="6"/>
  <c r="AH36" i="6"/>
  <c r="AH25" i="6"/>
  <c r="AH310" i="6"/>
  <c r="AH168" i="6"/>
  <c r="AH93" i="6"/>
  <c r="AH172" i="6"/>
  <c r="AH165" i="6"/>
  <c r="AH107" i="6"/>
  <c r="AH99" i="6"/>
  <c r="AH62" i="6"/>
  <c r="AH61" i="6"/>
  <c r="AH52" i="6"/>
  <c r="AH41" i="6"/>
  <c r="AH30" i="6"/>
  <c r="AH293" i="6"/>
  <c r="AH252" i="6"/>
  <c r="AH162" i="6"/>
  <c r="AH112" i="6"/>
  <c r="AH105" i="6"/>
  <c r="AH298" i="6"/>
  <c r="AH224" i="6"/>
  <c r="AH166" i="6"/>
  <c r="AH152" i="6"/>
  <c r="AH118" i="6"/>
  <c r="AH117" i="6"/>
  <c r="AH67" i="6"/>
  <c r="AH60" i="6"/>
  <c r="AH46" i="6"/>
  <c r="AH35" i="6"/>
  <c r="AH24" i="6"/>
  <c r="AH156" i="6"/>
  <c r="AH160" i="6"/>
  <c r="AH146" i="6"/>
  <c r="AH109" i="6"/>
  <c r="AH78" i="6"/>
  <c r="AH63" i="6"/>
  <c r="AH51" i="6"/>
  <c r="AH40" i="6"/>
  <c r="AH29" i="6"/>
  <c r="AH221" i="6"/>
  <c r="AH212" i="6"/>
  <c r="AH150" i="6"/>
  <c r="AH84" i="6"/>
  <c r="AH74" i="6"/>
  <c r="AH58" i="6"/>
  <c r="AH243" i="6"/>
  <c r="AH174" i="6"/>
  <c r="AH132" i="6"/>
  <c r="AH113" i="6"/>
  <c r="AH83" i="6"/>
  <c r="AH177" i="6"/>
  <c r="AH135" i="6"/>
  <c r="AH198" i="6"/>
  <c r="AH138" i="6"/>
  <c r="AH106" i="6"/>
  <c r="AH104" i="6"/>
  <c r="AH183" i="6"/>
  <c r="AH141" i="6"/>
  <c r="AH90" i="6"/>
  <c r="AH88" i="6"/>
  <c r="AH44" i="6"/>
  <c r="AH21" i="6"/>
  <c r="AH17" i="7"/>
  <c r="AH193" i="6"/>
  <c r="AH144" i="6"/>
  <c r="AH57" i="6"/>
  <c r="AH219" i="6"/>
  <c r="AH201" i="6"/>
  <c r="AH49" i="6"/>
  <c r="AH26" i="6"/>
  <c r="AH15" i="6"/>
  <c r="AH4" i="6"/>
  <c r="AH70" i="7"/>
  <c r="AH211" i="6"/>
  <c r="AH140" i="6"/>
  <c r="AH127" i="6"/>
  <c r="AH55" i="6"/>
  <c r="AH210" i="6"/>
  <c r="AH111" i="6"/>
  <c r="AH85" i="6"/>
  <c r="AH82" i="6"/>
  <c r="AH39" i="6"/>
  <c r="AH9" i="6"/>
  <c r="AH242" i="6"/>
  <c r="AH222" i="6"/>
  <c r="AH133" i="6"/>
  <c r="AH95" i="6"/>
  <c r="AH42" i="6"/>
  <c r="AH17" i="6"/>
  <c r="AH89" i="6"/>
  <c r="AH68" i="6"/>
  <c r="AH37" i="6"/>
  <c r="AH32" i="6"/>
  <c r="AH27" i="6"/>
  <c r="AH207" i="6"/>
  <c r="AH205" i="6"/>
  <c r="AH13" i="6"/>
  <c r="AH195" i="6"/>
  <c r="AH96" i="6"/>
  <c r="AH5" i="6"/>
  <c r="AH189" i="6"/>
  <c r="AH71" i="6"/>
  <c r="AH18" i="6"/>
  <c r="AH10" i="6"/>
  <c r="AH199" i="6"/>
  <c r="AH43" i="6"/>
  <c r="AH20" i="6"/>
  <c r="AH209" i="6"/>
  <c r="AH8" i="6"/>
  <c r="AH2" i="6"/>
  <c r="AH24" i="7"/>
  <c r="AH185" i="6"/>
  <c r="AH179" i="6"/>
  <c r="AH226" i="6"/>
  <c r="AH154" i="6"/>
  <c r="AH134" i="6"/>
  <c r="AH94" i="6"/>
  <c r="AH48" i="6"/>
  <c r="AH236" i="6"/>
  <c r="AH129" i="6"/>
  <c r="AH110" i="6"/>
  <c r="AH100" i="6"/>
  <c r="AH76" i="6"/>
  <c r="AH123" i="6"/>
  <c r="AH253" i="6"/>
  <c r="AH33" i="6"/>
  <c r="AH98" i="6"/>
  <c r="AH23" i="6"/>
  <c r="AH14" i="6"/>
  <c r="AH187" i="6"/>
  <c r="AH79" i="6"/>
  <c r="AH38" i="6"/>
  <c r="AH65" i="6"/>
  <c r="AH45" i="6"/>
  <c r="AH3" i="6"/>
  <c r="AH77" i="6"/>
  <c r="AH73" i="6"/>
  <c r="AH54" i="6"/>
  <c r="AH11" i="6"/>
  <c r="AH56" i="6"/>
  <c r="AH251" i="6"/>
  <c r="AH34" i="6"/>
  <c r="AH72" i="6"/>
  <c r="AH122" i="6"/>
  <c r="AH12" i="6"/>
  <c r="AH184" i="6"/>
  <c r="AH19" i="6"/>
  <c r="AH16" i="6"/>
  <c r="AH139" i="6"/>
  <c r="AH6" i="6"/>
  <c r="AH53" i="6"/>
  <c r="AH234" i="6"/>
  <c r="AH28" i="6"/>
  <c r="AH31" i="6"/>
  <c r="AH7" i="6"/>
  <c r="AH305" i="6"/>
  <c r="AH22" i="6"/>
  <c r="AH245" i="6"/>
  <c r="AH50" i="6"/>
  <c r="Q41" i="8"/>
  <c r="Q39" i="8"/>
  <c r="Q41" i="7"/>
  <c r="Q40" i="7"/>
  <c r="Q38" i="7"/>
  <c r="Q39" i="7"/>
  <c r="Q38" i="8"/>
  <c r="Q136" i="6"/>
  <c r="Q125" i="6"/>
  <c r="Q130" i="6"/>
  <c r="Q135" i="6"/>
  <c r="Q124" i="6"/>
  <c r="Q129" i="6"/>
  <c r="Q127" i="6"/>
  <c r="Q123" i="6"/>
  <c r="Q128" i="6"/>
  <c r="Q132" i="6"/>
  <c r="Q126" i="6"/>
  <c r="Q122" i="6"/>
  <c r="Q131" i="6"/>
  <c r="Q134" i="6"/>
  <c r="Q137" i="6"/>
  <c r="Q40" i="8"/>
  <c r="Q133" i="6"/>
  <c r="O214" i="6"/>
  <c r="O216" i="6"/>
  <c r="O208" i="6"/>
  <c r="O213" i="6"/>
  <c r="O202" i="6"/>
  <c r="O207" i="6"/>
  <c r="O217" i="6"/>
  <c r="O212" i="6"/>
  <c r="O205" i="6"/>
  <c r="O215" i="6"/>
  <c r="O204" i="6"/>
  <c r="O206" i="6"/>
  <c r="O203" i="6"/>
  <c r="O210" i="6"/>
  <c r="O209" i="6"/>
  <c r="O211" i="6"/>
  <c r="L15" i="7"/>
  <c r="L14" i="8"/>
  <c r="L15" i="8"/>
  <c r="L17" i="8"/>
  <c r="L17" i="7"/>
  <c r="L16" i="8"/>
  <c r="L14" i="7"/>
  <c r="L16" i="7"/>
  <c r="L36" i="6"/>
  <c r="L41" i="6"/>
  <c r="L30" i="6"/>
  <c r="L35" i="6"/>
  <c r="L40" i="6"/>
  <c r="L29" i="6"/>
  <c r="L38" i="6"/>
  <c r="L27" i="6"/>
  <c r="L39" i="6"/>
  <c r="L31" i="6"/>
  <c r="L32" i="6"/>
  <c r="L28" i="6"/>
  <c r="L26" i="6"/>
  <c r="L33" i="6"/>
  <c r="L37" i="6"/>
  <c r="L34" i="6"/>
  <c r="Q35" i="8"/>
  <c r="Q36" i="8"/>
  <c r="Q36" i="7"/>
  <c r="Q34" i="8"/>
  <c r="Q34" i="7"/>
  <c r="Q37" i="7"/>
  <c r="Q37" i="8"/>
  <c r="Q35" i="7"/>
  <c r="Q114" i="6"/>
  <c r="Q119" i="6"/>
  <c r="Q107" i="6"/>
  <c r="Q120" i="6"/>
  <c r="Q118" i="6"/>
  <c r="Q115" i="6"/>
  <c r="Q106" i="6"/>
  <c r="Q110" i="6"/>
  <c r="Q113" i="6"/>
  <c r="Q108" i="6"/>
  <c r="Q121" i="6"/>
  <c r="Q117" i="6"/>
  <c r="Q109" i="6"/>
  <c r="Q112" i="6"/>
  <c r="Q116" i="6"/>
  <c r="Q111" i="6"/>
  <c r="Q191" i="6"/>
  <c r="Q196" i="6"/>
  <c r="Q201" i="6"/>
  <c r="Q190" i="6"/>
  <c r="Q195" i="6"/>
  <c r="Q189" i="6"/>
  <c r="Q187" i="6"/>
  <c r="Q193" i="6"/>
  <c r="Q199" i="6"/>
  <c r="Q197" i="6"/>
  <c r="Q194" i="6"/>
  <c r="Q198" i="6"/>
  <c r="Q188" i="6"/>
  <c r="Q192" i="6"/>
  <c r="Q186" i="6"/>
  <c r="Q200" i="6"/>
  <c r="Z7" i="9"/>
  <c r="AJ97" i="8"/>
  <c r="AJ86" i="8"/>
  <c r="Z6" i="9"/>
  <c r="AJ100" i="8"/>
  <c r="Z15" i="9"/>
  <c r="AJ73" i="8"/>
  <c r="AJ26" i="8"/>
  <c r="AJ15" i="8"/>
  <c r="AJ3" i="8"/>
  <c r="AJ93" i="7"/>
  <c r="AJ82" i="7"/>
  <c r="AJ71" i="7"/>
  <c r="AJ60" i="7"/>
  <c r="Z11" i="9"/>
  <c r="Z8" i="9"/>
  <c r="Z4" i="9"/>
  <c r="Z16" i="9"/>
  <c r="Z14" i="9"/>
  <c r="Z5" i="9"/>
  <c r="AJ80" i="8"/>
  <c r="AJ61" i="8"/>
  <c r="AJ92" i="8"/>
  <c r="AJ52" i="8"/>
  <c r="AJ51" i="8"/>
  <c r="AJ50" i="8"/>
  <c r="Z3" i="9"/>
  <c r="AJ85" i="8"/>
  <c r="AJ34" i="8"/>
  <c r="AJ19" i="8"/>
  <c r="Z2" i="9"/>
  <c r="AJ60" i="8"/>
  <c r="AJ64" i="8"/>
  <c r="AJ87" i="8"/>
  <c r="AJ79" i="8"/>
  <c r="AJ53" i="8"/>
  <c r="AJ2" i="8"/>
  <c r="AJ88" i="7"/>
  <c r="AJ69" i="7"/>
  <c r="AJ99" i="8"/>
  <c r="AJ98" i="8"/>
  <c r="AJ96" i="8"/>
  <c r="AJ68" i="8"/>
  <c r="AJ45" i="8"/>
  <c r="AJ85" i="7"/>
  <c r="AJ54" i="7"/>
  <c r="AJ52" i="7"/>
  <c r="AJ41" i="7"/>
  <c r="AJ30" i="7"/>
  <c r="AJ55" i="8"/>
  <c r="AJ48" i="8"/>
  <c r="AJ42" i="8"/>
  <c r="AJ40" i="8"/>
  <c r="AJ36" i="8"/>
  <c r="AJ28" i="8"/>
  <c r="AJ17" i="8"/>
  <c r="AJ57" i="7"/>
  <c r="AJ20" i="7"/>
  <c r="AJ11" i="7"/>
  <c r="Z13" i="9"/>
  <c r="AJ86" i="7"/>
  <c r="AJ55" i="7"/>
  <c r="AJ93" i="8"/>
  <c r="Z9" i="9"/>
  <c r="AJ88" i="8"/>
  <c r="AJ74" i="8"/>
  <c r="AJ44" i="8"/>
  <c r="AJ81" i="7"/>
  <c r="AJ74" i="7"/>
  <c r="AJ44" i="7"/>
  <c r="AJ35" i="7"/>
  <c r="AJ25" i="7"/>
  <c r="AJ307" i="6"/>
  <c r="AJ296" i="6"/>
  <c r="AJ285" i="6"/>
  <c r="AJ274" i="6"/>
  <c r="AJ256" i="6"/>
  <c r="AJ57" i="8"/>
  <c r="AJ46" i="8"/>
  <c r="AJ33" i="8"/>
  <c r="AJ31" i="8"/>
  <c r="AJ27" i="8"/>
  <c r="AJ25" i="8"/>
  <c r="AJ92" i="7"/>
  <c r="AJ62" i="7"/>
  <c r="AJ22" i="7"/>
  <c r="AJ2" i="7"/>
  <c r="AJ83" i="8"/>
  <c r="AJ75" i="8"/>
  <c r="AJ39" i="8"/>
  <c r="AJ35" i="8"/>
  <c r="AJ11" i="8"/>
  <c r="AJ100" i="7"/>
  <c r="AJ63" i="8"/>
  <c r="AJ32" i="8"/>
  <c r="AJ67" i="8"/>
  <c r="AJ76" i="8"/>
  <c r="AJ13" i="8"/>
  <c r="AJ4" i="8"/>
  <c r="AJ98" i="7"/>
  <c r="AJ78" i="7"/>
  <c r="AJ37" i="7"/>
  <c r="AJ19" i="7"/>
  <c r="AJ12" i="7"/>
  <c r="AJ303" i="6"/>
  <c r="AJ72" i="8"/>
  <c r="AJ21" i="8"/>
  <c r="AJ65" i="7"/>
  <c r="AJ62" i="8"/>
  <c r="AJ7" i="8"/>
  <c r="AJ77" i="7"/>
  <c r="AJ77" i="8"/>
  <c r="AJ61" i="7"/>
  <c r="AJ56" i="7"/>
  <c r="AJ27" i="7"/>
  <c r="AJ21" i="7"/>
  <c r="AJ16" i="7"/>
  <c r="AJ10" i="7"/>
  <c r="AJ261" i="6"/>
  <c r="AJ94" i="8"/>
  <c r="AJ73" i="7"/>
  <c r="AJ43" i="7"/>
  <c r="AJ34" i="7"/>
  <c r="AJ288" i="6"/>
  <c r="AJ265" i="6"/>
  <c r="AJ264" i="6"/>
  <c r="AJ263" i="6"/>
  <c r="AJ262" i="6"/>
  <c r="AJ255" i="6"/>
  <c r="Z10" i="9"/>
  <c r="AJ84" i="8"/>
  <c r="AJ58" i="8"/>
  <c r="AJ30" i="8"/>
  <c r="AJ29" i="8"/>
  <c r="AJ14" i="8"/>
  <c r="AJ95" i="8"/>
  <c r="AJ47" i="7"/>
  <c r="AJ17" i="7"/>
  <c r="AJ59" i="8"/>
  <c r="AJ38" i="8"/>
  <c r="AJ49" i="8"/>
  <c r="AJ70" i="8"/>
  <c r="AJ6" i="8"/>
  <c r="AJ101" i="8"/>
  <c r="AJ90" i="8"/>
  <c r="AJ54" i="8"/>
  <c r="AJ101" i="7"/>
  <c r="AJ76" i="7"/>
  <c r="AJ91" i="8"/>
  <c r="AJ50" i="7"/>
  <c r="AJ28" i="7"/>
  <c r="AJ82" i="8"/>
  <c r="AJ89" i="7"/>
  <c r="AJ22" i="8"/>
  <c r="AJ53" i="7"/>
  <c r="AJ47" i="8"/>
  <c r="AJ56" i="8"/>
  <c r="AJ24" i="8"/>
  <c r="AJ16" i="8"/>
  <c r="AJ49" i="7"/>
  <c r="AJ81" i="8"/>
  <c r="AJ71" i="8"/>
  <c r="AJ31" i="7"/>
  <c r="AJ308" i="6"/>
  <c r="AJ10" i="8"/>
  <c r="AJ51" i="7"/>
  <c r="AJ46" i="7"/>
  <c r="AJ39" i="7"/>
  <c r="AJ12" i="8"/>
  <c r="AJ5" i="8"/>
  <c r="AJ66" i="8"/>
  <c r="AJ95" i="7"/>
  <c r="AJ91" i="7"/>
  <c r="AJ80" i="7"/>
  <c r="AJ58" i="7"/>
  <c r="AJ41" i="8"/>
  <c r="AJ97" i="7"/>
  <c r="AJ66" i="7"/>
  <c r="AJ45" i="7"/>
  <c r="AJ15" i="7"/>
  <c r="AJ18" i="8"/>
  <c r="AJ63" i="7"/>
  <c r="AJ20" i="8"/>
  <c r="AJ78" i="8"/>
  <c r="AJ65" i="8"/>
  <c r="AJ8" i="8"/>
  <c r="AJ90" i="7"/>
  <c r="AJ42" i="7"/>
  <c r="AJ40" i="7"/>
  <c r="AJ13" i="7"/>
  <c r="AJ37" i="8"/>
  <c r="AJ96" i="7"/>
  <c r="AJ306" i="6"/>
  <c r="AJ23" i="8"/>
  <c r="AJ32" i="7"/>
  <c r="AJ309" i="6"/>
  <c r="AJ294" i="6"/>
  <c r="AJ312" i="6"/>
  <c r="AJ87" i="7"/>
  <c r="AJ67" i="7"/>
  <c r="Z12" i="9"/>
  <c r="AJ33" i="7"/>
  <c r="AJ9" i="7"/>
  <c r="AJ7" i="7"/>
  <c r="AJ287" i="6"/>
  <c r="AJ284" i="6"/>
  <c r="AJ270" i="6"/>
  <c r="AJ84" i="7"/>
  <c r="AJ68" i="7"/>
  <c r="AJ14" i="7"/>
  <c r="AJ278" i="6"/>
  <c r="AJ59" i="7"/>
  <c r="AJ275" i="6"/>
  <c r="AJ267" i="6"/>
  <c r="AJ89" i="8"/>
  <c r="AJ26" i="7"/>
  <c r="AJ305" i="6"/>
  <c r="AJ70" i="7"/>
  <c r="AJ18" i="7"/>
  <c r="AJ290" i="6"/>
  <c r="AJ9" i="8"/>
  <c r="AJ83" i="7"/>
  <c r="AJ29" i="7"/>
  <c r="AJ38" i="7"/>
  <c r="AJ304" i="6"/>
  <c r="AJ276" i="6"/>
  <c r="AJ310" i="6"/>
  <c r="AJ302" i="6"/>
  <c r="AJ259" i="6"/>
  <c r="AJ251" i="6"/>
  <c r="AJ240" i="6"/>
  <c r="AJ23" i="7"/>
  <c r="AJ271" i="6"/>
  <c r="AJ239" i="6"/>
  <c r="AJ69" i="8"/>
  <c r="AJ8" i="7"/>
  <c r="AJ272" i="6"/>
  <c r="AJ268" i="6"/>
  <c r="AJ266" i="6"/>
  <c r="AJ258" i="6"/>
  <c r="AJ79" i="7"/>
  <c r="AJ313" i="6"/>
  <c r="AJ295" i="6"/>
  <c r="AJ248" i="6"/>
  <c r="AJ311" i="6"/>
  <c r="AJ299" i="6"/>
  <c r="AJ216" i="6"/>
  <c r="AJ6" i="7"/>
  <c r="AJ291" i="6"/>
  <c r="AJ273" i="6"/>
  <c r="AJ260" i="6"/>
  <c r="AJ249" i="6"/>
  <c r="AJ229" i="6"/>
  <c r="AJ228" i="6"/>
  <c r="AJ277" i="6"/>
  <c r="AJ230" i="6"/>
  <c r="AJ227" i="6"/>
  <c r="AJ99" i="7"/>
  <c r="AJ250" i="6"/>
  <c r="AJ241" i="6"/>
  <c r="AJ232" i="6"/>
  <c r="AJ231" i="6"/>
  <c r="AJ36" i="7"/>
  <c r="AJ281" i="6"/>
  <c r="AJ279" i="6"/>
  <c r="AJ233" i="6"/>
  <c r="AJ75" i="7"/>
  <c r="AJ289" i="6"/>
  <c r="AJ282" i="6"/>
  <c r="AJ237" i="6"/>
  <c r="AJ208" i="6"/>
  <c r="AJ197" i="6"/>
  <c r="AJ186" i="6"/>
  <c r="AJ175" i="6"/>
  <c r="AJ164" i="6"/>
  <c r="AJ153" i="6"/>
  <c r="AJ142" i="6"/>
  <c r="AJ131" i="6"/>
  <c r="AJ120" i="6"/>
  <c r="AJ43" i="8"/>
  <c r="AJ3" i="7"/>
  <c r="AJ218" i="6"/>
  <c r="AJ215" i="6"/>
  <c r="AJ214" i="6"/>
  <c r="AJ269" i="6"/>
  <c r="AJ202" i="6"/>
  <c r="AJ191" i="6"/>
  <c r="AJ180" i="6"/>
  <c r="AJ169" i="6"/>
  <c r="AJ158" i="6"/>
  <c r="AJ147" i="6"/>
  <c r="AJ136" i="6"/>
  <c r="AJ125" i="6"/>
  <c r="AJ114" i="6"/>
  <c r="AJ301" i="6"/>
  <c r="AJ280" i="6"/>
  <c r="AJ213" i="6"/>
  <c r="AJ292" i="6"/>
  <c r="AJ247" i="6"/>
  <c r="AJ243" i="6"/>
  <c r="AJ220" i="6"/>
  <c r="AJ207" i="6"/>
  <c r="AJ196" i="6"/>
  <c r="AJ185" i="6"/>
  <c r="AJ174" i="6"/>
  <c r="AJ163" i="6"/>
  <c r="AJ152" i="6"/>
  <c r="AJ141" i="6"/>
  <c r="AJ130" i="6"/>
  <c r="AJ119" i="6"/>
  <c r="AJ94" i="7"/>
  <c r="AJ236" i="6"/>
  <c r="AJ4" i="7"/>
  <c r="AJ283" i="6"/>
  <c r="AJ188" i="6"/>
  <c r="AJ157" i="6"/>
  <c r="AJ143" i="6"/>
  <c r="AJ121" i="6"/>
  <c r="AJ108" i="6"/>
  <c r="AJ97" i="6"/>
  <c r="AJ86" i="6"/>
  <c r="AJ75" i="6"/>
  <c r="AJ64" i="6"/>
  <c r="AJ300" i="6"/>
  <c r="AJ286" i="6"/>
  <c r="AJ238" i="6"/>
  <c r="AJ194" i="6"/>
  <c r="AJ149" i="6"/>
  <c r="AJ297" i="6"/>
  <c r="AJ200" i="6"/>
  <c r="AJ155" i="6"/>
  <c r="AJ124" i="6"/>
  <c r="AJ102" i="6"/>
  <c r="AJ91" i="6"/>
  <c r="AJ80" i="6"/>
  <c r="AJ69" i="6"/>
  <c r="AJ64" i="7"/>
  <c r="AJ206" i="6"/>
  <c r="AJ192" i="6"/>
  <c r="AJ161" i="6"/>
  <c r="AJ212" i="6"/>
  <c r="AJ198" i="6"/>
  <c r="AJ167" i="6"/>
  <c r="AJ107" i="6"/>
  <c r="AJ96" i="6"/>
  <c r="AJ85" i="6"/>
  <c r="AJ74" i="6"/>
  <c r="AJ204" i="6"/>
  <c r="AJ173" i="6"/>
  <c r="AJ159" i="6"/>
  <c r="AJ128" i="6"/>
  <c r="AJ293" i="6"/>
  <c r="AJ171" i="6"/>
  <c r="AJ140" i="6"/>
  <c r="AJ126" i="6"/>
  <c r="AJ254" i="6"/>
  <c r="AJ172" i="6"/>
  <c r="AJ99" i="6"/>
  <c r="AJ70" i="6"/>
  <c r="AJ62" i="6"/>
  <c r="AJ61" i="6"/>
  <c r="AJ52" i="6"/>
  <c r="AJ41" i="6"/>
  <c r="AJ30" i="6"/>
  <c r="AJ176" i="6"/>
  <c r="AJ165" i="6"/>
  <c r="AJ162" i="6"/>
  <c r="AJ112" i="6"/>
  <c r="AJ105" i="6"/>
  <c r="AJ298" i="6"/>
  <c r="AJ252" i="6"/>
  <c r="AJ224" i="6"/>
  <c r="AJ166" i="6"/>
  <c r="AJ118" i="6"/>
  <c r="AJ67" i="6"/>
  <c r="AJ60" i="6"/>
  <c r="AJ46" i="6"/>
  <c r="AJ35" i="6"/>
  <c r="AJ24" i="6"/>
  <c r="AJ235" i="6"/>
  <c r="AJ170" i="6"/>
  <c r="AJ156" i="6"/>
  <c r="AJ117" i="6"/>
  <c r="AJ103" i="6"/>
  <c r="AJ160" i="6"/>
  <c r="AJ146" i="6"/>
  <c r="AJ109" i="6"/>
  <c r="AJ78" i="6"/>
  <c r="AJ59" i="6"/>
  <c r="AJ51" i="6"/>
  <c r="AJ40" i="6"/>
  <c r="AJ29" i="6"/>
  <c r="AJ221" i="6"/>
  <c r="AJ150" i="6"/>
  <c r="AJ84" i="6"/>
  <c r="AJ63" i="6"/>
  <c r="AJ58" i="6"/>
  <c r="AJ154" i="6"/>
  <c r="AJ76" i="6"/>
  <c r="AJ71" i="6"/>
  <c r="AJ68" i="6"/>
  <c r="AJ45" i="6"/>
  <c r="AJ34" i="6"/>
  <c r="AJ23" i="6"/>
  <c r="AJ48" i="7"/>
  <c r="AJ245" i="6"/>
  <c r="AJ151" i="6"/>
  <c r="AJ144" i="6"/>
  <c r="AJ111" i="6"/>
  <c r="AJ90" i="6"/>
  <c r="AJ82" i="6"/>
  <c r="AJ57" i="6"/>
  <c r="AJ210" i="6"/>
  <c r="AJ138" i="6"/>
  <c r="AJ106" i="6"/>
  <c r="AJ104" i="6"/>
  <c r="AJ72" i="7"/>
  <c r="AJ217" i="6"/>
  <c r="AJ183" i="6"/>
  <c r="AJ193" i="6"/>
  <c r="AJ244" i="6"/>
  <c r="AJ219" i="6"/>
  <c r="AJ203" i="6"/>
  <c r="AJ201" i="6"/>
  <c r="AJ49" i="6"/>
  <c r="AJ26" i="6"/>
  <c r="AJ211" i="6"/>
  <c r="AJ5" i="7"/>
  <c r="AJ89" i="6"/>
  <c r="AJ87" i="6"/>
  <c r="AJ66" i="6"/>
  <c r="AJ54" i="6"/>
  <c r="AJ31" i="6"/>
  <c r="AJ28" i="6"/>
  <c r="AJ20" i="6"/>
  <c r="AJ9" i="6"/>
  <c r="AJ127" i="6"/>
  <c r="AJ223" i="6"/>
  <c r="AJ44" i="6"/>
  <c r="AJ21" i="6"/>
  <c r="AJ246" i="6"/>
  <c r="AJ222" i="6"/>
  <c r="AJ133" i="6"/>
  <c r="AJ113" i="6"/>
  <c r="AJ101" i="6"/>
  <c r="AJ95" i="6"/>
  <c r="AJ92" i="6"/>
  <c r="AJ79" i="6"/>
  <c r="AJ47" i="6"/>
  <c r="AJ17" i="6"/>
  <c r="AJ205" i="6"/>
  <c r="AJ13" i="6"/>
  <c r="AJ195" i="6"/>
  <c r="AJ25" i="6"/>
  <c r="AJ14" i="6"/>
  <c r="AJ5" i="6"/>
  <c r="AJ135" i="6"/>
  <c r="AJ122" i="6"/>
  <c r="AJ73" i="6"/>
  <c r="AJ209" i="6"/>
  <c r="AJ43" i="6"/>
  <c r="AJ19" i="6"/>
  <c r="AJ24" i="7"/>
  <c r="AJ8" i="6"/>
  <c r="AJ2" i="6"/>
  <c r="AJ179" i="6"/>
  <c r="AJ115" i="6"/>
  <c r="AJ32" i="6"/>
  <c r="AJ226" i="6"/>
  <c r="AJ132" i="6"/>
  <c r="AJ94" i="6"/>
  <c r="AJ36" i="6"/>
  <c r="AJ110" i="6"/>
  <c r="AJ100" i="6"/>
  <c r="AJ129" i="6"/>
  <c r="AJ55" i="6"/>
  <c r="AJ72" i="6"/>
  <c r="AJ56" i="6"/>
  <c r="AJ253" i="6"/>
  <c r="AJ242" i="6"/>
  <c r="AJ225" i="6"/>
  <c r="AJ33" i="6"/>
  <c r="AJ65" i="6"/>
  <c r="AJ37" i="6"/>
  <c r="AJ182" i="6"/>
  <c r="AJ178" i="6"/>
  <c r="AJ98" i="6"/>
  <c r="AJ88" i="6"/>
  <c r="AJ134" i="6"/>
  <c r="AJ123" i="6"/>
  <c r="AJ48" i="6"/>
  <c r="AJ7" i="6"/>
  <c r="AJ168" i="6"/>
  <c r="AJ77" i="6"/>
  <c r="AJ38" i="6"/>
  <c r="AJ4" i="6"/>
  <c r="AJ93" i="6"/>
  <c r="AJ3" i="6"/>
  <c r="AJ6" i="6"/>
  <c r="AJ116" i="6"/>
  <c r="AJ11" i="6"/>
  <c r="AJ148" i="6"/>
  <c r="AJ16" i="6"/>
  <c r="AJ83" i="6"/>
  <c r="AJ199" i="6"/>
  <c r="AJ81" i="6"/>
  <c r="AJ184" i="6"/>
  <c r="AJ10" i="6"/>
  <c r="AJ190" i="6"/>
  <c r="AJ27" i="6"/>
  <c r="AJ12" i="6"/>
  <c r="AJ15" i="6"/>
  <c r="AJ139" i="6"/>
  <c r="AJ53" i="6"/>
  <c r="AJ177" i="6"/>
  <c r="AJ50" i="6"/>
  <c r="AJ234" i="6"/>
  <c r="AJ137" i="6"/>
  <c r="AJ181" i="6"/>
  <c r="AJ145" i="6"/>
  <c r="AJ257" i="6"/>
  <c r="AJ42" i="6"/>
  <c r="AJ39" i="6"/>
  <c r="AJ187" i="6"/>
  <c r="AJ22" i="6"/>
  <c r="AJ189" i="6"/>
  <c r="AJ18" i="6"/>
  <c r="O14" i="8"/>
  <c r="O16" i="8"/>
  <c r="O15" i="8"/>
  <c r="O17" i="8"/>
  <c r="O14" i="7"/>
  <c r="O17" i="7"/>
  <c r="O15" i="7"/>
  <c r="O35" i="6"/>
  <c r="O40" i="6"/>
  <c r="O29" i="6"/>
  <c r="O34" i="6"/>
  <c r="O39" i="6"/>
  <c r="O28" i="6"/>
  <c r="O41" i="6"/>
  <c r="O38" i="6"/>
  <c r="O16" i="7"/>
  <c r="O30" i="6"/>
  <c r="O27" i="6"/>
  <c r="O31" i="6"/>
  <c r="O32" i="6"/>
  <c r="O33" i="6"/>
  <c r="O37" i="6"/>
  <c r="O36" i="6"/>
  <c r="O26" i="6"/>
  <c r="AZ101" i="8"/>
  <c r="AZ90" i="8"/>
  <c r="AP3" i="9"/>
  <c r="AZ95" i="8"/>
  <c r="AP4" i="9"/>
  <c r="AZ68" i="8"/>
  <c r="AZ53" i="8"/>
  <c r="AZ41" i="8"/>
  <c r="AZ33" i="8"/>
  <c r="AZ22" i="8"/>
  <c r="AZ97" i="7"/>
  <c r="AZ86" i="7"/>
  <c r="AZ75" i="7"/>
  <c r="AZ64" i="7"/>
  <c r="AP13" i="9"/>
  <c r="AZ91" i="8"/>
  <c r="AP14" i="9"/>
  <c r="AP9" i="9"/>
  <c r="AZ100" i="8"/>
  <c r="AZ98" i="8"/>
  <c r="AZ92" i="8"/>
  <c r="AZ77" i="8"/>
  <c r="AZ94" i="8"/>
  <c r="AZ63" i="8"/>
  <c r="AZ60" i="8"/>
  <c r="AP6" i="9"/>
  <c r="AZ87" i="8"/>
  <c r="AZ78" i="8"/>
  <c r="AZ26" i="8"/>
  <c r="AZ99" i="8"/>
  <c r="AZ83" i="8"/>
  <c r="AZ96" i="8"/>
  <c r="AZ76" i="8"/>
  <c r="AZ70" i="8"/>
  <c r="AZ44" i="8"/>
  <c r="AZ93" i="8"/>
  <c r="AZ80" i="8"/>
  <c r="AP7" i="9"/>
  <c r="AZ67" i="8"/>
  <c r="AZ46" i="8"/>
  <c r="AZ83" i="7"/>
  <c r="AZ35" i="8"/>
  <c r="AZ99" i="7"/>
  <c r="AZ80" i="7"/>
  <c r="AZ65" i="7"/>
  <c r="AZ48" i="7"/>
  <c r="AZ37" i="7"/>
  <c r="AZ26" i="7"/>
  <c r="AZ88" i="8"/>
  <c r="AZ49" i="8"/>
  <c r="AZ47" i="8"/>
  <c r="AZ45" i="8"/>
  <c r="AZ20" i="8"/>
  <c r="AZ11" i="8"/>
  <c r="AZ94" i="7"/>
  <c r="AZ87" i="7"/>
  <c r="AZ68" i="7"/>
  <c r="AZ16" i="7"/>
  <c r="AP8" i="9"/>
  <c r="AZ73" i="8"/>
  <c r="AZ16" i="8"/>
  <c r="AZ78" i="7"/>
  <c r="AZ54" i="7"/>
  <c r="AP5" i="9"/>
  <c r="AZ40" i="8"/>
  <c r="AP15" i="9"/>
  <c r="AZ55" i="8"/>
  <c r="AZ51" i="8"/>
  <c r="AZ9" i="8"/>
  <c r="AZ82" i="7"/>
  <c r="AZ49" i="7"/>
  <c r="AZ311" i="6"/>
  <c r="AZ300" i="6"/>
  <c r="AZ289" i="6"/>
  <c r="AZ278" i="6"/>
  <c r="AZ267" i="6"/>
  <c r="AZ263" i="6"/>
  <c r="AZ42" i="8"/>
  <c r="AZ30" i="8"/>
  <c r="AZ28" i="8"/>
  <c r="AZ50" i="7"/>
  <c r="AZ33" i="7"/>
  <c r="AZ84" i="8"/>
  <c r="AZ69" i="8"/>
  <c r="AZ37" i="8"/>
  <c r="AZ25" i="8"/>
  <c r="AP10" i="9"/>
  <c r="AP11" i="9"/>
  <c r="AZ56" i="8"/>
  <c r="AZ48" i="8"/>
  <c r="AZ36" i="8"/>
  <c r="AZ27" i="8"/>
  <c r="AZ100" i="7"/>
  <c r="AZ60" i="7"/>
  <c r="AZ11" i="7"/>
  <c r="AZ302" i="6"/>
  <c r="AP16" i="9"/>
  <c r="AZ31" i="8"/>
  <c r="AZ17" i="8"/>
  <c r="AZ6" i="8"/>
  <c r="AZ96" i="7"/>
  <c r="AZ73" i="7"/>
  <c r="AZ39" i="7"/>
  <c r="AZ32" i="7"/>
  <c r="AZ25" i="7"/>
  <c r="AZ58" i="8"/>
  <c r="AZ72" i="7"/>
  <c r="AZ43" i="8"/>
  <c r="AZ29" i="8"/>
  <c r="AZ35" i="7"/>
  <c r="AZ28" i="7"/>
  <c r="AZ14" i="7"/>
  <c r="AZ9" i="7"/>
  <c r="AZ306" i="6"/>
  <c r="AZ284" i="6"/>
  <c r="AP12" i="9"/>
  <c r="AZ82" i="8"/>
  <c r="AZ75" i="8"/>
  <c r="AZ66" i="8"/>
  <c r="AZ62" i="8"/>
  <c r="AZ70" i="7"/>
  <c r="AZ42" i="7"/>
  <c r="AZ23" i="7"/>
  <c r="AZ287" i="6"/>
  <c r="AZ24" i="8"/>
  <c r="AZ32" i="8"/>
  <c r="AZ101" i="7"/>
  <c r="AZ51" i="7"/>
  <c r="AZ46" i="7"/>
  <c r="AZ34" i="7"/>
  <c r="AZ21" i="7"/>
  <c r="AZ97" i="8"/>
  <c r="AZ65" i="8"/>
  <c r="AZ54" i="8"/>
  <c r="AZ50" i="8"/>
  <c r="AZ41" i="7"/>
  <c r="AZ81" i="8"/>
  <c r="AZ57" i="8"/>
  <c r="AZ34" i="8"/>
  <c r="AZ21" i="8"/>
  <c r="AZ18" i="8"/>
  <c r="AZ12" i="8"/>
  <c r="AZ91" i="7"/>
  <c r="AZ53" i="7"/>
  <c r="AZ89" i="7"/>
  <c r="AZ79" i="8"/>
  <c r="AZ4" i="8"/>
  <c r="AZ43" i="7"/>
  <c r="AZ61" i="8"/>
  <c r="AZ59" i="8"/>
  <c r="AZ23" i="8"/>
  <c r="AZ8" i="8"/>
  <c r="AZ90" i="7"/>
  <c r="AZ71" i="8"/>
  <c r="AZ47" i="7"/>
  <c r="AZ64" i="8"/>
  <c r="AZ92" i="7"/>
  <c r="AZ38" i="8"/>
  <c r="AZ14" i="8"/>
  <c r="AZ2" i="8"/>
  <c r="AZ95" i="7"/>
  <c r="AP2" i="9"/>
  <c r="AZ86" i="8"/>
  <c r="AZ63" i="7"/>
  <c r="AZ10" i="7"/>
  <c r="AZ298" i="6"/>
  <c r="AZ294" i="6"/>
  <c r="AZ292" i="6"/>
  <c r="AZ85" i="7"/>
  <c r="AZ7" i="8"/>
  <c r="AZ59" i="7"/>
  <c r="AZ29" i="7"/>
  <c r="AZ304" i="6"/>
  <c r="AZ55" i="7"/>
  <c r="AZ81" i="7"/>
  <c r="AZ67" i="7"/>
  <c r="AZ5" i="7"/>
  <c r="AZ2" i="7"/>
  <c r="AZ85" i="8"/>
  <c r="AZ98" i="7"/>
  <c r="AZ71" i="7"/>
  <c r="AZ36" i="7"/>
  <c r="AZ8" i="7"/>
  <c r="AZ301" i="6"/>
  <c r="AZ69" i="7"/>
  <c r="AZ61" i="7"/>
  <c r="AZ18" i="7"/>
  <c r="AZ17" i="7"/>
  <c r="AZ84" i="7"/>
  <c r="AZ19" i="8"/>
  <c r="AZ10" i="8"/>
  <c r="AZ44" i="7"/>
  <c r="AZ22" i="7"/>
  <c r="AZ307" i="6"/>
  <c r="AZ89" i="8"/>
  <c r="AZ74" i="7"/>
  <c r="AZ305" i="6"/>
  <c r="AZ282" i="6"/>
  <c r="AZ266" i="6"/>
  <c r="AZ299" i="6"/>
  <c r="AZ293" i="6"/>
  <c r="AZ39" i="8"/>
  <c r="AZ5" i="8"/>
  <c r="AZ285" i="6"/>
  <c r="AZ271" i="6"/>
  <c r="AZ40" i="7"/>
  <c r="AZ310" i="6"/>
  <c r="AZ309" i="6"/>
  <c r="AZ308" i="6"/>
  <c r="AZ279" i="6"/>
  <c r="AZ268" i="6"/>
  <c r="AZ264" i="6"/>
  <c r="AZ79" i="7"/>
  <c r="AZ76" i="7"/>
  <c r="AZ56" i="7"/>
  <c r="AZ27" i="7"/>
  <c r="AZ280" i="6"/>
  <c r="AZ272" i="6"/>
  <c r="AZ13" i="7"/>
  <c r="AZ3" i="8"/>
  <c r="AZ288" i="6"/>
  <c r="AZ247" i="6"/>
  <c r="AZ236" i="6"/>
  <c r="AZ4" i="7"/>
  <c r="AZ257" i="6"/>
  <c r="AZ253" i="6"/>
  <c r="AZ244" i="6"/>
  <c r="AZ221" i="6"/>
  <c r="AZ296" i="6"/>
  <c r="AZ281" i="6"/>
  <c r="AZ259" i="6"/>
  <c r="AZ245" i="6"/>
  <c r="AZ220" i="6"/>
  <c r="AZ93" i="7"/>
  <c r="AZ45" i="7"/>
  <c r="AZ254" i="6"/>
  <c r="AZ30" i="7"/>
  <c r="AZ261" i="6"/>
  <c r="AZ246" i="6"/>
  <c r="AZ237" i="6"/>
  <c r="AZ219" i="6"/>
  <c r="AZ62" i="7"/>
  <c r="AZ57" i="7"/>
  <c r="AZ283" i="6"/>
  <c r="AZ24" i="7"/>
  <c r="AZ20" i="7"/>
  <c r="AZ7" i="7"/>
  <c r="AZ312" i="6"/>
  <c r="AZ297" i="6"/>
  <c r="AZ218" i="6"/>
  <c r="AZ52" i="7"/>
  <c r="AZ38" i="7"/>
  <c r="AZ66" i="7"/>
  <c r="AZ229" i="6"/>
  <c r="AZ277" i="6"/>
  <c r="AZ224" i="6"/>
  <c r="AZ204" i="6"/>
  <c r="AZ193" i="6"/>
  <c r="AZ182" i="6"/>
  <c r="AZ171" i="6"/>
  <c r="AZ160" i="6"/>
  <c r="AZ149" i="6"/>
  <c r="AZ138" i="6"/>
  <c r="AZ127" i="6"/>
  <c r="AZ116" i="6"/>
  <c r="AZ31" i="7"/>
  <c r="AZ19" i="7"/>
  <c r="AZ290" i="6"/>
  <c r="AZ270" i="6"/>
  <c r="AZ262" i="6"/>
  <c r="AZ249" i="6"/>
  <c r="AZ242" i="6"/>
  <c r="AZ226" i="6"/>
  <c r="AZ209" i="6"/>
  <c r="AZ198" i="6"/>
  <c r="AZ187" i="6"/>
  <c r="AZ176" i="6"/>
  <c r="AZ165" i="6"/>
  <c r="AZ154" i="6"/>
  <c r="AZ143" i="6"/>
  <c r="AZ132" i="6"/>
  <c r="AZ121" i="6"/>
  <c r="AZ58" i="7"/>
  <c r="AZ303" i="6"/>
  <c r="AZ238" i="6"/>
  <c r="AZ235" i="6"/>
  <c r="AZ72" i="8"/>
  <c r="AZ275" i="6"/>
  <c r="AZ203" i="6"/>
  <c r="AZ192" i="6"/>
  <c r="AZ181" i="6"/>
  <c r="AZ170" i="6"/>
  <c r="AZ159" i="6"/>
  <c r="AZ148" i="6"/>
  <c r="AZ137" i="6"/>
  <c r="AZ126" i="6"/>
  <c r="AZ115" i="6"/>
  <c r="AZ231" i="6"/>
  <c r="AZ232" i="6"/>
  <c r="AZ197" i="6"/>
  <c r="AZ183" i="6"/>
  <c r="AZ152" i="6"/>
  <c r="AZ104" i="6"/>
  <c r="AZ93" i="6"/>
  <c r="AZ82" i="6"/>
  <c r="AZ71" i="6"/>
  <c r="AZ60" i="6"/>
  <c r="AZ189" i="6"/>
  <c r="AZ158" i="6"/>
  <c r="AZ144" i="6"/>
  <c r="AZ273" i="6"/>
  <c r="AZ233" i="6"/>
  <c r="AZ195" i="6"/>
  <c r="AZ164" i="6"/>
  <c r="AZ150" i="6"/>
  <c r="AZ111" i="6"/>
  <c r="AZ109" i="6"/>
  <c r="AZ98" i="6"/>
  <c r="AZ87" i="6"/>
  <c r="AZ76" i="6"/>
  <c r="AZ65" i="6"/>
  <c r="AZ52" i="8"/>
  <c r="AZ234" i="6"/>
  <c r="AZ201" i="6"/>
  <c r="AZ156" i="6"/>
  <c r="AZ125" i="6"/>
  <c r="AZ3" i="7"/>
  <c r="AZ207" i="6"/>
  <c r="AZ162" i="6"/>
  <c r="AZ131" i="6"/>
  <c r="AZ118" i="6"/>
  <c r="AZ112" i="6"/>
  <c r="AZ103" i="6"/>
  <c r="AZ92" i="6"/>
  <c r="AZ81" i="6"/>
  <c r="AZ70" i="6"/>
  <c r="AZ77" i="7"/>
  <c r="AZ256" i="6"/>
  <c r="AZ250" i="6"/>
  <c r="AZ199" i="6"/>
  <c r="AZ168" i="6"/>
  <c r="AZ252" i="6"/>
  <c r="AZ213" i="6"/>
  <c r="AZ211" i="6"/>
  <c r="AZ180" i="6"/>
  <c r="AZ166" i="6"/>
  <c r="AZ135" i="6"/>
  <c r="AZ113" i="6"/>
  <c r="AZ88" i="7"/>
  <c r="AZ260" i="6"/>
  <c r="AZ145" i="6"/>
  <c r="AZ94" i="6"/>
  <c r="AZ69" i="6"/>
  <c r="AZ48" i="6"/>
  <c r="AZ37" i="6"/>
  <c r="AZ26" i="6"/>
  <c r="AZ215" i="6"/>
  <c r="AZ208" i="6"/>
  <c r="AZ142" i="6"/>
  <c r="AZ108" i="6"/>
  <c r="AZ100" i="6"/>
  <c r="AZ72" i="6"/>
  <c r="AZ240" i="6"/>
  <c r="AZ230" i="6"/>
  <c r="AZ212" i="6"/>
  <c r="AZ146" i="6"/>
  <c r="AZ139" i="6"/>
  <c r="AZ106" i="6"/>
  <c r="AZ53" i="6"/>
  <c r="AZ42" i="6"/>
  <c r="AZ31" i="6"/>
  <c r="AZ214" i="6"/>
  <c r="AZ205" i="6"/>
  <c r="AZ202" i="6"/>
  <c r="AZ136" i="6"/>
  <c r="AZ114" i="6"/>
  <c r="AZ75" i="6"/>
  <c r="AZ206" i="6"/>
  <c r="AZ140" i="6"/>
  <c r="AZ133" i="6"/>
  <c r="AZ129" i="6"/>
  <c r="AZ47" i="6"/>
  <c r="AZ36" i="6"/>
  <c r="AZ25" i="6"/>
  <c r="AZ248" i="6"/>
  <c r="AZ228" i="6"/>
  <c r="AZ225" i="6"/>
  <c r="AZ216" i="6"/>
  <c r="AZ210" i="6"/>
  <c r="AZ196" i="6"/>
  <c r="AZ130" i="6"/>
  <c r="AZ79" i="6"/>
  <c r="AZ74" i="8"/>
  <c r="AZ243" i="6"/>
  <c r="AZ200" i="6"/>
  <c r="AZ186" i="6"/>
  <c r="AZ134" i="6"/>
  <c r="AZ110" i="6"/>
  <c r="AZ85" i="6"/>
  <c r="AZ52" i="6"/>
  <c r="AZ41" i="6"/>
  <c r="AZ30" i="6"/>
  <c r="AZ255" i="6"/>
  <c r="AZ190" i="6"/>
  <c r="AZ124" i="6"/>
  <c r="AZ123" i="6"/>
  <c r="AZ91" i="6"/>
  <c r="AZ77" i="6"/>
  <c r="AZ313" i="6"/>
  <c r="AZ222" i="6"/>
  <c r="AZ194" i="6"/>
  <c r="AZ191" i="6"/>
  <c r="AZ178" i="6"/>
  <c r="AZ141" i="6"/>
  <c r="AZ90" i="6"/>
  <c r="AZ88" i="6"/>
  <c r="AZ227" i="6"/>
  <c r="AZ6" i="7"/>
  <c r="AZ155" i="6"/>
  <c r="AZ147" i="6"/>
  <c r="AZ23" i="6"/>
  <c r="AZ184" i="6"/>
  <c r="AZ95" i="6"/>
  <c r="AZ74" i="6"/>
  <c r="AZ63" i="6"/>
  <c r="AZ56" i="6"/>
  <c r="AZ43" i="6"/>
  <c r="AZ40" i="6"/>
  <c r="AZ22" i="6"/>
  <c r="AZ291" i="6"/>
  <c r="AZ161" i="6"/>
  <c r="AZ153" i="6"/>
  <c r="AZ97" i="6"/>
  <c r="AZ251" i="6"/>
  <c r="AZ62" i="6"/>
  <c r="AZ45" i="6"/>
  <c r="AZ16" i="6"/>
  <c r="AZ5" i="6"/>
  <c r="AZ15" i="7"/>
  <c r="AZ258" i="6"/>
  <c r="AZ167" i="6"/>
  <c r="AZ188" i="6"/>
  <c r="AZ89" i="6"/>
  <c r="AZ24" i="6"/>
  <c r="AZ19" i="6"/>
  <c r="AZ6" i="6"/>
  <c r="AZ102" i="6"/>
  <c r="AZ99" i="6"/>
  <c r="AZ86" i="6"/>
  <c r="AZ80" i="6"/>
  <c r="AZ73" i="6"/>
  <c r="AZ20" i="6"/>
  <c r="AZ11" i="6"/>
  <c r="AZ185" i="6"/>
  <c r="AZ122" i="6"/>
  <c r="AZ274" i="6"/>
  <c r="AZ265" i="6"/>
  <c r="AZ169" i="6"/>
  <c r="AZ128" i="6"/>
  <c r="AZ120" i="6"/>
  <c r="AZ3" i="6"/>
  <c r="AZ241" i="6"/>
  <c r="AZ21" i="6"/>
  <c r="AZ7" i="6"/>
  <c r="AZ4" i="6"/>
  <c r="AZ157" i="6"/>
  <c r="AZ151" i="6"/>
  <c r="AZ44" i="6"/>
  <c r="AZ17" i="6"/>
  <c r="AZ12" i="6"/>
  <c r="AZ50" i="6"/>
  <c r="AZ286" i="6"/>
  <c r="AZ78" i="6"/>
  <c r="AZ14" i="6"/>
  <c r="AZ9" i="6"/>
  <c r="AZ96" i="6"/>
  <c r="AZ84" i="6"/>
  <c r="AZ67" i="6"/>
  <c r="AZ59" i="6"/>
  <c r="AZ15" i="8"/>
  <c r="AZ163" i="6"/>
  <c r="AZ33" i="6"/>
  <c r="AZ13" i="8"/>
  <c r="AZ175" i="6"/>
  <c r="AZ34" i="6"/>
  <c r="AZ119" i="6"/>
  <c r="AZ46" i="6"/>
  <c r="AZ295" i="6"/>
  <c r="AZ172" i="6"/>
  <c r="AZ49" i="6"/>
  <c r="AZ27" i="6"/>
  <c r="AZ173" i="6"/>
  <c r="AZ54" i="6"/>
  <c r="AZ83" i="6"/>
  <c r="AZ276" i="6"/>
  <c r="AZ51" i="6"/>
  <c r="AZ15" i="6"/>
  <c r="AZ29" i="6"/>
  <c r="AZ177" i="6"/>
  <c r="AZ12" i="7"/>
  <c r="AZ179" i="6"/>
  <c r="AZ32" i="6"/>
  <c r="AZ107" i="6"/>
  <c r="AZ68" i="6"/>
  <c r="AZ13" i="6"/>
  <c r="AZ217" i="6"/>
  <c r="AZ61" i="6"/>
  <c r="AZ239" i="6"/>
  <c r="AZ269" i="6"/>
  <c r="AZ117" i="6"/>
  <c r="AZ2" i="6"/>
  <c r="AZ39" i="6"/>
  <c r="AZ58" i="6"/>
  <c r="AZ18" i="6"/>
  <c r="AZ35" i="6"/>
  <c r="AZ64" i="6"/>
  <c r="AZ223" i="6"/>
  <c r="AZ66" i="6"/>
  <c r="AZ55" i="6"/>
  <c r="AZ174" i="6"/>
  <c r="AZ105" i="6"/>
  <c r="AZ101" i="6"/>
  <c r="AZ38" i="6"/>
  <c r="AZ57" i="6"/>
  <c r="AZ28" i="6"/>
  <c r="AZ8" i="6"/>
  <c r="AZ10" i="6"/>
  <c r="N15" i="8"/>
  <c r="N17" i="7"/>
  <c r="N17" i="8"/>
  <c r="N16" i="8"/>
  <c r="N14" i="8"/>
  <c r="N15" i="7"/>
  <c r="N14" i="7"/>
  <c r="N16" i="7"/>
  <c r="N41" i="6"/>
  <c r="N30" i="6"/>
  <c r="N35" i="6"/>
  <c r="N40" i="6"/>
  <c r="N29" i="6"/>
  <c r="N34" i="6"/>
  <c r="N39" i="6"/>
  <c r="N31" i="6"/>
  <c r="N32" i="6"/>
  <c r="N28" i="6"/>
  <c r="N33" i="6"/>
  <c r="N38" i="6"/>
  <c r="N27" i="6"/>
  <c r="N37" i="6"/>
  <c r="N36" i="6"/>
  <c r="N26" i="6"/>
  <c r="N49" i="8"/>
  <c r="N48" i="8"/>
  <c r="N47" i="8"/>
  <c r="N46" i="8"/>
  <c r="N46" i="7"/>
  <c r="N48" i="7"/>
  <c r="N47" i="7"/>
  <c r="N49" i="7"/>
  <c r="N164" i="6"/>
  <c r="N169" i="6"/>
  <c r="N158" i="6"/>
  <c r="N163" i="6"/>
  <c r="N156" i="6"/>
  <c r="N168" i="6"/>
  <c r="N154" i="6"/>
  <c r="N159" i="6"/>
  <c r="N165" i="6"/>
  <c r="N157" i="6"/>
  <c r="N160" i="6"/>
  <c r="N166" i="6"/>
  <c r="N167" i="6"/>
  <c r="N161" i="6"/>
  <c r="N155" i="6"/>
  <c r="N162" i="6"/>
  <c r="P40" i="8"/>
  <c r="P39" i="7"/>
  <c r="P38" i="7"/>
  <c r="P41" i="8"/>
  <c r="P39" i="8"/>
  <c r="P41" i="7"/>
  <c r="P38" i="8"/>
  <c r="P40" i="7"/>
  <c r="P136" i="6"/>
  <c r="P125" i="6"/>
  <c r="P130" i="6"/>
  <c r="P135" i="6"/>
  <c r="P124" i="6"/>
  <c r="P122" i="6"/>
  <c r="P131" i="6"/>
  <c r="P128" i="6"/>
  <c r="P123" i="6"/>
  <c r="P132" i="6"/>
  <c r="P126" i="6"/>
  <c r="P134" i="6"/>
  <c r="P137" i="6"/>
  <c r="P129" i="6"/>
  <c r="P127" i="6"/>
  <c r="P133" i="6"/>
  <c r="S42" i="8"/>
  <c r="S42" i="7"/>
  <c r="S43" i="8"/>
  <c r="S45" i="8"/>
  <c r="S45" i="7"/>
  <c r="S44" i="8"/>
  <c r="S43" i="7"/>
  <c r="S152" i="6"/>
  <c r="S141" i="6"/>
  <c r="S146" i="6"/>
  <c r="S151" i="6"/>
  <c r="S140" i="6"/>
  <c r="S145" i="6"/>
  <c r="S142" i="6"/>
  <c r="S148" i="6"/>
  <c r="S139" i="6"/>
  <c r="S143" i="6"/>
  <c r="S44" i="7"/>
  <c r="S149" i="6"/>
  <c r="S147" i="6"/>
  <c r="S144" i="6"/>
  <c r="S138" i="6"/>
  <c r="S153" i="6"/>
  <c r="S150" i="6"/>
  <c r="N256" i="6"/>
  <c r="N255" i="6"/>
  <c r="N264" i="6"/>
  <c r="N262" i="6"/>
  <c r="N265" i="6"/>
  <c r="N251" i="6"/>
  <c r="N250" i="6"/>
  <c r="N259" i="6"/>
  <c r="N253" i="6"/>
  <c r="N252" i="6"/>
  <c r="N260" i="6"/>
  <c r="N263" i="6"/>
  <c r="N258" i="6"/>
  <c r="N254" i="6"/>
  <c r="N261" i="6"/>
  <c r="N257" i="6"/>
  <c r="AB9" i="9"/>
  <c r="AL92" i="8"/>
  <c r="AL89" i="8"/>
  <c r="AB6" i="9"/>
  <c r="AL87" i="8"/>
  <c r="AL84" i="8"/>
  <c r="AL62" i="8"/>
  <c r="AL31" i="8"/>
  <c r="AL20" i="8"/>
  <c r="AL11" i="8"/>
  <c r="AL99" i="7"/>
  <c r="AL88" i="7"/>
  <c r="AL77" i="7"/>
  <c r="AL66" i="7"/>
  <c r="AB12" i="9"/>
  <c r="AB5" i="9"/>
  <c r="AB10" i="9"/>
  <c r="AL101" i="8"/>
  <c r="AL99" i="8"/>
  <c r="AL97" i="8"/>
  <c r="AL93" i="8"/>
  <c r="AL95" i="8"/>
  <c r="AL86" i="8"/>
  <c r="AL70" i="8"/>
  <c r="AL41" i="8"/>
  <c r="AL40" i="8"/>
  <c r="AL39" i="8"/>
  <c r="AL38" i="8"/>
  <c r="AL37" i="8"/>
  <c r="AL36" i="8"/>
  <c r="AL85" i="8"/>
  <c r="AL59" i="8"/>
  <c r="AB15" i="9"/>
  <c r="AL51" i="8"/>
  <c r="AL46" i="8"/>
  <c r="AL18" i="8"/>
  <c r="AB14" i="9"/>
  <c r="AL88" i="8"/>
  <c r="AL74" i="8"/>
  <c r="AL69" i="8"/>
  <c r="AL53" i="8"/>
  <c r="AL34" i="8"/>
  <c r="AL25" i="8"/>
  <c r="AL77" i="8"/>
  <c r="AL73" i="8"/>
  <c r="AL66" i="8"/>
  <c r="AL78" i="8"/>
  <c r="AL7" i="8"/>
  <c r="AL92" i="7"/>
  <c r="AL58" i="7"/>
  <c r="AL100" i="8"/>
  <c r="AL33" i="8"/>
  <c r="AL19" i="8"/>
  <c r="AL14" i="8"/>
  <c r="AL8" i="8"/>
  <c r="AL74" i="7"/>
  <c r="AL46" i="7"/>
  <c r="AL35" i="7"/>
  <c r="AL65" i="8"/>
  <c r="AL60" i="8"/>
  <c r="AL50" i="8"/>
  <c r="AL22" i="8"/>
  <c r="AL69" i="7"/>
  <c r="AL62" i="7"/>
  <c r="AL14" i="7"/>
  <c r="AL96" i="8"/>
  <c r="AL54" i="8"/>
  <c r="AL10" i="8"/>
  <c r="AL98" i="7"/>
  <c r="AL72" i="7"/>
  <c r="AL75" i="8"/>
  <c r="AL44" i="8"/>
  <c r="AB4" i="9"/>
  <c r="AL83" i="8"/>
  <c r="AL76" i="8"/>
  <c r="AL90" i="7"/>
  <c r="AL45" i="7"/>
  <c r="AL26" i="7"/>
  <c r="AL313" i="6"/>
  <c r="AL302" i="6"/>
  <c r="AL291" i="6"/>
  <c r="AL280" i="6"/>
  <c r="AL269" i="6"/>
  <c r="AL261" i="6"/>
  <c r="AL43" i="8"/>
  <c r="AL35" i="8"/>
  <c r="AL15" i="8"/>
  <c r="AL94" i="7"/>
  <c r="AL47" i="7"/>
  <c r="AL21" i="7"/>
  <c r="AL10" i="7"/>
  <c r="AB2" i="9"/>
  <c r="AL29" i="8"/>
  <c r="AL90" i="8"/>
  <c r="AL64" i="8"/>
  <c r="AL2" i="8"/>
  <c r="AL94" i="8"/>
  <c r="AL72" i="8"/>
  <c r="AL67" i="8"/>
  <c r="AL68" i="7"/>
  <c r="AL55" i="7"/>
  <c r="AL48" i="7"/>
  <c r="AL3" i="7"/>
  <c r="AL309" i="6"/>
  <c r="AL306" i="6"/>
  <c r="AB13" i="9"/>
  <c r="AB8" i="9"/>
  <c r="AL79" i="8"/>
  <c r="AL52" i="8"/>
  <c r="AL51" i="7"/>
  <c r="AL41" i="7"/>
  <c r="AL20" i="7"/>
  <c r="AL56" i="8"/>
  <c r="AL48" i="8"/>
  <c r="AL73" i="7"/>
  <c r="AL307" i="6"/>
  <c r="AL61" i="8"/>
  <c r="AL32" i="8"/>
  <c r="AL95" i="7"/>
  <c r="AL81" i="7"/>
  <c r="AL5" i="7"/>
  <c r="AL294" i="6"/>
  <c r="AL271" i="6"/>
  <c r="AL268" i="6"/>
  <c r="AL28" i="8"/>
  <c r="AL91" i="7"/>
  <c r="AB7" i="9"/>
  <c r="AL5" i="8"/>
  <c r="AL80" i="7"/>
  <c r="AL52" i="7"/>
  <c r="AL97" i="7"/>
  <c r="AL59" i="7"/>
  <c r="AL42" i="7"/>
  <c r="AL45" i="8"/>
  <c r="AL87" i="7"/>
  <c r="AL70" i="7"/>
  <c r="AB16" i="9"/>
  <c r="AL21" i="8"/>
  <c r="AL93" i="7"/>
  <c r="AL63" i="7"/>
  <c r="AL42" i="8"/>
  <c r="AL30" i="8"/>
  <c r="AL26" i="8"/>
  <c r="AL82" i="7"/>
  <c r="AL64" i="7"/>
  <c r="AL34" i="7"/>
  <c r="AL82" i="8"/>
  <c r="AL57" i="8"/>
  <c r="AL55" i="8"/>
  <c r="AL16" i="8"/>
  <c r="AL83" i="7"/>
  <c r="AL75" i="7"/>
  <c r="AL17" i="8"/>
  <c r="AL49" i="8"/>
  <c r="AL47" i="8"/>
  <c r="AL24" i="8"/>
  <c r="AL13" i="8"/>
  <c r="AB11" i="9"/>
  <c r="AL89" i="7"/>
  <c r="AB3" i="9"/>
  <c r="AL80" i="8"/>
  <c r="AL6" i="8"/>
  <c r="AL43" i="7"/>
  <c r="AL4" i="8"/>
  <c r="AL100" i="7"/>
  <c r="AL98" i="8"/>
  <c r="AL58" i="8"/>
  <c r="AL50" i="7"/>
  <c r="AL9" i="7"/>
  <c r="AL310" i="6"/>
  <c r="AL301" i="6"/>
  <c r="AL299" i="6"/>
  <c r="AL295" i="6"/>
  <c r="AL293" i="6"/>
  <c r="AL12" i="8"/>
  <c r="AL27" i="7"/>
  <c r="AL53" i="7"/>
  <c r="AL312" i="6"/>
  <c r="AL27" i="8"/>
  <c r="AL30" i="7"/>
  <c r="AL9" i="8"/>
  <c r="AL85" i="7"/>
  <c r="AL54" i="7"/>
  <c r="AL38" i="7"/>
  <c r="AL96" i="7"/>
  <c r="AL297" i="6"/>
  <c r="AL32" i="7"/>
  <c r="AL23" i="8"/>
  <c r="AL31" i="7"/>
  <c r="AL56" i="7"/>
  <c r="AL67" i="7"/>
  <c r="AL33" i="7"/>
  <c r="AL15" i="7"/>
  <c r="AL6" i="7"/>
  <c r="AL71" i="8"/>
  <c r="AL101" i="7"/>
  <c r="AL71" i="7"/>
  <c r="AL65" i="7"/>
  <c r="AL19" i="7"/>
  <c r="AL18" i="7"/>
  <c r="AL84" i="7"/>
  <c r="AL60" i="7"/>
  <c r="AL11" i="7"/>
  <c r="AL7" i="7"/>
  <c r="AL57" i="7"/>
  <c r="AL44" i="7"/>
  <c r="AL12" i="7"/>
  <c r="AL278" i="6"/>
  <c r="AL39" i="7"/>
  <c r="AL68" i="8"/>
  <c r="AL22" i="7"/>
  <c r="AL283" i="6"/>
  <c r="AL37" i="7"/>
  <c r="AL305" i="6"/>
  <c r="AL290" i="6"/>
  <c r="AL29" i="7"/>
  <c r="AL17" i="7"/>
  <c r="AL16" i="7"/>
  <c r="AL13" i="7"/>
  <c r="AL304" i="6"/>
  <c r="AL79" i="7"/>
  <c r="AL275" i="6"/>
  <c r="AL267" i="6"/>
  <c r="AL282" i="6"/>
  <c r="AL266" i="6"/>
  <c r="AL308" i="6"/>
  <c r="AL281" i="6"/>
  <c r="AL272" i="6"/>
  <c r="AL262" i="6"/>
  <c r="AL245" i="6"/>
  <c r="AL234" i="6"/>
  <c r="AL8" i="7"/>
  <c r="AL248" i="6"/>
  <c r="AL91" i="8"/>
  <c r="AL311" i="6"/>
  <c r="AL240" i="6"/>
  <c r="AL270" i="6"/>
  <c r="AL249" i="6"/>
  <c r="AL229" i="6"/>
  <c r="AL228" i="6"/>
  <c r="AL28" i="7"/>
  <c r="AL25" i="7"/>
  <c r="AL277" i="6"/>
  <c r="AL274" i="6"/>
  <c r="AL273" i="6"/>
  <c r="AL265" i="6"/>
  <c r="AL260" i="6"/>
  <c r="AL256" i="6"/>
  <c r="AL230" i="6"/>
  <c r="AL227" i="6"/>
  <c r="AL49" i="7"/>
  <c r="AL250" i="6"/>
  <c r="AL241" i="6"/>
  <c r="AL232" i="6"/>
  <c r="AL231" i="6"/>
  <c r="AL63" i="8"/>
  <c r="AL233" i="6"/>
  <c r="AL226" i="6"/>
  <c r="AL276" i="6"/>
  <c r="AL3" i="8"/>
  <c r="AL61" i="7"/>
  <c r="AL2" i="7"/>
  <c r="AL296" i="6"/>
  <c r="AL86" i="7"/>
  <c r="AL76" i="7"/>
  <c r="AL218" i="6"/>
  <c r="AL215" i="6"/>
  <c r="AL36" i="7"/>
  <c r="AL258" i="6"/>
  <c r="AL214" i="6"/>
  <c r="AL202" i="6"/>
  <c r="AL191" i="6"/>
  <c r="AL180" i="6"/>
  <c r="AL169" i="6"/>
  <c r="AL158" i="6"/>
  <c r="AL147" i="6"/>
  <c r="AL136" i="6"/>
  <c r="AL125" i="6"/>
  <c r="AL114" i="6"/>
  <c r="AL213" i="6"/>
  <c r="AL255" i="6"/>
  <c r="AL243" i="6"/>
  <c r="AL220" i="6"/>
  <c r="AL216" i="6"/>
  <c r="AL207" i="6"/>
  <c r="AL196" i="6"/>
  <c r="AL185" i="6"/>
  <c r="AL174" i="6"/>
  <c r="AL163" i="6"/>
  <c r="AL152" i="6"/>
  <c r="AL141" i="6"/>
  <c r="AL130" i="6"/>
  <c r="AL119" i="6"/>
  <c r="AL23" i="7"/>
  <c r="AL292" i="6"/>
  <c r="AL287" i="6"/>
  <c r="AL247" i="6"/>
  <c r="AL254" i="6"/>
  <c r="AL236" i="6"/>
  <c r="AL222" i="6"/>
  <c r="AL212" i="6"/>
  <c r="AL201" i="6"/>
  <c r="AL190" i="6"/>
  <c r="AL179" i="6"/>
  <c r="AL168" i="6"/>
  <c r="AL157" i="6"/>
  <c r="AL146" i="6"/>
  <c r="AL135" i="6"/>
  <c r="AL124" i="6"/>
  <c r="AL113" i="6"/>
  <c r="AL263" i="6"/>
  <c r="AL239" i="6"/>
  <c r="AL200" i="6"/>
  <c r="AL186" i="6"/>
  <c r="AL155" i="6"/>
  <c r="AL102" i="6"/>
  <c r="AL91" i="6"/>
  <c r="AL80" i="6"/>
  <c r="AL69" i="6"/>
  <c r="AL58" i="6"/>
  <c r="AL206" i="6"/>
  <c r="AL192" i="6"/>
  <c r="AL161" i="6"/>
  <c r="AL198" i="6"/>
  <c r="AL167" i="6"/>
  <c r="AL153" i="6"/>
  <c r="AL107" i="6"/>
  <c r="AL96" i="6"/>
  <c r="AL85" i="6"/>
  <c r="AL74" i="6"/>
  <c r="AL63" i="6"/>
  <c r="AL78" i="7"/>
  <c r="AL303" i="6"/>
  <c r="AL204" i="6"/>
  <c r="AL173" i="6"/>
  <c r="AL159" i="6"/>
  <c r="AL128" i="6"/>
  <c r="AL210" i="6"/>
  <c r="AL165" i="6"/>
  <c r="AL134" i="6"/>
  <c r="AL117" i="6"/>
  <c r="AL101" i="6"/>
  <c r="AL90" i="6"/>
  <c r="AL79" i="6"/>
  <c r="AL171" i="6"/>
  <c r="AL140" i="6"/>
  <c r="AL126" i="6"/>
  <c r="AL24" i="7"/>
  <c r="AL264" i="6"/>
  <c r="AL183" i="6"/>
  <c r="AL138" i="6"/>
  <c r="AL298" i="6"/>
  <c r="AL279" i="6"/>
  <c r="AL252" i="6"/>
  <c r="AL224" i="6"/>
  <c r="AL166" i="6"/>
  <c r="AL118" i="6"/>
  <c r="AL97" i="6"/>
  <c r="AL67" i="6"/>
  <c r="AL60" i="6"/>
  <c r="AL46" i="6"/>
  <c r="AL35" i="6"/>
  <c r="AL40" i="7"/>
  <c r="AL170" i="6"/>
  <c r="AL156" i="6"/>
  <c r="AL103" i="6"/>
  <c r="AL286" i="6"/>
  <c r="AL235" i="6"/>
  <c r="AL160" i="6"/>
  <c r="AL109" i="6"/>
  <c r="AL78" i="6"/>
  <c r="AL59" i="6"/>
  <c r="AL51" i="6"/>
  <c r="AL40" i="6"/>
  <c r="AL29" i="6"/>
  <c r="AL81" i="8"/>
  <c r="AL285" i="6"/>
  <c r="AL221" i="6"/>
  <c r="AL164" i="6"/>
  <c r="AL150" i="6"/>
  <c r="AL237" i="6"/>
  <c r="AL154" i="6"/>
  <c r="AL84" i="6"/>
  <c r="AL76" i="6"/>
  <c r="AL71" i="6"/>
  <c r="AL45" i="6"/>
  <c r="AL34" i="6"/>
  <c r="AL151" i="6"/>
  <c r="AL144" i="6"/>
  <c r="AL111" i="6"/>
  <c r="AL82" i="6"/>
  <c r="AL68" i="6"/>
  <c r="AL57" i="6"/>
  <c r="AL148" i="6"/>
  <c r="AL88" i="6"/>
  <c r="AL50" i="6"/>
  <c r="AL39" i="6"/>
  <c r="AL28" i="6"/>
  <c r="AL289" i="6"/>
  <c r="AL211" i="6"/>
  <c r="AL145" i="6"/>
  <c r="AL116" i="6"/>
  <c r="AL94" i="6"/>
  <c r="AL56" i="6"/>
  <c r="AL217" i="6"/>
  <c r="AL193" i="6"/>
  <c r="AL120" i="6"/>
  <c r="AL24" i="6"/>
  <c r="AL300" i="6"/>
  <c r="AL244" i="6"/>
  <c r="AL219" i="6"/>
  <c r="AL203" i="6"/>
  <c r="AL238" i="6"/>
  <c r="AL105" i="6"/>
  <c r="AL188" i="6"/>
  <c r="AL89" i="6"/>
  <c r="AL87" i="6"/>
  <c r="AL66" i="6"/>
  <c r="AL54" i="6"/>
  <c r="AL31" i="6"/>
  <c r="AL20" i="6"/>
  <c r="AL127" i="6"/>
  <c r="AL172" i="6"/>
  <c r="AL115" i="6"/>
  <c r="AL110" i="6"/>
  <c r="AL108" i="6"/>
  <c r="AL65" i="6"/>
  <c r="AL36" i="6"/>
  <c r="AL33" i="6"/>
  <c r="AL14" i="6"/>
  <c r="AL3" i="6"/>
  <c r="AL246" i="6"/>
  <c r="AL175" i="6"/>
  <c r="AL133" i="6"/>
  <c r="AL92" i="6"/>
  <c r="AL52" i="6"/>
  <c r="AL17" i="6"/>
  <c r="AL242" i="6"/>
  <c r="AL205" i="6"/>
  <c r="AL13" i="6"/>
  <c r="AL149" i="6"/>
  <c r="AL26" i="6"/>
  <c r="AL5" i="6"/>
  <c r="AL62" i="6"/>
  <c r="AL61" i="6"/>
  <c r="AL178" i="6"/>
  <c r="AL122" i="6"/>
  <c r="AL73" i="6"/>
  <c r="AL18" i="6"/>
  <c r="AL259" i="6"/>
  <c r="AL86" i="6"/>
  <c r="AL22" i="6"/>
  <c r="AL10" i="6"/>
  <c r="AL112" i="6"/>
  <c r="AL4" i="7"/>
  <c r="AL176" i="6"/>
  <c r="AL121" i="6"/>
  <c r="AL32" i="6"/>
  <c r="AL132" i="6"/>
  <c r="AL100" i="6"/>
  <c r="AL284" i="6"/>
  <c r="AL55" i="6"/>
  <c r="AL47" i="6"/>
  <c r="AL12" i="6"/>
  <c r="AL4" i="6"/>
  <c r="AL208" i="6"/>
  <c r="AL184" i="6"/>
  <c r="AL162" i="6"/>
  <c r="AL253" i="6"/>
  <c r="AL195" i="6"/>
  <c r="AL129" i="6"/>
  <c r="AL106" i="6"/>
  <c r="AL25" i="6"/>
  <c r="AL225" i="6"/>
  <c r="AL182" i="6"/>
  <c r="AL37" i="6"/>
  <c r="AL181" i="6"/>
  <c r="AL41" i="6"/>
  <c r="AL123" i="6"/>
  <c r="AL98" i="6"/>
  <c r="AL48" i="6"/>
  <c r="AL44" i="6"/>
  <c r="AL7" i="6"/>
  <c r="AL104" i="6"/>
  <c r="AL23" i="6"/>
  <c r="AL19" i="6"/>
  <c r="AL72" i="6"/>
  <c r="AL30" i="6"/>
  <c r="AL9" i="6"/>
  <c r="AL223" i="6"/>
  <c r="AL21" i="6"/>
  <c r="AL11" i="6"/>
  <c r="AL197" i="6"/>
  <c r="AL2" i="6"/>
  <c r="AL53" i="6"/>
  <c r="AL15" i="6"/>
  <c r="AL199" i="6"/>
  <c r="AL142" i="6"/>
  <c r="AL81" i="6"/>
  <c r="AL288" i="6"/>
  <c r="AL139" i="6"/>
  <c r="AL95" i="6"/>
  <c r="AL27" i="6"/>
  <c r="AL8" i="6"/>
  <c r="AL251" i="6"/>
  <c r="AL16" i="6"/>
  <c r="AL83" i="6"/>
  <c r="AL99" i="6"/>
  <c r="AL43" i="6"/>
  <c r="AL6" i="6"/>
  <c r="AL42" i="6"/>
  <c r="AL75" i="6"/>
  <c r="AL189" i="6"/>
  <c r="AL177" i="6"/>
  <c r="AL194" i="6"/>
  <c r="AL49" i="6"/>
  <c r="AL143" i="6"/>
  <c r="AL209" i="6"/>
  <c r="AL70" i="6"/>
  <c r="AL131" i="6"/>
  <c r="AL64" i="6"/>
  <c r="AL38" i="6"/>
  <c r="AL257" i="6"/>
  <c r="AL137" i="6"/>
  <c r="AL93" i="6"/>
  <c r="AL77" i="6"/>
  <c r="AL187" i="6"/>
  <c r="S3" i="9"/>
  <c r="AC95" i="8"/>
  <c r="AC79" i="8"/>
  <c r="AC68" i="8"/>
  <c r="AC57" i="8"/>
  <c r="AC49" i="8"/>
  <c r="AC38" i="8"/>
  <c r="S9" i="9"/>
  <c r="AC53" i="8"/>
  <c r="AC41" i="8"/>
  <c r="AC8" i="8"/>
  <c r="S10" i="9"/>
  <c r="S4" i="9"/>
  <c r="S8" i="9"/>
  <c r="S2" i="9"/>
  <c r="AC84" i="8"/>
  <c r="AC82" i="8"/>
  <c r="AC69" i="8"/>
  <c r="AC66" i="8"/>
  <c r="AC96" i="8"/>
  <c r="AC58" i="8"/>
  <c r="AC55" i="8"/>
  <c r="AC26" i="8"/>
  <c r="AC44" i="8"/>
  <c r="AC39" i="8"/>
  <c r="AC91" i="8"/>
  <c r="S15" i="9"/>
  <c r="AC56" i="8"/>
  <c r="AC52" i="8"/>
  <c r="AC74" i="8"/>
  <c r="AC60" i="8"/>
  <c r="AC30" i="8"/>
  <c r="AC25" i="8"/>
  <c r="AC83" i="7"/>
  <c r="AC44" i="7"/>
  <c r="AC33" i="7"/>
  <c r="AC90" i="8"/>
  <c r="AC88" i="8"/>
  <c r="AC87" i="8"/>
  <c r="AC72" i="8"/>
  <c r="AC59" i="8"/>
  <c r="AC99" i="7"/>
  <c r="AC80" i="7"/>
  <c r="AC65" i="7"/>
  <c r="AC83" i="8"/>
  <c r="AC92" i="7"/>
  <c r="AC73" i="7"/>
  <c r="S5" i="9"/>
  <c r="AC94" i="8"/>
  <c r="AC50" i="8"/>
  <c r="AC48" i="8"/>
  <c r="AC46" i="8"/>
  <c r="AC36" i="8"/>
  <c r="AC90" i="7"/>
  <c r="AC64" i="7"/>
  <c r="AC92" i="8"/>
  <c r="AC81" i="8"/>
  <c r="AC63" i="8"/>
  <c r="AC62" i="8"/>
  <c r="AC22" i="8"/>
  <c r="AC13" i="8"/>
  <c r="AC93" i="7"/>
  <c r="AC70" i="7"/>
  <c r="AC32" i="7"/>
  <c r="AC16" i="7"/>
  <c r="AC75" i="8"/>
  <c r="AC73" i="8"/>
  <c r="AC17" i="8"/>
  <c r="AC58" i="7"/>
  <c r="AC34" i="7"/>
  <c r="AC7" i="7"/>
  <c r="AC312" i="6"/>
  <c r="AC301" i="6"/>
  <c r="AC290" i="6"/>
  <c r="AC279" i="6"/>
  <c r="AC268" i="6"/>
  <c r="AC262" i="6"/>
  <c r="AC86" i="8"/>
  <c r="AC61" i="8"/>
  <c r="AC51" i="8"/>
  <c r="AC27" i="8"/>
  <c r="AC91" i="7"/>
  <c r="AC45" i="8"/>
  <c r="AC80" i="8"/>
  <c r="AC99" i="8"/>
  <c r="AC34" i="8"/>
  <c r="AC19" i="8"/>
  <c r="AC5" i="8"/>
  <c r="AC79" i="7"/>
  <c r="AC89" i="8"/>
  <c r="AC59" i="7"/>
  <c r="AC56" i="7"/>
  <c r="AC50" i="7"/>
  <c r="AC47" i="7"/>
  <c r="AC29" i="7"/>
  <c r="AC97" i="7"/>
  <c r="AC31" i="7"/>
  <c r="AC20" i="7"/>
  <c r="AC311" i="6"/>
  <c r="AC287" i="6"/>
  <c r="AC98" i="8"/>
  <c r="AC71" i="8"/>
  <c r="AC37" i="8"/>
  <c r="AC16" i="8"/>
  <c r="AC6" i="8"/>
  <c r="AC98" i="7"/>
  <c r="AC84" i="7"/>
  <c r="AC75" i="7"/>
  <c r="AC38" i="7"/>
  <c r="AC15" i="7"/>
  <c r="AC4" i="7"/>
  <c r="AC267" i="6"/>
  <c r="AC31" i="8"/>
  <c r="AC95" i="7"/>
  <c r="AC3" i="8"/>
  <c r="AC45" i="7"/>
  <c r="AC26" i="7"/>
  <c r="AC19" i="7"/>
  <c r="S14" i="9"/>
  <c r="AC93" i="8"/>
  <c r="AC64" i="8"/>
  <c r="AC43" i="8"/>
  <c r="AC4" i="8"/>
  <c r="AC62" i="7"/>
  <c r="S16" i="9"/>
  <c r="S7" i="9"/>
  <c r="AC67" i="8"/>
  <c r="AC2" i="8"/>
  <c r="AC81" i="7"/>
  <c r="AC60" i="7"/>
  <c r="AC14" i="8"/>
  <c r="AC51" i="7"/>
  <c r="AC46" i="7"/>
  <c r="S13" i="9"/>
  <c r="AC85" i="8"/>
  <c r="AC47" i="8"/>
  <c r="AC21" i="8"/>
  <c r="AC15" i="8"/>
  <c r="AC10" i="8"/>
  <c r="AC42" i="8"/>
  <c r="AC82" i="7"/>
  <c r="AC40" i="8"/>
  <c r="AC7" i="8"/>
  <c r="AC33" i="8"/>
  <c r="AC96" i="7"/>
  <c r="AC66" i="7"/>
  <c r="AC94" i="7"/>
  <c r="AC77" i="7"/>
  <c r="AC61" i="7"/>
  <c r="AC53" i="7"/>
  <c r="AC52" i="7"/>
  <c r="S6" i="9"/>
  <c r="AC29" i="8"/>
  <c r="AC28" i="8"/>
  <c r="AC71" i="7"/>
  <c r="AC36" i="7"/>
  <c r="AC21" i="7"/>
  <c r="AC14" i="7"/>
  <c r="AC40" i="7"/>
  <c r="AC25" i="7"/>
  <c r="AC57" i="7"/>
  <c r="AC48" i="7"/>
  <c r="AC28" i="7"/>
  <c r="AC23" i="7"/>
  <c r="AC89" i="7"/>
  <c r="AC49" i="7"/>
  <c r="AC3" i="7"/>
  <c r="AC306" i="6"/>
  <c r="AC54" i="8"/>
  <c r="AC23" i="8"/>
  <c r="AC69" i="7"/>
  <c r="AC85" i="7"/>
  <c r="AC298" i="6"/>
  <c r="AC11" i="8"/>
  <c r="AC78" i="7"/>
  <c r="AC30" i="7"/>
  <c r="AC65" i="8"/>
  <c r="AC76" i="7"/>
  <c r="AC310" i="6"/>
  <c r="AC284" i="6"/>
  <c r="AC278" i="6"/>
  <c r="AC101" i="8"/>
  <c r="AC22" i="7"/>
  <c r="AC10" i="7"/>
  <c r="AC20" i="8"/>
  <c r="AC313" i="6"/>
  <c r="AC78" i="8"/>
  <c r="AC41" i="7"/>
  <c r="AC70" i="8"/>
  <c r="AC32" i="8"/>
  <c r="AC87" i="7"/>
  <c r="AC42" i="7"/>
  <c r="AC13" i="7"/>
  <c r="S12" i="9"/>
  <c r="AC6" i="7"/>
  <c r="AC5" i="7"/>
  <c r="AC288" i="6"/>
  <c r="AC276" i="6"/>
  <c r="S11" i="9"/>
  <c r="AC24" i="8"/>
  <c r="AC9" i="7"/>
  <c r="AC100" i="8"/>
  <c r="AC77" i="8"/>
  <c r="AC88" i="7"/>
  <c r="AC291" i="6"/>
  <c r="AC273" i="6"/>
  <c r="AC76" i="8"/>
  <c r="AC74" i="7"/>
  <c r="AC8" i="7"/>
  <c r="AC296" i="6"/>
  <c r="AC100" i="7"/>
  <c r="AC68" i="7"/>
  <c r="AC54" i="7"/>
  <c r="AC39" i="7"/>
  <c r="AC12" i="7"/>
  <c r="AC281" i="6"/>
  <c r="AC67" i="7"/>
  <c r="AC300" i="6"/>
  <c r="AC257" i="6"/>
  <c r="AC249" i="6"/>
  <c r="AC238" i="6"/>
  <c r="AC227" i="6"/>
  <c r="AC216" i="6"/>
  <c r="AC295" i="6"/>
  <c r="AC285" i="6"/>
  <c r="AC261" i="6"/>
  <c r="AC248" i="6"/>
  <c r="AC237" i="6"/>
  <c r="AC97" i="8"/>
  <c r="AC283" i="6"/>
  <c r="AC294" i="6"/>
  <c r="AC245" i="6"/>
  <c r="AC221" i="6"/>
  <c r="AC254" i="6"/>
  <c r="AC86" i="7"/>
  <c r="AC246" i="6"/>
  <c r="AC220" i="6"/>
  <c r="AC263" i="6"/>
  <c r="AC101" i="7"/>
  <c r="AC304" i="6"/>
  <c r="AC270" i="6"/>
  <c r="AC247" i="6"/>
  <c r="AC219" i="6"/>
  <c r="AC289" i="6"/>
  <c r="AC269" i="6"/>
  <c r="AC258" i="6"/>
  <c r="AC255" i="6"/>
  <c r="AC35" i="8"/>
  <c r="AC302" i="6"/>
  <c r="AC272" i="6"/>
  <c r="AC266" i="6"/>
  <c r="AC218" i="6"/>
  <c r="AC72" i="7"/>
  <c r="AC12" i="8"/>
  <c r="AC17" i="7"/>
  <c r="AC299" i="6"/>
  <c r="AC274" i="6"/>
  <c r="AC228" i="6"/>
  <c r="AC210" i="6"/>
  <c r="AC199" i="6"/>
  <c r="AC188" i="6"/>
  <c r="AC177" i="6"/>
  <c r="AC166" i="6"/>
  <c r="AC155" i="6"/>
  <c r="AC144" i="6"/>
  <c r="AC133" i="6"/>
  <c r="AC122" i="6"/>
  <c r="AC111" i="6"/>
  <c r="AC297" i="6"/>
  <c r="AC234" i="6"/>
  <c r="AC11" i="7"/>
  <c r="AC256" i="6"/>
  <c r="AC204" i="6"/>
  <c r="AC193" i="6"/>
  <c r="AC182" i="6"/>
  <c r="AC171" i="6"/>
  <c r="AC160" i="6"/>
  <c r="AC149" i="6"/>
  <c r="AC138" i="6"/>
  <c r="AC127" i="6"/>
  <c r="AC116" i="6"/>
  <c r="AC309" i="6"/>
  <c r="AC282" i="6"/>
  <c r="AC251" i="6"/>
  <c r="AC223" i="6"/>
  <c r="AC209" i="6"/>
  <c r="AC198" i="6"/>
  <c r="AC187" i="6"/>
  <c r="AC176" i="6"/>
  <c r="AC165" i="6"/>
  <c r="AC154" i="6"/>
  <c r="AC143" i="6"/>
  <c r="AC132" i="6"/>
  <c r="AC121" i="6"/>
  <c r="AC35" i="7"/>
  <c r="AC277" i="6"/>
  <c r="AC260" i="6"/>
  <c r="AC259" i="6"/>
  <c r="AC240" i="6"/>
  <c r="AC9" i="8"/>
  <c r="AC244" i="6"/>
  <c r="AC230" i="6"/>
  <c r="AC225" i="6"/>
  <c r="AC203" i="6"/>
  <c r="AC192" i="6"/>
  <c r="AC181" i="6"/>
  <c r="AC170" i="6"/>
  <c r="AC159" i="6"/>
  <c r="AC148" i="6"/>
  <c r="AC137" i="6"/>
  <c r="AC126" i="6"/>
  <c r="AC226" i="6"/>
  <c r="AC213" i="6"/>
  <c r="AC205" i="6"/>
  <c r="AC174" i="6"/>
  <c r="AC129" i="6"/>
  <c r="AC253" i="6"/>
  <c r="AC211" i="6"/>
  <c r="AC180" i="6"/>
  <c r="AC135" i="6"/>
  <c r="AC123" i="6"/>
  <c r="AC104" i="6"/>
  <c r="AC93" i="6"/>
  <c r="AC82" i="6"/>
  <c r="AC239" i="6"/>
  <c r="AC229" i="6"/>
  <c r="AC215" i="6"/>
  <c r="AC186" i="6"/>
  <c r="AC172" i="6"/>
  <c r="AC141" i="6"/>
  <c r="AC112" i="6"/>
  <c r="AC308" i="6"/>
  <c r="AC178" i="6"/>
  <c r="AC147" i="6"/>
  <c r="AC109" i="6"/>
  <c r="AC98" i="6"/>
  <c r="AC87" i="6"/>
  <c r="AC76" i="6"/>
  <c r="AC65" i="6"/>
  <c r="AC184" i="6"/>
  <c r="AC153" i="6"/>
  <c r="AC139" i="6"/>
  <c r="AC113" i="6"/>
  <c r="AC55" i="7"/>
  <c r="AC303" i="6"/>
  <c r="AC286" i="6"/>
  <c r="AC190" i="6"/>
  <c r="AC145" i="6"/>
  <c r="AC103" i="6"/>
  <c r="AC92" i="6"/>
  <c r="AC81" i="6"/>
  <c r="AC70" i="6"/>
  <c r="AC271" i="6"/>
  <c r="AC232" i="6"/>
  <c r="AC231" i="6"/>
  <c r="AC202" i="6"/>
  <c r="AC157" i="6"/>
  <c r="AC119" i="6"/>
  <c r="AC108" i="6"/>
  <c r="AC97" i="6"/>
  <c r="AC86" i="6"/>
  <c r="AC75" i="6"/>
  <c r="AC275" i="6"/>
  <c r="AC179" i="6"/>
  <c r="AC85" i="6"/>
  <c r="AC183" i="6"/>
  <c r="AC169" i="6"/>
  <c r="AC91" i="6"/>
  <c r="AC77" i="6"/>
  <c r="AC48" i="6"/>
  <c r="AC37" i="6"/>
  <c r="AC26" i="6"/>
  <c r="AC173" i="6"/>
  <c r="AC120" i="6"/>
  <c r="AC83" i="6"/>
  <c r="AC242" i="6"/>
  <c r="AC163" i="6"/>
  <c r="AC89" i="6"/>
  <c r="AC73" i="6"/>
  <c r="AC53" i="6"/>
  <c r="AC42" i="6"/>
  <c r="AC31" i="6"/>
  <c r="AC63" i="7"/>
  <c r="AC265" i="6"/>
  <c r="AC167" i="6"/>
  <c r="AC95" i="6"/>
  <c r="AC164" i="6"/>
  <c r="AC101" i="6"/>
  <c r="AC66" i="6"/>
  <c r="AC47" i="6"/>
  <c r="AC36" i="6"/>
  <c r="AC25" i="6"/>
  <c r="AC37" i="7"/>
  <c r="AC293" i="6"/>
  <c r="AC250" i="6"/>
  <c r="AC168" i="6"/>
  <c r="AC161" i="6"/>
  <c r="AC107" i="6"/>
  <c r="AC2" i="7"/>
  <c r="AC252" i="6"/>
  <c r="AC158" i="6"/>
  <c r="AC99" i="6"/>
  <c r="AC62" i="6"/>
  <c r="AC61" i="6"/>
  <c r="AC52" i="6"/>
  <c r="AC41" i="6"/>
  <c r="AC30" i="6"/>
  <c r="AC292" i="6"/>
  <c r="AC233" i="6"/>
  <c r="AC208" i="6"/>
  <c r="AC146" i="6"/>
  <c r="AC117" i="6"/>
  <c r="AC102" i="6"/>
  <c r="AC100" i="6"/>
  <c r="AC68" i="6"/>
  <c r="AC50" i="6"/>
  <c r="AC27" i="6"/>
  <c r="AC23" i="6"/>
  <c r="AC12" i="6"/>
  <c r="AC185" i="6"/>
  <c r="AC241" i="6"/>
  <c r="AC195" i="6"/>
  <c r="AC152" i="6"/>
  <c r="AC67" i="6"/>
  <c r="AC32" i="6"/>
  <c r="AC29" i="6"/>
  <c r="AC24" i="6"/>
  <c r="AC17" i="6"/>
  <c r="AC6" i="6"/>
  <c r="AC235" i="6"/>
  <c r="AC114" i="6"/>
  <c r="AC105" i="6"/>
  <c r="AC55" i="6"/>
  <c r="AC27" i="7"/>
  <c r="AC222" i="6"/>
  <c r="AC217" i="6"/>
  <c r="AC34" i="6"/>
  <c r="AC22" i="6"/>
  <c r="AC11" i="6"/>
  <c r="AC307" i="6"/>
  <c r="AC124" i="6"/>
  <c r="AC224" i="6"/>
  <c r="AC39" i="6"/>
  <c r="AC16" i="6"/>
  <c r="AC5" i="6"/>
  <c r="AC24" i="7"/>
  <c r="AC110" i="6"/>
  <c r="AC88" i="6"/>
  <c r="AC51" i="6"/>
  <c r="AC46" i="6"/>
  <c r="AC156" i="6"/>
  <c r="AC54" i="6"/>
  <c r="AC49" i="6"/>
  <c r="AC44" i="6"/>
  <c r="AC21" i="6"/>
  <c r="AC43" i="7"/>
  <c r="AC58" i="6"/>
  <c r="AC45" i="6"/>
  <c r="AC40" i="6"/>
  <c r="AC35" i="6"/>
  <c r="AC151" i="6"/>
  <c r="AC140" i="6"/>
  <c r="AC131" i="6"/>
  <c r="AC43" i="6"/>
  <c r="AC38" i="6"/>
  <c r="AC33" i="6"/>
  <c r="AC28" i="6"/>
  <c r="AC8" i="6"/>
  <c r="AC18" i="8"/>
  <c r="AC18" i="7"/>
  <c r="AC212" i="6"/>
  <c r="AC9" i="6"/>
  <c r="AC243" i="6"/>
  <c r="AC236" i="6"/>
  <c r="AC15" i="6"/>
  <c r="AC10" i="6"/>
  <c r="AC64" i="6"/>
  <c r="AC71" i="6"/>
  <c r="AC150" i="6"/>
  <c r="AC78" i="6"/>
  <c r="AC115" i="6"/>
  <c r="AC2" i="6"/>
  <c r="AC189" i="6"/>
  <c r="AC90" i="6"/>
  <c r="AC80" i="6"/>
  <c r="AC18" i="6"/>
  <c r="AC13" i="6"/>
  <c r="AC84" i="6"/>
  <c r="AC94" i="6"/>
  <c r="AC106" i="6"/>
  <c r="AC96" i="6"/>
  <c r="AC69" i="6"/>
  <c r="AC20" i="6"/>
  <c r="AC59" i="6"/>
  <c r="AC74" i="6"/>
  <c r="AC280" i="6"/>
  <c r="AC175" i="6"/>
  <c r="AC305" i="6"/>
  <c r="AC207" i="6"/>
  <c r="AC130" i="6"/>
  <c r="AC63" i="6"/>
  <c r="AC60" i="6"/>
  <c r="AC72" i="6"/>
  <c r="AC14" i="6"/>
  <c r="AC200" i="6"/>
  <c r="AC7" i="6"/>
  <c r="AC264" i="6"/>
  <c r="AC136" i="6"/>
  <c r="AC128" i="6"/>
  <c r="AC206" i="6"/>
  <c r="AC142" i="6"/>
  <c r="AC57" i="6"/>
  <c r="AC118" i="6"/>
  <c r="AC197" i="6"/>
  <c r="AC191" i="6"/>
  <c r="AC134" i="6"/>
  <c r="AC56" i="6"/>
  <c r="AC4" i="6"/>
  <c r="AC79" i="6"/>
  <c r="AC162" i="6"/>
  <c r="AC19" i="6"/>
  <c r="AC125" i="6"/>
  <c r="AC201" i="6"/>
  <c r="AC194" i="6"/>
  <c r="AC196" i="6"/>
  <c r="AC214" i="6"/>
  <c r="AC3" i="6"/>
  <c r="U12" i="9"/>
  <c r="U4" i="9"/>
  <c r="AE84" i="8"/>
  <c r="AE74" i="8"/>
  <c r="AE63" i="8"/>
  <c r="AE43" i="8"/>
  <c r="U14" i="9"/>
  <c r="AE92" i="8"/>
  <c r="AE89" i="8"/>
  <c r="AE76" i="8"/>
  <c r="AE57" i="8"/>
  <c r="AE52" i="8"/>
  <c r="AE40" i="8"/>
  <c r="U7" i="9"/>
  <c r="U11" i="9"/>
  <c r="AE101" i="8"/>
  <c r="AE100" i="8"/>
  <c r="AE98" i="8"/>
  <c r="AE96" i="8"/>
  <c r="U10" i="9"/>
  <c r="AE80" i="8"/>
  <c r="AE90" i="8"/>
  <c r="AE72" i="8"/>
  <c r="AE99" i="8"/>
  <c r="AE86" i="8"/>
  <c r="AE64" i="8"/>
  <c r="AE37" i="8"/>
  <c r="AE25" i="8"/>
  <c r="AE97" i="8"/>
  <c r="AE70" i="8"/>
  <c r="U8" i="9"/>
  <c r="AE91" i="8"/>
  <c r="AE58" i="8"/>
  <c r="AE45" i="8"/>
  <c r="U9" i="9"/>
  <c r="AE62" i="8"/>
  <c r="AE66" i="8"/>
  <c r="AE72" i="7"/>
  <c r="AE49" i="7"/>
  <c r="AE38" i="7"/>
  <c r="AE27" i="7"/>
  <c r="U5" i="9"/>
  <c r="U2" i="9"/>
  <c r="AE78" i="8"/>
  <c r="AE77" i="8"/>
  <c r="AE39" i="8"/>
  <c r="AE36" i="8"/>
  <c r="AE88" i="7"/>
  <c r="AE69" i="7"/>
  <c r="AE93" i="8"/>
  <c r="AE61" i="8"/>
  <c r="AE16" i="8"/>
  <c r="AE85" i="7"/>
  <c r="AE59" i="7"/>
  <c r="AE65" i="8"/>
  <c r="AE60" i="8"/>
  <c r="AE31" i="8"/>
  <c r="AE22" i="8"/>
  <c r="AE17" i="8"/>
  <c r="AE12" i="8"/>
  <c r="AE95" i="7"/>
  <c r="U13" i="9"/>
  <c r="AE82" i="8"/>
  <c r="AE47" i="8"/>
  <c r="AE86" i="7"/>
  <c r="AE63" i="7"/>
  <c r="AE50" i="7"/>
  <c r="AE15" i="7"/>
  <c r="AE6" i="7"/>
  <c r="AE83" i="8"/>
  <c r="AE71" i="8"/>
  <c r="AE41" i="8"/>
  <c r="AE20" i="8"/>
  <c r="AE6" i="8"/>
  <c r="AE97" i="7"/>
  <c r="AE67" i="7"/>
  <c r="AE44" i="7"/>
  <c r="AE35" i="7"/>
  <c r="AE307" i="6"/>
  <c r="AE296" i="6"/>
  <c r="AE285" i="6"/>
  <c r="AE274" i="6"/>
  <c r="AE79" i="8"/>
  <c r="AE94" i="7"/>
  <c r="AE62" i="7"/>
  <c r="AE53" i="7"/>
  <c r="AE2" i="7"/>
  <c r="AE29" i="8"/>
  <c r="AE40" i="7"/>
  <c r="AE68" i="8"/>
  <c r="AE50" i="8"/>
  <c r="AE32" i="8"/>
  <c r="AE15" i="8"/>
  <c r="AE71" i="7"/>
  <c r="AE81" i="8"/>
  <c r="AE38" i="8"/>
  <c r="AE84" i="7"/>
  <c r="AE75" i="7"/>
  <c r="AE45" i="7"/>
  <c r="AE304" i="6"/>
  <c r="AE293" i="6"/>
  <c r="AE270" i="6"/>
  <c r="AE267" i="6"/>
  <c r="AE35" i="8"/>
  <c r="AE5" i="8"/>
  <c r="AE4" i="8"/>
  <c r="AE74" i="7"/>
  <c r="AE24" i="7"/>
  <c r="AE273" i="6"/>
  <c r="U16" i="9"/>
  <c r="U6" i="9"/>
  <c r="AE42" i="8"/>
  <c r="AE93" i="7"/>
  <c r="AE48" i="8"/>
  <c r="AE95" i="8"/>
  <c r="AE53" i="8"/>
  <c r="AE28" i="8"/>
  <c r="AE96" i="7"/>
  <c r="AE33" i="7"/>
  <c r="AE59" i="8"/>
  <c r="AE49" i="8"/>
  <c r="AE44" i="8"/>
  <c r="AE88" i="8"/>
  <c r="AE98" i="7"/>
  <c r="AE83" i="7"/>
  <c r="AE80" i="7"/>
  <c r="AE78" i="7"/>
  <c r="AE14" i="8"/>
  <c r="AE61" i="7"/>
  <c r="AE51" i="7"/>
  <c r="AE85" i="8"/>
  <c r="AE21" i="8"/>
  <c r="AE10" i="8"/>
  <c r="AE87" i="7"/>
  <c r="AE73" i="7"/>
  <c r="AE30" i="8"/>
  <c r="AE7" i="8"/>
  <c r="AE55" i="8"/>
  <c r="AE34" i="8"/>
  <c r="AE60" i="7"/>
  <c r="AE99" i="7"/>
  <c r="AE73" i="8"/>
  <c r="AE67" i="8"/>
  <c r="AE51" i="8"/>
  <c r="AE91" i="7"/>
  <c r="U15" i="9"/>
  <c r="AE56" i="8"/>
  <c r="AE24" i="8"/>
  <c r="AE13" i="8"/>
  <c r="AE11" i="8"/>
  <c r="AE87" i="8"/>
  <c r="AE28" i="7"/>
  <c r="AE25" i="7"/>
  <c r="AE23" i="7"/>
  <c r="AE313" i="6"/>
  <c r="U3" i="9"/>
  <c r="AE75" i="8"/>
  <c r="AE89" i="7"/>
  <c r="AE57" i="7"/>
  <c r="AE48" i="7"/>
  <c r="AE19" i="7"/>
  <c r="AE33" i="8"/>
  <c r="AE23" i="8"/>
  <c r="AE77" i="7"/>
  <c r="AE54" i="8"/>
  <c r="AE31" i="7"/>
  <c r="AE17" i="7"/>
  <c r="AE7" i="7"/>
  <c r="AE5" i="7"/>
  <c r="AE52" i="7"/>
  <c r="AE47" i="7"/>
  <c r="AE27" i="8"/>
  <c r="AE39" i="7"/>
  <c r="AE310" i="6"/>
  <c r="AE290" i="6"/>
  <c r="AE284" i="6"/>
  <c r="AE268" i="6"/>
  <c r="AE76" i="7"/>
  <c r="AE58" i="7"/>
  <c r="AE46" i="7"/>
  <c r="AE29" i="7"/>
  <c r="AE22" i="7"/>
  <c r="AE10" i="7"/>
  <c r="AE90" i="7"/>
  <c r="AE16" i="7"/>
  <c r="AE303" i="6"/>
  <c r="AE292" i="6"/>
  <c r="AE94" i="8"/>
  <c r="AE8" i="8"/>
  <c r="AE41" i="7"/>
  <c r="AE4" i="7"/>
  <c r="AE42" i="7"/>
  <c r="AE309" i="6"/>
  <c r="AE81" i="7"/>
  <c r="AE36" i="7"/>
  <c r="AE34" i="7"/>
  <c r="AE21" i="7"/>
  <c r="AE9" i="7"/>
  <c r="AE46" i="8"/>
  <c r="AE65" i="7"/>
  <c r="AE291" i="6"/>
  <c r="AE260" i="6"/>
  <c r="AE8" i="7"/>
  <c r="AE19" i="8"/>
  <c r="AE100" i="7"/>
  <c r="AE54" i="7"/>
  <c r="AE68" i="7"/>
  <c r="AE281" i="6"/>
  <c r="AE265" i="6"/>
  <c r="AE12" i="7"/>
  <c r="AE11" i="7"/>
  <c r="AE26" i="7"/>
  <c r="AE13" i="7"/>
  <c r="AE287" i="6"/>
  <c r="AE37" i="7"/>
  <c r="AE69" i="8"/>
  <c r="AE3" i="7"/>
  <c r="AE294" i="6"/>
  <c r="AE254" i="6"/>
  <c r="AE243" i="6"/>
  <c r="AE232" i="6"/>
  <c r="AE221" i="6"/>
  <c r="AE79" i="7"/>
  <c r="AE253" i="6"/>
  <c r="AE242" i="6"/>
  <c r="AE231" i="6"/>
  <c r="AE264" i="6"/>
  <c r="AE26" i="8"/>
  <c r="AE246" i="6"/>
  <c r="AE237" i="6"/>
  <c r="AE220" i="6"/>
  <c r="AE101" i="7"/>
  <c r="AE298" i="6"/>
  <c r="AE263" i="6"/>
  <c r="AE219" i="6"/>
  <c r="AE288" i="6"/>
  <c r="AE269" i="6"/>
  <c r="AE255" i="6"/>
  <c r="AE247" i="6"/>
  <c r="AE238" i="6"/>
  <c r="AE302" i="6"/>
  <c r="AE295" i="6"/>
  <c r="AE289" i="6"/>
  <c r="AE266" i="6"/>
  <c r="AE258" i="6"/>
  <c r="AE218" i="6"/>
  <c r="AE299" i="6"/>
  <c r="AE272" i="6"/>
  <c r="AE271" i="6"/>
  <c r="AE239" i="6"/>
  <c r="AE92" i="7"/>
  <c r="AE248" i="6"/>
  <c r="AE217" i="6"/>
  <c r="AE56" i="7"/>
  <c r="AE262" i="6"/>
  <c r="AE14" i="7"/>
  <c r="AE204" i="6"/>
  <c r="AE193" i="6"/>
  <c r="AE182" i="6"/>
  <c r="AE171" i="6"/>
  <c r="AE160" i="6"/>
  <c r="AE149" i="6"/>
  <c r="AE138" i="6"/>
  <c r="AE127" i="6"/>
  <c r="AE116" i="6"/>
  <c r="AE256" i="6"/>
  <c r="AE257" i="6"/>
  <c r="AE251" i="6"/>
  <c r="AE223" i="6"/>
  <c r="AE209" i="6"/>
  <c r="AE198" i="6"/>
  <c r="AE187" i="6"/>
  <c r="AE176" i="6"/>
  <c r="AE165" i="6"/>
  <c r="AE154" i="6"/>
  <c r="AE143" i="6"/>
  <c r="AE132" i="6"/>
  <c r="AE121" i="6"/>
  <c r="AE66" i="7"/>
  <c r="AE282" i="6"/>
  <c r="AE259" i="6"/>
  <c r="AE240" i="6"/>
  <c r="AE9" i="8"/>
  <c r="AE312" i="6"/>
  <c r="AE277" i="6"/>
  <c r="AE244" i="6"/>
  <c r="AE230" i="6"/>
  <c r="AE225" i="6"/>
  <c r="AE203" i="6"/>
  <c r="AE192" i="6"/>
  <c r="AE181" i="6"/>
  <c r="AE170" i="6"/>
  <c r="AE159" i="6"/>
  <c r="AE148" i="6"/>
  <c r="AE137" i="6"/>
  <c r="AE126" i="6"/>
  <c r="AE82" i="7"/>
  <c r="AE233" i="6"/>
  <c r="AE215" i="6"/>
  <c r="AE301" i="6"/>
  <c r="AE208" i="6"/>
  <c r="AE197" i="6"/>
  <c r="AE186" i="6"/>
  <c r="AE175" i="6"/>
  <c r="AE164" i="6"/>
  <c r="AE153" i="6"/>
  <c r="AE142" i="6"/>
  <c r="AE131" i="6"/>
  <c r="AE3" i="8"/>
  <c r="AE229" i="6"/>
  <c r="AE172" i="6"/>
  <c r="AE141" i="6"/>
  <c r="AE112" i="6"/>
  <c r="AE32" i="7"/>
  <c r="AE245" i="6"/>
  <c r="AE228" i="6"/>
  <c r="AE178" i="6"/>
  <c r="AE147" i="6"/>
  <c r="AE133" i="6"/>
  <c r="AE109" i="6"/>
  <c r="AE98" i="6"/>
  <c r="AE87" i="6"/>
  <c r="AE76" i="6"/>
  <c r="AE308" i="6"/>
  <c r="AE300" i="6"/>
  <c r="AE184" i="6"/>
  <c r="AE139" i="6"/>
  <c r="AE113" i="6"/>
  <c r="AE55" i="7"/>
  <c r="AE297" i="6"/>
  <c r="AE283" i="6"/>
  <c r="AE190" i="6"/>
  <c r="AE145" i="6"/>
  <c r="AE103" i="6"/>
  <c r="AE92" i="6"/>
  <c r="AE81" i="6"/>
  <c r="AE70" i="6"/>
  <c r="AE286" i="6"/>
  <c r="AE276" i="6"/>
  <c r="AE196" i="6"/>
  <c r="AE151" i="6"/>
  <c r="AE2" i="8"/>
  <c r="AE30" i="7"/>
  <c r="AE20" i="7"/>
  <c r="AE278" i="6"/>
  <c r="AE261" i="6"/>
  <c r="AE202" i="6"/>
  <c r="AE188" i="6"/>
  <c r="AE157" i="6"/>
  <c r="AE119" i="6"/>
  <c r="AE108" i="6"/>
  <c r="AE97" i="6"/>
  <c r="AE86" i="6"/>
  <c r="AE75" i="6"/>
  <c r="AE64" i="6"/>
  <c r="AE311" i="6"/>
  <c r="AE280" i="6"/>
  <c r="AE200" i="6"/>
  <c r="AE169" i="6"/>
  <c r="AE155" i="6"/>
  <c r="AE124" i="6"/>
  <c r="AE114" i="6"/>
  <c r="AE102" i="6"/>
  <c r="AE91" i="6"/>
  <c r="AE80" i="6"/>
  <c r="AE226" i="6"/>
  <c r="AE180" i="6"/>
  <c r="AE173" i="6"/>
  <c r="AE120" i="6"/>
  <c r="AE83" i="6"/>
  <c r="AE177" i="6"/>
  <c r="AE89" i="6"/>
  <c r="AE73" i="6"/>
  <c r="AE53" i="6"/>
  <c r="AE42" i="6"/>
  <c r="AE31" i="6"/>
  <c r="AE174" i="6"/>
  <c r="AE167" i="6"/>
  <c r="AE163" i="6"/>
  <c r="AE95" i="6"/>
  <c r="AE64" i="7"/>
  <c r="AE279" i="6"/>
  <c r="AE101" i="6"/>
  <c r="AE66" i="6"/>
  <c r="AE47" i="6"/>
  <c r="AE36" i="6"/>
  <c r="AE25" i="6"/>
  <c r="AE250" i="6"/>
  <c r="AE168" i="6"/>
  <c r="AE161" i="6"/>
  <c r="AE107" i="6"/>
  <c r="AE93" i="6"/>
  <c r="AE252" i="6"/>
  <c r="AE227" i="6"/>
  <c r="AE158" i="6"/>
  <c r="AE99" i="6"/>
  <c r="AE62" i="6"/>
  <c r="AE61" i="6"/>
  <c r="AE52" i="6"/>
  <c r="AE41" i="6"/>
  <c r="AE30" i="6"/>
  <c r="AE162" i="6"/>
  <c r="AE105" i="6"/>
  <c r="AE235" i="6"/>
  <c r="AE224" i="6"/>
  <c r="AE166" i="6"/>
  <c r="AE152" i="6"/>
  <c r="AE118" i="6"/>
  <c r="AE117" i="6"/>
  <c r="AE67" i="6"/>
  <c r="AE60" i="6"/>
  <c r="AE46" i="6"/>
  <c r="AE35" i="6"/>
  <c r="AE24" i="6"/>
  <c r="AE241" i="6"/>
  <c r="AE195" i="6"/>
  <c r="AE32" i="6"/>
  <c r="AE29" i="6"/>
  <c r="AE17" i="6"/>
  <c r="AE6" i="6"/>
  <c r="AE205" i="6"/>
  <c r="AE222" i="6"/>
  <c r="AE129" i="6"/>
  <c r="AE123" i="6"/>
  <c r="AE37" i="6"/>
  <c r="AE34" i="6"/>
  <c r="AE22" i="6"/>
  <c r="AE11" i="6"/>
  <c r="AE213" i="6"/>
  <c r="AE85" i="6"/>
  <c r="AE135" i="6"/>
  <c r="AE39" i="6"/>
  <c r="AE16" i="6"/>
  <c r="AE5" i="6"/>
  <c r="AE249" i="6"/>
  <c r="AE206" i="6"/>
  <c r="AE130" i="6"/>
  <c r="AE106" i="6"/>
  <c r="AE104" i="6"/>
  <c r="AE43" i="7"/>
  <c r="AE183" i="6"/>
  <c r="AE90" i="6"/>
  <c r="AE88" i="6"/>
  <c r="AE44" i="6"/>
  <c r="AE21" i="6"/>
  <c r="AE10" i="6"/>
  <c r="AE156" i="6"/>
  <c r="AE71" i="6"/>
  <c r="AE54" i="6"/>
  <c r="AE49" i="6"/>
  <c r="AE23" i="6"/>
  <c r="AE305" i="6"/>
  <c r="AE55" i="6"/>
  <c r="AE50" i="6"/>
  <c r="AE45" i="6"/>
  <c r="AE40" i="6"/>
  <c r="AE275" i="6"/>
  <c r="AE234" i="6"/>
  <c r="AE48" i="6"/>
  <c r="AE43" i="6"/>
  <c r="AE38" i="6"/>
  <c r="AE33" i="6"/>
  <c r="AE28" i="6"/>
  <c r="AE12" i="6"/>
  <c r="AE8" i="6"/>
  <c r="AE212" i="6"/>
  <c r="AE210" i="6"/>
  <c r="AE111" i="6"/>
  <c r="AE82" i="6"/>
  <c r="AE9" i="6"/>
  <c r="AE18" i="8"/>
  <c r="AE18" i="7"/>
  <c r="AE144" i="6"/>
  <c r="AE79" i="6"/>
  <c r="AE72" i="6"/>
  <c r="AE26" i="6"/>
  <c r="AE214" i="6"/>
  <c r="AE216" i="6"/>
  <c r="AE13" i="6"/>
  <c r="AE189" i="6"/>
  <c r="AE115" i="6"/>
  <c r="AE51" i="6"/>
  <c r="AE18" i="6"/>
  <c r="AE191" i="6"/>
  <c r="AE199" i="6"/>
  <c r="AE96" i="6"/>
  <c r="AE69" i="6"/>
  <c r="AE58" i="6"/>
  <c r="AE20" i="6"/>
  <c r="AE179" i="6"/>
  <c r="AE74" i="6"/>
  <c r="AE185" i="6"/>
  <c r="AE2" i="6"/>
  <c r="AE110" i="6"/>
  <c r="AE100" i="6"/>
  <c r="AE59" i="6"/>
  <c r="AE201" i="6"/>
  <c r="AE150" i="6"/>
  <c r="AE78" i="6"/>
  <c r="AE236" i="6"/>
  <c r="AE94" i="6"/>
  <c r="AE84" i="6"/>
  <c r="AE136" i="6"/>
  <c r="AE7" i="6"/>
  <c r="AE146" i="6"/>
  <c r="AE65" i="6"/>
  <c r="AE57" i="6"/>
  <c r="AE140" i="6"/>
  <c r="AE56" i="6"/>
  <c r="AE70" i="7"/>
  <c r="AE77" i="6"/>
  <c r="AE68" i="6"/>
  <c r="AE4" i="6"/>
  <c r="AE211" i="6"/>
  <c r="AE128" i="6"/>
  <c r="AE14" i="6"/>
  <c r="AE134" i="6"/>
  <c r="AE27" i="6"/>
  <c r="AE122" i="6"/>
  <c r="AE3" i="6"/>
  <c r="AE19" i="6"/>
  <c r="AE15" i="6"/>
  <c r="AE125" i="6"/>
  <c r="AE207" i="6"/>
  <c r="AE194" i="6"/>
  <c r="AE306" i="6"/>
  <c r="AE63" i="6"/>
  <c r="K14" i="9"/>
  <c r="W72" i="8"/>
  <c r="W61" i="8"/>
  <c r="W45" i="8"/>
  <c r="K12" i="9"/>
  <c r="W91" i="8"/>
  <c r="W88" i="8"/>
  <c r="W44" i="8"/>
  <c r="W6" i="8"/>
  <c r="K9" i="9"/>
  <c r="K13" i="9"/>
  <c r="W93" i="8"/>
  <c r="W78" i="8"/>
  <c r="K7" i="9"/>
  <c r="K5" i="9"/>
  <c r="W76" i="8"/>
  <c r="K15" i="9"/>
  <c r="W100" i="8"/>
  <c r="W98" i="8"/>
  <c r="W84" i="8"/>
  <c r="W90" i="8"/>
  <c r="W63" i="8"/>
  <c r="W29" i="8"/>
  <c r="W48" i="8"/>
  <c r="W43" i="8"/>
  <c r="W86" i="8"/>
  <c r="W81" i="8"/>
  <c r="W51" i="8"/>
  <c r="W34" i="8"/>
  <c r="W23" i="8"/>
  <c r="W13" i="8"/>
  <c r="W4" i="8"/>
  <c r="W101" i="7"/>
  <c r="W82" i="7"/>
  <c r="W55" i="7"/>
  <c r="W51" i="7"/>
  <c r="W40" i="7"/>
  <c r="W29" i="7"/>
  <c r="W41" i="8"/>
  <c r="W30" i="8"/>
  <c r="W5" i="8"/>
  <c r="W98" i="7"/>
  <c r="W64" i="7"/>
  <c r="W82" i="8"/>
  <c r="W57" i="8"/>
  <c r="W70" i="7"/>
  <c r="W49" i="7"/>
  <c r="W48" i="7"/>
  <c r="W47" i="7"/>
  <c r="W46" i="7"/>
  <c r="W33" i="8"/>
  <c r="W99" i="7"/>
  <c r="W65" i="8"/>
  <c r="W54" i="8"/>
  <c r="W97" i="8"/>
  <c r="W92" i="8"/>
  <c r="W7" i="8"/>
  <c r="W89" i="7"/>
  <c r="W59" i="7"/>
  <c r="W39" i="7"/>
  <c r="K4" i="9"/>
  <c r="W19" i="8"/>
  <c r="W100" i="7"/>
  <c r="W77" i="7"/>
  <c r="W41" i="7"/>
  <c r="W32" i="7"/>
  <c r="W5" i="7"/>
  <c r="W305" i="6"/>
  <c r="W294" i="6"/>
  <c r="W283" i="6"/>
  <c r="W272" i="6"/>
  <c r="W258" i="6"/>
  <c r="W89" i="8"/>
  <c r="W73" i="8"/>
  <c r="W60" i="8"/>
  <c r="W46" i="8"/>
  <c r="W9" i="8"/>
  <c r="K2" i="9"/>
  <c r="W75" i="8"/>
  <c r="K10" i="9"/>
  <c r="W26" i="8"/>
  <c r="W14" i="8"/>
  <c r="W73" i="7"/>
  <c r="W63" i="7"/>
  <c r="W28" i="7"/>
  <c r="W14" i="7"/>
  <c r="W310" i="6"/>
  <c r="W42" i="8"/>
  <c r="W22" i="8"/>
  <c r="W83" i="7"/>
  <c r="W76" i="7"/>
  <c r="W87" i="8"/>
  <c r="W39" i="8"/>
  <c r="W90" i="7"/>
  <c r="W86" i="7"/>
  <c r="W42" i="7"/>
  <c r="W35" i="7"/>
  <c r="W33" i="7"/>
  <c r="W26" i="7"/>
  <c r="W6" i="7"/>
  <c r="W308" i="6"/>
  <c r="W295" i="6"/>
  <c r="W292" i="6"/>
  <c r="W269" i="6"/>
  <c r="W17" i="8"/>
  <c r="W8" i="8"/>
  <c r="W68" i="7"/>
  <c r="W19" i="7"/>
  <c r="W77" i="8"/>
  <c r="W68" i="8"/>
  <c r="W53" i="8"/>
  <c r="W40" i="8"/>
  <c r="W37" i="8"/>
  <c r="W35" i="8"/>
  <c r="K3" i="9"/>
  <c r="W80" i="8"/>
  <c r="W69" i="8"/>
  <c r="W25" i="8"/>
  <c r="W12" i="8"/>
  <c r="W92" i="7"/>
  <c r="W65" i="7"/>
  <c r="W43" i="7"/>
  <c r="W36" i="7"/>
  <c r="W21" i="7"/>
  <c r="W74" i="8"/>
  <c r="W47" i="8"/>
  <c r="W2" i="8"/>
  <c r="W93" i="7"/>
  <c r="W54" i="7"/>
  <c r="W38" i="8"/>
  <c r="W95" i="8"/>
  <c r="W67" i="8"/>
  <c r="W59" i="8"/>
  <c r="W66" i="8"/>
  <c r="W58" i="8"/>
  <c r="W71" i="7"/>
  <c r="W58" i="7"/>
  <c r="W52" i="7"/>
  <c r="K16" i="9"/>
  <c r="W52" i="8"/>
  <c r="W36" i="8"/>
  <c r="W20" i="8"/>
  <c r="W97" i="7"/>
  <c r="W70" i="8"/>
  <c r="W87" i="7"/>
  <c r="W85" i="8"/>
  <c r="W15" i="8"/>
  <c r="K8" i="9"/>
  <c r="W62" i="8"/>
  <c r="W10" i="8"/>
  <c r="W80" i="7"/>
  <c r="W96" i="8"/>
  <c r="W21" i="8"/>
  <c r="W31" i="8"/>
  <c r="W18" i="8"/>
  <c r="W84" i="7"/>
  <c r="W96" i="7"/>
  <c r="W72" i="7"/>
  <c r="W66" i="7"/>
  <c r="W49" i="8"/>
  <c r="W81" i="7"/>
  <c r="W60" i="7"/>
  <c r="K11" i="9"/>
  <c r="W99" i="8"/>
  <c r="W3" i="8"/>
  <c r="W79" i="7"/>
  <c r="W61" i="7"/>
  <c r="W8" i="7"/>
  <c r="W74" i="7"/>
  <c r="W28" i="8"/>
  <c r="W71" i="8"/>
  <c r="W57" i="7"/>
  <c r="W50" i="7"/>
  <c r="W50" i="8"/>
  <c r="W16" i="8"/>
  <c r="W95" i="7"/>
  <c r="W62" i="7"/>
  <c r="W88" i="7"/>
  <c r="W53" i="7"/>
  <c r="W37" i="7"/>
  <c r="W301" i="6"/>
  <c r="W85" i="7"/>
  <c r="W27" i="7"/>
  <c r="W11" i="7"/>
  <c r="W2" i="7"/>
  <c r="W304" i="6"/>
  <c r="W24" i="7"/>
  <c r="W55" i="8"/>
  <c r="W23" i="7"/>
  <c r="W298" i="6"/>
  <c r="W94" i="8"/>
  <c r="W31" i="7"/>
  <c r="W11" i="8"/>
  <c r="W78" i="7"/>
  <c r="W30" i="7"/>
  <c r="W313" i="6"/>
  <c r="W311" i="6"/>
  <c r="W101" i="8"/>
  <c r="W312" i="6"/>
  <c r="W282" i="6"/>
  <c r="W25" i="7"/>
  <c r="W4" i="7"/>
  <c r="W7" i="7"/>
  <c r="W285" i="6"/>
  <c r="W271" i="6"/>
  <c r="W24" i="8"/>
  <c r="W3" i="7"/>
  <c r="W288" i="6"/>
  <c r="W279" i="6"/>
  <c r="W268" i="6"/>
  <c r="W259" i="6"/>
  <c r="W91" i="7"/>
  <c r="W44" i="7"/>
  <c r="W34" i="7"/>
  <c r="W10" i="7"/>
  <c r="W9" i="7"/>
  <c r="W276" i="6"/>
  <c r="W32" i="8"/>
  <c r="W303" i="6"/>
  <c r="W291" i="6"/>
  <c r="W245" i="6"/>
  <c r="W234" i="6"/>
  <c r="W223" i="6"/>
  <c r="W27" i="8"/>
  <c r="W56" i="8"/>
  <c r="W83" i="8"/>
  <c r="W56" i="7"/>
  <c r="W20" i="7"/>
  <c r="W293" i="6"/>
  <c r="W289" i="6"/>
  <c r="W263" i="6"/>
  <c r="W256" i="6"/>
  <c r="W244" i="6"/>
  <c r="W233" i="6"/>
  <c r="K6" i="9"/>
  <c r="W16" i="7"/>
  <c r="W307" i="6"/>
  <c r="W286" i="6"/>
  <c r="W17" i="7"/>
  <c r="W15" i="7"/>
  <c r="W306" i="6"/>
  <c r="W252" i="6"/>
  <c r="W224" i="6"/>
  <c r="W261" i="6"/>
  <c r="W235" i="6"/>
  <c r="W287" i="6"/>
  <c r="W253" i="6"/>
  <c r="W64" i="8"/>
  <c r="W67" i="7"/>
  <c r="W236" i="6"/>
  <c r="W222" i="6"/>
  <c r="W267" i="6"/>
  <c r="W254" i="6"/>
  <c r="W237" i="6"/>
  <c r="W221" i="6"/>
  <c r="W273" i="6"/>
  <c r="W255" i="6"/>
  <c r="W206" i="6"/>
  <c r="W195" i="6"/>
  <c r="W184" i="6"/>
  <c r="W173" i="6"/>
  <c r="W162" i="6"/>
  <c r="W151" i="6"/>
  <c r="W140" i="6"/>
  <c r="W129" i="6"/>
  <c r="W118" i="6"/>
  <c r="W284" i="6"/>
  <c r="W297" i="6"/>
  <c r="W226" i="6"/>
  <c r="W211" i="6"/>
  <c r="W200" i="6"/>
  <c r="W189" i="6"/>
  <c r="W178" i="6"/>
  <c r="W167" i="6"/>
  <c r="W156" i="6"/>
  <c r="W145" i="6"/>
  <c r="W134" i="6"/>
  <c r="W123" i="6"/>
  <c r="W112" i="6"/>
  <c r="W299" i="6"/>
  <c r="W248" i="6"/>
  <c r="W75" i="7"/>
  <c r="W274" i="6"/>
  <c r="W266" i="6"/>
  <c r="W231" i="6"/>
  <c r="W205" i="6"/>
  <c r="W194" i="6"/>
  <c r="W183" i="6"/>
  <c r="W172" i="6"/>
  <c r="W161" i="6"/>
  <c r="W150" i="6"/>
  <c r="W139" i="6"/>
  <c r="W128" i="6"/>
  <c r="W117" i="6"/>
  <c r="W241" i="6"/>
  <c r="W228" i="6"/>
  <c r="W45" i="7"/>
  <c r="W210" i="6"/>
  <c r="W199" i="6"/>
  <c r="W188" i="6"/>
  <c r="W177" i="6"/>
  <c r="W166" i="6"/>
  <c r="W155" i="6"/>
  <c r="W144" i="6"/>
  <c r="W133" i="6"/>
  <c r="W69" i="7"/>
  <c r="W197" i="6"/>
  <c r="W152" i="6"/>
  <c r="W216" i="6"/>
  <c r="W203" i="6"/>
  <c r="W158" i="6"/>
  <c r="W127" i="6"/>
  <c r="W100" i="6"/>
  <c r="W89" i="6"/>
  <c r="W78" i="6"/>
  <c r="W94" i="7"/>
  <c r="W265" i="6"/>
  <c r="W225" i="6"/>
  <c r="W209" i="6"/>
  <c r="W164" i="6"/>
  <c r="W246" i="6"/>
  <c r="W227" i="6"/>
  <c r="W201" i="6"/>
  <c r="W170" i="6"/>
  <c r="W125" i="6"/>
  <c r="W111" i="6"/>
  <c r="W105" i="6"/>
  <c r="W94" i="6"/>
  <c r="W83" i="6"/>
  <c r="W72" i="6"/>
  <c r="W247" i="6"/>
  <c r="W207" i="6"/>
  <c r="W176" i="6"/>
  <c r="W131" i="6"/>
  <c r="W12" i="7"/>
  <c r="W300" i="6"/>
  <c r="W281" i="6"/>
  <c r="W238" i="6"/>
  <c r="W182" i="6"/>
  <c r="W168" i="6"/>
  <c r="W137" i="6"/>
  <c r="W116" i="6"/>
  <c r="W110" i="6"/>
  <c r="W99" i="6"/>
  <c r="W88" i="6"/>
  <c r="W77" i="6"/>
  <c r="W66" i="6"/>
  <c r="W296" i="6"/>
  <c r="W239" i="6"/>
  <c r="W230" i="6"/>
  <c r="W180" i="6"/>
  <c r="W149" i="6"/>
  <c r="W135" i="6"/>
  <c r="W121" i="6"/>
  <c r="W104" i="6"/>
  <c r="W93" i="6"/>
  <c r="W82" i="6"/>
  <c r="W190" i="6"/>
  <c r="W124" i="6"/>
  <c r="W108" i="6"/>
  <c r="W187" i="6"/>
  <c r="W122" i="6"/>
  <c r="W113" i="6"/>
  <c r="W55" i="6"/>
  <c r="W44" i="6"/>
  <c r="W33" i="6"/>
  <c r="W275" i="6"/>
  <c r="W249" i="6"/>
  <c r="W229" i="6"/>
  <c r="W191" i="6"/>
  <c r="W106" i="6"/>
  <c r="W69" i="6"/>
  <c r="W309" i="6"/>
  <c r="W181" i="6"/>
  <c r="W81" i="6"/>
  <c r="W75" i="6"/>
  <c r="W65" i="6"/>
  <c r="W49" i="6"/>
  <c r="W38" i="6"/>
  <c r="W27" i="6"/>
  <c r="W79" i="8"/>
  <c r="W217" i="6"/>
  <c r="W185" i="6"/>
  <c r="W174" i="6"/>
  <c r="W171" i="6"/>
  <c r="W87" i="6"/>
  <c r="W38" i="7"/>
  <c r="W278" i="6"/>
  <c r="W260" i="6"/>
  <c r="W232" i="6"/>
  <c r="W175" i="6"/>
  <c r="W79" i="6"/>
  <c r="W54" i="6"/>
  <c r="W43" i="6"/>
  <c r="W32" i="6"/>
  <c r="W218" i="6"/>
  <c r="W179" i="6"/>
  <c r="W165" i="6"/>
  <c r="W85" i="6"/>
  <c r="W240" i="6"/>
  <c r="W169" i="6"/>
  <c r="W91" i="6"/>
  <c r="W48" i="6"/>
  <c r="W37" i="6"/>
  <c r="W26" i="6"/>
  <c r="W13" i="7"/>
  <c r="W302" i="6"/>
  <c r="W242" i="6"/>
  <c r="W220" i="6"/>
  <c r="W157" i="6"/>
  <c r="W80" i="6"/>
  <c r="W62" i="6"/>
  <c r="W56" i="6"/>
  <c r="W35" i="6"/>
  <c r="W19" i="6"/>
  <c r="W8" i="6"/>
  <c r="W215" i="6"/>
  <c r="W160" i="6"/>
  <c r="W280" i="6"/>
  <c r="W163" i="6"/>
  <c r="W126" i="6"/>
  <c r="W103" i="6"/>
  <c r="W101" i="6"/>
  <c r="W40" i="6"/>
  <c r="W13" i="6"/>
  <c r="W2" i="6"/>
  <c r="W132" i="6"/>
  <c r="W45" i="6"/>
  <c r="W42" i="6"/>
  <c r="W18" i="6"/>
  <c r="W7" i="6"/>
  <c r="W213" i="6"/>
  <c r="W198" i="6"/>
  <c r="W61" i="6"/>
  <c r="W208" i="6"/>
  <c r="W146" i="6"/>
  <c r="W138" i="6"/>
  <c r="W102" i="6"/>
  <c r="W68" i="6"/>
  <c r="W50" i="6"/>
  <c r="W47" i="6"/>
  <c r="W23" i="6"/>
  <c r="W12" i="6"/>
  <c r="W219" i="6"/>
  <c r="W196" i="6"/>
  <c r="W147" i="6"/>
  <c r="W52" i="6"/>
  <c r="W22" i="7"/>
  <c r="W193" i="6"/>
  <c r="W53" i="6"/>
  <c r="W16" i="6"/>
  <c r="W67" i="6"/>
  <c r="W58" i="6"/>
  <c r="W51" i="6"/>
  <c r="W46" i="6"/>
  <c r="W41" i="6"/>
  <c r="W36" i="6"/>
  <c r="W31" i="6"/>
  <c r="W250" i="6"/>
  <c r="W98" i="6"/>
  <c r="W95" i="6"/>
  <c r="W76" i="6"/>
  <c r="W60" i="6"/>
  <c r="W57" i="6"/>
  <c r="W3" i="6"/>
  <c r="W262" i="6"/>
  <c r="W142" i="6"/>
  <c r="W130" i="6"/>
  <c r="W11" i="6"/>
  <c r="W186" i="6"/>
  <c r="W136" i="6"/>
  <c r="W39" i="6"/>
  <c r="W21" i="6"/>
  <c r="W243" i="6"/>
  <c r="W148" i="6"/>
  <c r="W71" i="6"/>
  <c r="W120" i="6"/>
  <c r="W141" i="6"/>
  <c r="W28" i="6"/>
  <c r="W270" i="6"/>
  <c r="W192" i="6"/>
  <c r="W154" i="6"/>
  <c r="W86" i="6"/>
  <c r="W64" i="6"/>
  <c r="W84" i="6"/>
  <c r="W202" i="6"/>
  <c r="W153" i="6"/>
  <c r="W92" i="6"/>
  <c r="W29" i="6"/>
  <c r="W25" i="6"/>
  <c r="W24" i="6"/>
  <c r="W15" i="6"/>
  <c r="W5" i="6"/>
  <c r="W18" i="7"/>
  <c r="W212" i="6"/>
  <c r="W115" i="6"/>
  <c r="W10" i="6"/>
  <c r="W277" i="6"/>
  <c r="W257" i="6"/>
  <c r="W109" i="6"/>
  <c r="W214" i="6"/>
  <c r="W143" i="6"/>
  <c r="W70" i="6"/>
  <c r="W22" i="6"/>
  <c r="W119" i="6"/>
  <c r="W30" i="6"/>
  <c r="W97" i="6"/>
  <c r="W73" i="6"/>
  <c r="W96" i="6"/>
  <c r="W34" i="6"/>
  <c r="W290" i="6"/>
  <c r="W159" i="6"/>
  <c r="W63" i="6"/>
  <c r="W9" i="6"/>
  <c r="W204" i="6"/>
  <c r="W59" i="6"/>
  <c r="W4" i="6"/>
  <c r="W17" i="6"/>
  <c r="W14" i="6"/>
  <c r="W251" i="6"/>
  <c r="W20" i="6"/>
  <c r="W264" i="6"/>
  <c r="W107" i="6"/>
  <c r="W90" i="6"/>
  <c r="W6" i="6"/>
  <c r="W114" i="6"/>
  <c r="W74" i="6"/>
  <c r="O197" i="6"/>
  <c r="O186" i="6"/>
  <c r="O191" i="6"/>
  <c r="O196" i="6"/>
  <c r="O201" i="6"/>
  <c r="O190" i="6"/>
  <c r="O189" i="6"/>
  <c r="O195" i="6"/>
  <c r="O187" i="6"/>
  <c r="O193" i="6"/>
  <c r="O200" i="6"/>
  <c r="O194" i="6"/>
  <c r="O198" i="6"/>
  <c r="O188" i="6"/>
  <c r="O192" i="6"/>
  <c r="O199" i="6"/>
  <c r="N217" i="6"/>
  <c r="N215" i="6"/>
  <c r="N216" i="6"/>
  <c r="N214" i="6"/>
  <c r="N208" i="6"/>
  <c r="N213" i="6"/>
  <c r="N202" i="6"/>
  <c r="N207" i="6"/>
  <c r="N210" i="6"/>
  <c r="N203" i="6"/>
  <c r="N204" i="6"/>
  <c r="N212" i="6"/>
  <c r="N205" i="6"/>
  <c r="N206" i="6"/>
  <c r="N209" i="6"/>
  <c r="N211" i="6"/>
  <c r="R233" i="6"/>
  <c r="R232" i="6"/>
  <c r="R231" i="6"/>
  <c r="R230" i="6"/>
  <c r="R227" i="6"/>
  <c r="R226" i="6"/>
  <c r="R225" i="6"/>
  <c r="R224" i="6"/>
  <c r="R229" i="6"/>
  <c r="R219" i="6"/>
  <c r="R221" i="6"/>
  <c r="R220" i="6"/>
  <c r="R222" i="6"/>
  <c r="R228" i="6"/>
  <c r="R223" i="6"/>
  <c r="R218" i="6"/>
  <c r="AH15" i="9"/>
  <c r="AR99" i="8"/>
  <c r="AR88" i="8"/>
  <c r="AR90" i="8"/>
  <c r="AH2" i="9"/>
  <c r="AR63" i="8"/>
  <c r="AR45" i="8"/>
  <c r="AR35" i="8"/>
  <c r="AR24" i="8"/>
  <c r="AR13" i="8"/>
  <c r="AR95" i="7"/>
  <c r="AR84" i="7"/>
  <c r="AR73" i="7"/>
  <c r="AR62" i="7"/>
  <c r="AH12" i="9"/>
  <c r="AH16" i="9"/>
  <c r="AH6" i="9"/>
  <c r="AR101" i="8"/>
  <c r="AH7" i="9"/>
  <c r="AH5" i="9"/>
  <c r="AR81" i="8"/>
  <c r="AH9" i="9"/>
  <c r="AH8" i="9"/>
  <c r="AR82" i="8"/>
  <c r="AR79" i="8"/>
  <c r="AR62" i="8"/>
  <c r="AR59" i="8"/>
  <c r="AR91" i="8"/>
  <c r="AR100" i="8"/>
  <c r="AR95" i="8"/>
  <c r="AR84" i="8"/>
  <c r="AR76" i="8"/>
  <c r="AR52" i="8"/>
  <c r="AR15" i="8"/>
  <c r="AR83" i="8"/>
  <c r="AR43" i="8"/>
  <c r="AH3" i="9"/>
  <c r="AR96" i="8"/>
  <c r="AH4" i="9"/>
  <c r="AR98" i="8"/>
  <c r="AR77" i="8"/>
  <c r="AR48" i="8"/>
  <c r="AR33" i="8"/>
  <c r="AR28" i="8"/>
  <c r="AR21" i="8"/>
  <c r="AR20" i="8"/>
  <c r="AR19" i="8"/>
  <c r="AR14" i="8"/>
  <c r="AR93" i="7"/>
  <c r="AR59" i="7"/>
  <c r="AH10" i="9"/>
  <c r="AR67" i="8"/>
  <c r="AR64" i="8"/>
  <c r="AR75" i="7"/>
  <c r="AR56" i="7"/>
  <c r="AR50" i="7"/>
  <c r="AR39" i="7"/>
  <c r="AR28" i="7"/>
  <c r="AR86" i="8"/>
  <c r="AR54" i="8"/>
  <c r="AR91" i="7"/>
  <c r="AR72" i="7"/>
  <c r="AR40" i="7"/>
  <c r="AR18" i="7"/>
  <c r="AR37" i="8"/>
  <c r="AR8" i="8"/>
  <c r="AR101" i="7"/>
  <c r="AR89" i="7"/>
  <c r="AR82" i="7"/>
  <c r="AR53" i="7"/>
  <c r="AR52" i="7"/>
  <c r="AH14" i="9"/>
  <c r="AR94" i="8"/>
  <c r="AR58" i="8"/>
  <c r="AR57" i="8"/>
  <c r="AR70" i="8"/>
  <c r="AR31" i="8"/>
  <c r="AR23" i="8"/>
  <c r="AR94" i="7"/>
  <c r="AR78" i="7"/>
  <c r="AR47" i="7"/>
  <c r="AR3" i="7"/>
  <c r="AR309" i="6"/>
  <c r="AR298" i="6"/>
  <c r="AR287" i="6"/>
  <c r="AR276" i="6"/>
  <c r="AR265" i="6"/>
  <c r="AR51" i="8"/>
  <c r="AR40" i="8"/>
  <c r="AR66" i="7"/>
  <c r="AR30" i="7"/>
  <c r="AR66" i="8"/>
  <c r="AR49" i="8"/>
  <c r="AR17" i="8"/>
  <c r="AR86" i="7"/>
  <c r="AR80" i="8"/>
  <c r="AR38" i="8"/>
  <c r="AR7" i="8"/>
  <c r="AR97" i="8"/>
  <c r="AR97" i="7"/>
  <c r="AR64" i="7"/>
  <c r="AR38" i="7"/>
  <c r="AR7" i="7"/>
  <c r="AR68" i="8"/>
  <c r="AR55" i="8"/>
  <c r="AR74" i="7"/>
  <c r="AR31" i="7"/>
  <c r="AR22" i="7"/>
  <c r="AR36" i="8"/>
  <c r="AR100" i="7"/>
  <c r="AR92" i="8"/>
  <c r="AR65" i="8"/>
  <c r="AR42" i="8"/>
  <c r="AR55" i="7"/>
  <c r="AR310" i="6"/>
  <c r="AR72" i="8"/>
  <c r="AR92" i="7"/>
  <c r="AR79" i="7"/>
  <c r="AR65" i="7"/>
  <c r="AR46" i="7"/>
  <c r="AR289" i="6"/>
  <c r="AR286" i="6"/>
  <c r="AR27" i="8"/>
  <c r="AR44" i="8"/>
  <c r="AR83" i="7"/>
  <c r="AR76" i="7"/>
  <c r="AR58" i="7"/>
  <c r="AR57" i="7"/>
  <c r="AR37" i="7"/>
  <c r="AR15" i="7"/>
  <c r="AR87" i="7"/>
  <c r="AR81" i="7"/>
  <c r="AH11" i="9"/>
  <c r="AR32" i="8"/>
  <c r="AR9" i="8"/>
  <c r="AR75" i="8"/>
  <c r="AR73" i="8"/>
  <c r="AR50" i="8"/>
  <c r="AR10" i="8"/>
  <c r="AR51" i="7"/>
  <c r="AR30" i="8"/>
  <c r="AR16" i="8"/>
  <c r="AR34" i="8"/>
  <c r="AR22" i="8"/>
  <c r="AR3" i="8"/>
  <c r="AR74" i="8"/>
  <c r="AR87" i="8"/>
  <c r="AR69" i="8"/>
  <c r="AR61" i="8"/>
  <c r="AR12" i="8"/>
  <c r="AR4" i="8"/>
  <c r="AR6" i="8"/>
  <c r="AR53" i="8"/>
  <c r="AR29" i="8"/>
  <c r="AR11" i="8"/>
  <c r="AR69" i="7"/>
  <c r="AR63" i="7"/>
  <c r="AR27" i="7"/>
  <c r="AR312" i="6"/>
  <c r="AR305" i="6"/>
  <c r="AR25" i="8"/>
  <c r="AR80" i="7"/>
  <c r="AR45" i="7"/>
  <c r="AR44" i="7"/>
  <c r="AR54" i="7"/>
  <c r="AR43" i="7"/>
  <c r="AR24" i="7"/>
  <c r="AR20" i="7"/>
  <c r="AR41" i="8"/>
  <c r="AR42" i="7"/>
  <c r="AR34" i="7"/>
  <c r="AR6" i="7"/>
  <c r="AR307" i="6"/>
  <c r="AR2" i="8"/>
  <c r="AR99" i="7"/>
  <c r="AR70" i="7"/>
  <c r="AR33" i="7"/>
  <c r="AR26" i="7"/>
  <c r="AR9" i="7"/>
  <c r="AR302" i="6"/>
  <c r="AR285" i="6"/>
  <c r="AR283" i="6"/>
  <c r="AR281" i="6"/>
  <c r="AR279" i="6"/>
  <c r="AR275" i="6"/>
  <c r="AR273" i="6"/>
  <c r="AR269" i="6"/>
  <c r="AR267" i="6"/>
  <c r="AH13" i="9"/>
  <c r="AR67" i="7"/>
  <c r="AR19" i="7"/>
  <c r="AR12" i="7"/>
  <c r="AR299" i="6"/>
  <c r="AR291" i="6"/>
  <c r="AR296" i="6"/>
  <c r="AR85" i="8"/>
  <c r="AR71" i="8"/>
  <c r="AR71" i="7"/>
  <c r="AR308" i="6"/>
  <c r="AR26" i="8"/>
  <c r="AR93" i="8"/>
  <c r="AR14" i="7"/>
  <c r="AR88" i="7"/>
  <c r="AR78" i="8"/>
  <c r="AR17" i="7"/>
  <c r="AR13" i="7"/>
  <c r="AR304" i="6"/>
  <c r="AR60" i="8"/>
  <c r="AR96" i="7"/>
  <c r="AR77" i="7"/>
  <c r="AR29" i="7"/>
  <c r="AR301" i="6"/>
  <c r="AR89" i="8"/>
  <c r="AR294" i="6"/>
  <c r="AR280" i="6"/>
  <c r="AR23" i="7"/>
  <c r="AR303" i="6"/>
  <c r="AR263" i="6"/>
  <c r="AR258" i="6"/>
  <c r="AR306" i="6"/>
  <c r="AR39" i="8"/>
  <c r="AR18" i="8"/>
  <c r="AR32" i="7"/>
  <c r="AR293" i="6"/>
  <c r="AR5" i="8"/>
  <c r="AR46" i="8"/>
  <c r="AR90" i="7"/>
  <c r="AR35" i="7"/>
  <c r="AR259" i="6"/>
  <c r="AR56" i="8"/>
  <c r="AR272" i="6"/>
  <c r="AR256" i="6"/>
  <c r="AR255" i="6"/>
  <c r="AR249" i="6"/>
  <c r="AR238" i="6"/>
  <c r="AR21" i="7"/>
  <c r="AR274" i="6"/>
  <c r="AR250" i="6"/>
  <c r="AR233" i="6"/>
  <c r="AR68" i="7"/>
  <c r="AR25" i="7"/>
  <c r="AR295" i="6"/>
  <c r="AR242" i="6"/>
  <c r="AR225" i="6"/>
  <c r="AR292" i="6"/>
  <c r="AR278" i="6"/>
  <c r="AR277" i="6"/>
  <c r="AR49" i="7"/>
  <c r="AR262" i="6"/>
  <c r="AR251" i="6"/>
  <c r="AR243" i="6"/>
  <c r="AR234" i="6"/>
  <c r="AR224" i="6"/>
  <c r="AR36" i="7"/>
  <c r="AR11" i="7"/>
  <c r="AR4" i="7"/>
  <c r="AR223" i="6"/>
  <c r="AR2" i="7"/>
  <c r="AR257" i="6"/>
  <c r="AR252" i="6"/>
  <c r="AR85" i="7"/>
  <c r="AR282" i="6"/>
  <c r="AR244" i="6"/>
  <c r="AR235" i="6"/>
  <c r="AR222" i="6"/>
  <c r="AR48" i="7"/>
  <c r="AR284" i="6"/>
  <c r="AR254" i="6"/>
  <c r="AR47" i="8"/>
  <c r="AR41" i="7"/>
  <c r="AR240" i="6"/>
  <c r="AR230" i="6"/>
  <c r="AR227" i="6"/>
  <c r="AR206" i="6"/>
  <c r="AR195" i="6"/>
  <c r="AR184" i="6"/>
  <c r="AR173" i="6"/>
  <c r="AR162" i="6"/>
  <c r="AR151" i="6"/>
  <c r="AR140" i="6"/>
  <c r="AR129" i="6"/>
  <c r="AR118" i="6"/>
  <c r="AR5" i="7"/>
  <c r="AR261" i="6"/>
  <c r="AR260" i="6"/>
  <c r="AR8" i="7"/>
  <c r="AR211" i="6"/>
  <c r="AR200" i="6"/>
  <c r="AR189" i="6"/>
  <c r="AR178" i="6"/>
  <c r="AR167" i="6"/>
  <c r="AR156" i="6"/>
  <c r="AR145" i="6"/>
  <c r="AR134" i="6"/>
  <c r="AR123" i="6"/>
  <c r="AR16" i="7"/>
  <c r="AR253" i="6"/>
  <c r="AR246" i="6"/>
  <c r="AR239" i="6"/>
  <c r="AR217" i="6"/>
  <c r="AR205" i="6"/>
  <c r="AR194" i="6"/>
  <c r="AR183" i="6"/>
  <c r="AR172" i="6"/>
  <c r="AR161" i="6"/>
  <c r="AR150" i="6"/>
  <c r="AR139" i="6"/>
  <c r="AR128" i="6"/>
  <c r="AR117" i="6"/>
  <c r="AR232" i="6"/>
  <c r="AR297" i="6"/>
  <c r="AR247" i="6"/>
  <c r="AR208" i="6"/>
  <c r="AR177" i="6"/>
  <c r="AR163" i="6"/>
  <c r="AR132" i="6"/>
  <c r="AR122" i="6"/>
  <c r="AR106" i="6"/>
  <c r="AR95" i="6"/>
  <c r="AR84" i="6"/>
  <c r="AR73" i="6"/>
  <c r="AR62" i="6"/>
  <c r="AR288" i="6"/>
  <c r="AR248" i="6"/>
  <c r="AR231" i="6"/>
  <c r="AR169" i="6"/>
  <c r="AR138" i="6"/>
  <c r="AR124" i="6"/>
  <c r="AR175" i="6"/>
  <c r="AR144" i="6"/>
  <c r="AR130" i="6"/>
  <c r="AR100" i="6"/>
  <c r="AR89" i="6"/>
  <c r="AR78" i="6"/>
  <c r="AR67" i="6"/>
  <c r="AR212" i="6"/>
  <c r="AR181" i="6"/>
  <c r="AR136" i="6"/>
  <c r="AR311" i="6"/>
  <c r="AR271" i="6"/>
  <c r="AR187" i="6"/>
  <c r="AR142" i="6"/>
  <c r="AR105" i="6"/>
  <c r="AR94" i="6"/>
  <c r="AR83" i="6"/>
  <c r="AR72" i="6"/>
  <c r="AR264" i="6"/>
  <c r="AR214" i="6"/>
  <c r="AR193" i="6"/>
  <c r="AR179" i="6"/>
  <c r="AR148" i="6"/>
  <c r="AR115" i="6"/>
  <c r="AR219" i="6"/>
  <c r="AR191" i="6"/>
  <c r="AR160" i="6"/>
  <c r="AR146" i="6"/>
  <c r="AR111" i="6"/>
  <c r="AR218" i="6"/>
  <c r="AR155" i="6"/>
  <c r="AR119" i="6"/>
  <c r="AR63" i="6"/>
  <c r="AR57" i="6"/>
  <c r="AR50" i="6"/>
  <c r="AR39" i="6"/>
  <c r="AR28" i="6"/>
  <c r="AR245" i="6"/>
  <c r="AR159" i="6"/>
  <c r="AR152" i="6"/>
  <c r="AR116" i="6"/>
  <c r="AR88" i="6"/>
  <c r="AR80" i="6"/>
  <c r="AR56" i="6"/>
  <c r="AR149" i="6"/>
  <c r="AR86" i="6"/>
  <c r="AR74" i="6"/>
  <c r="AR68" i="6"/>
  <c r="AR44" i="6"/>
  <c r="AR33" i="6"/>
  <c r="AR153" i="6"/>
  <c r="AR92" i="6"/>
  <c r="AR55" i="6"/>
  <c r="AR209" i="6"/>
  <c r="AR157" i="6"/>
  <c r="AR143" i="6"/>
  <c r="AR98" i="6"/>
  <c r="AR64" i="6"/>
  <c r="AR49" i="6"/>
  <c r="AR38" i="6"/>
  <c r="AR27" i="6"/>
  <c r="AR61" i="7"/>
  <c r="AR147" i="6"/>
  <c r="AR133" i="6"/>
  <c r="AR104" i="6"/>
  <c r="AR90" i="6"/>
  <c r="AR210" i="6"/>
  <c r="AR203" i="6"/>
  <c r="AR199" i="6"/>
  <c r="AR137" i="6"/>
  <c r="AR96" i="6"/>
  <c r="AR54" i="6"/>
  <c r="AR43" i="6"/>
  <c r="AR32" i="6"/>
  <c r="AR213" i="6"/>
  <c r="AR207" i="6"/>
  <c r="AR141" i="6"/>
  <c r="AR127" i="6"/>
  <c r="AR110" i="6"/>
  <c r="AR102" i="6"/>
  <c r="AR204" i="6"/>
  <c r="AR197" i="6"/>
  <c r="AR114" i="6"/>
  <c r="AR268" i="6"/>
  <c r="AR201" i="6"/>
  <c r="AR121" i="6"/>
  <c r="AR109" i="6"/>
  <c r="AR107" i="6"/>
  <c r="AR46" i="6"/>
  <c r="AR186" i="6"/>
  <c r="AR158" i="6"/>
  <c r="AR93" i="6"/>
  <c r="AR91" i="6"/>
  <c r="AR196" i="6"/>
  <c r="AR75" i="6"/>
  <c r="AR51" i="6"/>
  <c r="AR48" i="6"/>
  <c r="AR25" i="6"/>
  <c r="AR18" i="6"/>
  <c r="AR7" i="6"/>
  <c r="AR164" i="6"/>
  <c r="AR77" i="6"/>
  <c r="AR266" i="6"/>
  <c r="AR226" i="6"/>
  <c r="AR198" i="6"/>
  <c r="AR101" i="6"/>
  <c r="AR82" i="6"/>
  <c r="AR79" i="6"/>
  <c r="AR60" i="6"/>
  <c r="AR215" i="6"/>
  <c r="AR176" i="6"/>
  <c r="AR174" i="6"/>
  <c r="AR99" i="6"/>
  <c r="AR6" i="6"/>
  <c r="AR229" i="6"/>
  <c r="AR221" i="6"/>
  <c r="AR69" i="6"/>
  <c r="AR15" i="6"/>
  <c r="AR290" i="6"/>
  <c r="AR237" i="6"/>
  <c r="AR185" i="6"/>
  <c r="AR135" i="6"/>
  <c r="AR202" i="6"/>
  <c r="AR120" i="6"/>
  <c r="AR19" i="6"/>
  <c r="AR11" i="6"/>
  <c r="AR41" i="6"/>
  <c r="AR9" i="6"/>
  <c r="AR23" i="6"/>
  <c r="AR270" i="6"/>
  <c r="AR126" i="6"/>
  <c r="AR58" i="6"/>
  <c r="AR40" i="6"/>
  <c r="AR36" i="6"/>
  <c r="AR12" i="6"/>
  <c r="AR154" i="6"/>
  <c r="AR60" i="7"/>
  <c r="AR236" i="6"/>
  <c r="AR166" i="6"/>
  <c r="AR112" i="6"/>
  <c r="AR37" i="6"/>
  <c r="AR17" i="6"/>
  <c r="AR4" i="6"/>
  <c r="AR220" i="6"/>
  <c r="AR108" i="6"/>
  <c r="AR76" i="6"/>
  <c r="AR29" i="6"/>
  <c r="AR45" i="6"/>
  <c r="AR59" i="6"/>
  <c r="AR52" i="6"/>
  <c r="AR313" i="6"/>
  <c r="AR241" i="6"/>
  <c r="AR188" i="6"/>
  <c r="AR22" i="6"/>
  <c r="AR14" i="6"/>
  <c r="AR131" i="6"/>
  <c r="AR125" i="6"/>
  <c r="AR70" i="6"/>
  <c r="AR65" i="6"/>
  <c r="AR53" i="6"/>
  <c r="AR30" i="6"/>
  <c r="AR26" i="6"/>
  <c r="AR16" i="6"/>
  <c r="AR228" i="6"/>
  <c r="AR180" i="6"/>
  <c r="AR171" i="6"/>
  <c r="AR24" i="6"/>
  <c r="AR85" i="6"/>
  <c r="AR35" i="6"/>
  <c r="AR42" i="6"/>
  <c r="AR66" i="6"/>
  <c r="AR34" i="6"/>
  <c r="AR98" i="7"/>
  <c r="AR300" i="6"/>
  <c r="AR192" i="6"/>
  <c r="AR113" i="6"/>
  <c r="AR10" i="6"/>
  <c r="AR8" i="6"/>
  <c r="AR165" i="6"/>
  <c r="AR2" i="6"/>
  <c r="AR190" i="6"/>
  <c r="AR103" i="6"/>
  <c r="AR3" i="6"/>
  <c r="AR87" i="6"/>
  <c r="AR10" i="7"/>
  <c r="AR170" i="6"/>
  <c r="AR31" i="6"/>
  <c r="AR13" i="6"/>
  <c r="AR97" i="6"/>
  <c r="AR61" i="6"/>
  <c r="AR182" i="6"/>
  <c r="AR71" i="6"/>
  <c r="AR47" i="6"/>
  <c r="AR20" i="6"/>
  <c r="AR5" i="6"/>
  <c r="AR168" i="6"/>
  <c r="AR81" i="6"/>
  <c r="AR21" i="6"/>
  <c r="AR216" i="6"/>
  <c r="S246" i="6"/>
  <c r="S235" i="6"/>
  <c r="S245" i="6"/>
  <c r="S234" i="6"/>
  <c r="S242" i="6"/>
  <c r="S243" i="6"/>
  <c r="S244" i="6"/>
  <c r="S249" i="6"/>
  <c r="S238" i="6"/>
  <c r="S237" i="6"/>
  <c r="S239" i="6"/>
  <c r="S247" i="6"/>
  <c r="S236" i="6"/>
  <c r="S241" i="6"/>
  <c r="S248" i="6"/>
  <c r="S240" i="6"/>
  <c r="O260" i="6"/>
  <c r="O259" i="6"/>
  <c r="O262" i="6"/>
  <c r="O250" i="6"/>
  <c r="O264" i="6"/>
  <c r="O251" i="6"/>
  <c r="O257" i="6"/>
  <c r="O261" i="6"/>
  <c r="O265" i="6"/>
  <c r="O252" i="6"/>
  <c r="O258" i="6"/>
  <c r="O254" i="6"/>
  <c r="O256" i="6"/>
  <c r="O263" i="6"/>
  <c r="O255" i="6"/>
  <c r="O253" i="6"/>
  <c r="AF96" i="8"/>
  <c r="AF85" i="8"/>
  <c r="AF88" i="8"/>
  <c r="V5" i="9"/>
  <c r="AF80" i="8"/>
  <c r="AF61" i="8"/>
  <c r="AF27" i="8"/>
  <c r="AF16" i="8"/>
  <c r="AF9" i="8"/>
  <c r="AF92" i="7"/>
  <c r="AF81" i="7"/>
  <c r="AF70" i="7"/>
  <c r="AF59" i="7"/>
  <c r="AF82" i="8"/>
  <c r="AF79" i="8"/>
  <c r="V8" i="9"/>
  <c r="AF94" i="8"/>
  <c r="AF92" i="8"/>
  <c r="AF77" i="8"/>
  <c r="V10" i="9"/>
  <c r="V12" i="9"/>
  <c r="V13" i="9"/>
  <c r="AF93" i="8"/>
  <c r="AF70" i="8"/>
  <c r="AF67" i="8"/>
  <c r="AF39" i="8"/>
  <c r="AF38" i="8"/>
  <c r="V16" i="9"/>
  <c r="AF81" i="8"/>
  <c r="AF50" i="8"/>
  <c r="AF24" i="8"/>
  <c r="AF23" i="8"/>
  <c r="AF22" i="8"/>
  <c r="AF21" i="8"/>
  <c r="AF101" i="8"/>
  <c r="AF87" i="8"/>
  <c r="AF78" i="8"/>
  <c r="AF47" i="8"/>
  <c r="AF44" i="8"/>
  <c r="AF91" i="7"/>
  <c r="AF76" i="7"/>
  <c r="AF57" i="7"/>
  <c r="AF95" i="8"/>
  <c r="AF91" i="8"/>
  <c r="AF42" i="8"/>
  <c r="AF32" i="8"/>
  <c r="AF73" i="7"/>
  <c r="AF53" i="7"/>
  <c r="AF42" i="7"/>
  <c r="AF31" i="7"/>
  <c r="V3" i="9"/>
  <c r="AF78" i="7"/>
  <c r="AF21" i="7"/>
  <c r="AF86" i="8"/>
  <c r="AF88" i="7"/>
  <c r="AF69" i="7"/>
  <c r="AF62" i="7"/>
  <c r="AF63" i="8"/>
  <c r="AF62" i="8"/>
  <c r="AF98" i="8"/>
  <c r="AF36" i="8"/>
  <c r="AF2" i="8"/>
  <c r="AF79" i="7"/>
  <c r="AF54" i="7"/>
  <c r="AF33" i="7"/>
  <c r="AF306" i="6"/>
  <c r="AF295" i="6"/>
  <c r="AF284" i="6"/>
  <c r="AF273" i="6"/>
  <c r="AF257" i="6"/>
  <c r="AF72" i="8"/>
  <c r="AF58" i="8"/>
  <c r="AF52" i="8"/>
  <c r="AF8" i="8"/>
  <c r="AF90" i="7"/>
  <c r="AF60" i="7"/>
  <c r="AF26" i="7"/>
  <c r="AF24" i="7"/>
  <c r="AF8" i="7"/>
  <c r="AF74" i="8"/>
  <c r="AF84" i="7"/>
  <c r="AF75" i="8"/>
  <c r="AF97" i="8"/>
  <c r="AF76" i="8"/>
  <c r="AF89" i="8"/>
  <c r="AF84" i="8"/>
  <c r="AF40" i="8"/>
  <c r="AF29" i="8"/>
  <c r="AF25" i="8"/>
  <c r="AF72" i="7"/>
  <c r="AF40" i="7"/>
  <c r="AF17" i="7"/>
  <c r="AF311" i="6"/>
  <c r="AF82" i="7"/>
  <c r="AF73" i="8"/>
  <c r="AF55" i="8"/>
  <c r="AF49" i="8"/>
  <c r="AF28" i="8"/>
  <c r="AF3" i="8"/>
  <c r="AF93" i="7"/>
  <c r="AF89" i="7"/>
  <c r="AF85" i="7"/>
  <c r="AF68" i="8"/>
  <c r="AF35" i="8"/>
  <c r="AF6" i="8"/>
  <c r="AF5" i="8"/>
  <c r="AF4" i="8"/>
  <c r="AF74" i="7"/>
  <c r="AF67" i="7"/>
  <c r="AF296" i="6"/>
  <c r="AF34" i="8"/>
  <c r="AF33" i="8"/>
  <c r="AF96" i="7"/>
  <c r="AF83" i="7"/>
  <c r="AF36" i="7"/>
  <c r="AF29" i="7"/>
  <c r="AF7" i="7"/>
  <c r="AF309" i="6"/>
  <c r="AF299" i="6"/>
  <c r="AF276" i="6"/>
  <c r="V14" i="9"/>
  <c r="AF69" i="8"/>
  <c r="AF20" i="8"/>
  <c r="AF53" i="8"/>
  <c r="AF95" i="7"/>
  <c r="AF63" i="7"/>
  <c r="AF50" i="7"/>
  <c r="AF56" i="8"/>
  <c r="AF61" i="7"/>
  <c r="AF59" i="8"/>
  <c r="AF30" i="8"/>
  <c r="AF7" i="8"/>
  <c r="AF77" i="7"/>
  <c r="AF58" i="7"/>
  <c r="AF15" i="8"/>
  <c r="AF10" i="8"/>
  <c r="AF87" i="7"/>
  <c r="V4" i="9"/>
  <c r="V7" i="9"/>
  <c r="AF99" i="8"/>
  <c r="AF45" i="8"/>
  <c r="AF26" i="8"/>
  <c r="AF98" i="7"/>
  <c r="AF65" i="8"/>
  <c r="AF11" i="8"/>
  <c r="AF99" i="7"/>
  <c r="AF51" i="8"/>
  <c r="V15" i="9"/>
  <c r="AF94" i="7"/>
  <c r="V11" i="9"/>
  <c r="AF100" i="8"/>
  <c r="AF19" i="8"/>
  <c r="AF68" i="7"/>
  <c r="AF48" i="7"/>
  <c r="AF19" i="7"/>
  <c r="AF3" i="7"/>
  <c r="AF49" i="7"/>
  <c r="V2" i="9"/>
  <c r="AF71" i="8"/>
  <c r="AF54" i="8"/>
  <c r="AF12" i="8"/>
  <c r="AF52" i="7"/>
  <c r="AF51" i="7"/>
  <c r="AF47" i="7"/>
  <c r="AF35" i="7"/>
  <c r="AF308" i="6"/>
  <c r="AF46" i="7"/>
  <c r="AF90" i="8"/>
  <c r="AF57" i="8"/>
  <c r="AF80" i="7"/>
  <c r="AF44" i="7"/>
  <c r="AF66" i="8"/>
  <c r="AF28" i="7"/>
  <c r="AF22" i="7"/>
  <c r="AF10" i="7"/>
  <c r="AF278" i="6"/>
  <c r="AF272" i="6"/>
  <c r="AF270" i="6"/>
  <c r="AF266" i="6"/>
  <c r="AF16" i="7"/>
  <c r="AF303" i="6"/>
  <c r="AF41" i="7"/>
  <c r="AF23" i="7"/>
  <c r="AF4" i="7"/>
  <c r="AF313" i="6"/>
  <c r="AF60" i="8"/>
  <c r="AF41" i="8"/>
  <c r="AF37" i="8"/>
  <c r="AF17" i="8"/>
  <c r="AF14" i="8"/>
  <c r="AF300" i="6"/>
  <c r="AF297" i="6"/>
  <c r="AF20" i="7"/>
  <c r="AF13" i="7"/>
  <c r="AF56" i="7"/>
  <c r="AF34" i="7"/>
  <c r="AF32" i="7"/>
  <c r="AF46" i="8"/>
  <c r="AF65" i="7"/>
  <c r="AF5" i="7"/>
  <c r="AF71" i="7"/>
  <c r="AF25" i="7"/>
  <c r="AF100" i="7"/>
  <c r="AF39" i="7"/>
  <c r="AF15" i="7"/>
  <c r="AF281" i="6"/>
  <c r="AF12" i="7"/>
  <c r="AF11" i="7"/>
  <c r="AF261" i="6"/>
  <c r="AF37" i="7"/>
  <c r="AF14" i="7"/>
  <c r="V9" i="9"/>
  <c r="AF43" i="7"/>
  <c r="AF18" i="7"/>
  <c r="AF9" i="7"/>
  <c r="AF288" i="6"/>
  <c r="AF83" i="8"/>
  <c r="AF13" i="8"/>
  <c r="V6" i="9"/>
  <c r="AF30" i="7"/>
  <c r="AF307" i="6"/>
  <c r="AF304" i="6"/>
  <c r="AF301" i="6"/>
  <c r="AF283" i="6"/>
  <c r="AF64" i="8"/>
  <c r="AF43" i="8"/>
  <c r="AF18" i="8"/>
  <c r="AF310" i="6"/>
  <c r="AF274" i="6"/>
  <c r="AF252" i="6"/>
  <c r="AF241" i="6"/>
  <c r="AF101" i="7"/>
  <c r="AF86" i="7"/>
  <c r="AF298" i="6"/>
  <c r="AF263" i="6"/>
  <c r="AF219" i="6"/>
  <c r="AF269" i="6"/>
  <c r="AF267" i="6"/>
  <c r="AF255" i="6"/>
  <c r="AF247" i="6"/>
  <c r="AF238" i="6"/>
  <c r="AF302" i="6"/>
  <c r="AF289" i="6"/>
  <c r="AF268" i="6"/>
  <c r="AF258" i="6"/>
  <c r="AF218" i="6"/>
  <c r="AF271" i="6"/>
  <c r="AF239" i="6"/>
  <c r="AF290" i="6"/>
  <c r="AF248" i="6"/>
  <c r="AF217" i="6"/>
  <c r="AF27" i="7"/>
  <c r="AF6" i="7"/>
  <c r="AF275" i="6"/>
  <c r="AF265" i="6"/>
  <c r="AF260" i="6"/>
  <c r="AF240" i="6"/>
  <c r="AF305" i="6"/>
  <c r="AF277" i="6"/>
  <c r="AF256" i="6"/>
  <c r="AF251" i="6"/>
  <c r="AF223" i="6"/>
  <c r="AF209" i="6"/>
  <c r="AF198" i="6"/>
  <c r="AF187" i="6"/>
  <c r="AF176" i="6"/>
  <c r="AF165" i="6"/>
  <c r="AF154" i="6"/>
  <c r="AF143" i="6"/>
  <c r="AF132" i="6"/>
  <c r="AF121" i="6"/>
  <c r="AF75" i="7"/>
  <c r="AF66" i="7"/>
  <c r="AF282" i="6"/>
  <c r="AF259" i="6"/>
  <c r="AF312" i="6"/>
  <c r="AF244" i="6"/>
  <c r="AF230" i="6"/>
  <c r="AF225" i="6"/>
  <c r="AF203" i="6"/>
  <c r="AF192" i="6"/>
  <c r="AF181" i="6"/>
  <c r="AF170" i="6"/>
  <c r="AF159" i="6"/>
  <c r="AF148" i="6"/>
  <c r="AF137" i="6"/>
  <c r="AF126" i="6"/>
  <c r="AF115" i="6"/>
  <c r="AF45" i="7"/>
  <c r="AF237" i="6"/>
  <c r="AF233" i="6"/>
  <c r="AF215" i="6"/>
  <c r="AF208" i="6"/>
  <c r="AF197" i="6"/>
  <c r="AF186" i="6"/>
  <c r="AF175" i="6"/>
  <c r="AF164" i="6"/>
  <c r="AF153" i="6"/>
  <c r="AF142" i="6"/>
  <c r="AF131" i="6"/>
  <c r="AF120" i="6"/>
  <c r="AF280" i="6"/>
  <c r="AF227" i="6"/>
  <c r="AF216" i="6"/>
  <c r="AF214" i="6"/>
  <c r="AF294" i="6"/>
  <c r="AF245" i="6"/>
  <c r="AF228" i="6"/>
  <c r="AF178" i="6"/>
  <c r="AF147" i="6"/>
  <c r="AF133" i="6"/>
  <c r="AF109" i="6"/>
  <c r="AF98" i="6"/>
  <c r="AF87" i="6"/>
  <c r="AF76" i="6"/>
  <c r="AF65" i="6"/>
  <c r="AF97" i="7"/>
  <c r="AF291" i="6"/>
  <c r="AF246" i="6"/>
  <c r="AF184" i="6"/>
  <c r="AF139" i="6"/>
  <c r="AF113" i="6"/>
  <c r="AF55" i="7"/>
  <c r="AF190" i="6"/>
  <c r="AF145" i="6"/>
  <c r="AF116" i="6"/>
  <c r="AF103" i="6"/>
  <c r="AF92" i="6"/>
  <c r="AF81" i="6"/>
  <c r="AF70" i="6"/>
  <c r="AF286" i="6"/>
  <c r="AF254" i="6"/>
  <c r="AF196" i="6"/>
  <c r="AF182" i="6"/>
  <c r="AF151" i="6"/>
  <c r="AF202" i="6"/>
  <c r="AF188" i="6"/>
  <c r="AF157" i="6"/>
  <c r="AF119" i="6"/>
  <c r="AF108" i="6"/>
  <c r="AF97" i="6"/>
  <c r="AF86" i="6"/>
  <c r="AF75" i="6"/>
  <c r="AF64" i="7"/>
  <c r="AF232" i="6"/>
  <c r="AF231" i="6"/>
  <c r="AF194" i="6"/>
  <c r="AF163" i="6"/>
  <c r="AF149" i="6"/>
  <c r="AF249" i="6"/>
  <c r="AF206" i="6"/>
  <c r="AF161" i="6"/>
  <c r="AF130" i="6"/>
  <c r="AF229" i="6"/>
  <c r="AF177" i="6"/>
  <c r="AF89" i="6"/>
  <c r="AF73" i="6"/>
  <c r="AF53" i="6"/>
  <c r="AF42" i="6"/>
  <c r="AF31" i="6"/>
  <c r="AF242" i="6"/>
  <c r="AF174" i="6"/>
  <c r="AF167" i="6"/>
  <c r="AF95" i="6"/>
  <c r="AF279" i="6"/>
  <c r="AF171" i="6"/>
  <c r="AF101" i="6"/>
  <c r="AF66" i="6"/>
  <c r="AF47" i="6"/>
  <c r="AF36" i="6"/>
  <c r="AF25" i="6"/>
  <c r="AF262" i="6"/>
  <c r="AF250" i="6"/>
  <c r="AF168" i="6"/>
  <c r="AF107" i="6"/>
  <c r="AF93" i="6"/>
  <c r="AF38" i="7"/>
  <c r="AF285" i="6"/>
  <c r="AF172" i="6"/>
  <c r="AF158" i="6"/>
  <c r="AF99" i="6"/>
  <c r="AF62" i="6"/>
  <c r="AF61" i="6"/>
  <c r="AF52" i="6"/>
  <c r="AF41" i="6"/>
  <c r="AF30" i="6"/>
  <c r="AF31" i="8"/>
  <c r="AF2" i="7"/>
  <c r="AF293" i="6"/>
  <c r="AF162" i="6"/>
  <c r="AF112" i="6"/>
  <c r="AF105" i="6"/>
  <c r="AF235" i="6"/>
  <c r="AF224" i="6"/>
  <c r="AF166" i="6"/>
  <c r="AF155" i="6"/>
  <c r="AF152" i="6"/>
  <c r="AF118" i="6"/>
  <c r="AF117" i="6"/>
  <c r="AF67" i="6"/>
  <c r="AF60" i="6"/>
  <c r="AF46" i="6"/>
  <c r="AF35" i="6"/>
  <c r="AF24" i="6"/>
  <c r="AF292" i="6"/>
  <c r="AF156" i="6"/>
  <c r="AF80" i="6"/>
  <c r="AF59" i="6"/>
  <c r="AF212" i="6"/>
  <c r="AF205" i="6"/>
  <c r="AF55" i="6"/>
  <c r="AF222" i="6"/>
  <c r="AF213" i="6"/>
  <c r="AF85" i="6"/>
  <c r="AF83" i="6"/>
  <c r="AF135" i="6"/>
  <c r="AF124" i="6"/>
  <c r="AF39" i="6"/>
  <c r="AF180" i="6"/>
  <c r="AF169" i="6"/>
  <c r="AF138" i="6"/>
  <c r="AF106" i="6"/>
  <c r="AF104" i="6"/>
  <c r="AF243" i="6"/>
  <c r="AF183" i="6"/>
  <c r="AF141" i="6"/>
  <c r="AF90" i="6"/>
  <c r="AF88" i="6"/>
  <c r="AF44" i="6"/>
  <c r="AF21" i="6"/>
  <c r="AF10" i="6"/>
  <c r="AF48" i="8"/>
  <c r="AF193" i="6"/>
  <c r="AF191" i="6"/>
  <c r="AF144" i="6"/>
  <c r="AF136" i="6"/>
  <c r="AF57" i="6"/>
  <c r="AF179" i="6"/>
  <c r="AF56" i="6"/>
  <c r="AF7" i="6"/>
  <c r="AF4" i="6"/>
  <c r="AF140" i="6"/>
  <c r="AF127" i="6"/>
  <c r="AF123" i="6"/>
  <c r="AF58" i="6"/>
  <c r="AF226" i="6"/>
  <c r="AF210" i="6"/>
  <c r="AF129" i="6"/>
  <c r="AF111" i="6"/>
  <c r="AF82" i="6"/>
  <c r="AF34" i="6"/>
  <c r="AF9" i="6"/>
  <c r="AF79" i="6"/>
  <c r="AF72" i="6"/>
  <c r="AF29" i="6"/>
  <c r="AF26" i="6"/>
  <c r="AF200" i="6"/>
  <c r="AF37" i="6"/>
  <c r="AF17" i="6"/>
  <c r="AF68" i="6"/>
  <c r="AF63" i="6"/>
  <c r="AF32" i="6"/>
  <c r="AF27" i="6"/>
  <c r="AF54" i="6"/>
  <c r="AF28" i="6"/>
  <c r="AF253" i="6"/>
  <c r="AF173" i="6"/>
  <c r="AF64" i="6"/>
  <c r="AF5" i="6"/>
  <c r="AF189" i="6"/>
  <c r="AF71" i="6"/>
  <c r="AF51" i="6"/>
  <c r="AF43" i="6"/>
  <c r="AF18" i="6"/>
  <c r="AF13" i="6"/>
  <c r="AF8" i="6"/>
  <c r="AF199" i="6"/>
  <c r="AF96" i="6"/>
  <c r="AF69" i="6"/>
  <c r="AF20" i="6"/>
  <c r="AF201" i="6"/>
  <c r="AF160" i="6"/>
  <c r="AF74" i="6"/>
  <c r="AF220" i="6"/>
  <c r="AF185" i="6"/>
  <c r="AF102" i="6"/>
  <c r="AF40" i="6"/>
  <c r="AF2" i="6"/>
  <c r="AF211" i="6"/>
  <c r="AF128" i="6"/>
  <c r="AF48" i="6"/>
  <c r="AF195" i="6"/>
  <c r="AF150" i="6"/>
  <c r="AF78" i="6"/>
  <c r="AF236" i="6"/>
  <c r="AF94" i="6"/>
  <c r="AF84" i="6"/>
  <c r="AF110" i="6"/>
  <c r="AF100" i="6"/>
  <c r="AF33" i="6"/>
  <c r="AF234" i="6"/>
  <c r="AF16" i="6"/>
  <c r="AF19" i="6"/>
  <c r="AF122" i="6"/>
  <c r="AF38" i="6"/>
  <c r="AF77" i="6"/>
  <c r="AF23" i="6"/>
  <c r="AF146" i="6"/>
  <c r="AF264" i="6"/>
  <c r="AF3" i="6"/>
  <c r="AF221" i="6"/>
  <c r="AF14" i="6"/>
  <c r="AF15" i="6"/>
  <c r="AF204" i="6"/>
  <c r="AF134" i="6"/>
  <c r="AF11" i="6"/>
  <c r="AF12" i="6"/>
  <c r="AF45" i="6"/>
  <c r="AF91" i="6"/>
  <c r="AF125" i="6"/>
  <c r="AF6" i="6"/>
  <c r="AF49" i="6"/>
  <c r="AF287" i="6"/>
  <c r="AF114" i="6"/>
  <c r="AF22" i="6"/>
  <c r="AF207" i="6"/>
  <c r="AF50" i="6"/>
  <c r="R14" i="8"/>
  <c r="R16" i="8"/>
  <c r="R17" i="8"/>
  <c r="R16" i="7"/>
  <c r="R15" i="8"/>
  <c r="R17" i="7"/>
  <c r="R14" i="7"/>
  <c r="R15" i="7"/>
  <c r="R40" i="6"/>
  <c r="R29" i="6"/>
  <c r="R34" i="6"/>
  <c r="R39" i="6"/>
  <c r="R28" i="6"/>
  <c r="R33" i="6"/>
  <c r="R30" i="6"/>
  <c r="R27" i="6"/>
  <c r="R35" i="6"/>
  <c r="R32" i="6"/>
  <c r="R37" i="6"/>
  <c r="R31" i="6"/>
  <c r="R36" i="6"/>
  <c r="R41" i="6"/>
  <c r="R38" i="6"/>
  <c r="R26" i="6"/>
  <c r="O18" i="8"/>
  <c r="O21" i="8"/>
  <c r="O19" i="8"/>
  <c r="O21" i="7"/>
  <c r="O20" i="8"/>
  <c r="O20" i="7"/>
  <c r="O18" i="7"/>
  <c r="O19" i="7"/>
  <c r="O46" i="6"/>
  <c r="O51" i="6"/>
  <c r="O57" i="6"/>
  <c r="O45" i="6"/>
  <c r="O56" i="6"/>
  <c r="O50" i="6"/>
  <c r="O43" i="6"/>
  <c r="O48" i="6"/>
  <c r="O53" i="6"/>
  <c r="O55" i="6"/>
  <c r="O54" i="6"/>
  <c r="O44" i="6"/>
  <c r="O47" i="6"/>
  <c r="O52" i="6"/>
  <c r="O49" i="6"/>
  <c r="O42" i="6"/>
  <c r="N22" i="8"/>
  <c r="N23" i="8"/>
  <c r="N24" i="7"/>
  <c r="N25" i="8"/>
  <c r="N25" i="7"/>
  <c r="N24" i="8"/>
  <c r="N23" i="7"/>
  <c r="N64" i="6"/>
  <c r="N69" i="6"/>
  <c r="N22" i="7"/>
  <c r="N71" i="6"/>
  <c r="N63" i="6"/>
  <c r="N60" i="6"/>
  <c r="N68" i="6"/>
  <c r="N59" i="6"/>
  <c r="N58" i="6"/>
  <c r="N72" i="6"/>
  <c r="N70" i="6"/>
  <c r="N66" i="6"/>
  <c r="N73" i="6"/>
  <c r="N61" i="6"/>
  <c r="N62" i="6"/>
  <c r="N65" i="6"/>
  <c r="N67" i="6"/>
  <c r="AU98" i="8"/>
  <c r="AU78" i="8"/>
  <c r="AU67" i="8"/>
  <c r="AU56" i="8"/>
  <c r="AU50" i="8"/>
  <c r="AU39" i="8"/>
  <c r="AU91" i="8"/>
  <c r="AU88" i="8"/>
  <c r="AU71" i="8"/>
  <c r="AK9" i="9"/>
  <c r="AK10" i="9"/>
  <c r="AK3" i="9"/>
  <c r="AU87" i="8"/>
  <c r="AU76" i="8"/>
  <c r="AK11" i="9"/>
  <c r="AU79" i="8"/>
  <c r="AK15" i="9"/>
  <c r="AU85" i="8"/>
  <c r="AU94" i="8"/>
  <c r="AU84" i="8"/>
  <c r="AU81" i="8"/>
  <c r="AU74" i="8"/>
  <c r="AU63" i="8"/>
  <c r="AU29" i="8"/>
  <c r="AK7" i="9"/>
  <c r="AU65" i="8"/>
  <c r="AU61" i="8"/>
  <c r="AU57" i="8"/>
  <c r="AU99" i="8"/>
  <c r="AK6" i="9"/>
  <c r="AU77" i="8"/>
  <c r="AU73" i="8"/>
  <c r="AU82" i="8"/>
  <c r="AU100" i="8"/>
  <c r="AU75" i="8"/>
  <c r="AU37" i="8"/>
  <c r="AU101" i="7"/>
  <c r="AU86" i="7"/>
  <c r="AU67" i="7"/>
  <c r="AU45" i="7"/>
  <c r="AU34" i="7"/>
  <c r="AU49" i="8"/>
  <c r="AU46" i="8"/>
  <c r="AU83" i="7"/>
  <c r="AU96" i="8"/>
  <c r="AU69" i="8"/>
  <c r="AU96" i="7"/>
  <c r="AU77" i="7"/>
  <c r="AU49" i="7"/>
  <c r="AU48" i="7"/>
  <c r="AU47" i="7"/>
  <c r="AU46" i="7"/>
  <c r="AU68" i="8"/>
  <c r="AU51" i="8"/>
  <c r="AU45" i="8"/>
  <c r="AU24" i="8"/>
  <c r="AU20" i="8"/>
  <c r="AU11" i="8"/>
  <c r="AU80" i="7"/>
  <c r="AU61" i="7"/>
  <c r="AU89" i="8"/>
  <c r="AU43" i="8"/>
  <c r="AU35" i="8"/>
  <c r="AU57" i="7"/>
  <c r="AU55" i="7"/>
  <c r="AU29" i="7"/>
  <c r="AU19" i="7"/>
  <c r="AU4" i="7"/>
  <c r="AU95" i="8"/>
  <c r="AU66" i="8"/>
  <c r="AU48" i="8"/>
  <c r="AU98" i="7"/>
  <c r="AU91" i="7"/>
  <c r="AU68" i="7"/>
  <c r="AU16" i="7"/>
  <c r="AU311" i="6"/>
  <c r="AU300" i="6"/>
  <c r="AU289" i="6"/>
  <c r="AU278" i="6"/>
  <c r="AU267" i="6"/>
  <c r="AU263" i="6"/>
  <c r="AK12" i="9"/>
  <c r="AU4" i="8"/>
  <c r="AU89" i="7"/>
  <c r="AU97" i="8"/>
  <c r="AU34" i="8"/>
  <c r="AU23" i="8"/>
  <c r="AK16" i="9"/>
  <c r="AK13" i="9"/>
  <c r="AU70" i="8"/>
  <c r="AU55" i="8"/>
  <c r="AU42" i="7"/>
  <c r="AU310" i="6"/>
  <c r="AU62" i="8"/>
  <c r="AU7" i="8"/>
  <c r="AU23" i="7"/>
  <c r="AU14" i="8"/>
  <c r="AU90" i="8"/>
  <c r="AU54" i="8"/>
  <c r="AU79" i="7"/>
  <c r="AU30" i="7"/>
  <c r="AU13" i="7"/>
  <c r="AU295" i="6"/>
  <c r="AU292" i="6"/>
  <c r="AU269" i="6"/>
  <c r="AU58" i="8"/>
  <c r="AU71" i="7"/>
  <c r="AU59" i="7"/>
  <c r="AU54" i="7"/>
  <c r="AU37" i="7"/>
  <c r="AU11" i="7"/>
  <c r="AU6" i="7"/>
  <c r="AU308" i="6"/>
  <c r="AU272" i="6"/>
  <c r="AU25" i="8"/>
  <c r="AU13" i="8"/>
  <c r="AU86" i="8"/>
  <c r="AU31" i="8"/>
  <c r="AU87" i="7"/>
  <c r="AU73" i="7"/>
  <c r="AU70" i="7"/>
  <c r="AU74" i="7"/>
  <c r="AU72" i="7"/>
  <c r="AU69" i="7"/>
  <c r="AU56" i="7"/>
  <c r="AU39" i="7"/>
  <c r="AU40" i="8"/>
  <c r="AU32" i="8"/>
  <c r="AK2" i="9"/>
  <c r="AU33" i="8"/>
  <c r="AU60" i="8"/>
  <c r="AU90" i="7"/>
  <c r="AU66" i="7"/>
  <c r="AU75" i="7"/>
  <c r="AU99" i="7"/>
  <c r="AU44" i="7"/>
  <c r="AU17" i="8"/>
  <c r="AU53" i="8"/>
  <c r="AU59" i="8"/>
  <c r="AU84" i="7"/>
  <c r="AU18" i="8"/>
  <c r="AU100" i="7"/>
  <c r="AU80" i="8"/>
  <c r="AU64" i="8"/>
  <c r="AU27" i="8"/>
  <c r="AU9" i="8"/>
  <c r="AU97" i="7"/>
  <c r="AU92" i="7"/>
  <c r="AU36" i="8"/>
  <c r="AU22" i="8"/>
  <c r="AU82" i="7"/>
  <c r="AU83" i="8"/>
  <c r="AU42" i="8"/>
  <c r="AU2" i="8"/>
  <c r="AU44" i="8"/>
  <c r="AU30" i="8"/>
  <c r="AU43" i="7"/>
  <c r="AU20" i="7"/>
  <c r="AK14" i="9"/>
  <c r="AU41" i="8"/>
  <c r="AU22" i="7"/>
  <c r="AU92" i="8"/>
  <c r="AU38" i="8"/>
  <c r="AU93" i="7"/>
  <c r="AU63" i="7"/>
  <c r="AU38" i="7"/>
  <c r="AU18" i="7"/>
  <c r="AU26" i="7"/>
  <c r="AU8" i="7"/>
  <c r="AU298" i="6"/>
  <c r="AU296" i="6"/>
  <c r="AU47" i="8"/>
  <c r="AU85" i="7"/>
  <c r="AU33" i="7"/>
  <c r="AU78" i="7"/>
  <c r="AU101" i="8"/>
  <c r="AU72" i="8"/>
  <c r="AU58" i="7"/>
  <c r="AU305" i="6"/>
  <c r="AU65" i="7"/>
  <c r="AU14" i="7"/>
  <c r="AK5" i="9"/>
  <c r="AU26" i="8"/>
  <c r="AU93" i="8"/>
  <c r="AU95" i="7"/>
  <c r="AU35" i="7"/>
  <c r="AU51" i="7"/>
  <c r="AU36" i="7"/>
  <c r="AU2" i="7"/>
  <c r="AU52" i="8"/>
  <c r="AU304" i="6"/>
  <c r="AU301" i="6"/>
  <c r="AU28" i="8"/>
  <c r="AU19" i="8"/>
  <c r="AU10" i="8"/>
  <c r="AU52" i="7"/>
  <c r="AU294" i="6"/>
  <c r="AU286" i="6"/>
  <c r="AU50" i="7"/>
  <c r="AU306" i="6"/>
  <c r="AU302" i="6"/>
  <c r="AU15" i="8"/>
  <c r="AU62" i="7"/>
  <c r="AU307" i="6"/>
  <c r="AU303" i="6"/>
  <c r="AU277" i="6"/>
  <c r="AU64" i="7"/>
  <c r="AU293" i="6"/>
  <c r="AU274" i="6"/>
  <c r="AU32" i="7"/>
  <c r="AU5" i="8"/>
  <c r="AU299" i="6"/>
  <c r="AU282" i="6"/>
  <c r="AU40" i="7"/>
  <c r="AU262" i="6"/>
  <c r="AU250" i="6"/>
  <c r="AU239" i="6"/>
  <c r="AU228" i="6"/>
  <c r="AU217" i="6"/>
  <c r="AK8" i="9"/>
  <c r="AU21" i="8"/>
  <c r="AU6" i="8"/>
  <c r="AU60" i="7"/>
  <c r="AU256" i="6"/>
  <c r="AU255" i="6"/>
  <c r="AU249" i="6"/>
  <c r="AU238" i="6"/>
  <c r="AU5" i="7"/>
  <c r="AU270" i="6"/>
  <c r="AK4" i="9"/>
  <c r="AU8" i="8"/>
  <c r="AU31" i="7"/>
  <c r="AU25" i="7"/>
  <c r="AU15" i="7"/>
  <c r="AU309" i="6"/>
  <c r="AU291" i="6"/>
  <c r="AU275" i="6"/>
  <c r="AU251" i="6"/>
  <c r="AU224" i="6"/>
  <c r="AU16" i="8"/>
  <c r="AU279" i="6"/>
  <c r="AU243" i="6"/>
  <c r="AU234" i="6"/>
  <c r="AU252" i="6"/>
  <c r="AU223" i="6"/>
  <c r="AU53" i="7"/>
  <c r="AU257" i="6"/>
  <c r="AU235" i="6"/>
  <c r="AU222" i="6"/>
  <c r="AU27" i="7"/>
  <c r="AU281" i="6"/>
  <c r="AU280" i="6"/>
  <c r="AU253" i="6"/>
  <c r="AU244" i="6"/>
  <c r="AU264" i="6"/>
  <c r="AU236" i="6"/>
  <c r="AU221" i="6"/>
  <c r="AU284" i="6"/>
  <c r="AU259" i="6"/>
  <c r="AU24" i="7"/>
  <c r="AU7" i="7"/>
  <c r="AU285" i="6"/>
  <c r="AU283" i="6"/>
  <c r="AU261" i="6"/>
  <c r="AU312" i="6"/>
  <c r="AU287" i="6"/>
  <c r="AU260" i="6"/>
  <c r="AU211" i="6"/>
  <c r="AU200" i="6"/>
  <c r="AU189" i="6"/>
  <c r="AU178" i="6"/>
  <c r="AU167" i="6"/>
  <c r="AU156" i="6"/>
  <c r="AU145" i="6"/>
  <c r="AU134" i="6"/>
  <c r="AU123" i="6"/>
  <c r="AU112" i="6"/>
  <c r="AU3" i="7"/>
  <c r="AU246" i="6"/>
  <c r="AU205" i="6"/>
  <c r="AU194" i="6"/>
  <c r="AU183" i="6"/>
  <c r="AU172" i="6"/>
  <c r="AU161" i="6"/>
  <c r="AU150" i="6"/>
  <c r="AU139" i="6"/>
  <c r="AU128" i="6"/>
  <c r="AU117" i="6"/>
  <c r="AU232" i="6"/>
  <c r="AU219" i="6"/>
  <c r="AU210" i="6"/>
  <c r="AU199" i="6"/>
  <c r="AU188" i="6"/>
  <c r="AU177" i="6"/>
  <c r="AU166" i="6"/>
  <c r="AU155" i="6"/>
  <c r="AU144" i="6"/>
  <c r="AU133" i="6"/>
  <c r="AU122" i="6"/>
  <c r="AU94" i="7"/>
  <c r="AU290" i="6"/>
  <c r="AU229" i="6"/>
  <c r="AU204" i="6"/>
  <c r="AU193" i="6"/>
  <c r="AU182" i="6"/>
  <c r="AU171" i="6"/>
  <c r="AU160" i="6"/>
  <c r="AU149" i="6"/>
  <c r="AU138" i="6"/>
  <c r="AU127" i="6"/>
  <c r="AU81" i="7"/>
  <c r="AU21" i="7"/>
  <c r="AU212" i="6"/>
  <c r="AU181" i="6"/>
  <c r="AU136" i="6"/>
  <c r="AU276" i="6"/>
  <c r="AU187" i="6"/>
  <c r="AU173" i="6"/>
  <c r="AU142" i="6"/>
  <c r="AU105" i="6"/>
  <c r="AU94" i="6"/>
  <c r="AU83" i="6"/>
  <c r="AU240" i="6"/>
  <c r="AU214" i="6"/>
  <c r="AU179" i="6"/>
  <c r="AU148" i="6"/>
  <c r="AU115" i="6"/>
  <c r="AU12" i="7"/>
  <c r="AU271" i="6"/>
  <c r="AU241" i="6"/>
  <c r="AU185" i="6"/>
  <c r="AU154" i="6"/>
  <c r="AU140" i="6"/>
  <c r="AU120" i="6"/>
  <c r="AU110" i="6"/>
  <c r="AU99" i="6"/>
  <c r="AU88" i="6"/>
  <c r="AU77" i="6"/>
  <c r="AU66" i="6"/>
  <c r="AU242" i="6"/>
  <c r="AU191" i="6"/>
  <c r="AU146" i="6"/>
  <c r="AU268" i="6"/>
  <c r="AU197" i="6"/>
  <c r="AU152" i="6"/>
  <c r="AU111" i="6"/>
  <c r="AU104" i="6"/>
  <c r="AU93" i="6"/>
  <c r="AU82" i="6"/>
  <c r="AU71" i="6"/>
  <c r="AU266" i="6"/>
  <c r="AU218" i="6"/>
  <c r="AU209" i="6"/>
  <c r="AU195" i="6"/>
  <c r="AU164" i="6"/>
  <c r="AU109" i="6"/>
  <c r="AU98" i="6"/>
  <c r="AU87" i="6"/>
  <c r="AU76" i="6"/>
  <c r="AU3" i="8"/>
  <c r="AU9" i="7"/>
  <c r="AU247" i="6"/>
  <c r="AU153" i="6"/>
  <c r="AU92" i="6"/>
  <c r="AU78" i="6"/>
  <c r="AU55" i="6"/>
  <c r="AU88" i="7"/>
  <c r="AU265" i="6"/>
  <c r="AU157" i="6"/>
  <c r="AU143" i="6"/>
  <c r="AU84" i="6"/>
  <c r="AU64" i="6"/>
  <c r="AU49" i="6"/>
  <c r="AU38" i="6"/>
  <c r="AU27" i="6"/>
  <c r="AU147" i="6"/>
  <c r="AU90" i="6"/>
  <c r="AU227" i="6"/>
  <c r="AU151" i="6"/>
  <c r="AU137" i="6"/>
  <c r="AU96" i="6"/>
  <c r="AU54" i="6"/>
  <c r="AU43" i="6"/>
  <c r="AU32" i="6"/>
  <c r="AU213" i="6"/>
  <c r="AU207" i="6"/>
  <c r="AU203" i="6"/>
  <c r="AU141" i="6"/>
  <c r="AU102" i="6"/>
  <c r="AU131" i="6"/>
  <c r="AU108" i="6"/>
  <c r="AU72" i="6"/>
  <c r="AU69" i="6"/>
  <c r="AU65" i="6"/>
  <c r="AU48" i="6"/>
  <c r="AU37" i="6"/>
  <c r="AU26" i="6"/>
  <c r="AU215" i="6"/>
  <c r="AU208" i="6"/>
  <c r="AU201" i="6"/>
  <c r="AU135" i="6"/>
  <c r="AU100" i="6"/>
  <c r="AU28" i="7"/>
  <c r="AU297" i="6"/>
  <c r="AU233" i="6"/>
  <c r="AU230" i="6"/>
  <c r="AU198" i="6"/>
  <c r="AU132" i="6"/>
  <c r="AU125" i="6"/>
  <c r="AU106" i="6"/>
  <c r="AU75" i="6"/>
  <c r="AU53" i="6"/>
  <c r="AU42" i="6"/>
  <c r="AU31" i="6"/>
  <c r="AU288" i="6"/>
  <c r="AU248" i="6"/>
  <c r="AU216" i="6"/>
  <c r="AU202" i="6"/>
  <c r="AU163" i="6"/>
  <c r="AU107" i="6"/>
  <c r="AU57" i="6"/>
  <c r="AU46" i="6"/>
  <c r="AU13" i="6"/>
  <c r="AU2" i="6"/>
  <c r="AU273" i="6"/>
  <c r="AU186" i="6"/>
  <c r="AU196" i="6"/>
  <c r="AU169" i="6"/>
  <c r="AU158" i="6"/>
  <c r="AU51" i="6"/>
  <c r="AU28" i="6"/>
  <c r="AU25" i="6"/>
  <c r="AU18" i="6"/>
  <c r="AU7" i="6"/>
  <c r="AU17" i="7"/>
  <c r="AU206" i="6"/>
  <c r="AU130" i="6"/>
  <c r="AU175" i="6"/>
  <c r="AU118" i="6"/>
  <c r="AU33" i="6"/>
  <c r="AU30" i="6"/>
  <c r="AU12" i="6"/>
  <c r="AU170" i="6"/>
  <c r="AU73" i="6"/>
  <c r="AU59" i="6"/>
  <c r="AU35" i="6"/>
  <c r="AU17" i="6"/>
  <c r="AU6" i="6"/>
  <c r="AU165" i="6"/>
  <c r="AU67" i="6"/>
  <c r="AU62" i="6"/>
  <c r="AU14" i="6"/>
  <c r="AU15" i="6"/>
  <c r="AU89" i="6"/>
  <c r="AU68" i="6"/>
  <c r="AU63" i="6"/>
  <c r="AU11" i="6"/>
  <c r="AU192" i="6"/>
  <c r="AU190" i="6"/>
  <c r="AU116" i="6"/>
  <c r="AU24" i="6"/>
  <c r="AU19" i="6"/>
  <c r="AU254" i="6"/>
  <c r="AU225" i="6"/>
  <c r="AU126" i="6"/>
  <c r="AU86" i="6"/>
  <c r="AU76" i="7"/>
  <c r="AU245" i="6"/>
  <c r="AU162" i="6"/>
  <c r="AU114" i="6"/>
  <c r="AU80" i="6"/>
  <c r="AU20" i="6"/>
  <c r="AU16" i="6"/>
  <c r="AU237" i="6"/>
  <c r="AU226" i="6"/>
  <c r="AU3" i="6"/>
  <c r="AU4" i="6"/>
  <c r="AU231" i="6"/>
  <c r="AU220" i="6"/>
  <c r="AU129" i="6"/>
  <c r="AU29" i="6"/>
  <c r="AU74" i="6"/>
  <c r="AU52" i="6"/>
  <c r="AU159" i="6"/>
  <c r="AU313" i="6"/>
  <c r="AU70" i="6"/>
  <c r="AU44" i="6"/>
  <c r="AU22" i="6"/>
  <c r="AU9" i="6"/>
  <c r="AU81" i="6"/>
  <c r="AU12" i="8"/>
  <c r="AU56" i="6"/>
  <c r="AU45" i="6"/>
  <c r="AU41" i="6"/>
  <c r="AU184" i="6"/>
  <c r="AU101" i="6"/>
  <c r="AU91" i="6"/>
  <c r="AU124" i="6"/>
  <c r="AU113" i="6"/>
  <c r="AU23" i="6"/>
  <c r="AU10" i="6"/>
  <c r="AU8" i="6"/>
  <c r="AU34" i="6"/>
  <c r="AU103" i="6"/>
  <c r="AU40" i="6"/>
  <c r="AU79" i="6"/>
  <c r="AU10" i="7"/>
  <c r="AU95" i="6"/>
  <c r="AU50" i="6"/>
  <c r="AU61" i="6"/>
  <c r="AU5" i="6"/>
  <c r="AU21" i="6"/>
  <c r="AU47" i="6"/>
  <c r="AU85" i="6"/>
  <c r="AU39" i="6"/>
  <c r="AU41" i="7"/>
  <c r="AU121" i="6"/>
  <c r="AU60" i="6"/>
  <c r="AU97" i="6"/>
  <c r="AU258" i="6"/>
  <c r="AU180" i="6"/>
  <c r="AU119" i="6"/>
  <c r="AU174" i="6"/>
  <c r="AU176" i="6"/>
  <c r="AU58" i="6"/>
  <c r="AU168" i="6"/>
  <c r="AU36" i="6"/>
  <c r="P26" i="8"/>
  <c r="P29" i="8"/>
  <c r="P27" i="7"/>
  <c r="P28" i="8"/>
  <c r="P29" i="7"/>
  <c r="P26" i="7"/>
  <c r="P28" i="7"/>
  <c r="P27" i="8"/>
  <c r="P80" i="6"/>
  <c r="P85" i="6"/>
  <c r="P74" i="6"/>
  <c r="P79" i="6"/>
  <c r="P86" i="6"/>
  <c r="P77" i="6"/>
  <c r="P78" i="6"/>
  <c r="P76" i="6"/>
  <c r="P83" i="6"/>
  <c r="P81" i="6"/>
  <c r="P75" i="6"/>
  <c r="P88" i="6"/>
  <c r="P82" i="6"/>
  <c r="P89" i="6"/>
  <c r="P84" i="6"/>
  <c r="P87" i="6"/>
  <c r="P52" i="8"/>
  <c r="P51" i="8"/>
  <c r="P51" i="7"/>
  <c r="P53" i="8"/>
  <c r="P50" i="8"/>
  <c r="P53" i="7"/>
  <c r="P50" i="7"/>
  <c r="P52" i="7"/>
  <c r="P180" i="6"/>
  <c r="P185" i="6"/>
  <c r="P174" i="6"/>
  <c r="P179" i="6"/>
  <c r="P183" i="6"/>
  <c r="P175" i="6"/>
  <c r="P181" i="6"/>
  <c r="P184" i="6"/>
  <c r="P178" i="6"/>
  <c r="P182" i="6"/>
  <c r="P172" i="6"/>
  <c r="P176" i="6"/>
  <c r="P171" i="6"/>
  <c r="P177" i="6"/>
  <c r="P170" i="6"/>
  <c r="P173" i="6"/>
  <c r="Q2" i="9"/>
  <c r="Y83" i="8"/>
  <c r="Y78" i="8"/>
  <c r="Y67" i="8"/>
  <c r="Y56" i="8"/>
  <c r="Y50" i="8"/>
  <c r="Y39" i="8"/>
  <c r="Y100" i="8"/>
  <c r="Y97" i="8"/>
  <c r="Y94" i="8"/>
  <c r="Y75" i="8"/>
  <c r="Y43" i="8"/>
  <c r="Q13" i="9"/>
  <c r="Y98" i="8"/>
  <c r="Q14" i="9"/>
  <c r="Y81" i="8"/>
  <c r="Y96" i="8"/>
  <c r="Y74" i="8"/>
  <c r="Q6" i="9"/>
  <c r="Y92" i="8"/>
  <c r="Q9" i="9"/>
  <c r="Y72" i="8"/>
  <c r="Y28" i="8"/>
  <c r="Q4" i="9"/>
  <c r="Y70" i="8"/>
  <c r="Y54" i="8"/>
  <c r="Q11" i="9"/>
  <c r="Y89" i="8"/>
  <c r="Y60" i="8"/>
  <c r="Y29" i="8"/>
  <c r="Y9" i="8"/>
  <c r="Y71" i="7"/>
  <c r="Y45" i="7"/>
  <c r="Y34" i="7"/>
  <c r="Y86" i="8"/>
  <c r="Y82" i="8"/>
  <c r="Y66" i="8"/>
  <c r="Y44" i="8"/>
  <c r="Y35" i="8"/>
  <c r="Y10" i="8"/>
  <c r="Y87" i="7"/>
  <c r="Y68" i="7"/>
  <c r="Y101" i="8"/>
  <c r="Y27" i="8"/>
  <c r="Y24" i="8"/>
  <c r="Y14" i="8"/>
  <c r="Y82" i="7"/>
  <c r="Y75" i="7"/>
  <c r="Y53" i="7"/>
  <c r="Y52" i="7"/>
  <c r="Y51" i="7"/>
  <c r="Q12" i="9"/>
  <c r="Y61" i="8"/>
  <c r="Y21" i="8"/>
  <c r="Y85" i="7"/>
  <c r="Y66" i="7"/>
  <c r="Q3" i="9"/>
  <c r="Y64" i="8"/>
  <c r="Y45" i="8"/>
  <c r="Y42" i="8"/>
  <c r="Y87" i="8"/>
  <c r="Y26" i="8"/>
  <c r="Y16" i="8"/>
  <c r="Y98" i="7"/>
  <c r="Y91" i="7"/>
  <c r="Y49" i="7"/>
  <c r="Y11" i="7"/>
  <c r="Y4" i="7"/>
  <c r="Y93" i="8"/>
  <c r="Y88" i="8"/>
  <c r="Y47" i="8"/>
  <c r="Y36" i="8"/>
  <c r="Y86" i="7"/>
  <c r="Y63" i="7"/>
  <c r="Y50" i="7"/>
  <c r="Y42" i="7"/>
  <c r="Y12" i="7"/>
  <c r="Y311" i="6"/>
  <c r="Y300" i="6"/>
  <c r="Y289" i="6"/>
  <c r="Y278" i="6"/>
  <c r="Y267" i="6"/>
  <c r="Y263" i="6"/>
  <c r="Y99" i="8"/>
  <c r="Y59" i="8"/>
  <c r="Y46" i="8"/>
  <c r="Y12" i="8"/>
  <c r="Y6" i="8"/>
  <c r="Y40" i="8"/>
  <c r="Y30" i="8"/>
  <c r="Y20" i="8"/>
  <c r="Y3" i="8"/>
  <c r="Y90" i="8"/>
  <c r="Q15" i="9"/>
  <c r="Y65" i="8"/>
  <c r="Y22" i="8"/>
  <c r="Y83" i="7"/>
  <c r="Y39" i="7"/>
  <c r="Y32" i="7"/>
  <c r="Y24" i="7"/>
  <c r="Y15" i="7"/>
  <c r="Y95" i="7"/>
  <c r="Y43" i="7"/>
  <c r="Y52" i="8"/>
  <c r="Y33" i="8"/>
  <c r="Y4" i="8"/>
  <c r="Y94" i="7"/>
  <c r="Y8" i="8"/>
  <c r="Y100" i="7"/>
  <c r="Y99" i="7"/>
  <c r="Y76" i="7"/>
  <c r="Y19" i="7"/>
  <c r="Y14" i="7"/>
  <c r="Y301" i="6"/>
  <c r="Y298" i="6"/>
  <c r="Y275" i="6"/>
  <c r="Y79" i="8"/>
  <c r="Y23" i="8"/>
  <c r="Y40" i="7"/>
  <c r="Y23" i="7"/>
  <c r="Y313" i="6"/>
  <c r="Y306" i="6"/>
  <c r="Y57" i="8"/>
  <c r="Y41" i="8"/>
  <c r="Y32" i="8"/>
  <c r="Y76" i="8"/>
  <c r="Y93" i="7"/>
  <c r="Y16" i="7"/>
  <c r="Y84" i="8"/>
  <c r="Y37" i="8"/>
  <c r="Y64" i="7"/>
  <c r="Y53" i="8"/>
  <c r="Y95" i="8"/>
  <c r="Y48" i="8"/>
  <c r="Q7" i="9"/>
  <c r="Y62" i="8"/>
  <c r="Y5" i="8"/>
  <c r="Y47" i="7"/>
  <c r="Y68" i="8"/>
  <c r="Y80" i="7"/>
  <c r="Y59" i="7"/>
  <c r="Q16" i="9"/>
  <c r="Y97" i="7"/>
  <c r="Y81" i="7"/>
  <c r="Y72" i="7"/>
  <c r="Y29" i="7"/>
  <c r="Y25" i="8"/>
  <c r="Y2" i="8"/>
  <c r="Y91" i="8"/>
  <c r="Q10" i="9"/>
  <c r="Y85" i="8"/>
  <c r="Y15" i="8"/>
  <c r="Y92" i="7"/>
  <c r="Y31" i="8"/>
  <c r="Y84" i="7"/>
  <c r="Y46" i="7"/>
  <c r="Y77" i="8"/>
  <c r="Y18" i="8"/>
  <c r="Y101" i="7"/>
  <c r="Y96" i="7"/>
  <c r="Y49" i="8"/>
  <c r="Y51" i="8"/>
  <c r="Y88" i="7"/>
  <c r="Y73" i="8"/>
  <c r="Y67" i="7"/>
  <c r="Y80" i="8"/>
  <c r="Y19" i="8"/>
  <c r="Y10" i="7"/>
  <c r="Y294" i="6"/>
  <c r="Y36" i="7"/>
  <c r="Y71" i="8"/>
  <c r="Y38" i="8"/>
  <c r="Y65" i="7"/>
  <c r="Y57" i="7"/>
  <c r="Y25" i="7"/>
  <c r="Y304" i="6"/>
  <c r="Y77" i="7"/>
  <c r="Y62" i="7"/>
  <c r="Y21" i="7"/>
  <c r="Y48" i="7"/>
  <c r="Y74" i="7"/>
  <c r="Y26" i="7"/>
  <c r="Y55" i="8"/>
  <c r="Y70" i="7"/>
  <c r="Y55" i="7"/>
  <c r="Y28" i="7"/>
  <c r="Y60" i="7"/>
  <c r="Y11" i="8"/>
  <c r="Y78" i="7"/>
  <c r="Y31" i="7"/>
  <c r="Y307" i="6"/>
  <c r="Y290" i="6"/>
  <c r="Y284" i="6"/>
  <c r="Y58" i="7"/>
  <c r="Y30" i="7"/>
  <c r="Q5" i="9"/>
  <c r="Y7" i="8"/>
  <c r="Y90" i="7"/>
  <c r="Y69" i="7"/>
  <c r="Y22" i="7"/>
  <c r="Y34" i="8"/>
  <c r="Y292" i="6"/>
  <c r="Y285" i="6"/>
  <c r="Y7" i="7"/>
  <c r="Y3" i="7"/>
  <c r="Y2" i="7"/>
  <c r="Y297" i="6"/>
  <c r="Y9" i="7"/>
  <c r="Y6" i="7"/>
  <c r="Y5" i="7"/>
  <c r="Y276" i="6"/>
  <c r="Y44" i="7"/>
  <c r="Y58" i="8"/>
  <c r="Y273" i="6"/>
  <c r="Y54" i="7"/>
  <c r="Y260" i="6"/>
  <c r="Y250" i="6"/>
  <c r="Y239" i="6"/>
  <c r="Y228" i="6"/>
  <c r="Y217" i="6"/>
  <c r="Q8" i="9"/>
  <c r="Y69" i="8"/>
  <c r="Y13" i="8"/>
  <c r="Y38" i="7"/>
  <c r="Y277" i="6"/>
  <c r="Y268" i="6"/>
  <c r="Y249" i="6"/>
  <c r="Y238" i="6"/>
  <c r="Y17" i="8"/>
  <c r="Y37" i="7"/>
  <c r="Y286" i="6"/>
  <c r="Y261" i="6"/>
  <c r="Y235" i="6"/>
  <c r="Y308" i="6"/>
  <c r="Y253" i="6"/>
  <c r="Y244" i="6"/>
  <c r="Y223" i="6"/>
  <c r="Y73" i="7"/>
  <c r="Y287" i="6"/>
  <c r="Y236" i="6"/>
  <c r="Y222" i="6"/>
  <c r="Y8" i="7"/>
  <c r="Y288" i="6"/>
  <c r="Y254" i="6"/>
  <c r="Y245" i="6"/>
  <c r="Y237" i="6"/>
  <c r="Y221" i="6"/>
  <c r="Y295" i="6"/>
  <c r="Y79" i="7"/>
  <c r="Y13" i="7"/>
  <c r="Y270" i="6"/>
  <c r="Y246" i="6"/>
  <c r="Y220" i="6"/>
  <c r="Y63" i="8"/>
  <c r="Y302" i="6"/>
  <c r="Y272" i="6"/>
  <c r="Y266" i="6"/>
  <c r="Y310" i="6"/>
  <c r="Y271" i="6"/>
  <c r="Y226" i="6"/>
  <c r="Y211" i="6"/>
  <c r="Y200" i="6"/>
  <c r="Y189" i="6"/>
  <c r="Y178" i="6"/>
  <c r="Y167" i="6"/>
  <c r="Y156" i="6"/>
  <c r="Y145" i="6"/>
  <c r="Y134" i="6"/>
  <c r="Y123" i="6"/>
  <c r="Y112" i="6"/>
  <c r="Y27" i="7"/>
  <c r="Y20" i="7"/>
  <c r="Y248" i="6"/>
  <c r="Y17" i="7"/>
  <c r="Y299" i="6"/>
  <c r="Y293" i="6"/>
  <c r="Y274" i="6"/>
  <c r="Y258" i="6"/>
  <c r="Y252" i="6"/>
  <c r="Y231" i="6"/>
  <c r="Y205" i="6"/>
  <c r="Y194" i="6"/>
  <c r="Y183" i="6"/>
  <c r="Y172" i="6"/>
  <c r="Y161" i="6"/>
  <c r="Y150" i="6"/>
  <c r="Y139" i="6"/>
  <c r="Y128" i="6"/>
  <c r="Y117" i="6"/>
  <c r="Y41" i="7"/>
  <c r="Y279" i="6"/>
  <c r="Y241" i="6"/>
  <c r="Y210" i="6"/>
  <c r="Y199" i="6"/>
  <c r="Y188" i="6"/>
  <c r="Y177" i="6"/>
  <c r="Y166" i="6"/>
  <c r="Y155" i="6"/>
  <c r="Y144" i="6"/>
  <c r="Y133" i="6"/>
  <c r="Y122" i="6"/>
  <c r="Y269" i="6"/>
  <c r="Y256" i="6"/>
  <c r="Y234" i="6"/>
  <c r="Y35" i="7"/>
  <c r="Y309" i="6"/>
  <c r="Y257" i="6"/>
  <c r="Y218" i="6"/>
  <c r="Y204" i="6"/>
  <c r="Y193" i="6"/>
  <c r="Y182" i="6"/>
  <c r="Y171" i="6"/>
  <c r="Y160" i="6"/>
  <c r="Y149" i="6"/>
  <c r="Y138" i="6"/>
  <c r="Y127" i="6"/>
  <c r="Y225" i="6"/>
  <c r="Y209" i="6"/>
  <c r="Y195" i="6"/>
  <c r="Y164" i="6"/>
  <c r="Y265" i="6"/>
  <c r="Y227" i="6"/>
  <c r="Y201" i="6"/>
  <c r="Y170" i="6"/>
  <c r="Y125" i="6"/>
  <c r="Y105" i="6"/>
  <c r="Y94" i="6"/>
  <c r="Y83" i="6"/>
  <c r="Y247" i="6"/>
  <c r="Y207" i="6"/>
  <c r="Y176" i="6"/>
  <c r="Y162" i="6"/>
  <c r="Y131" i="6"/>
  <c r="Y111" i="6"/>
  <c r="Y312" i="6"/>
  <c r="Y291" i="6"/>
  <c r="Y281" i="6"/>
  <c r="Y224" i="6"/>
  <c r="Y168" i="6"/>
  <c r="Y137" i="6"/>
  <c r="Y118" i="6"/>
  <c r="Y116" i="6"/>
  <c r="Y110" i="6"/>
  <c r="Y99" i="6"/>
  <c r="Y88" i="6"/>
  <c r="Y77" i="6"/>
  <c r="Y66" i="6"/>
  <c r="Y213" i="6"/>
  <c r="Y174" i="6"/>
  <c r="Y143" i="6"/>
  <c r="Y129" i="6"/>
  <c r="Y230" i="6"/>
  <c r="Y180" i="6"/>
  <c r="Y135" i="6"/>
  <c r="Y121" i="6"/>
  <c r="Y104" i="6"/>
  <c r="Y93" i="6"/>
  <c r="Y82" i="6"/>
  <c r="Y71" i="6"/>
  <c r="Y283" i="6"/>
  <c r="Y240" i="6"/>
  <c r="Y192" i="6"/>
  <c r="Y147" i="6"/>
  <c r="Y109" i="6"/>
  <c r="Y98" i="6"/>
  <c r="Y87" i="6"/>
  <c r="Y76" i="6"/>
  <c r="Y191" i="6"/>
  <c r="Y184" i="6"/>
  <c r="Y106" i="6"/>
  <c r="Y72" i="6"/>
  <c r="Y69" i="6"/>
  <c r="Y229" i="6"/>
  <c r="Y181" i="6"/>
  <c r="Y81" i="6"/>
  <c r="Y75" i="6"/>
  <c r="Y65" i="6"/>
  <c r="Y49" i="6"/>
  <c r="Y38" i="6"/>
  <c r="Y27" i="6"/>
  <c r="Y303" i="6"/>
  <c r="Y185" i="6"/>
  <c r="Y282" i="6"/>
  <c r="Y232" i="6"/>
  <c r="Y175" i="6"/>
  <c r="Y79" i="6"/>
  <c r="Y54" i="6"/>
  <c r="Y43" i="6"/>
  <c r="Y32" i="6"/>
  <c r="Y179" i="6"/>
  <c r="Y165" i="6"/>
  <c r="Y85" i="6"/>
  <c r="Y169" i="6"/>
  <c r="Y91" i="6"/>
  <c r="Y48" i="6"/>
  <c r="Y37" i="6"/>
  <c r="Y26" i="6"/>
  <c r="Y242" i="6"/>
  <c r="Y173" i="6"/>
  <c r="Y159" i="6"/>
  <c r="Y120" i="6"/>
  <c r="Y119" i="6"/>
  <c r="Y97" i="6"/>
  <c r="Y70" i="6"/>
  <c r="Y163" i="6"/>
  <c r="Y103" i="6"/>
  <c r="Y89" i="6"/>
  <c r="Y73" i="6"/>
  <c r="Y53" i="6"/>
  <c r="Y42" i="6"/>
  <c r="Y31" i="6"/>
  <c r="Y61" i="7"/>
  <c r="Y262" i="6"/>
  <c r="Y255" i="6"/>
  <c r="Y33" i="7"/>
  <c r="Y280" i="6"/>
  <c r="Y215" i="6"/>
  <c r="Y126" i="6"/>
  <c r="Y101" i="6"/>
  <c r="Y40" i="6"/>
  <c r="Y13" i="6"/>
  <c r="Y2" i="6"/>
  <c r="Y259" i="6"/>
  <c r="Y190" i="6"/>
  <c r="Y140" i="6"/>
  <c r="Y132" i="6"/>
  <c r="Y113" i="6"/>
  <c r="Y45" i="6"/>
  <c r="Y18" i="6"/>
  <c r="Y7" i="6"/>
  <c r="Y198" i="6"/>
  <c r="Y61" i="6"/>
  <c r="Y208" i="6"/>
  <c r="Y146" i="6"/>
  <c r="Y102" i="6"/>
  <c r="Y100" i="6"/>
  <c r="Y68" i="6"/>
  <c r="Y50" i="6"/>
  <c r="Y47" i="6"/>
  <c r="Y23" i="6"/>
  <c r="Y12" i="6"/>
  <c r="Y86" i="6"/>
  <c r="Y84" i="6"/>
  <c r="Y58" i="6"/>
  <c r="Y152" i="6"/>
  <c r="Y141" i="6"/>
  <c r="Y67" i="6"/>
  <c r="Y55" i="6"/>
  <c r="Y52" i="6"/>
  <c r="Y29" i="6"/>
  <c r="Y24" i="6"/>
  <c r="Y17" i="6"/>
  <c r="Y6" i="6"/>
  <c r="Y186" i="6"/>
  <c r="Y19" i="6"/>
  <c r="Y78" i="6"/>
  <c r="Y16" i="6"/>
  <c r="Y158" i="6"/>
  <c r="Y51" i="6"/>
  <c r="Y46" i="6"/>
  <c r="Y41" i="6"/>
  <c r="Y36" i="6"/>
  <c r="Y95" i="6"/>
  <c r="Y60" i="6"/>
  <c r="Y57" i="6"/>
  <c r="Y3" i="6"/>
  <c r="Y305" i="6"/>
  <c r="Y153" i="6"/>
  <c r="Y92" i="6"/>
  <c r="Y44" i="6"/>
  <c r="Y39" i="6"/>
  <c r="Y34" i="6"/>
  <c r="Y21" i="6"/>
  <c r="Y233" i="6"/>
  <c r="Y142" i="6"/>
  <c r="Y108" i="6"/>
  <c r="Y59" i="6"/>
  <c r="Y56" i="6"/>
  <c r="Y4" i="6"/>
  <c r="Y136" i="6"/>
  <c r="Y296" i="6"/>
  <c r="Y196" i="6"/>
  <c r="Y151" i="6"/>
  <c r="Y206" i="6"/>
  <c r="Y148" i="6"/>
  <c r="Y243" i="6"/>
  <c r="Y28" i="6"/>
  <c r="Y20" i="6"/>
  <c r="Y56" i="7"/>
  <c r="Y202" i="6"/>
  <c r="Y157" i="6"/>
  <c r="Y154" i="6"/>
  <c r="Y25" i="6"/>
  <c r="Y15" i="6"/>
  <c r="Y5" i="6"/>
  <c r="Y90" i="6"/>
  <c r="Y80" i="6"/>
  <c r="Y62" i="6"/>
  <c r="Y96" i="6"/>
  <c r="Y216" i="6"/>
  <c r="Y212" i="6"/>
  <c r="Y10" i="6"/>
  <c r="Y8" i="6"/>
  <c r="Y18" i="7"/>
  <c r="Y115" i="6"/>
  <c r="Y64" i="6"/>
  <c r="Y30" i="6"/>
  <c r="Y89" i="7"/>
  <c r="Y187" i="6"/>
  <c r="Y130" i="6"/>
  <c r="Y124" i="6"/>
  <c r="Y63" i="6"/>
  <c r="Y251" i="6"/>
  <c r="Y107" i="6"/>
  <c r="Y9" i="6"/>
  <c r="Y11" i="6"/>
  <c r="Y219" i="6"/>
  <c r="Y35" i="6"/>
  <c r="Y14" i="6"/>
  <c r="Y264" i="6"/>
  <c r="Y197" i="6"/>
  <c r="Y203" i="6"/>
  <c r="Y114" i="6"/>
  <c r="Y22" i="6"/>
  <c r="Y214" i="6"/>
  <c r="Y33" i="6"/>
  <c r="Y74" i="6"/>
  <c r="Y6" i="9"/>
  <c r="Y5" i="9"/>
  <c r="Y4" i="9"/>
  <c r="Y3" i="9"/>
  <c r="Y2" i="9"/>
  <c r="AI96" i="8"/>
  <c r="AI75" i="8"/>
  <c r="AI64" i="8"/>
  <c r="AI53" i="8"/>
  <c r="AI42" i="8"/>
  <c r="AI69" i="8"/>
  <c r="AI54" i="8"/>
  <c r="AI50" i="8"/>
  <c r="AI38" i="8"/>
  <c r="AI10" i="8"/>
  <c r="Y15" i="9"/>
  <c r="AI99" i="8"/>
  <c r="AI84" i="8"/>
  <c r="AI82" i="8"/>
  <c r="Y16" i="9"/>
  <c r="Y14" i="9"/>
  <c r="AI58" i="8"/>
  <c r="Y8" i="9"/>
  <c r="AI77" i="8"/>
  <c r="AI49" i="8"/>
  <c r="AI48" i="8"/>
  <c r="AI35" i="8"/>
  <c r="AI23" i="8"/>
  <c r="Y9" i="9"/>
  <c r="AI91" i="8"/>
  <c r="AI40" i="8"/>
  <c r="AI33" i="8"/>
  <c r="AI32" i="8"/>
  <c r="AI95" i="8"/>
  <c r="AI90" i="8"/>
  <c r="Y13" i="9"/>
  <c r="Y12" i="9"/>
  <c r="AI89" i="8"/>
  <c r="AI85" i="8"/>
  <c r="AI26" i="8"/>
  <c r="AI11" i="8"/>
  <c r="AI84" i="7"/>
  <c r="AI65" i="7"/>
  <c r="AI48" i="7"/>
  <c r="AI37" i="7"/>
  <c r="AI26" i="7"/>
  <c r="Y7" i="9"/>
  <c r="AI94" i="8"/>
  <c r="AI76" i="8"/>
  <c r="AI27" i="8"/>
  <c r="AI12" i="8"/>
  <c r="AI3" i="8"/>
  <c r="AI100" i="7"/>
  <c r="AI81" i="7"/>
  <c r="AI66" i="7"/>
  <c r="AI46" i="8"/>
  <c r="AI25" i="8"/>
  <c r="AI4" i="8"/>
  <c r="AI83" i="7"/>
  <c r="AI64" i="7"/>
  <c r="AI59" i="8"/>
  <c r="AI18" i="8"/>
  <c r="AI67" i="7"/>
  <c r="AI61" i="8"/>
  <c r="AI93" i="8"/>
  <c r="AI73" i="8"/>
  <c r="AI17" i="8"/>
  <c r="AI14" i="8"/>
  <c r="AI58" i="7"/>
  <c r="AI51" i="7"/>
  <c r="AI13" i="7"/>
  <c r="AI70" i="8"/>
  <c r="AI29" i="8"/>
  <c r="AI99" i="7"/>
  <c r="AI76" i="7"/>
  <c r="AI69" i="7"/>
  <c r="AI46" i="7"/>
  <c r="AI27" i="7"/>
  <c r="AI9" i="7"/>
  <c r="AI308" i="6"/>
  <c r="AI297" i="6"/>
  <c r="AI286" i="6"/>
  <c r="AI275" i="6"/>
  <c r="AI62" i="8"/>
  <c r="AI24" i="8"/>
  <c r="AI8" i="8"/>
  <c r="AI5" i="8"/>
  <c r="AI87" i="7"/>
  <c r="AI83" i="8"/>
  <c r="AI39" i="8"/>
  <c r="AI60" i="8"/>
  <c r="AI9" i="8"/>
  <c r="AI94" i="7"/>
  <c r="AI90" i="7"/>
  <c r="AI75" i="7"/>
  <c r="AI44" i="7"/>
  <c r="AI67" i="8"/>
  <c r="AI13" i="8"/>
  <c r="AI98" i="7"/>
  <c r="AI78" i="7"/>
  <c r="AI30" i="7"/>
  <c r="AI97" i="7"/>
  <c r="AI21" i="8"/>
  <c r="AI36" i="7"/>
  <c r="AI2" i="7"/>
  <c r="AI302" i="6"/>
  <c r="AI282" i="6"/>
  <c r="AI279" i="6"/>
  <c r="AI260" i="6"/>
  <c r="AI259" i="6"/>
  <c r="AI2" i="8"/>
  <c r="AI82" i="7"/>
  <c r="AI61" i="7"/>
  <c r="AI56" i="7"/>
  <c r="AI21" i="7"/>
  <c r="AI16" i="7"/>
  <c r="AI10" i="7"/>
  <c r="AI285" i="6"/>
  <c r="AI261" i="6"/>
  <c r="AI92" i="7"/>
  <c r="AI56" i="8"/>
  <c r="AI96" i="7"/>
  <c r="AI60" i="7"/>
  <c r="AI40" i="7"/>
  <c r="AI33" i="7"/>
  <c r="AI28" i="7"/>
  <c r="AI72" i="8"/>
  <c r="AI47" i="7"/>
  <c r="AI35" i="7"/>
  <c r="AI88" i="8"/>
  <c r="AI86" i="8"/>
  <c r="AI31" i="8"/>
  <c r="AI30" i="8"/>
  <c r="AI65" i="8"/>
  <c r="AI73" i="7"/>
  <c r="AI47" i="8"/>
  <c r="AI31" i="7"/>
  <c r="Y10" i="9"/>
  <c r="AI93" i="7"/>
  <c r="AI79" i="8"/>
  <c r="AI57" i="8"/>
  <c r="AI55" i="8"/>
  <c r="AI74" i="8"/>
  <c r="AI63" i="8"/>
  <c r="AI37" i="8"/>
  <c r="AI16" i="8"/>
  <c r="AI51" i="8"/>
  <c r="AI91" i="7"/>
  <c r="AI77" i="7"/>
  <c r="AI52" i="7"/>
  <c r="AI92" i="8"/>
  <c r="AI85" i="7"/>
  <c r="Y11" i="9"/>
  <c r="AI100" i="8"/>
  <c r="AI19" i="8"/>
  <c r="AI68" i="7"/>
  <c r="AI89" i="7"/>
  <c r="AI50" i="7"/>
  <c r="AI87" i="8"/>
  <c r="AI34" i="8"/>
  <c r="AI17" i="7"/>
  <c r="AI98" i="8"/>
  <c r="AI81" i="8"/>
  <c r="AI71" i="8"/>
  <c r="AI62" i="7"/>
  <c r="AI39" i="7"/>
  <c r="AI44" i="8"/>
  <c r="AI7" i="8"/>
  <c r="AI310" i="6"/>
  <c r="AI303" i="6"/>
  <c r="AI301" i="6"/>
  <c r="AI299" i="6"/>
  <c r="AI295" i="6"/>
  <c r="AI293" i="6"/>
  <c r="AI80" i="8"/>
  <c r="AI66" i="8"/>
  <c r="AI95" i="7"/>
  <c r="AI80" i="7"/>
  <c r="AI53" i="7"/>
  <c r="AI97" i="8"/>
  <c r="AI72" i="7"/>
  <c r="AI20" i="7"/>
  <c r="AI41" i="7"/>
  <c r="AI23" i="7"/>
  <c r="AI7" i="7"/>
  <c r="AI313" i="6"/>
  <c r="AI300" i="6"/>
  <c r="AI101" i="8"/>
  <c r="AI20" i="8"/>
  <c r="AI78" i="8"/>
  <c r="AI41" i="8"/>
  <c r="AI42" i="7"/>
  <c r="AI306" i="6"/>
  <c r="AI63" i="7"/>
  <c r="AI32" i="7"/>
  <c r="AI309" i="6"/>
  <c r="AI34" i="7"/>
  <c r="AI45" i="8"/>
  <c r="AI101" i="7"/>
  <c r="AI43" i="7"/>
  <c r="AI6" i="7"/>
  <c r="AI3" i="7"/>
  <c r="AI6" i="8"/>
  <c r="AI11" i="7"/>
  <c r="AI296" i="6"/>
  <c r="AI88" i="7"/>
  <c r="AI57" i="7"/>
  <c r="AI54" i="7"/>
  <c r="AI15" i="7"/>
  <c r="AI52" i="8"/>
  <c r="AI74" i="7"/>
  <c r="AI12" i="7"/>
  <c r="AI68" i="8"/>
  <c r="AI22" i="7"/>
  <c r="AI14" i="7"/>
  <c r="AI278" i="6"/>
  <c r="AI15" i="8"/>
  <c r="AI59" i="7"/>
  <c r="AI28" i="8"/>
  <c r="AI22" i="8"/>
  <c r="AI305" i="6"/>
  <c r="AI283" i="6"/>
  <c r="AI70" i="7"/>
  <c r="AI258" i="6"/>
  <c r="AI253" i="6"/>
  <c r="AI242" i="6"/>
  <c r="AI231" i="6"/>
  <c r="AI220" i="6"/>
  <c r="AI36" i="8"/>
  <c r="AI49" i="7"/>
  <c r="AI284" i="6"/>
  <c r="AI274" i="6"/>
  <c r="AI252" i="6"/>
  <c r="AI241" i="6"/>
  <c r="AI230" i="6"/>
  <c r="AI266" i="6"/>
  <c r="AI86" i="7"/>
  <c r="AI289" i="6"/>
  <c r="AI288" i="6"/>
  <c r="AI269" i="6"/>
  <c r="AI267" i="6"/>
  <c r="AI247" i="6"/>
  <c r="AI218" i="6"/>
  <c r="AI304" i="6"/>
  <c r="AI271" i="6"/>
  <c r="AI239" i="6"/>
  <c r="AI8" i="7"/>
  <c r="AI272" i="6"/>
  <c r="AI268" i="6"/>
  <c r="AI217" i="6"/>
  <c r="AI79" i="7"/>
  <c r="AI290" i="6"/>
  <c r="AI270" i="6"/>
  <c r="AI248" i="6"/>
  <c r="AI240" i="6"/>
  <c r="AI311" i="6"/>
  <c r="AI265" i="6"/>
  <c r="AI25" i="7"/>
  <c r="AI291" i="6"/>
  <c r="AI273" i="6"/>
  <c r="AI256" i="6"/>
  <c r="AI249" i="6"/>
  <c r="AI229" i="6"/>
  <c r="AI228" i="6"/>
  <c r="AI18" i="7"/>
  <c r="AI277" i="6"/>
  <c r="AI262" i="6"/>
  <c r="AI227" i="6"/>
  <c r="AI215" i="6"/>
  <c r="AI4" i="7"/>
  <c r="AI292" i="6"/>
  <c r="AI257" i="6"/>
  <c r="AI244" i="6"/>
  <c r="AI225" i="6"/>
  <c r="AI203" i="6"/>
  <c r="AI192" i="6"/>
  <c r="AI181" i="6"/>
  <c r="AI170" i="6"/>
  <c r="AI159" i="6"/>
  <c r="AI148" i="6"/>
  <c r="AI137" i="6"/>
  <c r="AI126" i="6"/>
  <c r="AI115" i="6"/>
  <c r="AI233" i="6"/>
  <c r="AI312" i="6"/>
  <c r="AI237" i="6"/>
  <c r="AI208" i="6"/>
  <c r="AI197" i="6"/>
  <c r="AI186" i="6"/>
  <c r="AI175" i="6"/>
  <c r="AI164" i="6"/>
  <c r="AI153" i="6"/>
  <c r="AI142" i="6"/>
  <c r="AI131" i="6"/>
  <c r="AI120" i="6"/>
  <c r="AI43" i="8"/>
  <c r="AI45" i="7"/>
  <c r="AI214" i="6"/>
  <c r="AI250" i="6"/>
  <c r="AI202" i="6"/>
  <c r="AI191" i="6"/>
  <c r="AI180" i="6"/>
  <c r="AI169" i="6"/>
  <c r="AI158" i="6"/>
  <c r="AI147" i="6"/>
  <c r="AI136" i="6"/>
  <c r="AI125" i="6"/>
  <c r="AI280" i="6"/>
  <c r="AI255" i="6"/>
  <c r="AI216" i="6"/>
  <c r="AI213" i="6"/>
  <c r="AI287" i="6"/>
  <c r="AI243" i="6"/>
  <c r="AI207" i="6"/>
  <c r="AI196" i="6"/>
  <c r="AI185" i="6"/>
  <c r="AI174" i="6"/>
  <c r="AI163" i="6"/>
  <c r="AI152" i="6"/>
  <c r="AI141" i="6"/>
  <c r="AI130" i="6"/>
  <c r="AI55" i="7"/>
  <c r="AI254" i="6"/>
  <c r="AI182" i="6"/>
  <c r="AI151" i="6"/>
  <c r="AI263" i="6"/>
  <c r="AI188" i="6"/>
  <c r="AI157" i="6"/>
  <c r="AI143" i="6"/>
  <c r="AI121" i="6"/>
  <c r="AI119" i="6"/>
  <c r="AI108" i="6"/>
  <c r="AI97" i="6"/>
  <c r="AI86" i="6"/>
  <c r="AI238" i="6"/>
  <c r="AI232" i="6"/>
  <c r="AI194" i="6"/>
  <c r="AI149" i="6"/>
  <c r="AI276" i="6"/>
  <c r="AI200" i="6"/>
  <c r="AI155" i="6"/>
  <c r="AI124" i="6"/>
  <c r="AI102" i="6"/>
  <c r="AI91" i="6"/>
  <c r="AI80" i="6"/>
  <c r="AI69" i="6"/>
  <c r="AI38" i="7"/>
  <c r="AI206" i="6"/>
  <c r="AI161" i="6"/>
  <c r="AI114" i="6"/>
  <c r="AI212" i="6"/>
  <c r="AI198" i="6"/>
  <c r="AI167" i="6"/>
  <c r="AI107" i="6"/>
  <c r="AI96" i="6"/>
  <c r="AI85" i="6"/>
  <c r="AI74" i="6"/>
  <c r="AI63" i="6"/>
  <c r="AI210" i="6"/>
  <c r="AI179" i="6"/>
  <c r="AI165" i="6"/>
  <c r="AI134" i="6"/>
  <c r="AI117" i="6"/>
  <c r="AI101" i="6"/>
  <c r="AI90" i="6"/>
  <c r="AI79" i="6"/>
  <c r="AI29" i="7"/>
  <c r="AI168" i="6"/>
  <c r="AI93" i="6"/>
  <c r="AI172" i="6"/>
  <c r="AI99" i="6"/>
  <c r="AI70" i="6"/>
  <c r="AI62" i="6"/>
  <c r="AI61" i="6"/>
  <c r="AI52" i="6"/>
  <c r="AI41" i="6"/>
  <c r="AI30" i="6"/>
  <c r="AI176" i="6"/>
  <c r="AI162" i="6"/>
  <c r="AI112" i="6"/>
  <c r="AI105" i="6"/>
  <c r="AI298" i="6"/>
  <c r="AI224" i="6"/>
  <c r="AI166" i="6"/>
  <c r="AI118" i="6"/>
  <c r="AI67" i="6"/>
  <c r="AI60" i="6"/>
  <c r="AI46" i="6"/>
  <c r="AI35" i="6"/>
  <c r="AI24" i="6"/>
  <c r="AI235" i="6"/>
  <c r="AI156" i="6"/>
  <c r="AI103" i="6"/>
  <c r="AI19" i="7"/>
  <c r="AI160" i="6"/>
  <c r="AI146" i="6"/>
  <c r="AI109" i="6"/>
  <c r="AI78" i="6"/>
  <c r="AI59" i="6"/>
  <c r="AI51" i="6"/>
  <c r="AI40" i="6"/>
  <c r="AI29" i="6"/>
  <c r="AI221" i="6"/>
  <c r="AI150" i="6"/>
  <c r="AI84" i="6"/>
  <c r="AI58" i="6"/>
  <c r="AI264" i="6"/>
  <c r="AI154" i="6"/>
  <c r="AI140" i="6"/>
  <c r="AI76" i="6"/>
  <c r="AI71" i="6"/>
  <c r="AI68" i="6"/>
  <c r="AI45" i="6"/>
  <c r="AI34" i="6"/>
  <c r="AI23" i="6"/>
  <c r="AI307" i="6"/>
  <c r="AI245" i="6"/>
  <c r="AI177" i="6"/>
  <c r="AI135" i="6"/>
  <c r="AI42" i="6"/>
  <c r="AI39" i="6"/>
  <c r="AI16" i="6"/>
  <c r="AI5" i="6"/>
  <c r="AI138" i="6"/>
  <c r="AI183" i="6"/>
  <c r="AI88" i="6"/>
  <c r="AI47" i="6"/>
  <c r="AI44" i="6"/>
  <c r="AI21" i="6"/>
  <c r="AI10" i="6"/>
  <c r="AI193" i="6"/>
  <c r="AI144" i="6"/>
  <c r="AI57" i="6"/>
  <c r="AI219" i="6"/>
  <c r="AI201" i="6"/>
  <c r="AI49" i="6"/>
  <c r="AI26" i="6"/>
  <c r="AI15" i="6"/>
  <c r="AI4" i="6"/>
  <c r="AI71" i="7"/>
  <c r="AI211" i="6"/>
  <c r="AI5" i="7"/>
  <c r="AI89" i="6"/>
  <c r="AI87" i="6"/>
  <c r="AI66" i="6"/>
  <c r="AI54" i="6"/>
  <c r="AI31" i="6"/>
  <c r="AI28" i="6"/>
  <c r="AI20" i="6"/>
  <c r="AI9" i="6"/>
  <c r="AI234" i="6"/>
  <c r="AI123" i="6"/>
  <c r="AI104" i="6"/>
  <c r="AI53" i="6"/>
  <c r="AI48" i="6"/>
  <c r="AI43" i="6"/>
  <c r="AI38" i="6"/>
  <c r="AI33" i="6"/>
  <c r="AI12" i="6"/>
  <c r="AI8" i="6"/>
  <c r="AI226" i="6"/>
  <c r="AI129" i="6"/>
  <c r="AI98" i="6"/>
  <c r="AI72" i="6"/>
  <c r="AI36" i="6"/>
  <c r="AI294" i="6"/>
  <c r="AI37" i="6"/>
  <c r="AI32" i="6"/>
  <c r="AI27" i="6"/>
  <c r="AI205" i="6"/>
  <c r="AI13" i="6"/>
  <c r="AI195" i="6"/>
  <c r="AI25" i="6"/>
  <c r="AI14" i="6"/>
  <c r="AI199" i="6"/>
  <c r="AI145" i="6"/>
  <c r="AI81" i="6"/>
  <c r="AI64" i="6"/>
  <c r="AI204" i="6"/>
  <c r="AI7" i="6"/>
  <c r="AI209" i="6"/>
  <c r="AI24" i="7"/>
  <c r="AI113" i="6"/>
  <c r="AI2" i="6"/>
  <c r="AI132" i="6"/>
  <c r="AI94" i="6"/>
  <c r="AI236" i="6"/>
  <c r="AI110" i="6"/>
  <c r="AI106" i="6"/>
  <c r="AI100" i="6"/>
  <c r="AI281" i="6"/>
  <c r="AI92" i="6"/>
  <c r="AI55" i="6"/>
  <c r="AI56" i="6"/>
  <c r="AI82" i="6"/>
  <c r="AI178" i="6"/>
  <c r="AI128" i="6"/>
  <c r="AI171" i="6"/>
  <c r="AI77" i="6"/>
  <c r="AI73" i="6"/>
  <c r="AI184" i="6"/>
  <c r="AI251" i="6"/>
  <c r="AI3" i="6"/>
  <c r="AI133" i="6"/>
  <c r="AI6" i="6"/>
  <c r="AI223" i="6"/>
  <c r="AI222" i="6"/>
  <c r="AI11" i="6"/>
  <c r="AI173" i="6"/>
  <c r="AI65" i="6"/>
  <c r="AI19" i="6"/>
  <c r="AI17" i="6"/>
  <c r="AI122" i="6"/>
  <c r="AI116" i="6"/>
  <c r="AI190" i="6"/>
  <c r="AI111" i="6"/>
  <c r="AI95" i="6"/>
  <c r="AI139" i="6"/>
  <c r="AI83" i="6"/>
  <c r="AI22" i="6"/>
  <c r="AI127" i="6"/>
  <c r="AI187" i="6"/>
  <c r="AI246" i="6"/>
  <c r="AI50" i="6"/>
  <c r="AI75" i="6"/>
  <c r="AI18" i="6"/>
  <c r="AI189" i="6"/>
  <c r="O31" i="7"/>
  <c r="O31" i="8"/>
  <c r="O30" i="7"/>
  <c r="O32" i="8"/>
  <c r="O33" i="8"/>
  <c r="O33" i="7"/>
  <c r="O30" i="8"/>
  <c r="O102" i="6"/>
  <c r="O91" i="6"/>
  <c r="O32" i="7"/>
  <c r="O96" i="6"/>
  <c r="O101" i="6"/>
  <c r="O90" i="6"/>
  <c r="O95" i="6"/>
  <c r="O94" i="6"/>
  <c r="O100" i="6"/>
  <c r="O92" i="6"/>
  <c r="O98" i="6"/>
  <c r="O104" i="6"/>
  <c r="O99" i="6"/>
  <c r="O97" i="6"/>
  <c r="O103" i="6"/>
  <c r="O93" i="6"/>
  <c r="O105" i="6"/>
  <c r="L217" i="6"/>
  <c r="L203" i="6"/>
  <c r="L216" i="6"/>
  <c r="L215" i="6"/>
  <c r="L214" i="6"/>
  <c r="L208" i="6"/>
  <c r="L213" i="6"/>
  <c r="L202" i="6"/>
  <c r="L204" i="6"/>
  <c r="L210" i="6"/>
  <c r="L209" i="6"/>
  <c r="L206" i="6"/>
  <c r="L212" i="6"/>
  <c r="L205" i="6"/>
  <c r="L207" i="6"/>
  <c r="L211" i="6"/>
  <c r="AV100" i="8"/>
  <c r="AV89" i="8"/>
  <c r="AL10" i="9"/>
  <c r="AV83" i="8"/>
  <c r="AL8" i="9"/>
  <c r="AL3" i="9"/>
  <c r="AV75" i="8"/>
  <c r="AV56" i="8"/>
  <c r="AV43" i="8"/>
  <c r="AV34" i="8"/>
  <c r="AV23" i="8"/>
  <c r="AV7" i="8"/>
  <c r="AV96" i="7"/>
  <c r="AV85" i="7"/>
  <c r="AV74" i="7"/>
  <c r="AV63" i="7"/>
  <c r="AL2" i="9"/>
  <c r="AV93" i="8"/>
  <c r="AV81" i="8"/>
  <c r="AV78" i="8"/>
  <c r="AV85" i="8"/>
  <c r="AL13" i="9"/>
  <c r="AL14" i="9"/>
  <c r="AV76" i="8"/>
  <c r="AV69" i="8"/>
  <c r="AV66" i="8"/>
  <c r="AV28" i="8"/>
  <c r="AV79" i="8"/>
  <c r="AV73" i="8"/>
  <c r="AV59" i="8"/>
  <c r="AV55" i="8"/>
  <c r="AV53" i="8"/>
  <c r="AV47" i="8"/>
  <c r="AV36" i="8"/>
  <c r="AV95" i="8"/>
  <c r="AV94" i="8"/>
  <c r="AV72" i="8"/>
  <c r="AV63" i="8"/>
  <c r="AV71" i="8"/>
  <c r="AV61" i="8"/>
  <c r="AV40" i="8"/>
  <c r="AV9" i="8"/>
  <c r="AV71" i="7"/>
  <c r="AV70" i="8"/>
  <c r="AV57" i="8"/>
  <c r="AV54" i="8"/>
  <c r="AV10" i="8"/>
  <c r="AV87" i="7"/>
  <c r="AV68" i="7"/>
  <c r="AV49" i="7"/>
  <c r="AV38" i="7"/>
  <c r="AV27" i="7"/>
  <c r="AV87" i="8"/>
  <c r="AV32" i="8"/>
  <c r="AV19" i="8"/>
  <c r="AV13" i="8"/>
  <c r="AV70" i="7"/>
  <c r="AV50" i="7"/>
  <c r="AV17" i="7"/>
  <c r="AL15" i="9"/>
  <c r="AV98" i="8"/>
  <c r="AV77" i="8"/>
  <c r="AV74" i="8"/>
  <c r="AV35" i="8"/>
  <c r="AV27" i="8"/>
  <c r="AV15" i="8"/>
  <c r="AV99" i="7"/>
  <c r="AV46" i="8"/>
  <c r="AL5" i="9"/>
  <c r="AV84" i="8"/>
  <c r="AV21" i="8"/>
  <c r="AV18" i="8"/>
  <c r="AV3" i="8"/>
  <c r="AV73" i="7"/>
  <c r="AV39" i="7"/>
  <c r="AV11" i="7"/>
  <c r="AV310" i="6"/>
  <c r="AV299" i="6"/>
  <c r="AV288" i="6"/>
  <c r="AV277" i="6"/>
  <c r="AV266" i="6"/>
  <c r="AV264" i="6"/>
  <c r="AL11" i="9"/>
  <c r="AV16" i="8"/>
  <c r="AV11" i="8"/>
  <c r="AV61" i="7"/>
  <c r="AV41" i="7"/>
  <c r="AV32" i="7"/>
  <c r="AV12" i="7"/>
  <c r="AV6" i="7"/>
  <c r="AV97" i="8"/>
  <c r="AV67" i="8"/>
  <c r="AV92" i="7"/>
  <c r="AL6" i="9"/>
  <c r="AV68" i="8"/>
  <c r="AV48" i="8"/>
  <c r="AV31" i="8"/>
  <c r="AV82" i="8"/>
  <c r="AV62" i="8"/>
  <c r="AV50" i="8"/>
  <c r="AV37" i="8"/>
  <c r="AV23" i="7"/>
  <c r="AV14" i="7"/>
  <c r="AV313" i="6"/>
  <c r="AV88" i="7"/>
  <c r="AV84" i="7"/>
  <c r="AV80" i="7"/>
  <c r="AV67" i="7"/>
  <c r="AV57" i="7"/>
  <c r="AV54" i="7"/>
  <c r="AV35" i="7"/>
  <c r="AL9" i="9"/>
  <c r="AV64" i="8"/>
  <c r="AV45" i="8"/>
  <c r="AV30" i="8"/>
  <c r="AV95" i="7"/>
  <c r="AV91" i="7"/>
  <c r="AV83" i="7"/>
  <c r="AV88" i="8"/>
  <c r="AV58" i="8"/>
  <c r="AV59" i="7"/>
  <c r="AV37" i="7"/>
  <c r="AV308" i="6"/>
  <c r="AV272" i="6"/>
  <c r="AL16" i="9"/>
  <c r="AV86" i="8"/>
  <c r="AV44" i="8"/>
  <c r="AV44" i="7"/>
  <c r="AV28" i="7"/>
  <c r="AV301" i="6"/>
  <c r="AV298" i="6"/>
  <c r="AV275" i="6"/>
  <c r="AV12" i="8"/>
  <c r="AV39" i="8"/>
  <c r="AV72" i="7"/>
  <c r="AV69" i="7"/>
  <c r="AV56" i="7"/>
  <c r="AV18" i="7"/>
  <c r="AV8" i="8"/>
  <c r="AV65" i="8"/>
  <c r="AV33" i="8"/>
  <c r="AV101" i="8"/>
  <c r="AV99" i="8"/>
  <c r="AL4" i="9"/>
  <c r="AV55" i="7"/>
  <c r="AV48" i="7"/>
  <c r="AV43" i="7"/>
  <c r="AL7" i="9"/>
  <c r="AV17" i="8"/>
  <c r="AV76" i="7"/>
  <c r="AV40" i="7"/>
  <c r="AV33" i="7"/>
  <c r="AV96" i="8"/>
  <c r="AV94" i="7"/>
  <c r="AV90" i="8"/>
  <c r="AV62" i="7"/>
  <c r="AV80" i="8"/>
  <c r="AV29" i="8"/>
  <c r="AV4" i="8"/>
  <c r="AV97" i="7"/>
  <c r="AV89" i="7"/>
  <c r="AV22" i="8"/>
  <c r="AV100" i="7"/>
  <c r="AV82" i="7"/>
  <c r="AV38" i="8"/>
  <c r="AV86" i="7"/>
  <c r="AV47" i="7"/>
  <c r="AV91" i="8"/>
  <c r="AV25" i="8"/>
  <c r="AV14" i="8"/>
  <c r="AV64" i="7"/>
  <c r="AV41" i="8"/>
  <c r="AV66" i="7"/>
  <c r="AV34" i="7"/>
  <c r="AV30" i="7"/>
  <c r="AV22" i="7"/>
  <c r="AV13" i="7"/>
  <c r="AV4" i="7"/>
  <c r="AV307" i="6"/>
  <c r="AV92" i="8"/>
  <c r="AV93" i="7"/>
  <c r="AV75" i="7"/>
  <c r="AV42" i="7"/>
  <c r="AV26" i="7"/>
  <c r="AV2" i="8"/>
  <c r="AV16" i="7"/>
  <c r="AV309" i="6"/>
  <c r="AV302" i="6"/>
  <c r="AV300" i="6"/>
  <c r="AV294" i="6"/>
  <c r="AV20" i="8"/>
  <c r="AV29" i="7"/>
  <c r="AV20" i="7"/>
  <c r="AV305" i="6"/>
  <c r="AV296" i="6"/>
  <c r="AV65" i="7"/>
  <c r="AV311" i="6"/>
  <c r="AV26" i="8"/>
  <c r="AV101" i="7"/>
  <c r="AV293" i="6"/>
  <c r="AL12" i="9"/>
  <c r="AV8" i="7"/>
  <c r="AV5" i="7"/>
  <c r="AV98" i="7"/>
  <c r="AV51" i="7"/>
  <c r="AV36" i="7"/>
  <c r="AV49" i="8"/>
  <c r="AV304" i="6"/>
  <c r="AV60" i="8"/>
  <c r="AV52" i="7"/>
  <c r="AV77" i="7"/>
  <c r="AV46" i="7"/>
  <c r="AV306" i="6"/>
  <c r="AV269" i="6"/>
  <c r="AV263" i="6"/>
  <c r="AV258" i="6"/>
  <c r="AV303" i="6"/>
  <c r="AV274" i="6"/>
  <c r="AV289" i="6"/>
  <c r="AV5" i="8"/>
  <c r="AV51" i="8"/>
  <c r="AV90" i="7"/>
  <c r="AV79" i="7"/>
  <c r="AV7" i="7"/>
  <c r="AV281" i="6"/>
  <c r="AV6" i="8"/>
  <c r="AV280" i="6"/>
  <c r="AV279" i="6"/>
  <c r="AV271" i="6"/>
  <c r="AV78" i="7"/>
  <c r="AV21" i="7"/>
  <c r="AV19" i="7"/>
  <c r="AV292" i="6"/>
  <c r="AV290" i="6"/>
  <c r="AV278" i="6"/>
  <c r="AV248" i="6"/>
  <c r="AV237" i="6"/>
  <c r="AV262" i="6"/>
  <c r="AV243" i="6"/>
  <c r="AV234" i="6"/>
  <c r="AV252" i="6"/>
  <c r="AV223" i="6"/>
  <c r="AV58" i="7"/>
  <c r="AV53" i="7"/>
  <c r="AV257" i="6"/>
  <c r="AV235" i="6"/>
  <c r="AV222" i="6"/>
  <c r="AV253" i="6"/>
  <c r="AV244" i="6"/>
  <c r="AV2" i="7"/>
  <c r="AV282" i="6"/>
  <c r="AV236" i="6"/>
  <c r="AV221" i="6"/>
  <c r="AV284" i="6"/>
  <c r="AV259" i="6"/>
  <c r="AV24" i="8"/>
  <c r="AV45" i="7"/>
  <c r="AV254" i="6"/>
  <c r="AV245" i="6"/>
  <c r="AV220" i="6"/>
  <c r="AV312" i="6"/>
  <c r="AV297" i="6"/>
  <c r="AV3" i="7"/>
  <c r="AV246" i="6"/>
  <c r="AV285" i="6"/>
  <c r="AV250" i="6"/>
  <c r="AV205" i="6"/>
  <c r="AV194" i="6"/>
  <c r="AV183" i="6"/>
  <c r="AV172" i="6"/>
  <c r="AV161" i="6"/>
  <c r="AV150" i="6"/>
  <c r="AV139" i="6"/>
  <c r="AV128" i="6"/>
  <c r="AV117" i="6"/>
  <c r="AV239" i="6"/>
  <c r="AV232" i="6"/>
  <c r="AV217" i="6"/>
  <c r="AV267" i="6"/>
  <c r="AV219" i="6"/>
  <c r="AV210" i="6"/>
  <c r="AV199" i="6"/>
  <c r="AV188" i="6"/>
  <c r="AV177" i="6"/>
  <c r="AV166" i="6"/>
  <c r="AV155" i="6"/>
  <c r="AV144" i="6"/>
  <c r="AV133" i="6"/>
  <c r="AV122" i="6"/>
  <c r="AV229" i="6"/>
  <c r="AV42" i="8"/>
  <c r="AV224" i="6"/>
  <c r="AV204" i="6"/>
  <c r="AV193" i="6"/>
  <c r="AV182" i="6"/>
  <c r="AV171" i="6"/>
  <c r="AV160" i="6"/>
  <c r="AV149" i="6"/>
  <c r="AV138" i="6"/>
  <c r="AV127" i="6"/>
  <c r="AV116" i="6"/>
  <c r="AV31" i="7"/>
  <c r="AV270" i="6"/>
  <c r="AV249" i="6"/>
  <c r="AV242" i="6"/>
  <c r="AV291" i="6"/>
  <c r="AV276" i="6"/>
  <c r="AV187" i="6"/>
  <c r="AV173" i="6"/>
  <c r="AV142" i="6"/>
  <c r="AV105" i="6"/>
  <c r="AV94" i="6"/>
  <c r="AV83" i="6"/>
  <c r="AV72" i="6"/>
  <c r="AV61" i="6"/>
  <c r="AV255" i="6"/>
  <c r="AV240" i="6"/>
  <c r="AV214" i="6"/>
  <c r="AV179" i="6"/>
  <c r="AV148" i="6"/>
  <c r="AV134" i="6"/>
  <c r="AV115" i="6"/>
  <c r="AV241" i="6"/>
  <c r="AV185" i="6"/>
  <c r="AV154" i="6"/>
  <c r="AV140" i="6"/>
  <c r="AV120" i="6"/>
  <c r="AV110" i="6"/>
  <c r="AV99" i="6"/>
  <c r="AV88" i="6"/>
  <c r="AV77" i="6"/>
  <c r="AV66" i="6"/>
  <c r="AV25" i="7"/>
  <c r="AV261" i="6"/>
  <c r="AV191" i="6"/>
  <c r="AV146" i="6"/>
  <c r="AV268" i="6"/>
  <c r="AV197" i="6"/>
  <c r="AV152" i="6"/>
  <c r="AV111" i="6"/>
  <c r="AV104" i="6"/>
  <c r="AV93" i="6"/>
  <c r="AV82" i="6"/>
  <c r="AV71" i="6"/>
  <c r="AV52" i="8"/>
  <c r="AV24" i="7"/>
  <c r="AV273" i="6"/>
  <c r="AV233" i="6"/>
  <c r="AV203" i="6"/>
  <c r="AV189" i="6"/>
  <c r="AV158" i="6"/>
  <c r="AV201" i="6"/>
  <c r="AV170" i="6"/>
  <c r="AV156" i="6"/>
  <c r="AV125" i="6"/>
  <c r="AV265" i="6"/>
  <c r="AV157" i="6"/>
  <c r="AV143" i="6"/>
  <c r="AV84" i="6"/>
  <c r="AV64" i="6"/>
  <c r="AV49" i="6"/>
  <c r="AV38" i="6"/>
  <c r="AV27" i="6"/>
  <c r="AV209" i="6"/>
  <c r="AV147" i="6"/>
  <c r="AV98" i="6"/>
  <c r="AV90" i="6"/>
  <c r="AV227" i="6"/>
  <c r="AV151" i="6"/>
  <c r="AV137" i="6"/>
  <c r="AV96" i="6"/>
  <c r="AV54" i="6"/>
  <c r="AV43" i="6"/>
  <c r="AV32" i="6"/>
  <c r="AV260" i="6"/>
  <c r="AV213" i="6"/>
  <c r="AV207" i="6"/>
  <c r="AV141" i="6"/>
  <c r="AV102" i="6"/>
  <c r="AV238" i="6"/>
  <c r="AV211" i="6"/>
  <c r="AV145" i="6"/>
  <c r="AV131" i="6"/>
  <c r="AV108" i="6"/>
  <c r="AV69" i="6"/>
  <c r="AV65" i="6"/>
  <c r="AV48" i="6"/>
  <c r="AV37" i="6"/>
  <c r="AV26" i="6"/>
  <c r="AV215" i="6"/>
  <c r="AV208" i="6"/>
  <c r="AV135" i="6"/>
  <c r="AV100" i="6"/>
  <c r="AV230" i="6"/>
  <c r="AV212" i="6"/>
  <c r="AV198" i="6"/>
  <c r="AV132" i="6"/>
  <c r="AV106" i="6"/>
  <c r="AV75" i="6"/>
  <c r="AV53" i="6"/>
  <c r="AV42" i="6"/>
  <c r="AV31" i="6"/>
  <c r="AV216" i="6"/>
  <c r="AV202" i="6"/>
  <c r="AV136" i="6"/>
  <c r="AV129" i="6"/>
  <c r="AV114" i="6"/>
  <c r="AV81" i="6"/>
  <c r="AV206" i="6"/>
  <c r="AV195" i="6"/>
  <c r="AV192" i="6"/>
  <c r="AV186" i="6"/>
  <c r="AV124" i="6"/>
  <c r="AV109" i="6"/>
  <c r="AV91" i="6"/>
  <c r="AV89" i="6"/>
  <c r="AV196" i="6"/>
  <c r="AV169" i="6"/>
  <c r="AV286" i="6"/>
  <c r="AV130" i="6"/>
  <c r="AV175" i="6"/>
  <c r="AV164" i="6"/>
  <c r="AV118" i="6"/>
  <c r="AV33" i="6"/>
  <c r="AV30" i="6"/>
  <c r="AV178" i="6"/>
  <c r="AV92" i="6"/>
  <c r="AV181" i="6"/>
  <c r="AV73" i="6"/>
  <c r="AV59" i="6"/>
  <c r="AV35" i="6"/>
  <c r="AV17" i="6"/>
  <c r="AV6" i="6"/>
  <c r="AV226" i="6"/>
  <c r="AV176" i="6"/>
  <c r="AV76" i="6"/>
  <c r="AV23" i="6"/>
  <c r="AV174" i="6"/>
  <c r="AV28" i="6"/>
  <c r="AV18" i="6"/>
  <c r="AV9" i="7"/>
  <c r="AV218" i="6"/>
  <c r="AV190" i="6"/>
  <c r="AV167" i="6"/>
  <c r="AV24" i="6"/>
  <c r="AV19" i="6"/>
  <c r="AV225" i="6"/>
  <c r="AV153" i="6"/>
  <c r="AV126" i="6"/>
  <c r="AV86" i="6"/>
  <c r="AV81" i="7"/>
  <c r="AV162" i="6"/>
  <c r="AV80" i="6"/>
  <c r="AV20" i="6"/>
  <c r="AV16" i="6"/>
  <c r="AV112" i="6"/>
  <c r="AV70" i="6"/>
  <c r="AV2" i="6"/>
  <c r="AV7" i="6"/>
  <c r="AV4" i="6"/>
  <c r="AV231" i="6"/>
  <c r="AV55" i="6"/>
  <c r="AV25" i="6"/>
  <c r="AV60" i="7"/>
  <c r="AV123" i="6"/>
  <c r="AV74" i="6"/>
  <c r="AV52" i="6"/>
  <c r="AV29" i="6"/>
  <c r="AV12" i="6"/>
  <c r="AV15" i="7"/>
  <c r="AV283" i="6"/>
  <c r="AV62" i="6"/>
  <c r="AV44" i="6"/>
  <c r="AV22" i="6"/>
  <c r="AV3" i="6"/>
  <c r="AV78" i="6"/>
  <c r="AV14" i="6"/>
  <c r="AV9" i="6"/>
  <c r="AV295" i="6"/>
  <c r="AV97" i="6"/>
  <c r="AV67" i="6"/>
  <c r="AV56" i="6"/>
  <c r="AV45" i="6"/>
  <c r="AV41" i="6"/>
  <c r="AV34" i="6"/>
  <c r="AV184" i="6"/>
  <c r="AV163" i="6"/>
  <c r="AV11" i="6"/>
  <c r="AV159" i="6"/>
  <c r="AV200" i="6"/>
  <c r="AV113" i="6"/>
  <c r="AV57" i="6"/>
  <c r="AV10" i="6"/>
  <c r="AV8" i="6"/>
  <c r="AV256" i="6"/>
  <c r="AV95" i="6"/>
  <c r="AV21" i="6"/>
  <c r="AV5" i="6"/>
  <c r="AV10" i="7"/>
  <c r="AV251" i="6"/>
  <c r="AV50" i="6"/>
  <c r="AV107" i="6"/>
  <c r="AV13" i="6"/>
  <c r="AV228" i="6"/>
  <c r="AV103" i="6"/>
  <c r="AV87" i="6"/>
  <c r="AV51" i="6"/>
  <c r="AV40" i="6"/>
  <c r="AV15" i="6"/>
  <c r="AV165" i="6"/>
  <c r="AV79" i="6"/>
  <c r="AV68" i="6"/>
  <c r="AV47" i="6"/>
  <c r="AV121" i="6"/>
  <c r="AV119" i="6"/>
  <c r="AV85" i="6"/>
  <c r="AV60" i="6"/>
  <c r="AV180" i="6"/>
  <c r="AV39" i="6"/>
  <c r="AV247" i="6"/>
  <c r="AV101" i="6"/>
  <c r="AV287" i="6"/>
  <c r="AV46" i="6"/>
  <c r="AV63" i="6"/>
  <c r="AV58" i="6"/>
  <c r="AV168" i="6"/>
  <c r="AV36" i="6"/>
  <c r="P20" i="8"/>
  <c r="P18" i="8"/>
  <c r="P21" i="7"/>
  <c r="P18" i="7"/>
  <c r="P21" i="8"/>
  <c r="P19" i="8"/>
  <c r="P20" i="7"/>
  <c r="P19" i="7"/>
  <c r="P46" i="6"/>
  <c r="P51" i="6"/>
  <c r="P57" i="6"/>
  <c r="P45" i="6"/>
  <c r="P56" i="6"/>
  <c r="P50" i="6"/>
  <c r="P48" i="6"/>
  <c r="P53" i="6"/>
  <c r="P54" i="6"/>
  <c r="P49" i="6"/>
  <c r="P44" i="6"/>
  <c r="P43" i="6"/>
  <c r="P47" i="6"/>
  <c r="P55" i="6"/>
  <c r="P52" i="6"/>
  <c r="P42" i="6"/>
  <c r="P48" i="8"/>
  <c r="P47" i="8"/>
  <c r="P46" i="7"/>
  <c r="P48" i="7"/>
  <c r="P49" i="7"/>
  <c r="P49" i="8"/>
  <c r="P46" i="8"/>
  <c r="P47" i="7"/>
  <c r="P169" i="6"/>
  <c r="P158" i="6"/>
  <c r="P163" i="6"/>
  <c r="P168" i="6"/>
  <c r="P157" i="6"/>
  <c r="P156" i="6"/>
  <c r="P162" i="6"/>
  <c r="P154" i="6"/>
  <c r="P166" i="6"/>
  <c r="P165" i="6"/>
  <c r="P160" i="6"/>
  <c r="P167" i="6"/>
  <c r="P161" i="6"/>
  <c r="P155" i="6"/>
  <c r="P159" i="6"/>
  <c r="P164" i="6"/>
  <c r="P229" i="6"/>
  <c r="P228" i="6"/>
  <c r="P230" i="6"/>
  <c r="P233" i="6"/>
  <c r="P232" i="6"/>
  <c r="P231" i="6"/>
  <c r="P227" i="6"/>
  <c r="P226" i="6"/>
  <c r="P225" i="6"/>
  <c r="P219" i="6"/>
  <c r="P223" i="6"/>
  <c r="P218" i="6"/>
  <c r="P220" i="6"/>
  <c r="P222" i="6"/>
  <c r="P224" i="6"/>
  <c r="P221" i="6"/>
  <c r="AA8" i="9"/>
  <c r="AA14" i="9"/>
  <c r="AK85" i="8"/>
  <c r="AK81" i="8"/>
  <c r="AK70" i="8"/>
  <c r="AK59" i="8"/>
  <c r="AK47" i="8"/>
  <c r="AK77" i="8"/>
  <c r="AK58" i="8"/>
  <c r="AK49" i="8"/>
  <c r="AK37" i="8"/>
  <c r="AA4" i="9"/>
  <c r="AK92" i="8"/>
  <c r="AA12" i="9"/>
  <c r="AA5" i="9"/>
  <c r="AK78" i="8"/>
  <c r="AK101" i="8"/>
  <c r="AK99" i="8"/>
  <c r="AK97" i="8"/>
  <c r="AK93" i="8"/>
  <c r="AA16" i="9"/>
  <c r="AK96" i="8"/>
  <c r="AK67" i="8"/>
  <c r="AK64" i="8"/>
  <c r="AK95" i="8"/>
  <c r="AK82" i="8"/>
  <c r="AK56" i="8"/>
  <c r="AK53" i="8"/>
  <c r="AK34" i="8"/>
  <c r="AK22" i="8"/>
  <c r="AK74" i="8"/>
  <c r="AA7" i="9"/>
  <c r="AK76" i="8"/>
  <c r="AA11" i="9"/>
  <c r="AK42" i="8"/>
  <c r="AA6" i="9"/>
  <c r="AK98" i="8"/>
  <c r="AK86" i="8"/>
  <c r="AK57" i="8"/>
  <c r="AK89" i="8"/>
  <c r="AK88" i="8"/>
  <c r="AK80" i="8"/>
  <c r="AK72" i="8"/>
  <c r="AK62" i="8"/>
  <c r="AK36" i="8"/>
  <c r="AK73" i="7"/>
  <c r="AK53" i="7"/>
  <c r="AK42" i="7"/>
  <c r="AK31" i="7"/>
  <c r="AK71" i="8"/>
  <c r="AK55" i="8"/>
  <c r="AK48" i="8"/>
  <c r="AK18" i="8"/>
  <c r="AK17" i="8"/>
  <c r="AK16" i="8"/>
  <c r="AK15" i="8"/>
  <c r="AK89" i="7"/>
  <c r="AK70" i="7"/>
  <c r="AK94" i="8"/>
  <c r="AK52" i="8"/>
  <c r="AK44" i="8"/>
  <c r="AK38" i="8"/>
  <c r="AK12" i="8"/>
  <c r="AK95" i="7"/>
  <c r="AK76" i="7"/>
  <c r="AK87" i="8"/>
  <c r="AK2" i="8"/>
  <c r="AK79" i="7"/>
  <c r="AK60" i="7"/>
  <c r="AA9" i="9"/>
  <c r="AK73" i="8"/>
  <c r="AK75" i="8"/>
  <c r="AK60" i="8"/>
  <c r="AK41" i="8"/>
  <c r="AK20" i="8"/>
  <c r="AK8" i="8"/>
  <c r="AK6" i="8"/>
  <c r="AK97" i="7"/>
  <c r="AK67" i="7"/>
  <c r="AK24" i="7"/>
  <c r="AK8" i="7"/>
  <c r="AA10" i="9"/>
  <c r="AK23" i="8"/>
  <c r="AK101" i="7"/>
  <c r="AK85" i="7"/>
  <c r="AK78" i="7"/>
  <c r="AK37" i="7"/>
  <c r="AK28" i="7"/>
  <c r="AK303" i="6"/>
  <c r="AK292" i="6"/>
  <c r="AK281" i="6"/>
  <c r="AK270" i="6"/>
  <c r="AK260" i="6"/>
  <c r="AK63" i="8"/>
  <c r="AK32" i="8"/>
  <c r="AK90" i="7"/>
  <c r="AA15" i="9"/>
  <c r="AA2" i="9"/>
  <c r="AK100" i="8"/>
  <c r="AK50" i="8"/>
  <c r="AK29" i="8"/>
  <c r="AK84" i="8"/>
  <c r="AK68" i="8"/>
  <c r="AA3" i="9"/>
  <c r="AK33" i="8"/>
  <c r="AK21" i="8"/>
  <c r="AK65" i="7"/>
  <c r="AK30" i="7"/>
  <c r="AK6" i="7"/>
  <c r="AK39" i="8"/>
  <c r="AK68" i="7"/>
  <c r="AK55" i="7"/>
  <c r="AK48" i="7"/>
  <c r="AK90" i="8"/>
  <c r="AK82" i="7"/>
  <c r="AK43" i="7"/>
  <c r="AK34" i="7"/>
  <c r="AK288" i="6"/>
  <c r="AK285" i="6"/>
  <c r="AK265" i="6"/>
  <c r="AK264" i="6"/>
  <c r="AK263" i="6"/>
  <c r="AK262" i="6"/>
  <c r="AK65" i="8"/>
  <c r="AK40" i="8"/>
  <c r="AK66" i="7"/>
  <c r="AK41" i="7"/>
  <c r="AK307" i="6"/>
  <c r="AK291" i="6"/>
  <c r="AK19" i="8"/>
  <c r="AK4" i="8"/>
  <c r="AK35" i="7"/>
  <c r="AK5" i="8"/>
  <c r="AK80" i="7"/>
  <c r="AK52" i="7"/>
  <c r="AK31" i="8"/>
  <c r="AK7" i="8"/>
  <c r="AK86" i="7"/>
  <c r="AK75" i="7"/>
  <c r="AK74" i="7"/>
  <c r="AK72" i="7"/>
  <c r="AK71" i="7"/>
  <c r="AK57" i="7"/>
  <c r="AK44" i="7"/>
  <c r="AA13" i="9"/>
  <c r="AK91" i="8"/>
  <c r="AK50" i="7"/>
  <c r="AK93" i="7"/>
  <c r="AK88" i="7"/>
  <c r="AK63" i="7"/>
  <c r="AK62" i="7"/>
  <c r="AK45" i="7"/>
  <c r="AK45" i="8"/>
  <c r="AK30" i="8"/>
  <c r="AK26" i="8"/>
  <c r="AK98" i="7"/>
  <c r="AK79" i="8"/>
  <c r="AK11" i="8"/>
  <c r="AK3" i="8"/>
  <c r="AK99" i="7"/>
  <c r="AK94" i="7"/>
  <c r="AK81" i="7"/>
  <c r="AK24" i="8"/>
  <c r="AK13" i="8"/>
  <c r="AK27" i="8"/>
  <c r="AK46" i="8"/>
  <c r="AK10" i="8"/>
  <c r="AK77" i="7"/>
  <c r="AK51" i="7"/>
  <c r="AK46" i="7"/>
  <c r="AK39" i="7"/>
  <c r="AK7" i="7"/>
  <c r="AK297" i="6"/>
  <c r="AK54" i="8"/>
  <c r="AK47" i="7"/>
  <c r="AK66" i="8"/>
  <c r="AK91" i="7"/>
  <c r="AK69" i="7"/>
  <c r="AK58" i="7"/>
  <c r="AK27" i="7"/>
  <c r="AK15" i="7"/>
  <c r="AK11" i="7"/>
  <c r="AK14" i="8"/>
  <c r="AK87" i="7"/>
  <c r="AK69" i="8"/>
  <c r="AK61" i="8"/>
  <c r="AK35" i="8"/>
  <c r="AK22" i="7"/>
  <c r="AK40" i="7"/>
  <c r="AK13" i="7"/>
  <c r="AK96" i="7"/>
  <c r="AK20" i="7"/>
  <c r="AK306" i="6"/>
  <c r="AK32" i="7"/>
  <c r="AK21" i="7"/>
  <c r="AK309" i="6"/>
  <c r="AK294" i="6"/>
  <c r="AK312" i="6"/>
  <c r="AK56" i="7"/>
  <c r="AK3" i="7"/>
  <c r="AK33" i="7"/>
  <c r="AK54" i="7"/>
  <c r="AK305" i="6"/>
  <c r="AK302" i="6"/>
  <c r="AK296" i="6"/>
  <c r="AK100" i="7"/>
  <c r="AK84" i="7"/>
  <c r="AK10" i="7"/>
  <c r="AK14" i="7"/>
  <c r="AK12" i="7"/>
  <c r="AK59" i="7"/>
  <c r="AK275" i="6"/>
  <c r="AK267" i="6"/>
  <c r="AK26" i="7"/>
  <c r="AK295" i="6"/>
  <c r="AK283" i="6"/>
  <c r="AK28" i="8"/>
  <c r="AK18" i="7"/>
  <c r="AK9" i="8"/>
  <c r="AK83" i="7"/>
  <c r="AK29" i="7"/>
  <c r="AK17" i="7"/>
  <c r="AK16" i="7"/>
  <c r="AK272" i="6"/>
  <c r="AK64" i="7"/>
  <c r="AK83" i="8"/>
  <c r="AK261" i="6"/>
  <c r="AK247" i="6"/>
  <c r="AK236" i="6"/>
  <c r="AK225" i="6"/>
  <c r="AK214" i="6"/>
  <c r="AK43" i="8"/>
  <c r="AK246" i="6"/>
  <c r="AK235" i="6"/>
  <c r="AK23" i="7"/>
  <c r="AK4" i="7"/>
  <c r="AK313" i="6"/>
  <c r="AK273" i="6"/>
  <c r="AK51" i="8"/>
  <c r="AK304" i="6"/>
  <c r="AK268" i="6"/>
  <c r="AK266" i="6"/>
  <c r="AK258" i="6"/>
  <c r="AK217" i="6"/>
  <c r="AK248" i="6"/>
  <c r="AK25" i="8"/>
  <c r="AK311" i="6"/>
  <c r="AK299" i="6"/>
  <c r="AK290" i="6"/>
  <c r="AK240" i="6"/>
  <c r="AK249" i="6"/>
  <c r="AK229" i="6"/>
  <c r="AK228" i="6"/>
  <c r="AK92" i="7"/>
  <c r="AK25" i="7"/>
  <c r="AK277" i="6"/>
  <c r="AK274" i="6"/>
  <c r="AK256" i="6"/>
  <c r="AK230" i="6"/>
  <c r="AK227" i="6"/>
  <c r="AK49" i="7"/>
  <c r="AK250" i="6"/>
  <c r="AK241" i="6"/>
  <c r="AK232" i="6"/>
  <c r="AK231" i="6"/>
  <c r="AK280" i="6"/>
  <c r="AK233" i="6"/>
  <c r="AK226" i="6"/>
  <c r="AK289" i="6"/>
  <c r="AK282" i="6"/>
  <c r="AK259" i="6"/>
  <c r="AK237" i="6"/>
  <c r="AK208" i="6"/>
  <c r="AK197" i="6"/>
  <c r="AK186" i="6"/>
  <c r="AK175" i="6"/>
  <c r="AK164" i="6"/>
  <c r="AK153" i="6"/>
  <c r="AK142" i="6"/>
  <c r="AK131" i="6"/>
  <c r="AK120" i="6"/>
  <c r="AK218" i="6"/>
  <c r="AK215" i="6"/>
  <c r="AK36" i="7"/>
  <c r="AK269" i="6"/>
  <c r="AK202" i="6"/>
  <c r="AK191" i="6"/>
  <c r="AK180" i="6"/>
  <c r="AK169" i="6"/>
  <c r="AK158" i="6"/>
  <c r="AK147" i="6"/>
  <c r="AK136" i="6"/>
  <c r="AK125" i="6"/>
  <c r="AK114" i="6"/>
  <c r="AK301" i="6"/>
  <c r="AK213" i="6"/>
  <c r="AK255" i="6"/>
  <c r="AK243" i="6"/>
  <c r="AK220" i="6"/>
  <c r="AK216" i="6"/>
  <c r="AK207" i="6"/>
  <c r="AK196" i="6"/>
  <c r="AK185" i="6"/>
  <c r="AK174" i="6"/>
  <c r="AK163" i="6"/>
  <c r="AK152" i="6"/>
  <c r="AK141" i="6"/>
  <c r="AK130" i="6"/>
  <c r="AK119" i="6"/>
  <c r="AK287" i="6"/>
  <c r="AK19" i="7"/>
  <c r="AK254" i="6"/>
  <c r="AK222" i="6"/>
  <c r="AK212" i="6"/>
  <c r="AK201" i="6"/>
  <c r="AK190" i="6"/>
  <c r="AK179" i="6"/>
  <c r="AK168" i="6"/>
  <c r="AK157" i="6"/>
  <c r="AK146" i="6"/>
  <c r="AK135" i="6"/>
  <c r="AK124" i="6"/>
  <c r="AK300" i="6"/>
  <c r="AK286" i="6"/>
  <c r="AK238" i="6"/>
  <c r="AK194" i="6"/>
  <c r="AK149" i="6"/>
  <c r="AK239" i="6"/>
  <c r="AK200" i="6"/>
  <c r="AK155" i="6"/>
  <c r="AK102" i="6"/>
  <c r="AK91" i="6"/>
  <c r="AK80" i="6"/>
  <c r="AK276" i="6"/>
  <c r="AK206" i="6"/>
  <c r="AK192" i="6"/>
  <c r="AK161" i="6"/>
  <c r="AK38" i="7"/>
  <c r="AK198" i="6"/>
  <c r="AK167" i="6"/>
  <c r="AK107" i="6"/>
  <c r="AK96" i="6"/>
  <c r="AK85" i="6"/>
  <c r="AK74" i="6"/>
  <c r="AK63" i="6"/>
  <c r="AK278" i="6"/>
  <c r="AK204" i="6"/>
  <c r="AK173" i="6"/>
  <c r="AK159" i="6"/>
  <c r="AK128" i="6"/>
  <c r="AK210" i="6"/>
  <c r="AK165" i="6"/>
  <c r="AK134" i="6"/>
  <c r="AK117" i="6"/>
  <c r="AK101" i="6"/>
  <c r="AK90" i="6"/>
  <c r="AK79" i="6"/>
  <c r="AK68" i="6"/>
  <c r="AK242" i="6"/>
  <c r="AK177" i="6"/>
  <c r="AK132" i="6"/>
  <c r="AK122" i="6"/>
  <c r="AK106" i="6"/>
  <c r="AK95" i="6"/>
  <c r="AK84" i="6"/>
  <c r="AK73" i="6"/>
  <c r="AK310" i="6"/>
  <c r="AK176" i="6"/>
  <c r="AK162" i="6"/>
  <c r="AK121" i="6"/>
  <c r="AK112" i="6"/>
  <c r="AK105" i="6"/>
  <c r="AK298" i="6"/>
  <c r="AK279" i="6"/>
  <c r="AK252" i="6"/>
  <c r="AK224" i="6"/>
  <c r="AK166" i="6"/>
  <c r="AK118" i="6"/>
  <c r="AK97" i="6"/>
  <c r="AK67" i="6"/>
  <c r="AK60" i="6"/>
  <c r="AK46" i="6"/>
  <c r="AK35" i="6"/>
  <c r="AK24" i="6"/>
  <c r="AK9" i="7"/>
  <c r="AK293" i="6"/>
  <c r="AK170" i="6"/>
  <c r="AK156" i="6"/>
  <c r="AK103" i="6"/>
  <c r="AK2" i="7"/>
  <c r="AK160" i="6"/>
  <c r="AK109" i="6"/>
  <c r="AK78" i="6"/>
  <c r="AK59" i="6"/>
  <c r="AK51" i="6"/>
  <c r="AK40" i="6"/>
  <c r="AK29" i="6"/>
  <c r="AK221" i="6"/>
  <c r="AK150" i="6"/>
  <c r="AK58" i="6"/>
  <c r="AK271" i="6"/>
  <c r="AK154" i="6"/>
  <c r="AK76" i="6"/>
  <c r="AK71" i="6"/>
  <c r="AK45" i="6"/>
  <c r="AK34" i="6"/>
  <c r="AK23" i="6"/>
  <c r="AK245" i="6"/>
  <c r="AK151" i="6"/>
  <c r="AK144" i="6"/>
  <c r="AK140" i="6"/>
  <c r="AK111" i="6"/>
  <c r="AK82" i="6"/>
  <c r="AK57" i="6"/>
  <c r="AK61" i="7"/>
  <c r="AK308" i="6"/>
  <c r="AK148" i="6"/>
  <c r="AK88" i="6"/>
  <c r="AK50" i="6"/>
  <c r="AK39" i="6"/>
  <c r="AK28" i="6"/>
  <c r="AK211" i="6"/>
  <c r="AK183" i="6"/>
  <c r="AK86" i="6"/>
  <c r="AK61" i="6"/>
  <c r="AK47" i="6"/>
  <c r="AK44" i="6"/>
  <c r="AK21" i="6"/>
  <c r="AK10" i="6"/>
  <c r="AK193" i="6"/>
  <c r="AK244" i="6"/>
  <c r="AK219" i="6"/>
  <c r="AK203" i="6"/>
  <c r="AK52" i="6"/>
  <c r="AK49" i="6"/>
  <c r="AK26" i="6"/>
  <c r="AK15" i="6"/>
  <c r="AK4" i="6"/>
  <c r="AK5" i="7"/>
  <c r="AK188" i="6"/>
  <c r="AK89" i="6"/>
  <c r="AK87" i="6"/>
  <c r="AK66" i="6"/>
  <c r="AK54" i="6"/>
  <c r="AK31" i="6"/>
  <c r="AK20" i="6"/>
  <c r="AK9" i="6"/>
  <c r="AK127" i="6"/>
  <c r="AK172" i="6"/>
  <c r="AK115" i="6"/>
  <c r="AK110" i="6"/>
  <c r="AK108" i="6"/>
  <c r="AK65" i="6"/>
  <c r="AK36" i="6"/>
  <c r="AK33" i="6"/>
  <c r="AK14" i="6"/>
  <c r="AK3" i="6"/>
  <c r="AK181" i="6"/>
  <c r="AK129" i="6"/>
  <c r="AK98" i="6"/>
  <c r="AK72" i="6"/>
  <c r="AK41" i="6"/>
  <c r="AK284" i="6"/>
  <c r="AK42" i="6"/>
  <c r="AK37" i="6"/>
  <c r="AK32" i="6"/>
  <c r="AK27" i="6"/>
  <c r="AK195" i="6"/>
  <c r="AK30" i="6"/>
  <c r="AK25" i="6"/>
  <c r="AK5" i="6"/>
  <c r="AK62" i="6"/>
  <c r="AK178" i="6"/>
  <c r="AK116" i="6"/>
  <c r="AK18" i="6"/>
  <c r="AK8" i="6"/>
  <c r="AK2" i="6"/>
  <c r="AK22" i="6"/>
  <c r="AK113" i="6"/>
  <c r="AK13" i="6"/>
  <c r="AK94" i="6"/>
  <c r="AK69" i="6"/>
  <c r="AK126" i="6"/>
  <c r="AK100" i="6"/>
  <c r="AK55" i="6"/>
  <c r="AK253" i="6"/>
  <c r="AK92" i="6"/>
  <c r="AK205" i="6"/>
  <c r="AK182" i="6"/>
  <c r="AK138" i="6"/>
  <c r="AK123" i="6"/>
  <c r="AK48" i="6"/>
  <c r="AK7" i="6"/>
  <c r="AK104" i="6"/>
  <c r="AK56" i="6"/>
  <c r="AK19" i="6"/>
  <c r="AK143" i="6"/>
  <c r="AK93" i="6"/>
  <c r="AK70" i="6"/>
  <c r="AK251" i="6"/>
  <c r="AK16" i="6"/>
  <c r="AK223" i="6"/>
  <c r="AK11" i="6"/>
  <c r="AK171" i="6"/>
  <c r="AK199" i="6"/>
  <c r="AK81" i="6"/>
  <c r="AK99" i="6"/>
  <c r="AK12" i="6"/>
  <c r="AK43" i="6"/>
  <c r="AK17" i="6"/>
  <c r="AK133" i="6"/>
  <c r="AK184" i="6"/>
  <c r="AK83" i="6"/>
  <c r="AK53" i="6"/>
  <c r="AK6" i="6"/>
  <c r="AK75" i="6"/>
  <c r="AK189" i="6"/>
  <c r="AK139" i="6"/>
  <c r="AK187" i="6"/>
  <c r="AK234" i="6"/>
  <c r="AK77" i="6"/>
  <c r="AK64" i="6"/>
  <c r="AK257" i="6"/>
  <c r="AK137" i="6"/>
  <c r="AK145" i="6"/>
  <c r="AK209" i="6"/>
  <c r="AK38" i="6"/>
  <c r="O23" i="8"/>
  <c r="O22" i="8"/>
  <c r="O25" i="8"/>
  <c r="O22" i="7"/>
  <c r="O25" i="7"/>
  <c r="O24" i="8"/>
  <c r="O24" i="7"/>
  <c r="O23" i="7"/>
  <c r="O63" i="6"/>
  <c r="O68" i="6"/>
  <c r="O71" i="6"/>
  <c r="O60" i="6"/>
  <c r="O59" i="6"/>
  <c r="O58" i="6"/>
  <c r="O72" i="6"/>
  <c r="O64" i="6"/>
  <c r="O69" i="6"/>
  <c r="O70" i="6"/>
  <c r="O62" i="6"/>
  <c r="O65" i="6"/>
  <c r="O66" i="6"/>
  <c r="O73" i="6"/>
  <c r="O61" i="6"/>
  <c r="O67" i="6"/>
  <c r="R36" i="8"/>
  <c r="R37" i="8"/>
  <c r="R35" i="7"/>
  <c r="R35" i="8"/>
  <c r="R37" i="7"/>
  <c r="R34" i="7"/>
  <c r="R36" i="7"/>
  <c r="R34" i="8"/>
  <c r="R119" i="6"/>
  <c r="R118" i="6"/>
  <c r="R107" i="6"/>
  <c r="R120" i="6"/>
  <c r="R115" i="6"/>
  <c r="R106" i="6"/>
  <c r="R114" i="6"/>
  <c r="R110" i="6"/>
  <c r="R113" i="6"/>
  <c r="R108" i="6"/>
  <c r="R121" i="6"/>
  <c r="R117" i="6"/>
  <c r="R109" i="6"/>
  <c r="R112" i="6"/>
  <c r="R111" i="6"/>
  <c r="R116" i="6"/>
  <c r="N52" i="7"/>
  <c r="N51" i="8"/>
  <c r="N53" i="8"/>
  <c r="N52" i="8"/>
  <c r="N53" i="7"/>
  <c r="N50" i="8"/>
  <c r="N50" i="7"/>
  <c r="N175" i="6"/>
  <c r="N180" i="6"/>
  <c r="N185" i="6"/>
  <c r="N174" i="6"/>
  <c r="N51" i="7"/>
  <c r="N171" i="6"/>
  <c r="N177" i="6"/>
  <c r="N183" i="6"/>
  <c r="N181" i="6"/>
  <c r="N184" i="6"/>
  <c r="N178" i="6"/>
  <c r="N182" i="6"/>
  <c r="N172" i="6"/>
  <c r="N170" i="6"/>
  <c r="N176" i="6"/>
  <c r="N173" i="6"/>
  <c r="N179" i="6"/>
  <c r="M242" i="6"/>
  <c r="M241" i="6"/>
  <c r="M248" i="6"/>
  <c r="M240" i="6"/>
  <c r="M249" i="6"/>
  <c r="M246" i="6"/>
  <c r="M239" i="6"/>
  <c r="M235" i="6"/>
  <c r="M245" i="6"/>
  <c r="M243" i="6"/>
  <c r="M244" i="6"/>
  <c r="M236" i="6"/>
  <c r="M238" i="6"/>
  <c r="M234" i="6"/>
  <c r="M237" i="6"/>
  <c r="M247" i="6"/>
  <c r="AW87" i="8"/>
  <c r="AW73" i="8"/>
  <c r="AW62" i="8"/>
  <c r="AW44" i="8"/>
  <c r="AW97" i="8"/>
  <c r="AW94" i="8"/>
  <c r="AW79" i="8"/>
  <c r="AW60" i="8"/>
  <c r="AM6" i="9"/>
  <c r="AM10" i="9"/>
  <c r="AM3" i="9"/>
  <c r="AW86" i="8"/>
  <c r="AM7" i="9"/>
  <c r="AM5" i="9"/>
  <c r="AW83" i="8"/>
  <c r="AM13" i="9"/>
  <c r="AW74" i="8"/>
  <c r="AM11" i="9"/>
  <c r="AW88" i="8"/>
  <c r="AW72" i="8"/>
  <c r="AW89" i="8"/>
  <c r="AW48" i="8"/>
  <c r="AM12" i="9"/>
  <c r="AW75" i="8"/>
  <c r="AW84" i="8"/>
  <c r="AW68" i="8"/>
  <c r="AW59" i="8"/>
  <c r="AW40" i="8"/>
  <c r="AW29" i="8"/>
  <c r="AM2" i="9"/>
  <c r="AW101" i="8"/>
  <c r="AW99" i="8"/>
  <c r="AW64" i="8"/>
  <c r="AW23" i="8"/>
  <c r="AW90" i="7"/>
  <c r="AW75" i="7"/>
  <c r="AW56" i="7"/>
  <c r="AW50" i="7"/>
  <c r="AW39" i="7"/>
  <c r="AW28" i="7"/>
  <c r="AW52" i="8"/>
  <c r="AW38" i="8"/>
  <c r="AW30" i="8"/>
  <c r="AW91" i="7"/>
  <c r="AW72" i="7"/>
  <c r="AW58" i="8"/>
  <c r="AW8" i="8"/>
  <c r="AW89" i="7"/>
  <c r="AW53" i="7"/>
  <c r="AW52" i="7"/>
  <c r="AW51" i="7"/>
  <c r="AW80" i="8"/>
  <c r="AW57" i="8"/>
  <c r="AW6" i="8"/>
  <c r="AW92" i="7"/>
  <c r="AW73" i="7"/>
  <c r="AW77" i="8"/>
  <c r="AW69" i="8"/>
  <c r="AW56" i="8"/>
  <c r="AW43" i="8"/>
  <c r="AW66" i="7"/>
  <c r="AW30" i="7"/>
  <c r="AW18" i="7"/>
  <c r="AW54" i="8"/>
  <c r="AW84" i="7"/>
  <c r="AW15" i="7"/>
  <c r="AW306" i="6"/>
  <c r="AW295" i="6"/>
  <c r="AW284" i="6"/>
  <c r="AW273" i="6"/>
  <c r="AW257" i="6"/>
  <c r="AW34" i="8"/>
  <c r="AW31" i="8"/>
  <c r="AM9" i="9"/>
  <c r="AW76" i="8"/>
  <c r="AW42" i="8"/>
  <c r="AW7" i="8"/>
  <c r="AW88" i="7"/>
  <c r="AW80" i="7"/>
  <c r="AW67" i="7"/>
  <c r="AW57" i="7"/>
  <c r="AW54" i="7"/>
  <c r="AW49" i="7"/>
  <c r="AW35" i="7"/>
  <c r="AW49" i="8"/>
  <c r="AW20" i="8"/>
  <c r="AW2" i="8"/>
  <c r="AW70" i="7"/>
  <c r="AW24" i="7"/>
  <c r="AM14" i="9"/>
  <c r="AW98" i="8"/>
  <c r="AW26" i="8"/>
  <c r="AW87" i="7"/>
  <c r="AW79" i="7"/>
  <c r="AW69" i="7"/>
  <c r="AM16" i="9"/>
  <c r="AW71" i="7"/>
  <c r="AW44" i="7"/>
  <c r="AW11" i="7"/>
  <c r="AW6" i="7"/>
  <c r="AW301" i="6"/>
  <c r="AW298" i="6"/>
  <c r="AW275" i="6"/>
  <c r="AW28" i="8"/>
  <c r="AW19" i="8"/>
  <c r="AW278" i="6"/>
  <c r="AW78" i="8"/>
  <c r="AW55" i="8"/>
  <c r="AW47" i="8"/>
  <c r="AW46" i="8"/>
  <c r="AW18" i="8"/>
  <c r="AW100" i="7"/>
  <c r="AW70" i="8"/>
  <c r="AW74" i="7"/>
  <c r="AW23" i="7"/>
  <c r="AW9" i="8"/>
  <c r="AW101" i="7"/>
  <c r="AW46" i="7"/>
  <c r="AW90" i="8"/>
  <c r="AW81" i="8"/>
  <c r="AW50" i="8"/>
  <c r="AW10" i="8"/>
  <c r="AW92" i="8"/>
  <c r="AW63" i="8"/>
  <c r="AW41" i="8"/>
  <c r="AW22" i="8"/>
  <c r="AW11" i="8"/>
  <c r="AW82" i="8"/>
  <c r="AW45" i="8"/>
  <c r="AW17" i="8"/>
  <c r="AW99" i="7"/>
  <c r="AW83" i="7"/>
  <c r="AW76" i="7"/>
  <c r="AW96" i="8"/>
  <c r="AW37" i="8"/>
  <c r="AW94" i="7"/>
  <c r="AW53" i="8"/>
  <c r="AW27" i="8"/>
  <c r="AW93" i="8"/>
  <c r="AW65" i="8"/>
  <c r="AW61" i="8"/>
  <c r="AW12" i="8"/>
  <c r="AW4" i="8"/>
  <c r="AW95" i="7"/>
  <c r="AW77" i="7"/>
  <c r="AW67" i="8"/>
  <c r="AW51" i="8"/>
  <c r="AM15" i="9"/>
  <c r="AW100" i="8"/>
  <c r="AW78" i="7"/>
  <c r="AW48" i="7"/>
  <c r="AW42" i="7"/>
  <c r="AW97" i="7"/>
  <c r="AW82" i="7"/>
  <c r="AW36" i="8"/>
  <c r="AW86" i="7"/>
  <c r="AW32" i="8"/>
  <c r="AW14" i="8"/>
  <c r="AW93" i="7"/>
  <c r="AW35" i="8"/>
  <c r="AW63" i="7"/>
  <c r="AW38" i="7"/>
  <c r="AW26" i="7"/>
  <c r="AW16" i="7"/>
  <c r="AW91" i="8"/>
  <c r="AW85" i="7"/>
  <c r="AW59" i="7"/>
  <c r="AW33" i="7"/>
  <c r="AW10" i="7"/>
  <c r="AW292" i="6"/>
  <c r="AM8" i="9"/>
  <c r="AW16" i="8"/>
  <c r="AW85" i="8"/>
  <c r="AW65" i="7"/>
  <c r="AW47" i="7"/>
  <c r="AW311" i="6"/>
  <c r="AW308" i="6"/>
  <c r="AW14" i="7"/>
  <c r="AW293" i="6"/>
  <c r="AW71" i="8"/>
  <c r="AW8" i="7"/>
  <c r="AW5" i="7"/>
  <c r="AW33" i="8"/>
  <c r="AW98" i="7"/>
  <c r="AW43" i="7"/>
  <c r="AW36" i="7"/>
  <c r="AW34" i="7"/>
  <c r="AW2" i="7"/>
  <c r="AW61" i="7"/>
  <c r="AW17" i="7"/>
  <c r="AW37" i="7"/>
  <c r="AW29" i="7"/>
  <c r="AW13" i="7"/>
  <c r="AW294" i="6"/>
  <c r="AW303" i="6"/>
  <c r="AW302" i="6"/>
  <c r="AW15" i="8"/>
  <c r="AW62" i="7"/>
  <c r="AW22" i="7"/>
  <c r="AW307" i="6"/>
  <c r="AW300" i="6"/>
  <c r="AW64" i="7"/>
  <c r="AW305" i="6"/>
  <c r="AW289" i="6"/>
  <c r="AW5" i="8"/>
  <c r="AW32" i="7"/>
  <c r="AW282" i="6"/>
  <c r="AW266" i="6"/>
  <c r="AW39" i="8"/>
  <c r="AW40" i="7"/>
  <c r="AW309" i="6"/>
  <c r="AW285" i="6"/>
  <c r="AW279" i="6"/>
  <c r="AW271" i="6"/>
  <c r="AW268" i="6"/>
  <c r="AW21" i="8"/>
  <c r="AW13" i="8"/>
  <c r="AW4" i="7"/>
  <c r="AW244" i="6"/>
  <c r="AW233" i="6"/>
  <c r="AW222" i="6"/>
  <c r="AW27" i="7"/>
  <c r="AW265" i="6"/>
  <c r="AW260" i="6"/>
  <c r="AW254" i="6"/>
  <c r="AW243" i="6"/>
  <c r="AW232" i="6"/>
  <c r="AM4" i="9"/>
  <c r="AW96" i="7"/>
  <c r="AW68" i="7"/>
  <c r="AW263" i="6"/>
  <c r="AW252" i="6"/>
  <c r="AW223" i="6"/>
  <c r="AW25" i="8"/>
  <c r="AW58" i="7"/>
  <c r="AW277" i="6"/>
  <c r="AW235" i="6"/>
  <c r="AW66" i="8"/>
  <c r="AW253" i="6"/>
  <c r="AW281" i="6"/>
  <c r="AW280" i="6"/>
  <c r="AW236" i="6"/>
  <c r="AW221" i="6"/>
  <c r="AW296" i="6"/>
  <c r="AW264" i="6"/>
  <c r="AW259" i="6"/>
  <c r="AW24" i="8"/>
  <c r="AW45" i="7"/>
  <c r="AW245" i="6"/>
  <c r="AW220" i="6"/>
  <c r="AW9" i="7"/>
  <c r="AW237" i="6"/>
  <c r="AW20" i="7"/>
  <c r="AW250" i="6"/>
  <c r="AW205" i="6"/>
  <c r="AW194" i="6"/>
  <c r="AW183" i="6"/>
  <c r="AW172" i="6"/>
  <c r="AW161" i="6"/>
  <c r="AW150" i="6"/>
  <c r="AW139" i="6"/>
  <c r="AW128" i="6"/>
  <c r="AW117" i="6"/>
  <c r="AW304" i="6"/>
  <c r="AW239" i="6"/>
  <c r="AW217" i="6"/>
  <c r="AW267" i="6"/>
  <c r="AW219" i="6"/>
  <c r="AW210" i="6"/>
  <c r="AW199" i="6"/>
  <c r="AW188" i="6"/>
  <c r="AW177" i="6"/>
  <c r="AW166" i="6"/>
  <c r="AW155" i="6"/>
  <c r="AW144" i="6"/>
  <c r="AW133" i="6"/>
  <c r="AW122" i="6"/>
  <c r="AW111" i="6"/>
  <c r="AW272" i="6"/>
  <c r="AW229" i="6"/>
  <c r="AW19" i="7"/>
  <c r="AW290" i="6"/>
  <c r="AW224" i="6"/>
  <c r="AW204" i="6"/>
  <c r="AW193" i="6"/>
  <c r="AW182" i="6"/>
  <c r="AW171" i="6"/>
  <c r="AW160" i="6"/>
  <c r="AW149" i="6"/>
  <c r="AW138" i="6"/>
  <c r="AW127" i="6"/>
  <c r="AW116" i="6"/>
  <c r="AW31" i="7"/>
  <c r="AW270" i="6"/>
  <c r="AW262" i="6"/>
  <c r="AW249" i="6"/>
  <c r="AW242" i="6"/>
  <c r="AW288" i="6"/>
  <c r="AW283" i="6"/>
  <c r="AW238" i="6"/>
  <c r="AW226" i="6"/>
  <c r="AW209" i="6"/>
  <c r="AW198" i="6"/>
  <c r="AW187" i="6"/>
  <c r="AW176" i="6"/>
  <c r="AW165" i="6"/>
  <c r="AW154" i="6"/>
  <c r="AW143" i="6"/>
  <c r="AW132" i="6"/>
  <c r="AW255" i="6"/>
  <c r="AW240" i="6"/>
  <c r="AW214" i="6"/>
  <c r="AW179" i="6"/>
  <c r="AW148" i="6"/>
  <c r="AW134" i="6"/>
  <c r="AW115" i="6"/>
  <c r="AW7" i="7"/>
  <c r="AW312" i="6"/>
  <c r="AW269" i="6"/>
  <c r="AW241" i="6"/>
  <c r="AW185" i="6"/>
  <c r="AW140" i="6"/>
  <c r="AW120" i="6"/>
  <c r="AW110" i="6"/>
  <c r="AW99" i="6"/>
  <c r="AW88" i="6"/>
  <c r="AW77" i="6"/>
  <c r="AW25" i="7"/>
  <c r="AW12" i="7"/>
  <c r="AW261" i="6"/>
  <c r="AW191" i="6"/>
  <c r="AW146" i="6"/>
  <c r="AW95" i="8"/>
  <c r="AW197" i="6"/>
  <c r="AW152" i="6"/>
  <c r="AW104" i="6"/>
  <c r="AW93" i="6"/>
  <c r="AW82" i="6"/>
  <c r="AW71" i="6"/>
  <c r="AW203" i="6"/>
  <c r="AW189" i="6"/>
  <c r="AW158" i="6"/>
  <c r="AW218" i="6"/>
  <c r="AW195" i="6"/>
  <c r="AW164" i="6"/>
  <c r="AW109" i="6"/>
  <c r="AW98" i="6"/>
  <c r="AW87" i="6"/>
  <c r="AW76" i="6"/>
  <c r="AW65" i="6"/>
  <c r="AW3" i="7"/>
  <c r="AW256" i="6"/>
  <c r="AW207" i="6"/>
  <c r="AW162" i="6"/>
  <c r="AW131" i="6"/>
  <c r="AW118" i="6"/>
  <c r="AW112" i="6"/>
  <c r="AW103" i="6"/>
  <c r="AW92" i="6"/>
  <c r="AW81" i="6"/>
  <c r="AW147" i="6"/>
  <c r="AW90" i="6"/>
  <c r="AW227" i="6"/>
  <c r="AW151" i="6"/>
  <c r="AW137" i="6"/>
  <c r="AW96" i="6"/>
  <c r="AW54" i="6"/>
  <c r="AW43" i="6"/>
  <c r="AW32" i="6"/>
  <c r="AW213" i="6"/>
  <c r="AW141" i="6"/>
  <c r="AW102" i="6"/>
  <c r="AW211" i="6"/>
  <c r="AW145" i="6"/>
  <c r="AW108" i="6"/>
  <c r="AW94" i="6"/>
  <c r="AW69" i="6"/>
  <c r="AW48" i="6"/>
  <c r="AW37" i="6"/>
  <c r="AW26" i="6"/>
  <c r="AW21" i="7"/>
  <c r="AW215" i="6"/>
  <c r="AW208" i="6"/>
  <c r="AW142" i="6"/>
  <c r="AW135" i="6"/>
  <c r="AW100" i="6"/>
  <c r="AW72" i="6"/>
  <c r="AW230" i="6"/>
  <c r="AW212" i="6"/>
  <c r="AW201" i="6"/>
  <c r="AW106" i="6"/>
  <c r="AW75" i="6"/>
  <c r="AW53" i="6"/>
  <c r="AW42" i="6"/>
  <c r="AW31" i="6"/>
  <c r="AW297" i="6"/>
  <c r="AW216" i="6"/>
  <c r="AW202" i="6"/>
  <c r="AW136" i="6"/>
  <c r="AW129" i="6"/>
  <c r="AW125" i="6"/>
  <c r="AW114" i="6"/>
  <c r="AW248" i="6"/>
  <c r="AW206" i="6"/>
  <c r="AW192" i="6"/>
  <c r="AW126" i="6"/>
  <c r="AW47" i="6"/>
  <c r="AW36" i="6"/>
  <c r="AW25" i="6"/>
  <c r="AW81" i="7"/>
  <c r="AW228" i="6"/>
  <c r="AW225" i="6"/>
  <c r="AW196" i="6"/>
  <c r="AW274" i="6"/>
  <c r="AW169" i="6"/>
  <c r="AW51" i="6"/>
  <c r="AW28" i="6"/>
  <c r="AW18" i="6"/>
  <c r="AW7" i="6"/>
  <c r="AW286" i="6"/>
  <c r="AW175" i="6"/>
  <c r="AW33" i="6"/>
  <c r="AW30" i="6"/>
  <c r="AW12" i="6"/>
  <c r="AW3" i="8"/>
  <c r="AW246" i="6"/>
  <c r="AW178" i="6"/>
  <c r="AW299" i="6"/>
  <c r="AW181" i="6"/>
  <c r="AW170" i="6"/>
  <c r="AW73" i="6"/>
  <c r="AW64" i="6"/>
  <c r="AW59" i="6"/>
  <c r="AW38" i="6"/>
  <c r="AW35" i="6"/>
  <c r="AW17" i="6"/>
  <c r="AW6" i="6"/>
  <c r="AW23" i="6"/>
  <c r="AW291" i="6"/>
  <c r="AW184" i="6"/>
  <c r="AW97" i="6"/>
  <c r="AW95" i="6"/>
  <c r="AW74" i="6"/>
  <c r="AW70" i="6"/>
  <c r="AW63" i="6"/>
  <c r="AW56" i="6"/>
  <c r="AW40" i="6"/>
  <c r="AW22" i="6"/>
  <c r="AW11" i="6"/>
  <c r="AW247" i="6"/>
  <c r="AW163" i="6"/>
  <c r="AW15" i="6"/>
  <c r="AW200" i="6"/>
  <c r="AW68" i="6"/>
  <c r="AW153" i="6"/>
  <c r="AW105" i="6"/>
  <c r="AW86" i="6"/>
  <c r="AW83" i="6"/>
  <c r="AW80" i="6"/>
  <c r="AW20" i="6"/>
  <c r="AW16" i="6"/>
  <c r="AW2" i="6"/>
  <c r="AW41" i="7"/>
  <c r="AW180" i="6"/>
  <c r="AW124" i="6"/>
  <c r="AW231" i="6"/>
  <c r="AW55" i="6"/>
  <c r="AW34" i="6"/>
  <c r="AW60" i="7"/>
  <c r="AW123" i="6"/>
  <c r="AW52" i="6"/>
  <c r="AW29" i="6"/>
  <c r="AW44" i="6"/>
  <c r="AW157" i="6"/>
  <c r="AW62" i="6"/>
  <c r="AW21" i="6"/>
  <c r="AW258" i="6"/>
  <c r="AW313" i="6"/>
  <c r="AW78" i="6"/>
  <c r="AW14" i="6"/>
  <c r="AW9" i="6"/>
  <c r="AW156" i="6"/>
  <c r="AW84" i="6"/>
  <c r="AW67" i="6"/>
  <c r="AW45" i="6"/>
  <c r="AW41" i="6"/>
  <c r="AW19" i="6"/>
  <c r="AW168" i="6"/>
  <c r="AW159" i="6"/>
  <c r="AW3" i="6"/>
  <c r="AW55" i="7"/>
  <c r="AW113" i="6"/>
  <c r="AW89" i="6"/>
  <c r="AW57" i="6"/>
  <c r="AW4" i="6"/>
  <c r="AW66" i="6"/>
  <c r="AW10" i="6"/>
  <c r="AW8" i="6"/>
  <c r="AW5" i="6"/>
  <c r="AW91" i="6"/>
  <c r="AW107" i="6"/>
  <c r="AW276" i="6"/>
  <c r="AW186" i="6"/>
  <c r="AW27" i="6"/>
  <c r="AW173" i="6"/>
  <c r="AW167" i="6"/>
  <c r="AW79" i="6"/>
  <c r="AW190" i="6"/>
  <c r="AW24" i="6"/>
  <c r="AW251" i="6"/>
  <c r="AW50" i="6"/>
  <c r="AW13" i="6"/>
  <c r="AW287" i="6"/>
  <c r="AW39" i="6"/>
  <c r="AW61" i="6"/>
  <c r="AW121" i="6"/>
  <c r="AW60" i="6"/>
  <c r="AW174" i="6"/>
  <c r="AW310" i="6"/>
  <c r="AW101" i="6"/>
  <c r="AW46" i="6"/>
  <c r="AW58" i="6"/>
  <c r="AW119" i="6"/>
  <c r="AW49" i="6"/>
  <c r="AW234" i="6"/>
  <c r="AW85" i="6"/>
  <c r="AW130" i="6"/>
  <c r="L21" i="8"/>
  <c r="L19" i="8"/>
  <c r="L18" i="8"/>
  <c r="L20" i="7"/>
  <c r="L18" i="7"/>
  <c r="L20" i="8"/>
  <c r="L19" i="7"/>
  <c r="L21" i="7"/>
  <c r="L47" i="6"/>
  <c r="L52" i="6"/>
  <c r="L46" i="6"/>
  <c r="L51" i="6"/>
  <c r="L56" i="6"/>
  <c r="L43" i="6"/>
  <c r="L55" i="6"/>
  <c r="L50" i="6"/>
  <c r="L45" i="6"/>
  <c r="L57" i="6"/>
  <c r="L42" i="6"/>
  <c r="L54" i="6"/>
  <c r="L49" i="6"/>
  <c r="L48" i="6"/>
  <c r="L44" i="6"/>
  <c r="L53" i="6"/>
  <c r="N26" i="8"/>
  <c r="N27" i="8"/>
  <c r="N29" i="7"/>
  <c r="N27" i="7"/>
  <c r="N29" i="8"/>
  <c r="N28" i="8"/>
  <c r="N26" i="7"/>
  <c r="N28" i="7"/>
  <c r="N86" i="6"/>
  <c r="N75" i="6"/>
  <c r="N80" i="6"/>
  <c r="N85" i="6"/>
  <c r="N74" i="6"/>
  <c r="N82" i="6"/>
  <c r="N88" i="6"/>
  <c r="N78" i="6"/>
  <c r="N76" i="6"/>
  <c r="N83" i="6"/>
  <c r="N81" i="6"/>
  <c r="N87" i="6"/>
  <c r="N77" i="6"/>
  <c r="N89" i="6"/>
  <c r="N84" i="6"/>
  <c r="N79" i="6"/>
  <c r="L35" i="8"/>
  <c r="L36" i="7"/>
  <c r="L37" i="8"/>
  <c r="L34" i="8"/>
  <c r="L36" i="8"/>
  <c r="L34" i="7"/>
  <c r="L37" i="7"/>
  <c r="L115" i="6"/>
  <c r="L120" i="6"/>
  <c r="L114" i="6"/>
  <c r="L117" i="6"/>
  <c r="L108" i="6"/>
  <c r="L106" i="6"/>
  <c r="L111" i="6"/>
  <c r="L112" i="6"/>
  <c r="L116" i="6"/>
  <c r="L113" i="6"/>
  <c r="L109" i="6"/>
  <c r="L110" i="6"/>
  <c r="L119" i="6"/>
  <c r="L107" i="6"/>
  <c r="L118" i="6"/>
  <c r="L121" i="6"/>
  <c r="L35" i="7"/>
  <c r="M42" i="8"/>
  <c r="M45" i="8"/>
  <c r="M43" i="8"/>
  <c r="M45" i="7"/>
  <c r="M44" i="8"/>
  <c r="M44" i="7"/>
  <c r="M43" i="7"/>
  <c r="M148" i="6"/>
  <c r="M153" i="6"/>
  <c r="M142" i="6"/>
  <c r="M147" i="6"/>
  <c r="M152" i="6"/>
  <c r="M141" i="6"/>
  <c r="M140" i="6"/>
  <c r="M146" i="6"/>
  <c r="M138" i="6"/>
  <c r="M144" i="6"/>
  <c r="M150" i="6"/>
  <c r="M151" i="6"/>
  <c r="M143" i="6"/>
  <c r="M145" i="6"/>
  <c r="M42" i="7"/>
  <c r="M139" i="6"/>
  <c r="M149" i="6"/>
  <c r="Q52" i="8"/>
  <c r="Q51" i="8"/>
  <c r="Q50" i="8"/>
  <c r="Q53" i="7"/>
  <c r="Q50" i="7"/>
  <c r="Q53" i="8"/>
  <c r="Q52" i="7"/>
  <c r="Q180" i="6"/>
  <c r="Q185" i="6"/>
  <c r="Q174" i="6"/>
  <c r="Q179" i="6"/>
  <c r="Q51" i="7"/>
  <c r="Q184" i="6"/>
  <c r="Q173" i="6"/>
  <c r="Q175" i="6"/>
  <c r="Q181" i="6"/>
  <c r="Q172" i="6"/>
  <c r="Q178" i="6"/>
  <c r="Q182" i="6"/>
  <c r="Q183" i="6"/>
  <c r="Q176" i="6"/>
  <c r="Q171" i="6"/>
  <c r="Q177" i="6"/>
  <c r="Q170" i="6"/>
  <c r="Q213" i="6"/>
  <c r="Q202" i="6"/>
  <c r="Q207" i="6"/>
  <c r="Q217" i="6"/>
  <c r="Q212" i="6"/>
  <c r="Q206" i="6"/>
  <c r="Q214" i="6"/>
  <c r="Q205" i="6"/>
  <c r="Q216" i="6"/>
  <c r="Q203" i="6"/>
  <c r="Q208" i="6"/>
  <c r="Q210" i="6"/>
  <c r="Q215" i="6"/>
  <c r="Q209" i="6"/>
  <c r="Q211" i="6"/>
  <c r="Q204" i="6"/>
  <c r="AC10" i="9"/>
  <c r="AC7" i="9"/>
  <c r="AM93" i="8"/>
  <c r="AM76" i="8"/>
  <c r="AM65" i="8"/>
  <c r="AM54" i="8"/>
  <c r="AM52" i="8"/>
  <c r="AM41" i="8"/>
  <c r="AC11" i="9"/>
  <c r="AM90" i="8"/>
  <c r="AM81" i="8"/>
  <c r="AM66" i="8"/>
  <c r="AM48" i="8"/>
  <c r="AM4" i="8"/>
  <c r="AC8" i="9"/>
  <c r="AM97" i="8"/>
  <c r="AM85" i="8"/>
  <c r="AM77" i="8"/>
  <c r="AM80" i="8"/>
  <c r="AM75" i="8"/>
  <c r="AM95" i="8"/>
  <c r="AM91" i="8"/>
  <c r="AM99" i="8"/>
  <c r="AM89" i="8"/>
  <c r="AM46" i="8"/>
  <c r="AM45" i="8"/>
  <c r="AM44" i="8"/>
  <c r="AM43" i="8"/>
  <c r="AM42" i="8"/>
  <c r="AC15" i="9"/>
  <c r="AM79" i="8"/>
  <c r="AM62" i="8"/>
  <c r="AM33" i="8"/>
  <c r="AM96" i="8"/>
  <c r="AM35" i="8"/>
  <c r="AM100" i="8"/>
  <c r="AM84" i="8"/>
  <c r="AM101" i="8"/>
  <c r="AM78" i="8"/>
  <c r="AM71" i="8"/>
  <c r="AM86" i="8"/>
  <c r="AM39" i="8"/>
  <c r="AM32" i="8"/>
  <c r="AM96" i="7"/>
  <c r="AM77" i="7"/>
  <c r="AM62" i="7"/>
  <c r="AM47" i="7"/>
  <c r="AM36" i="7"/>
  <c r="AM51" i="8"/>
  <c r="AM28" i="8"/>
  <c r="AM21" i="8"/>
  <c r="AM20" i="8"/>
  <c r="AM93" i="7"/>
  <c r="AM78" i="7"/>
  <c r="AM59" i="7"/>
  <c r="AC12" i="9"/>
  <c r="AC4" i="9"/>
  <c r="AM31" i="8"/>
  <c r="AM100" i="7"/>
  <c r="AM88" i="7"/>
  <c r="AM81" i="7"/>
  <c r="AM29" i="7"/>
  <c r="AM28" i="7"/>
  <c r="AM27" i="7"/>
  <c r="AM26" i="7"/>
  <c r="AM25" i="7"/>
  <c r="AM12" i="7"/>
  <c r="AC6" i="9"/>
  <c r="AM64" i="8"/>
  <c r="AM29" i="8"/>
  <c r="AM26" i="8"/>
  <c r="AM23" i="8"/>
  <c r="AM5" i="8"/>
  <c r="AM91" i="7"/>
  <c r="AM88" i="8"/>
  <c r="AM83" i="8"/>
  <c r="AM74" i="8"/>
  <c r="AM60" i="8"/>
  <c r="AM72" i="8"/>
  <c r="AM59" i="8"/>
  <c r="AM83" i="7"/>
  <c r="AM60" i="7"/>
  <c r="AM23" i="7"/>
  <c r="AM69" i="8"/>
  <c r="AM68" i="8"/>
  <c r="AM71" i="7"/>
  <c r="AM55" i="7"/>
  <c r="AM38" i="7"/>
  <c r="AM3" i="7"/>
  <c r="AM309" i="6"/>
  <c r="AM298" i="6"/>
  <c r="AM287" i="6"/>
  <c r="AM276" i="6"/>
  <c r="AM265" i="6"/>
  <c r="AM50" i="8"/>
  <c r="AM2" i="8"/>
  <c r="AC3" i="9"/>
  <c r="AC13" i="9"/>
  <c r="AM53" i="8"/>
  <c r="AM51" i="7"/>
  <c r="AM41" i="7"/>
  <c r="AM20" i="7"/>
  <c r="AM18" i="8"/>
  <c r="AM89" i="7"/>
  <c r="AM58" i="7"/>
  <c r="AM34" i="7"/>
  <c r="AM84" i="7"/>
  <c r="AM80" i="7"/>
  <c r="AM94" i="8"/>
  <c r="AM61" i="8"/>
  <c r="AM40" i="8"/>
  <c r="AM95" i="7"/>
  <c r="AM66" i="7"/>
  <c r="AM5" i="7"/>
  <c r="AM294" i="6"/>
  <c r="AM291" i="6"/>
  <c r="AM271" i="6"/>
  <c r="AM268" i="6"/>
  <c r="AM94" i="7"/>
  <c r="AM52" i="7"/>
  <c r="AM50" i="7"/>
  <c r="AM17" i="7"/>
  <c r="AM312" i="6"/>
  <c r="AM297" i="6"/>
  <c r="AM82" i="8"/>
  <c r="AC5" i="9"/>
  <c r="AM67" i="8"/>
  <c r="AM38" i="8"/>
  <c r="AM97" i="7"/>
  <c r="AM42" i="7"/>
  <c r="AC16" i="9"/>
  <c r="AM49" i="8"/>
  <c r="AM30" i="8"/>
  <c r="AM79" i="7"/>
  <c r="AM49" i="7"/>
  <c r="AC9" i="9"/>
  <c r="AM70" i="8"/>
  <c r="AC2" i="9"/>
  <c r="AM57" i="8"/>
  <c r="AM8" i="8"/>
  <c r="AM46" i="7"/>
  <c r="AM82" i="7"/>
  <c r="AM64" i="7"/>
  <c r="AM98" i="7"/>
  <c r="AM74" i="7"/>
  <c r="AM55" i="8"/>
  <c r="AM7" i="8"/>
  <c r="AM3" i="8"/>
  <c r="AM63" i="8"/>
  <c r="AM37" i="8"/>
  <c r="AM34" i="8"/>
  <c r="AM27" i="8"/>
  <c r="AM24" i="8"/>
  <c r="AM13" i="8"/>
  <c r="AM85" i="7"/>
  <c r="AM54" i="7"/>
  <c r="AM92" i="8"/>
  <c r="AM73" i="8"/>
  <c r="AM56" i="8"/>
  <c r="AM19" i="8"/>
  <c r="AM16" i="8"/>
  <c r="AM6" i="8"/>
  <c r="AM11" i="8"/>
  <c r="AM48" i="7"/>
  <c r="AM22" i="8"/>
  <c r="AM69" i="7"/>
  <c r="AM58" i="8"/>
  <c r="AM12" i="8"/>
  <c r="AM35" i="7"/>
  <c r="AM53" i="7"/>
  <c r="AC14" i="9"/>
  <c r="AM14" i="8"/>
  <c r="AM87" i="7"/>
  <c r="AM45" i="7"/>
  <c r="AM30" i="7"/>
  <c r="AM305" i="6"/>
  <c r="AM25" i="8"/>
  <c r="AM75" i="7"/>
  <c r="AM72" i="7"/>
  <c r="AM44" i="7"/>
  <c r="AM22" i="7"/>
  <c r="AM43" i="7"/>
  <c r="AM24" i="7"/>
  <c r="AM18" i="7"/>
  <c r="AM17" i="8"/>
  <c r="AM90" i="7"/>
  <c r="AM32" i="7"/>
  <c r="AM306" i="6"/>
  <c r="AM31" i="7"/>
  <c r="AM21" i="7"/>
  <c r="AM56" i="7"/>
  <c r="AM67" i="7"/>
  <c r="AM63" i="7"/>
  <c r="AM33" i="7"/>
  <c r="AM15" i="7"/>
  <c r="AM6" i="7"/>
  <c r="AM289" i="6"/>
  <c r="AM283" i="6"/>
  <c r="AM101" i="7"/>
  <c r="AM9" i="7"/>
  <c r="AM65" i="7"/>
  <c r="AM92" i="7"/>
  <c r="AM299" i="6"/>
  <c r="AM57" i="7"/>
  <c r="AM10" i="7"/>
  <c r="AM68" i="7"/>
  <c r="AM39" i="7"/>
  <c r="AM14" i="7"/>
  <c r="AM275" i="6"/>
  <c r="AM267" i="6"/>
  <c r="AM261" i="6"/>
  <c r="AM37" i="7"/>
  <c r="AM295" i="6"/>
  <c r="AM290" i="6"/>
  <c r="AM15" i="8"/>
  <c r="AM10" i="8"/>
  <c r="AM16" i="7"/>
  <c r="AM13" i="7"/>
  <c r="AM272" i="6"/>
  <c r="AM9" i="8"/>
  <c r="AM70" i="7"/>
  <c r="AM304" i="6"/>
  <c r="AM73" i="7"/>
  <c r="AM302" i="6"/>
  <c r="AM286" i="6"/>
  <c r="AM280" i="6"/>
  <c r="AM277" i="6"/>
  <c r="AM269" i="6"/>
  <c r="AM98" i="8"/>
  <c r="AM87" i="8"/>
  <c r="AM36" i="8"/>
  <c r="AM307" i="6"/>
  <c r="AM301" i="6"/>
  <c r="AM252" i="6"/>
  <c r="AM241" i="6"/>
  <c r="AM230" i="6"/>
  <c r="AM219" i="6"/>
  <c r="AM259" i="6"/>
  <c r="AM251" i="6"/>
  <c r="AM240" i="6"/>
  <c r="AM229" i="6"/>
  <c r="AM311" i="6"/>
  <c r="AM313" i="6"/>
  <c r="AM270" i="6"/>
  <c r="AM249" i="6"/>
  <c r="AM228" i="6"/>
  <c r="AM274" i="6"/>
  <c r="AM273" i="6"/>
  <c r="AM260" i="6"/>
  <c r="AM256" i="6"/>
  <c r="AM227" i="6"/>
  <c r="AM250" i="6"/>
  <c r="AM232" i="6"/>
  <c r="AM231" i="6"/>
  <c r="AM233" i="6"/>
  <c r="AM226" i="6"/>
  <c r="AM99" i="7"/>
  <c r="AM262" i="6"/>
  <c r="AM4" i="7"/>
  <c r="AM292" i="6"/>
  <c r="AM279" i="6"/>
  <c r="AM242" i="6"/>
  <c r="AM225" i="6"/>
  <c r="AM300" i="6"/>
  <c r="AM282" i="6"/>
  <c r="AM258" i="6"/>
  <c r="AM214" i="6"/>
  <c r="AM202" i="6"/>
  <c r="AM191" i="6"/>
  <c r="AM180" i="6"/>
  <c r="AM169" i="6"/>
  <c r="AM158" i="6"/>
  <c r="AM147" i="6"/>
  <c r="AM136" i="6"/>
  <c r="AM125" i="6"/>
  <c r="AM114" i="6"/>
  <c r="AM47" i="8"/>
  <c r="AM11" i="7"/>
  <c r="AM266" i="6"/>
  <c r="AM213" i="6"/>
  <c r="AM255" i="6"/>
  <c r="AM243" i="6"/>
  <c r="AM220" i="6"/>
  <c r="AM216" i="6"/>
  <c r="AM207" i="6"/>
  <c r="AM196" i="6"/>
  <c r="AM185" i="6"/>
  <c r="AM174" i="6"/>
  <c r="AM163" i="6"/>
  <c r="AM152" i="6"/>
  <c r="AM141" i="6"/>
  <c r="AM130" i="6"/>
  <c r="AM119" i="6"/>
  <c r="AM247" i="6"/>
  <c r="AM254" i="6"/>
  <c r="AM236" i="6"/>
  <c r="AM222" i="6"/>
  <c r="AM212" i="6"/>
  <c r="AM201" i="6"/>
  <c r="AM190" i="6"/>
  <c r="AM179" i="6"/>
  <c r="AM168" i="6"/>
  <c r="AM157" i="6"/>
  <c r="AM146" i="6"/>
  <c r="AM135" i="6"/>
  <c r="AM124" i="6"/>
  <c r="AM19" i="7"/>
  <c r="AM40" i="7"/>
  <c r="AM8" i="7"/>
  <c r="AM303" i="6"/>
  <c r="AM285" i="6"/>
  <c r="AM224" i="6"/>
  <c r="AM206" i="6"/>
  <c r="AM195" i="6"/>
  <c r="AM184" i="6"/>
  <c r="AM173" i="6"/>
  <c r="AM162" i="6"/>
  <c r="AM151" i="6"/>
  <c r="AM140" i="6"/>
  <c r="AM129" i="6"/>
  <c r="AM192" i="6"/>
  <c r="AM161" i="6"/>
  <c r="AM215" i="6"/>
  <c r="AM198" i="6"/>
  <c r="AM167" i="6"/>
  <c r="AM153" i="6"/>
  <c r="AM107" i="6"/>
  <c r="AM96" i="6"/>
  <c r="AM85" i="6"/>
  <c r="AM204" i="6"/>
  <c r="AM159" i="6"/>
  <c r="AM128" i="6"/>
  <c r="AM278" i="6"/>
  <c r="AM210" i="6"/>
  <c r="AM165" i="6"/>
  <c r="AM134" i="6"/>
  <c r="AM117" i="6"/>
  <c r="AM101" i="6"/>
  <c r="AM90" i="6"/>
  <c r="AM79" i="6"/>
  <c r="AM68" i="6"/>
  <c r="AM296" i="6"/>
  <c r="AM171" i="6"/>
  <c r="AM126" i="6"/>
  <c r="AM293" i="6"/>
  <c r="AM288" i="6"/>
  <c r="AM208" i="6"/>
  <c r="AM177" i="6"/>
  <c r="AM132" i="6"/>
  <c r="AM122" i="6"/>
  <c r="AM106" i="6"/>
  <c r="AM95" i="6"/>
  <c r="AM84" i="6"/>
  <c r="AM73" i="6"/>
  <c r="AM62" i="6"/>
  <c r="AM234" i="6"/>
  <c r="AM189" i="6"/>
  <c r="AM175" i="6"/>
  <c r="AM144" i="6"/>
  <c r="AM100" i="6"/>
  <c r="AM89" i="6"/>
  <c r="AM78" i="6"/>
  <c r="AM170" i="6"/>
  <c r="AM156" i="6"/>
  <c r="AM103" i="6"/>
  <c r="AM235" i="6"/>
  <c r="AM160" i="6"/>
  <c r="AM109" i="6"/>
  <c r="AM59" i="6"/>
  <c r="AM51" i="6"/>
  <c r="AM40" i="6"/>
  <c r="AM29" i="6"/>
  <c r="AM2" i="7"/>
  <c r="AM221" i="6"/>
  <c r="AM164" i="6"/>
  <c r="AM150" i="6"/>
  <c r="AM237" i="6"/>
  <c r="AM154" i="6"/>
  <c r="AM76" i="6"/>
  <c r="AM71" i="6"/>
  <c r="AM58" i="6"/>
  <c r="AM45" i="6"/>
  <c r="AM34" i="6"/>
  <c r="AM86" i="7"/>
  <c r="AM218" i="6"/>
  <c r="AM111" i="6"/>
  <c r="AM82" i="6"/>
  <c r="AM63" i="6"/>
  <c r="AM57" i="6"/>
  <c r="AM245" i="6"/>
  <c r="AM155" i="6"/>
  <c r="AM148" i="6"/>
  <c r="AM88" i="6"/>
  <c r="AM50" i="6"/>
  <c r="AM39" i="6"/>
  <c r="AM28" i="6"/>
  <c r="AM61" i="7"/>
  <c r="AM7" i="7"/>
  <c r="AM308" i="6"/>
  <c r="AM264" i="6"/>
  <c r="AM211" i="6"/>
  <c r="AM145" i="6"/>
  <c r="AM116" i="6"/>
  <c r="AM94" i="6"/>
  <c r="AM80" i="6"/>
  <c r="AM74" i="6"/>
  <c r="AM56" i="6"/>
  <c r="AM149" i="6"/>
  <c r="AM142" i="6"/>
  <c r="AM138" i="6"/>
  <c r="AM115" i="6"/>
  <c r="AM86" i="6"/>
  <c r="AM44" i="6"/>
  <c r="AM33" i="6"/>
  <c r="AM205" i="6"/>
  <c r="AM244" i="6"/>
  <c r="AM203" i="6"/>
  <c r="AM67" i="6"/>
  <c r="AM52" i="6"/>
  <c r="AM49" i="6"/>
  <c r="AM26" i="6"/>
  <c r="AM15" i="6"/>
  <c r="AM4" i="6"/>
  <c r="AM238" i="6"/>
  <c r="AM188" i="6"/>
  <c r="AM166" i="6"/>
  <c r="AM87" i="6"/>
  <c r="AM66" i="6"/>
  <c r="AM54" i="6"/>
  <c r="AM31" i="6"/>
  <c r="AM20" i="6"/>
  <c r="AM9" i="6"/>
  <c r="AM310" i="6"/>
  <c r="AM127" i="6"/>
  <c r="AM263" i="6"/>
  <c r="AM172" i="6"/>
  <c r="AM110" i="6"/>
  <c r="AM108" i="6"/>
  <c r="AM65" i="6"/>
  <c r="AM36" i="6"/>
  <c r="AM14" i="6"/>
  <c r="AM3" i="6"/>
  <c r="AM246" i="6"/>
  <c r="AM133" i="6"/>
  <c r="AM92" i="6"/>
  <c r="AM178" i="6"/>
  <c r="AM118" i="6"/>
  <c r="AM64" i="6"/>
  <c r="AM60" i="6"/>
  <c r="AM41" i="6"/>
  <c r="AM38" i="6"/>
  <c r="AM19" i="6"/>
  <c r="AM8" i="6"/>
  <c r="AM284" i="6"/>
  <c r="AM113" i="6"/>
  <c r="AM47" i="6"/>
  <c r="AM42" i="6"/>
  <c r="AM37" i="6"/>
  <c r="AM32" i="6"/>
  <c r="AM27" i="6"/>
  <c r="AM193" i="6"/>
  <c r="AM131" i="6"/>
  <c r="AM35" i="6"/>
  <c r="AM30" i="6"/>
  <c r="AM25" i="6"/>
  <c r="AM183" i="6"/>
  <c r="AM61" i="6"/>
  <c r="AM200" i="6"/>
  <c r="AM18" i="6"/>
  <c r="AM105" i="6"/>
  <c r="AM22" i="6"/>
  <c r="AM10" i="6"/>
  <c r="AM176" i="6"/>
  <c r="AM139" i="6"/>
  <c r="AM102" i="6"/>
  <c r="AM83" i="6"/>
  <c r="AM186" i="6"/>
  <c r="AM121" i="6"/>
  <c r="AM13" i="6"/>
  <c r="AM5" i="6"/>
  <c r="AM6" i="6"/>
  <c r="AM248" i="6"/>
  <c r="AM69" i="6"/>
  <c r="AM55" i="6"/>
  <c r="AM253" i="6"/>
  <c r="AM181" i="6"/>
  <c r="AM17" i="6"/>
  <c r="AM182" i="6"/>
  <c r="AM24" i="6"/>
  <c r="AM281" i="6"/>
  <c r="AM123" i="6"/>
  <c r="AM98" i="6"/>
  <c r="AM48" i="6"/>
  <c r="AM7" i="6"/>
  <c r="AM194" i="6"/>
  <c r="AM137" i="6"/>
  <c r="AM104" i="6"/>
  <c r="AM23" i="6"/>
  <c r="AM72" i="6"/>
  <c r="AM120" i="6"/>
  <c r="AM112" i="6"/>
  <c r="AM12" i="6"/>
  <c r="AM223" i="6"/>
  <c r="AM21" i="6"/>
  <c r="AM11" i="6"/>
  <c r="AM53" i="6"/>
  <c r="AM199" i="6"/>
  <c r="AM81" i="6"/>
  <c r="AM46" i="6"/>
  <c r="AM99" i="6"/>
  <c r="AM97" i="6"/>
  <c r="AM2" i="6"/>
  <c r="AM43" i="6"/>
  <c r="AM16" i="6"/>
  <c r="AM76" i="7"/>
  <c r="AM75" i="6"/>
  <c r="AM197" i="6"/>
  <c r="AM217" i="6"/>
  <c r="AM209" i="6"/>
  <c r="AM91" i="6"/>
  <c r="AM77" i="6"/>
  <c r="AM143" i="6"/>
  <c r="AM70" i="6"/>
  <c r="AM187" i="6"/>
  <c r="AM257" i="6"/>
  <c r="AM93" i="6"/>
  <c r="AM239" i="6"/>
  <c r="N20" i="8"/>
  <c r="N19" i="8"/>
  <c r="N20" i="7"/>
  <c r="N18" i="8"/>
  <c r="N21" i="8"/>
  <c r="N18" i="7"/>
  <c r="N21" i="7"/>
  <c r="N19" i="7"/>
  <c r="N52" i="6"/>
  <c r="N46" i="6"/>
  <c r="N51" i="6"/>
  <c r="N57" i="6"/>
  <c r="N45" i="6"/>
  <c r="N43" i="6"/>
  <c r="N48" i="6"/>
  <c r="N55" i="6"/>
  <c r="N50" i="6"/>
  <c r="N53" i="6"/>
  <c r="N42" i="6"/>
  <c r="N54" i="6"/>
  <c r="N47" i="6"/>
  <c r="N49" i="6"/>
  <c r="N56" i="6"/>
  <c r="N44" i="6"/>
  <c r="O29" i="7"/>
  <c r="O28" i="7"/>
  <c r="O27" i="7"/>
  <c r="O26" i="7"/>
  <c r="O28" i="8"/>
  <c r="O27" i="8"/>
  <c r="O26" i="8"/>
  <c r="O29" i="8"/>
  <c r="O80" i="6"/>
  <c r="O85" i="6"/>
  <c r="O74" i="6"/>
  <c r="O79" i="6"/>
  <c r="O84" i="6"/>
  <c r="O88" i="6"/>
  <c r="O86" i="6"/>
  <c r="O83" i="6"/>
  <c r="O81" i="6"/>
  <c r="O78" i="6"/>
  <c r="O75" i="6"/>
  <c r="O87" i="6"/>
  <c r="O77" i="6"/>
  <c r="O82" i="6"/>
  <c r="O89" i="6"/>
  <c r="O76" i="6"/>
  <c r="M37" i="8"/>
  <c r="M37" i="7"/>
  <c r="M36" i="8"/>
  <c r="M34" i="7"/>
  <c r="M35" i="8"/>
  <c r="M34" i="8"/>
  <c r="M36" i="7"/>
  <c r="M115" i="6"/>
  <c r="M120" i="6"/>
  <c r="M117" i="6"/>
  <c r="M108" i="6"/>
  <c r="M107" i="6"/>
  <c r="M114" i="6"/>
  <c r="M106" i="6"/>
  <c r="M116" i="6"/>
  <c r="M113" i="6"/>
  <c r="M121" i="6"/>
  <c r="M118" i="6"/>
  <c r="M111" i="6"/>
  <c r="M109" i="6"/>
  <c r="M112" i="6"/>
  <c r="M119" i="6"/>
  <c r="M110" i="6"/>
  <c r="M35" i="7"/>
  <c r="Q43" i="8"/>
  <c r="Q45" i="8"/>
  <c r="Q44" i="8"/>
  <c r="Q44" i="7"/>
  <c r="Q42" i="8"/>
  <c r="Q45" i="7"/>
  <c r="Q43" i="7"/>
  <c r="Q42" i="7"/>
  <c r="Q147" i="6"/>
  <c r="Q152" i="6"/>
  <c r="Q141" i="6"/>
  <c r="Q146" i="6"/>
  <c r="Q151" i="6"/>
  <c r="Q140" i="6"/>
  <c r="Q144" i="6"/>
  <c r="Q150" i="6"/>
  <c r="Q142" i="6"/>
  <c r="Q148" i="6"/>
  <c r="Q143" i="6"/>
  <c r="Q149" i="6"/>
  <c r="Q138" i="6"/>
  <c r="Q139" i="6"/>
  <c r="Q145" i="6"/>
  <c r="Q153" i="6"/>
  <c r="S52" i="7"/>
  <c r="S51" i="7"/>
  <c r="S51" i="8"/>
  <c r="S53" i="7"/>
  <c r="S53" i="8"/>
  <c r="S52" i="8"/>
  <c r="S50" i="7"/>
  <c r="S50" i="8"/>
  <c r="S185" i="6"/>
  <c r="S174" i="6"/>
  <c r="S179" i="6"/>
  <c r="S184" i="6"/>
  <c r="S173" i="6"/>
  <c r="S178" i="6"/>
  <c r="S172" i="6"/>
  <c r="S170" i="6"/>
  <c r="S182" i="6"/>
  <c r="S183" i="6"/>
  <c r="S176" i="6"/>
  <c r="S180" i="6"/>
  <c r="S177" i="6"/>
  <c r="S181" i="6"/>
  <c r="S175" i="6"/>
  <c r="S171" i="6"/>
  <c r="R207" i="6"/>
  <c r="R217" i="6"/>
  <c r="R212" i="6"/>
  <c r="R206" i="6"/>
  <c r="R214" i="6"/>
  <c r="R205" i="6"/>
  <c r="R211" i="6"/>
  <c r="R209" i="6"/>
  <c r="R202" i="6"/>
  <c r="R210" i="6"/>
  <c r="R215" i="6"/>
  <c r="R216" i="6"/>
  <c r="R213" i="6"/>
  <c r="R203" i="6"/>
  <c r="R208" i="6"/>
  <c r="R204" i="6"/>
  <c r="AD11" i="9"/>
  <c r="AN98" i="8"/>
  <c r="AN87" i="8"/>
  <c r="AD15" i="9"/>
  <c r="AN93" i="8"/>
  <c r="AN36" i="8"/>
  <c r="AN25" i="8"/>
  <c r="AN14" i="8"/>
  <c r="AN94" i="7"/>
  <c r="AN83" i="7"/>
  <c r="AN72" i="7"/>
  <c r="AN61" i="7"/>
  <c r="AN80" i="8"/>
  <c r="AD9" i="9"/>
  <c r="AD12" i="9"/>
  <c r="AN91" i="8"/>
  <c r="AN89" i="8"/>
  <c r="AN83" i="8"/>
  <c r="AN73" i="8"/>
  <c r="AN47" i="8"/>
  <c r="AN35" i="8"/>
  <c r="AN71" i="8"/>
  <c r="AN68" i="8"/>
  <c r="AN65" i="8"/>
  <c r="AN101" i="8"/>
  <c r="AN17" i="8"/>
  <c r="AD13" i="9"/>
  <c r="AN79" i="8"/>
  <c r="AN62" i="8"/>
  <c r="AN55" i="8"/>
  <c r="AN46" i="8"/>
  <c r="AD5" i="9"/>
  <c r="AN59" i="8"/>
  <c r="AD3" i="9"/>
  <c r="AD2" i="9"/>
  <c r="AN94" i="8"/>
  <c r="AN90" i="8"/>
  <c r="AN27" i="8"/>
  <c r="AN12" i="8"/>
  <c r="AN100" i="7"/>
  <c r="AN81" i="7"/>
  <c r="AN61" i="8"/>
  <c r="AN58" i="8"/>
  <c r="AN13" i="8"/>
  <c r="AN97" i="7"/>
  <c r="AN63" i="7"/>
  <c r="AN55" i="7"/>
  <c r="AN51" i="7"/>
  <c r="AN40" i="7"/>
  <c r="AN29" i="7"/>
  <c r="AN85" i="8"/>
  <c r="AN7" i="8"/>
  <c r="AN74" i="7"/>
  <c r="AN67" i="7"/>
  <c r="AN30" i="7"/>
  <c r="AN19" i="7"/>
  <c r="AN84" i="7"/>
  <c r="AN65" i="7"/>
  <c r="AD4" i="9"/>
  <c r="AN76" i="8"/>
  <c r="AN72" i="8"/>
  <c r="AN41" i="8"/>
  <c r="AD14" i="9"/>
  <c r="AN52" i="8"/>
  <c r="AN10" i="8"/>
  <c r="AN52" i="7"/>
  <c r="AN36" i="7"/>
  <c r="AN9" i="7"/>
  <c r="AN308" i="6"/>
  <c r="AN297" i="6"/>
  <c r="AN286" i="6"/>
  <c r="AN275" i="6"/>
  <c r="AN100" i="8"/>
  <c r="AN84" i="8"/>
  <c r="AN78" i="8"/>
  <c r="AN56" i="8"/>
  <c r="AN18" i="8"/>
  <c r="AN87" i="7"/>
  <c r="AN64" i="7"/>
  <c r="AN53" i="7"/>
  <c r="AN20" i="7"/>
  <c r="AN64" i="8"/>
  <c r="AN93" i="7"/>
  <c r="AN49" i="8"/>
  <c r="AN44" i="8"/>
  <c r="AN19" i="8"/>
  <c r="AN15" i="8"/>
  <c r="AD8" i="9"/>
  <c r="AN39" i="8"/>
  <c r="AN89" i="7"/>
  <c r="AN58" i="7"/>
  <c r="AN34" i="7"/>
  <c r="AN312" i="6"/>
  <c r="AN97" i="8"/>
  <c r="AN54" i="8"/>
  <c r="AN51" i="8"/>
  <c r="AN24" i="8"/>
  <c r="AN8" i="8"/>
  <c r="AN3" i="8"/>
  <c r="AN85" i="7"/>
  <c r="AN71" i="7"/>
  <c r="AN77" i="8"/>
  <c r="AN69" i="8"/>
  <c r="AN63" i="8"/>
  <c r="AN23" i="8"/>
  <c r="AN96" i="7"/>
  <c r="AN70" i="7"/>
  <c r="AN96" i="8"/>
  <c r="AN53" i="8"/>
  <c r="AN33" i="8"/>
  <c r="AN32" i="8"/>
  <c r="AN2" i="8"/>
  <c r="AN50" i="7"/>
  <c r="AN41" i="7"/>
  <c r="AN17" i="7"/>
  <c r="AN31" i="8"/>
  <c r="AN80" i="7"/>
  <c r="AN48" i="7"/>
  <c r="AN39" i="7"/>
  <c r="AN32" i="7"/>
  <c r="AN305" i="6"/>
  <c r="AN300" i="6"/>
  <c r="AN277" i="6"/>
  <c r="AN274" i="6"/>
  <c r="AN86" i="8"/>
  <c r="AN75" i="8"/>
  <c r="AD16" i="9"/>
  <c r="AN30" i="8"/>
  <c r="AN29" i="8"/>
  <c r="AN79" i="7"/>
  <c r="AN59" i="7"/>
  <c r="AN49" i="7"/>
  <c r="AN6" i="8"/>
  <c r="AN98" i="7"/>
  <c r="AN82" i="7"/>
  <c r="AN88" i="8"/>
  <c r="AN56" i="7"/>
  <c r="AN42" i="8"/>
  <c r="AN26" i="8"/>
  <c r="AN88" i="7"/>
  <c r="AN62" i="7"/>
  <c r="AD10" i="9"/>
  <c r="AD7" i="9"/>
  <c r="AN50" i="8"/>
  <c r="AN45" i="8"/>
  <c r="AN99" i="8"/>
  <c r="AN82" i="8"/>
  <c r="AN57" i="8"/>
  <c r="AN16" i="8"/>
  <c r="AN11" i="8"/>
  <c r="AN40" i="8"/>
  <c r="AN22" i="8"/>
  <c r="AN99" i="7"/>
  <c r="AD6" i="9"/>
  <c r="AN92" i="8"/>
  <c r="AN68" i="7"/>
  <c r="AN67" i="8"/>
  <c r="AN70" i="8"/>
  <c r="AN78" i="7"/>
  <c r="AN95" i="8"/>
  <c r="AN34" i="8"/>
  <c r="AN9" i="8"/>
  <c r="AN92" i="7"/>
  <c r="AN86" i="7"/>
  <c r="AN38" i="8"/>
  <c r="AN47" i="7"/>
  <c r="AN15" i="7"/>
  <c r="AN11" i="7"/>
  <c r="AN303" i="6"/>
  <c r="AN291" i="6"/>
  <c r="AN66" i="8"/>
  <c r="AN21" i="8"/>
  <c r="AN5" i="8"/>
  <c r="AN91" i="7"/>
  <c r="AN69" i="7"/>
  <c r="AN27" i="7"/>
  <c r="AN95" i="7"/>
  <c r="AN45" i="7"/>
  <c r="AN75" i="7"/>
  <c r="AN66" i="7"/>
  <c r="AN44" i="7"/>
  <c r="AN22" i="7"/>
  <c r="AN101" i="7"/>
  <c r="AN46" i="7"/>
  <c r="AN42" i="7"/>
  <c r="AN31" i="7"/>
  <c r="AN21" i="7"/>
  <c r="AN264" i="6"/>
  <c r="AN37" i="8"/>
  <c r="AN309" i="6"/>
  <c r="AN60" i="8"/>
  <c r="AN4" i="8"/>
  <c r="AN33" i="7"/>
  <c r="AN6" i="7"/>
  <c r="AN289" i="6"/>
  <c r="AN283" i="6"/>
  <c r="AN3" i="7"/>
  <c r="AN287" i="6"/>
  <c r="AN54" i="7"/>
  <c r="AN43" i="7"/>
  <c r="AN73" i="7"/>
  <c r="AN12" i="7"/>
  <c r="AN14" i="7"/>
  <c r="AN37" i="7"/>
  <c r="AN295" i="6"/>
  <c r="AN77" i="7"/>
  <c r="AN26" i="7"/>
  <c r="AN16" i="7"/>
  <c r="AN13" i="7"/>
  <c r="AN272" i="6"/>
  <c r="AN28" i="8"/>
  <c r="AN18" i="7"/>
  <c r="AN304" i="6"/>
  <c r="AN262" i="6"/>
  <c r="AN302" i="6"/>
  <c r="AN301" i="6"/>
  <c r="AN294" i="6"/>
  <c r="AN284" i="6"/>
  <c r="AN43" i="8"/>
  <c r="AN20" i="8"/>
  <c r="AN4" i="7"/>
  <c r="AN296" i="6"/>
  <c r="AN273" i="6"/>
  <c r="AN60" i="7"/>
  <c r="AN25" i="7"/>
  <c r="AN10" i="7"/>
  <c r="AN7" i="7"/>
  <c r="AN280" i="6"/>
  <c r="AN250" i="6"/>
  <c r="AN239" i="6"/>
  <c r="AN313" i="6"/>
  <c r="AN270" i="6"/>
  <c r="AN249" i="6"/>
  <c r="AN240" i="6"/>
  <c r="AN228" i="6"/>
  <c r="AN299" i="6"/>
  <c r="AN290" i="6"/>
  <c r="AN260" i="6"/>
  <c r="AN256" i="6"/>
  <c r="AN229" i="6"/>
  <c r="AN227" i="6"/>
  <c r="AN28" i="7"/>
  <c r="AN265" i="6"/>
  <c r="AN232" i="6"/>
  <c r="AN231" i="6"/>
  <c r="AN230" i="6"/>
  <c r="AN241" i="6"/>
  <c r="AN233" i="6"/>
  <c r="AN226" i="6"/>
  <c r="AN48" i="8"/>
  <c r="AN292" i="6"/>
  <c r="AN279" i="6"/>
  <c r="AN276" i="6"/>
  <c r="AN242" i="6"/>
  <c r="AN225" i="6"/>
  <c r="AN307" i="6"/>
  <c r="AN278" i="6"/>
  <c r="AN251" i="6"/>
  <c r="AN234" i="6"/>
  <c r="AN224" i="6"/>
  <c r="AN90" i="7"/>
  <c r="AN257" i="6"/>
  <c r="AN266" i="6"/>
  <c r="AN213" i="6"/>
  <c r="AN269" i="6"/>
  <c r="AN255" i="6"/>
  <c r="AN243" i="6"/>
  <c r="AN220" i="6"/>
  <c r="AN216" i="6"/>
  <c r="AN207" i="6"/>
  <c r="AN196" i="6"/>
  <c r="AN185" i="6"/>
  <c r="AN174" i="6"/>
  <c r="AN163" i="6"/>
  <c r="AN152" i="6"/>
  <c r="AN141" i="6"/>
  <c r="AN130" i="6"/>
  <c r="AN119" i="6"/>
  <c r="AN247" i="6"/>
  <c r="AN23" i="7"/>
  <c r="AN254" i="6"/>
  <c r="AN236" i="6"/>
  <c r="AN222" i="6"/>
  <c r="AN212" i="6"/>
  <c r="AN201" i="6"/>
  <c r="AN190" i="6"/>
  <c r="AN179" i="6"/>
  <c r="AN168" i="6"/>
  <c r="AN157" i="6"/>
  <c r="AN146" i="6"/>
  <c r="AN135" i="6"/>
  <c r="AN124" i="6"/>
  <c r="AN113" i="6"/>
  <c r="AN35" i="7"/>
  <c r="AN8" i="7"/>
  <c r="AN285" i="6"/>
  <c r="AN206" i="6"/>
  <c r="AN195" i="6"/>
  <c r="AN184" i="6"/>
  <c r="AN173" i="6"/>
  <c r="AN162" i="6"/>
  <c r="AN151" i="6"/>
  <c r="AN140" i="6"/>
  <c r="AN129" i="6"/>
  <c r="AN118" i="6"/>
  <c r="AN57" i="7"/>
  <c r="AN5" i="7"/>
  <c r="AN2" i="7"/>
  <c r="AN261" i="6"/>
  <c r="AN215" i="6"/>
  <c r="AN198" i="6"/>
  <c r="AN167" i="6"/>
  <c r="AN153" i="6"/>
  <c r="AN107" i="6"/>
  <c r="AN96" i="6"/>
  <c r="AN85" i="6"/>
  <c r="AN74" i="6"/>
  <c r="AN63" i="6"/>
  <c r="AN204" i="6"/>
  <c r="AN159" i="6"/>
  <c r="AN128" i="6"/>
  <c r="AN38" i="7"/>
  <c r="AN210" i="6"/>
  <c r="AN165" i="6"/>
  <c r="AN134" i="6"/>
  <c r="AN117" i="6"/>
  <c r="AN101" i="6"/>
  <c r="AN90" i="6"/>
  <c r="AN79" i="6"/>
  <c r="AN68" i="6"/>
  <c r="AN202" i="6"/>
  <c r="AN171" i="6"/>
  <c r="AN126" i="6"/>
  <c r="AN114" i="6"/>
  <c r="AN293" i="6"/>
  <c r="AN288" i="6"/>
  <c r="AN258" i="6"/>
  <c r="AN208" i="6"/>
  <c r="AN177" i="6"/>
  <c r="AN132" i="6"/>
  <c r="AN122" i="6"/>
  <c r="AN106" i="6"/>
  <c r="AN95" i="6"/>
  <c r="AN84" i="6"/>
  <c r="AN73" i="6"/>
  <c r="AN271" i="6"/>
  <c r="AN248" i="6"/>
  <c r="AN183" i="6"/>
  <c r="AN169" i="6"/>
  <c r="AN138" i="6"/>
  <c r="AN181" i="6"/>
  <c r="AN150" i="6"/>
  <c r="AN136" i="6"/>
  <c r="AN235" i="6"/>
  <c r="AN160" i="6"/>
  <c r="AN109" i="6"/>
  <c r="AN59" i="6"/>
  <c r="AN51" i="6"/>
  <c r="AN40" i="6"/>
  <c r="AN29" i="6"/>
  <c r="AN221" i="6"/>
  <c r="AN164" i="6"/>
  <c r="AN78" i="6"/>
  <c r="AN81" i="8"/>
  <c r="AN282" i="6"/>
  <c r="AN237" i="6"/>
  <c r="AN161" i="6"/>
  <c r="AN154" i="6"/>
  <c r="AN76" i="6"/>
  <c r="AN71" i="6"/>
  <c r="AN58" i="6"/>
  <c r="AN45" i="6"/>
  <c r="AN34" i="6"/>
  <c r="AN268" i="6"/>
  <c r="AN218" i="6"/>
  <c r="AN158" i="6"/>
  <c r="AN111" i="6"/>
  <c r="AN82" i="6"/>
  <c r="AN57" i="6"/>
  <c r="AN245" i="6"/>
  <c r="AN155" i="6"/>
  <c r="AN148" i="6"/>
  <c r="AN144" i="6"/>
  <c r="AN88" i="6"/>
  <c r="AN50" i="6"/>
  <c r="AN39" i="6"/>
  <c r="AN28" i="6"/>
  <c r="AN211" i="6"/>
  <c r="AN145" i="6"/>
  <c r="AN116" i="6"/>
  <c r="AN94" i="6"/>
  <c r="AN80" i="6"/>
  <c r="AN56" i="6"/>
  <c r="AN149" i="6"/>
  <c r="AN142" i="6"/>
  <c r="AN115" i="6"/>
  <c r="AN86" i="6"/>
  <c r="AN44" i="6"/>
  <c r="AN33" i="6"/>
  <c r="AN74" i="8"/>
  <c r="AN205" i="6"/>
  <c r="AN139" i="6"/>
  <c r="AN100" i="6"/>
  <c r="AN92" i="6"/>
  <c r="AN55" i="6"/>
  <c r="AN281" i="6"/>
  <c r="AN253" i="6"/>
  <c r="AN219" i="6"/>
  <c r="AN214" i="6"/>
  <c r="AN209" i="6"/>
  <c r="AN238" i="6"/>
  <c r="AN105" i="6"/>
  <c r="AN103" i="6"/>
  <c r="AN188" i="6"/>
  <c r="AN166" i="6"/>
  <c r="AN310" i="6"/>
  <c r="AN127" i="6"/>
  <c r="AN89" i="6"/>
  <c r="AN267" i="6"/>
  <c r="AN263" i="6"/>
  <c r="AN180" i="6"/>
  <c r="AN172" i="6"/>
  <c r="AN110" i="6"/>
  <c r="AN108" i="6"/>
  <c r="AN65" i="6"/>
  <c r="AN36" i="6"/>
  <c r="AN252" i="6"/>
  <c r="AN246" i="6"/>
  <c r="AN133" i="6"/>
  <c r="AN191" i="6"/>
  <c r="AN178" i="6"/>
  <c r="AN175" i="6"/>
  <c r="AN64" i="6"/>
  <c r="AN60" i="6"/>
  <c r="AN41" i="6"/>
  <c r="AN38" i="6"/>
  <c r="AN19" i="6"/>
  <c r="AN8" i="6"/>
  <c r="AN306" i="6"/>
  <c r="AN199" i="6"/>
  <c r="AN189" i="6"/>
  <c r="AN147" i="6"/>
  <c r="AN121" i="6"/>
  <c r="AN203" i="6"/>
  <c r="AN13" i="6"/>
  <c r="AN9" i="6"/>
  <c r="AN31" i="6"/>
  <c r="AN5" i="6"/>
  <c r="AN200" i="6"/>
  <c r="AN62" i="6"/>
  <c r="AN18" i="6"/>
  <c r="AN22" i="6"/>
  <c r="AN14" i="6"/>
  <c r="AN10" i="6"/>
  <c r="AN259" i="6"/>
  <c r="AN176" i="6"/>
  <c r="AN102" i="6"/>
  <c r="AN83" i="6"/>
  <c r="AN99" i="6"/>
  <c r="AN77" i="6"/>
  <c r="AN24" i="7"/>
  <c r="AN298" i="6"/>
  <c r="AN69" i="6"/>
  <c r="AN61" i="6"/>
  <c r="AN32" i="6"/>
  <c r="AN20" i="6"/>
  <c r="AN194" i="6"/>
  <c r="AN170" i="6"/>
  <c r="AN47" i="6"/>
  <c r="AN24" i="6"/>
  <c r="AN192" i="6"/>
  <c r="AN182" i="6"/>
  <c r="AN25" i="6"/>
  <c r="AN123" i="6"/>
  <c r="AN98" i="6"/>
  <c r="AN48" i="6"/>
  <c r="AN7" i="6"/>
  <c r="AN104" i="6"/>
  <c r="AN23" i="6"/>
  <c r="AN311" i="6"/>
  <c r="AN156" i="6"/>
  <c r="AN52" i="6"/>
  <c r="AN72" i="6"/>
  <c r="AN4" i="6"/>
  <c r="AN137" i="6"/>
  <c r="AN187" i="6"/>
  <c r="AN120" i="6"/>
  <c r="AN112" i="6"/>
  <c r="AN12" i="6"/>
  <c r="AN67" i="6"/>
  <c r="AN37" i="6"/>
  <c r="AN17" i="6"/>
  <c r="AN6" i="6"/>
  <c r="AN81" i="6"/>
  <c r="AN46" i="6"/>
  <c r="AN53" i="6"/>
  <c r="AN97" i="6"/>
  <c r="AN193" i="6"/>
  <c r="AN54" i="6"/>
  <c r="AN43" i="6"/>
  <c r="AN27" i="6"/>
  <c r="AN76" i="7"/>
  <c r="AN2" i="6"/>
  <c r="AN26" i="6"/>
  <c r="AN244" i="6"/>
  <c r="AN186" i="6"/>
  <c r="AN35" i="6"/>
  <c r="AN3" i="6"/>
  <c r="AN15" i="6"/>
  <c r="AN75" i="6"/>
  <c r="AN91" i="6"/>
  <c r="AN197" i="6"/>
  <c r="AN66" i="6"/>
  <c r="AN16" i="6"/>
  <c r="AN87" i="6"/>
  <c r="AN42" i="6"/>
  <c r="AN217" i="6"/>
  <c r="AN125" i="6"/>
  <c r="AN143" i="6"/>
  <c r="AN21" i="6"/>
  <c r="AN70" i="6"/>
  <c r="AN223" i="6"/>
  <c r="AN49" i="6"/>
  <c r="AN131" i="6"/>
  <c r="AN30" i="6"/>
  <c r="AN93" i="6"/>
  <c r="AN11" i="6"/>
  <c r="S19" i="8"/>
  <c r="S18" i="8"/>
  <c r="S21" i="8"/>
  <c r="S19" i="7"/>
  <c r="S20" i="8"/>
  <c r="S18" i="7"/>
  <c r="S20" i="7"/>
  <c r="S21" i="7"/>
  <c r="S57" i="6"/>
  <c r="S45" i="6"/>
  <c r="S56" i="6"/>
  <c r="S50" i="6"/>
  <c r="S55" i="6"/>
  <c r="S44" i="6"/>
  <c r="S49" i="6"/>
  <c r="S51" i="6"/>
  <c r="S48" i="6"/>
  <c r="S53" i="6"/>
  <c r="S54" i="6"/>
  <c r="S52" i="6"/>
  <c r="S47" i="6"/>
  <c r="S42" i="6"/>
  <c r="S46" i="6"/>
  <c r="S43" i="6"/>
  <c r="M231" i="6"/>
  <c r="M220" i="6"/>
  <c r="M230" i="6"/>
  <c r="M229" i="6"/>
  <c r="M228" i="6"/>
  <c r="M233" i="6"/>
  <c r="M232" i="6"/>
  <c r="M227" i="6"/>
  <c r="M222" i="6"/>
  <c r="M224" i="6"/>
  <c r="M226" i="6"/>
  <c r="M219" i="6"/>
  <c r="M221" i="6"/>
  <c r="M223" i="6"/>
  <c r="M218" i="6"/>
  <c r="M225" i="6"/>
  <c r="M265" i="6"/>
  <c r="M264" i="6"/>
  <c r="M263" i="6"/>
  <c r="M262" i="6"/>
  <c r="M253" i="6"/>
  <c r="M252" i="6"/>
  <c r="M256" i="6"/>
  <c r="M250" i="6"/>
  <c r="M259" i="6"/>
  <c r="M251" i="6"/>
  <c r="M257" i="6"/>
  <c r="M260" i="6"/>
  <c r="M258" i="6"/>
  <c r="M254" i="6"/>
  <c r="M261" i="6"/>
  <c r="M255" i="6"/>
  <c r="AX95" i="8"/>
  <c r="AX84" i="8"/>
  <c r="AN2" i="9"/>
  <c r="AX91" i="8"/>
  <c r="AN13" i="9"/>
  <c r="AX100" i="8"/>
  <c r="AX64" i="8"/>
  <c r="AX42" i="8"/>
  <c r="AX28" i="8"/>
  <c r="AX17" i="8"/>
  <c r="AX91" i="7"/>
  <c r="AX80" i="7"/>
  <c r="AX69" i="7"/>
  <c r="AX58" i="7"/>
  <c r="AN16" i="9"/>
  <c r="AX98" i="8"/>
  <c r="AN7" i="9"/>
  <c r="AN3" i="9"/>
  <c r="AX81" i="8"/>
  <c r="AN15" i="9"/>
  <c r="AX96" i="8"/>
  <c r="AX101" i="8"/>
  <c r="AX57" i="8"/>
  <c r="AX54" i="8"/>
  <c r="AX27" i="8"/>
  <c r="AX94" i="8"/>
  <c r="AX43" i="8"/>
  <c r="AX38" i="8"/>
  <c r="AX93" i="8"/>
  <c r="AX82" i="8"/>
  <c r="AX78" i="8"/>
  <c r="AN5" i="9"/>
  <c r="AN4" i="9"/>
  <c r="AX97" i="8"/>
  <c r="AX85" i="8"/>
  <c r="AX51" i="8"/>
  <c r="AX56" i="8"/>
  <c r="AX94" i="7"/>
  <c r="AX60" i="7"/>
  <c r="AN12" i="9"/>
  <c r="AX60" i="8"/>
  <c r="AX25" i="8"/>
  <c r="AX76" i="7"/>
  <c r="AX57" i="7"/>
  <c r="AX43" i="7"/>
  <c r="AX32" i="7"/>
  <c r="AN14" i="9"/>
  <c r="AN6" i="9"/>
  <c r="AX41" i="8"/>
  <c r="AX14" i="8"/>
  <c r="AX82" i="7"/>
  <c r="AX63" i="7"/>
  <c r="AX22" i="7"/>
  <c r="AX90" i="8"/>
  <c r="AX89" i="8"/>
  <c r="AX79" i="8"/>
  <c r="AX30" i="8"/>
  <c r="AX66" i="7"/>
  <c r="AN10" i="9"/>
  <c r="AX68" i="8"/>
  <c r="AX5" i="8"/>
  <c r="AX96" i="7"/>
  <c r="AX59" i="7"/>
  <c r="AX5" i="7"/>
  <c r="AX305" i="6"/>
  <c r="AX294" i="6"/>
  <c r="AX283" i="6"/>
  <c r="AX272" i="6"/>
  <c r="AX258" i="6"/>
  <c r="AX80" i="8"/>
  <c r="AX65" i="8"/>
  <c r="AX45" i="8"/>
  <c r="AX26" i="8"/>
  <c r="AX24" i="8"/>
  <c r="AX100" i="7"/>
  <c r="AX77" i="7"/>
  <c r="AX42" i="7"/>
  <c r="AN9" i="9"/>
  <c r="AX87" i="8"/>
  <c r="AX76" i="8"/>
  <c r="AX48" i="8"/>
  <c r="AX23" i="8"/>
  <c r="AX95" i="7"/>
  <c r="AX72" i="8"/>
  <c r="AX73" i="8"/>
  <c r="AX49" i="8"/>
  <c r="AX20" i="8"/>
  <c r="AX2" i="8"/>
  <c r="AX84" i="7"/>
  <c r="AX70" i="7"/>
  <c r="AX24" i="7"/>
  <c r="AN11" i="9"/>
  <c r="AX11" i="8"/>
  <c r="AX92" i="7"/>
  <c r="AX52" i="7"/>
  <c r="AX46" i="7"/>
  <c r="AX28" i="7"/>
  <c r="AX44" i="8"/>
  <c r="AX35" i="8"/>
  <c r="AX22" i="8"/>
  <c r="AX10" i="8"/>
  <c r="AX99" i="7"/>
  <c r="AX86" i="8"/>
  <c r="AX19" i="8"/>
  <c r="AX54" i="7"/>
  <c r="AX278" i="6"/>
  <c r="AX69" i="8"/>
  <c r="AX29" i="8"/>
  <c r="AX90" i="7"/>
  <c r="AX78" i="7"/>
  <c r="AX64" i="7"/>
  <c r="AX19" i="7"/>
  <c r="AX14" i="7"/>
  <c r="AX313" i="6"/>
  <c r="AX281" i="6"/>
  <c r="AX63" i="8"/>
  <c r="AX9" i="8"/>
  <c r="AX101" i="7"/>
  <c r="AX87" i="7"/>
  <c r="AX8" i="8"/>
  <c r="AX39" i="7"/>
  <c r="AX33" i="8"/>
  <c r="AX32" i="8"/>
  <c r="AX88" i="7"/>
  <c r="AX71" i="7"/>
  <c r="AX68" i="7"/>
  <c r="AX99" i="8"/>
  <c r="AX50" i="8"/>
  <c r="AX75" i="8"/>
  <c r="AX16" i="8"/>
  <c r="AX65" i="7"/>
  <c r="AX55" i="8"/>
  <c r="AX37" i="8"/>
  <c r="AX34" i="8"/>
  <c r="AX7" i="8"/>
  <c r="AX74" i="8"/>
  <c r="AX53" i="8"/>
  <c r="AX89" i="7"/>
  <c r="AX67" i="7"/>
  <c r="AX48" i="7"/>
  <c r="AX30" i="7"/>
  <c r="AX27" i="7"/>
  <c r="AX40" i="8"/>
  <c r="AX61" i="8"/>
  <c r="AX59" i="8"/>
  <c r="AX67" i="8"/>
  <c r="AX97" i="7"/>
  <c r="AX56" i="7"/>
  <c r="AX49" i="7"/>
  <c r="AX4" i="8"/>
  <c r="AX88" i="8"/>
  <c r="AX70" i="8"/>
  <c r="AX36" i="8"/>
  <c r="AX86" i="7"/>
  <c r="AX58" i="8"/>
  <c r="AX46" i="8"/>
  <c r="AX74" i="7"/>
  <c r="AX79" i="7"/>
  <c r="AX66" i="8"/>
  <c r="AX92" i="8"/>
  <c r="AX72" i="7"/>
  <c r="AX44" i="7"/>
  <c r="AX38" i="7"/>
  <c r="AX26" i="7"/>
  <c r="AX8" i="7"/>
  <c r="AX6" i="7"/>
  <c r="AX296" i="6"/>
  <c r="AX290" i="6"/>
  <c r="AX75" i="7"/>
  <c r="AX18" i="7"/>
  <c r="AX85" i="7"/>
  <c r="AX33" i="7"/>
  <c r="AN8" i="9"/>
  <c r="AX62" i="8"/>
  <c r="AX47" i="8"/>
  <c r="AX18" i="8"/>
  <c r="AX311" i="6"/>
  <c r="AX83" i="7"/>
  <c r="AX29" i="7"/>
  <c r="AX55" i="7"/>
  <c r="AX41" i="7"/>
  <c r="AX37" i="7"/>
  <c r="AX93" i="7"/>
  <c r="AX47" i="7"/>
  <c r="AX308" i="6"/>
  <c r="AX71" i="8"/>
  <c r="AX98" i="7"/>
  <c r="AX36" i="7"/>
  <c r="AX34" i="7"/>
  <c r="AX2" i="7"/>
  <c r="AX301" i="6"/>
  <c r="AX73" i="7"/>
  <c r="AX61" i="7"/>
  <c r="AX51" i="7"/>
  <c r="AX35" i="7"/>
  <c r="AX298" i="6"/>
  <c r="AX306" i="6"/>
  <c r="AX303" i="6"/>
  <c r="AX302" i="6"/>
  <c r="AX15" i="8"/>
  <c r="AX62" i="7"/>
  <c r="AX50" i="7"/>
  <c r="AX307" i="6"/>
  <c r="AX300" i="6"/>
  <c r="AX277" i="6"/>
  <c r="AX274" i="6"/>
  <c r="AX77" i="8"/>
  <c r="AX23" i="7"/>
  <c r="AX293" i="6"/>
  <c r="AX282" i="6"/>
  <c r="AX39" i="8"/>
  <c r="AX299" i="6"/>
  <c r="AX259" i="6"/>
  <c r="AX40" i="7"/>
  <c r="AX309" i="6"/>
  <c r="AX310" i="6"/>
  <c r="AX25" i="7"/>
  <c r="AX10" i="7"/>
  <c r="AX297" i="6"/>
  <c r="AX6" i="8"/>
  <c r="AX270" i="6"/>
  <c r="AX257" i="6"/>
  <c r="AX45" i="7"/>
  <c r="AX291" i="6"/>
  <c r="AX253" i="6"/>
  <c r="AX242" i="6"/>
  <c r="AX292" i="6"/>
  <c r="AX279" i="6"/>
  <c r="AX235" i="6"/>
  <c r="AX53" i="7"/>
  <c r="AX222" i="6"/>
  <c r="AX11" i="7"/>
  <c r="AX4" i="7"/>
  <c r="AX280" i="6"/>
  <c r="AX244" i="6"/>
  <c r="AX236" i="6"/>
  <c r="AX221" i="6"/>
  <c r="AX13" i="7"/>
  <c r="AX264" i="6"/>
  <c r="AX284" i="6"/>
  <c r="AX245" i="6"/>
  <c r="AX220" i="6"/>
  <c r="AX9" i="7"/>
  <c r="AX254" i="6"/>
  <c r="AX237" i="6"/>
  <c r="AX3" i="8"/>
  <c r="AX261" i="6"/>
  <c r="AX246" i="6"/>
  <c r="AX219" i="6"/>
  <c r="AX13" i="8"/>
  <c r="AX255" i="6"/>
  <c r="AX304" i="6"/>
  <c r="AX285" i="6"/>
  <c r="AX243" i="6"/>
  <c r="AX239" i="6"/>
  <c r="AX217" i="6"/>
  <c r="AX267" i="6"/>
  <c r="AX232" i="6"/>
  <c r="AX210" i="6"/>
  <c r="AX199" i="6"/>
  <c r="AX188" i="6"/>
  <c r="AX177" i="6"/>
  <c r="AX166" i="6"/>
  <c r="AX155" i="6"/>
  <c r="AX144" i="6"/>
  <c r="AX133" i="6"/>
  <c r="AX122" i="6"/>
  <c r="AX229" i="6"/>
  <c r="AX16" i="7"/>
  <c r="AX263" i="6"/>
  <c r="AX224" i="6"/>
  <c r="AX204" i="6"/>
  <c r="AX193" i="6"/>
  <c r="AX182" i="6"/>
  <c r="AX171" i="6"/>
  <c r="AX160" i="6"/>
  <c r="AX149" i="6"/>
  <c r="AX138" i="6"/>
  <c r="AX127" i="6"/>
  <c r="AX116" i="6"/>
  <c r="AX31" i="7"/>
  <c r="AX262" i="6"/>
  <c r="AX249" i="6"/>
  <c r="AX288" i="6"/>
  <c r="AX238" i="6"/>
  <c r="AX226" i="6"/>
  <c r="AX209" i="6"/>
  <c r="AX198" i="6"/>
  <c r="AX187" i="6"/>
  <c r="AX176" i="6"/>
  <c r="AX165" i="6"/>
  <c r="AX154" i="6"/>
  <c r="AX143" i="6"/>
  <c r="AX132" i="6"/>
  <c r="AX121" i="6"/>
  <c r="AX110" i="6"/>
  <c r="AX7" i="7"/>
  <c r="AX312" i="6"/>
  <c r="AX269" i="6"/>
  <c r="AX241" i="6"/>
  <c r="AX185" i="6"/>
  <c r="AX140" i="6"/>
  <c r="AX120" i="6"/>
  <c r="AX99" i="6"/>
  <c r="AX88" i="6"/>
  <c r="AX77" i="6"/>
  <c r="AX66" i="6"/>
  <c r="AX55" i="6"/>
  <c r="AX12" i="7"/>
  <c r="AX191" i="6"/>
  <c r="AX146" i="6"/>
  <c r="AX271" i="6"/>
  <c r="AX197" i="6"/>
  <c r="AX183" i="6"/>
  <c r="AX152" i="6"/>
  <c r="AX104" i="6"/>
  <c r="AX93" i="6"/>
  <c r="AX82" i="6"/>
  <c r="AX71" i="6"/>
  <c r="AX268" i="6"/>
  <c r="AX203" i="6"/>
  <c r="AX189" i="6"/>
  <c r="AX158" i="6"/>
  <c r="AX111" i="6"/>
  <c r="AX52" i="8"/>
  <c r="AX20" i="7"/>
  <c r="AX273" i="6"/>
  <c r="AX233" i="6"/>
  <c r="AX218" i="6"/>
  <c r="AX195" i="6"/>
  <c r="AX164" i="6"/>
  <c r="AX150" i="6"/>
  <c r="AX109" i="6"/>
  <c r="AX98" i="6"/>
  <c r="AX87" i="6"/>
  <c r="AX76" i="6"/>
  <c r="AX21" i="8"/>
  <c r="AX234" i="6"/>
  <c r="AX201" i="6"/>
  <c r="AX170" i="6"/>
  <c r="AX156" i="6"/>
  <c r="AX125" i="6"/>
  <c r="AX83" i="8"/>
  <c r="AX15" i="7"/>
  <c r="AX250" i="6"/>
  <c r="AX216" i="6"/>
  <c r="AX168" i="6"/>
  <c r="AX137" i="6"/>
  <c r="AX3" i="7"/>
  <c r="AX227" i="6"/>
  <c r="AX151" i="6"/>
  <c r="AX96" i="6"/>
  <c r="AX54" i="6"/>
  <c r="AX43" i="6"/>
  <c r="AX32" i="6"/>
  <c r="AX213" i="6"/>
  <c r="AX148" i="6"/>
  <c r="AX141" i="6"/>
  <c r="AX117" i="6"/>
  <c r="AX102" i="6"/>
  <c r="AX260" i="6"/>
  <c r="AX211" i="6"/>
  <c r="AX207" i="6"/>
  <c r="AX145" i="6"/>
  <c r="AX108" i="6"/>
  <c r="AX94" i="6"/>
  <c r="AX69" i="6"/>
  <c r="AX48" i="6"/>
  <c r="AX37" i="6"/>
  <c r="AX26" i="6"/>
  <c r="AX21" i="7"/>
  <c r="AX215" i="6"/>
  <c r="AX208" i="6"/>
  <c r="AX142" i="6"/>
  <c r="AX135" i="6"/>
  <c r="AX131" i="6"/>
  <c r="AX115" i="6"/>
  <c r="AX100" i="6"/>
  <c r="AX72" i="6"/>
  <c r="AX65" i="6"/>
  <c r="AX31" i="8"/>
  <c r="AX289" i="6"/>
  <c r="AX240" i="6"/>
  <c r="AX230" i="6"/>
  <c r="AX212" i="6"/>
  <c r="AX205" i="6"/>
  <c r="AX139" i="6"/>
  <c r="AX106" i="6"/>
  <c r="AX75" i="6"/>
  <c r="AX53" i="6"/>
  <c r="AX42" i="6"/>
  <c r="AX31" i="6"/>
  <c r="AX214" i="6"/>
  <c r="AX202" i="6"/>
  <c r="AX136" i="6"/>
  <c r="AX129" i="6"/>
  <c r="AX114" i="6"/>
  <c r="AX248" i="6"/>
  <c r="AX206" i="6"/>
  <c r="AX192" i="6"/>
  <c r="AX126" i="6"/>
  <c r="AX81" i="6"/>
  <c r="AX47" i="6"/>
  <c r="AX36" i="6"/>
  <c r="AX25" i="6"/>
  <c r="AX81" i="7"/>
  <c r="AX228" i="6"/>
  <c r="AX225" i="6"/>
  <c r="AX196" i="6"/>
  <c r="AX130" i="6"/>
  <c r="AX113" i="6"/>
  <c r="AX79" i="6"/>
  <c r="AX200" i="6"/>
  <c r="AX186" i="6"/>
  <c r="AX286" i="6"/>
  <c r="AX172" i="6"/>
  <c r="AX252" i="6"/>
  <c r="AX175" i="6"/>
  <c r="AX17" i="7"/>
  <c r="AX178" i="6"/>
  <c r="AX118" i="6"/>
  <c r="AX90" i="6"/>
  <c r="AX181" i="6"/>
  <c r="AX92" i="6"/>
  <c r="AX73" i="6"/>
  <c r="AX64" i="6"/>
  <c r="AX59" i="6"/>
  <c r="AX38" i="6"/>
  <c r="AX35" i="6"/>
  <c r="AX147" i="6"/>
  <c r="AX23" i="6"/>
  <c r="AX184" i="6"/>
  <c r="AX97" i="6"/>
  <c r="AX95" i="6"/>
  <c r="AX74" i="6"/>
  <c r="AX70" i="6"/>
  <c r="AX63" i="6"/>
  <c r="AX56" i="6"/>
  <c r="AX40" i="6"/>
  <c r="AX22" i="6"/>
  <c r="AX11" i="6"/>
  <c r="AX266" i="6"/>
  <c r="AX251" i="6"/>
  <c r="AX194" i="6"/>
  <c r="AX161" i="6"/>
  <c r="AX153" i="6"/>
  <c r="AX295" i="6"/>
  <c r="AX276" i="6"/>
  <c r="AX190" i="6"/>
  <c r="AX167" i="6"/>
  <c r="AX89" i="6"/>
  <c r="AX24" i="6"/>
  <c r="AX19" i="6"/>
  <c r="AX80" i="6"/>
  <c r="AX20" i="6"/>
  <c r="AX16" i="6"/>
  <c r="AX162" i="6"/>
  <c r="AX2" i="6"/>
  <c r="AX180" i="6"/>
  <c r="AX124" i="6"/>
  <c r="AX112" i="6"/>
  <c r="AX265" i="6"/>
  <c r="AX169" i="6"/>
  <c r="AX128" i="6"/>
  <c r="AX103" i="6"/>
  <c r="AX3" i="6"/>
  <c r="AX123" i="6"/>
  <c r="AX52" i="6"/>
  <c r="AX29" i="6"/>
  <c r="AX179" i="6"/>
  <c r="AX17" i="6"/>
  <c r="AX12" i="6"/>
  <c r="AX157" i="6"/>
  <c r="AX62" i="6"/>
  <c r="AX44" i="6"/>
  <c r="AX14" i="6"/>
  <c r="AX9" i="6"/>
  <c r="AX78" i="6"/>
  <c r="AX247" i="6"/>
  <c r="AX86" i="6"/>
  <c r="AX84" i="6"/>
  <c r="AX67" i="6"/>
  <c r="AX45" i="6"/>
  <c r="AX41" i="6"/>
  <c r="AX33" i="6"/>
  <c r="AX60" i="6"/>
  <c r="AX12" i="8"/>
  <c r="AX163" i="6"/>
  <c r="AX159" i="6"/>
  <c r="AX6" i="6"/>
  <c r="AX49" i="6"/>
  <c r="AX134" i="6"/>
  <c r="AX30" i="6"/>
  <c r="AX34" i="6"/>
  <c r="AX21" i="6"/>
  <c r="AX105" i="6"/>
  <c r="AX10" i="6"/>
  <c r="AX8" i="6"/>
  <c r="AX5" i="6"/>
  <c r="AX107" i="6"/>
  <c r="AX83" i="6"/>
  <c r="AX256" i="6"/>
  <c r="AX27" i="6"/>
  <c r="AX173" i="6"/>
  <c r="AX13" i="6"/>
  <c r="AX275" i="6"/>
  <c r="AX91" i="6"/>
  <c r="AX50" i="6"/>
  <c r="AX231" i="6"/>
  <c r="AX51" i="6"/>
  <c r="AX15" i="6"/>
  <c r="AX61" i="6"/>
  <c r="AX4" i="6"/>
  <c r="AX68" i="6"/>
  <c r="AX287" i="6"/>
  <c r="AX39" i="6"/>
  <c r="AX58" i="6"/>
  <c r="AX28" i="6"/>
  <c r="AX174" i="6"/>
  <c r="AX85" i="6"/>
  <c r="AX57" i="6"/>
  <c r="AX18" i="6"/>
  <c r="AX7" i="6"/>
  <c r="AX46" i="6"/>
  <c r="AX223" i="6"/>
  <c r="AX119" i="6"/>
  <c r="AX101" i="6"/>
  <c r="P14" i="7"/>
  <c r="P15" i="8"/>
  <c r="P16" i="8"/>
  <c r="P15" i="7"/>
  <c r="P17" i="8"/>
  <c r="P14" i="8"/>
  <c r="P17" i="7"/>
  <c r="P16" i="7"/>
  <c r="P35" i="6"/>
  <c r="P40" i="6"/>
  <c r="P29" i="6"/>
  <c r="P34" i="6"/>
  <c r="P39" i="6"/>
  <c r="P28" i="6"/>
  <c r="P30" i="6"/>
  <c r="P27" i="6"/>
  <c r="P31" i="6"/>
  <c r="P32" i="6"/>
  <c r="P36" i="6"/>
  <c r="P37" i="6"/>
  <c r="P41" i="6"/>
  <c r="P38" i="6"/>
  <c r="P33" i="6"/>
  <c r="P26" i="6"/>
  <c r="AW4" i="9"/>
  <c r="R32" i="8"/>
  <c r="R33" i="8"/>
  <c r="R30" i="7"/>
  <c r="R31" i="8"/>
  <c r="R31" i="7"/>
  <c r="R30" i="8"/>
  <c r="R33" i="7"/>
  <c r="R96" i="6"/>
  <c r="R32" i="7"/>
  <c r="R101" i="6"/>
  <c r="R90" i="6"/>
  <c r="R95" i="6"/>
  <c r="R100" i="6"/>
  <c r="R92" i="6"/>
  <c r="R98" i="6"/>
  <c r="R104" i="6"/>
  <c r="R102" i="6"/>
  <c r="R99" i="6"/>
  <c r="R97" i="6"/>
  <c r="R105" i="6"/>
  <c r="R91" i="6"/>
  <c r="R93" i="6"/>
  <c r="R103" i="6"/>
  <c r="R94" i="6"/>
  <c r="N43" i="8"/>
  <c r="N45" i="8"/>
  <c r="N45" i="7"/>
  <c r="N42" i="8"/>
  <c r="N44" i="8"/>
  <c r="N44" i="7"/>
  <c r="N43" i="7"/>
  <c r="N153" i="6"/>
  <c r="N142" i="6"/>
  <c r="N147" i="6"/>
  <c r="N152" i="6"/>
  <c r="N141" i="6"/>
  <c r="N140" i="6"/>
  <c r="N146" i="6"/>
  <c r="N138" i="6"/>
  <c r="N144" i="6"/>
  <c r="N150" i="6"/>
  <c r="N151" i="6"/>
  <c r="N148" i="6"/>
  <c r="N145" i="6"/>
  <c r="N42" i="7"/>
  <c r="N149" i="6"/>
  <c r="N139" i="6"/>
  <c r="N143" i="6"/>
  <c r="L192" i="6"/>
  <c r="L197" i="6"/>
  <c r="L186" i="6"/>
  <c r="L191" i="6"/>
  <c r="L189" i="6"/>
  <c r="L201" i="6"/>
  <c r="L187" i="6"/>
  <c r="L199" i="6"/>
  <c r="L195" i="6"/>
  <c r="L196" i="6"/>
  <c r="L200" i="6"/>
  <c r="L193" i="6"/>
  <c r="L190" i="6"/>
  <c r="L194" i="6"/>
  <c r="L198" i="6"/>
  <c r="L188" i="6"/>
  <c r="S213" i="6"/>
  <c r="S207" i="6"/>
  <c r="S217" i="6"/>
  <c r="S212" i="6"/>
  <c r="S206" i="6"/>
  <c r="S211" i="6"/>
  <c r="S214" i="6"/>
  <c r="S205" i="6"/>
  <c r="S216" i="6"/>
  <c r="S203" i="6"/>
  <c r="S202" i="6"/>
  <c r="S210" i="6"/>
  <c r="S215" i="6"/>
  <c r="S209" i="6"/>
  <c r="S204" i="6"/>
  <c r="S208" i="6"/>
  <c r="P261" i="6"/>
  <c r="P250" i="6"/>
  <c r="P264" i="6"/>
  <c r="P259" i="6"/>
  <c r="P251" i="6"/>
  <c r="P257" i="6"/>
  <c r="P265" i="6"/>
  <c r="P252" i="6"/>
  <c r="P262" i="6"/>
  <c r="P260" i="6"/>
  <c r="P263" i="6"/>
  <c r="P258" i="6"/>
  <c r="P253" i="6"/>
  <c r="P254" i="6"/>
  <c r="P256" i="6"/>
  <c r="P255" i="6"/>
  <c r="AI16" i="9"/>
  <c r="AI9" i="9"/>
  <c r="AS94" i="8"/>
  <c r="AS72" i="8"/>
  <c r="AS61" i="8"/>
  <c r="AS45" i="8"/>
  <c r="AI12" i="9"/>
  <c r="AS67" i="8"/>
  <c r="AS6" i="8"/>
  <c r="AS100" i="8"/>
  <c r="AS88" i="8"/>
  <c r="AI13" i="9"/>
  <c r="AS99" i="8"/>
  <c r="AS97" i="8"/>
  <c r="AS95" i="8"/>
  <c r="AS91" i="8"/>
  <c r="AS68" i="8"/>
  <c r="AS65" i="8"/>
  <c r="AI7" i="9"/>
  <c r="AS101" i="8"/>
  <c r="AS57" i="8"/>
  <c r="AS54" i="8"/>
  <c r="AS30" i="8"/>
  <c r="AI14" i="9"/>
  <c r="AS71" i="8"/>
  <c r="AS69" i="8"/>
  <c r="AS47" i="8"/>
  <c r="AS42" i="8"/>
  <c r="AI6" i="9"/>
  <c r="AS98" i="8"/>
  <c r="AS86" i="8"/>
  <c r="AS28" i="8"/>
  <c r="AS96" i="8"/>
  <c r="AS76" i="8"/>
  <c r="AS58" i="8"/>
  <c r="AS55" i="8"/>
  <c r="AS97" i="7"/>
  <c r="AS78" i="7"/>
  <c r="AS63" i="7"/>
  <c r="AS55" i="7"/>
  <c r="AS51" i="7"/>
  <c r="AS40" i="7"/>
  <c r="AS29" i="7"/>
  <c r="AI11" i="9"/>
  <c r="AS34" i="8"/>
  <c r="AS94" i="7"/>
  <c r="AS79" i="7"/>
  <c r="AS60" i="7"/>
  <c r="AI5" i="9"/>
  <c r="AS59" i="8"/>
  <c r="AS29" i="8"/>
  <c r="AS26" i="8"/>
  <c r="AS23" i="8"/>
  <c r="AS5" i="8"/>
  <c r="AS65" i="7"/>
  <c r="AS44" i="7"/>
  <c r="AS43" i="7"/>
  <c r="AS42" i="7"/>
  <c r="AS41" i="7"/>
  <c r="AS75" i="8"/>
  <c r="AS49" i="8"/>
  <c r="AS43" i="8"/>
  <c r="AS41" i="8"/>
  <c r="AS39" i="8"/>
  <c r="AS14" i="8"/>
  <c r="AS75" i="7"/>
  <c r="AS68" i="7"/>
  <c r="AS56" i="7"/>
  <c r="AS70" i="8"/>
  <c r="AS15" i="8"/>
  <c r="AS87" i="7"/>
  <c r="AS71" i="7"/>
  <c r="AS64" i="7"/>
  <c r="AS38" i="7"/>
  <c r="AS20" i="7"/>
  <c r="AS37" i="8"/>
  <c r="AS7" i="8"/>
  <c r="AS89" i="7"/>
  <c r="AS82" i="7"/>
  <c r="AS59" i="7"/>
  <c r="AS49" i="7"/>
  <c r="AS17" i="7"/>
  <c r="AS5" i="7"/>
  <c r="AS305" i="6"/>
  <c r="AS294" i="6"/>
  <c r="AS283" i="6"/>
  <c r="AS272" i="6"/>
  <c r="AS258" i="6"/>
  <c r="AS80" i="8"/>
  <c r="AS38" i="8"/>
  <c r="AS13" i="8"/>
  <c r="AS99" i="7"/>
  <c r="AS10" i="8"/>
  <c r="AS4" i="8"/>
  <c r="AS77" i="8"/>
  <c r="AS101" i="7"/>
  <c r="AS93" i="7"/>
  <c r="AS74" i="7"/>
  <c r="AS31" i="7"/>
  <c r="AS22" i="7"/>
  <c r="AS304" i="6"/>
  <c r="AS92" i="8"/>
  <c r="AS87" i="8"/>
  <c r="AS82" i="8"/>
  <c r="AS73" i="8"/>
  <c r="AS32" i="8"/>
  <c r="AS12" i="8"/>
  <c r="AS77" i="7"/>
  <c r="AI4" i="9"/>
  <c r="AS74" i="8"/>
  <c r="AS46" i="8"/>
  <c r="AS17" i="8"/>
  <c r="AS92" i="7"/>
  <c r="AS46" i="7"/>
  <c r="AS289" i="6"/>
  <c r="AS286" i="6"/>
  <c r="AS90" i="8"/>
  <c r="AS91" i="7"/>
  <c r="AS18" i="7"/>
  <c r="AS13" i="7"/>
  <c r="AS3" i="7"/>
  <c r="AS303" i="6"/>
  <c r="AS266" i="6"/>
  <c r="AI8" i="9"/>
  <c r="AS81" i="7"/>
  <c r="AS62" i="8"/>
  <c r="AS100" i="7"/>
  <c r="AS86" i="7"/>
  <c r="AS85" i="7"/>
  <c r="AS32" i="7"/>
  <c r="AS8" i="8"/>
  <c r="AS81" i="8"/>
  <c r="AS79" i="8"/>
  <c r="AS33" i="8"/>
  <c r="AS67" i="7"/>
  <c r="AS22" i="8"/>
  <c r="AS3" i="8"/>
  <c r="AS63" i="8"/>
  <c r="AS66" i="7"/>
  <c r="AS37" i="7"/>
  <c r="AS53" i="8"/>
  <c r="AS48" i="8"/>
  <c r="AS93" i="8"/>
  <c r="AS31" i="8"/>
  <c r="AS90" i="7"/>
  <c r="AS84" i="8"/>
  <c r="AS50" i="7"/>
  <c r="AI15" i="9"/>
  <c r="AS19" i="8"/>
  <c r="AS16" i="8"/>
  <c r="AI3" i="9"/>
  <c r="AS11" i="8"/>
  <c r="AS64" i="8"/>
  <c r="AS40" i="8"/>
  <c r="AS27" i="8"/>
  <c r="AS9" i="8"/>
  <c r="AS36" i="8"/>
  <c r="AS95" i="7"/>
  <c r="AS70" i="7"/>
  <c r="AI2" i="9"/>
  <c r="AS83" i="8"/>
  <c r="AS66" i="8"/>
  <c r="AS25" i="8"/>
  <c r="AS21" i="8"/>
  <c r="AS80" i="7"/>
  <c r="AS69" i="7"/>
  <c r="AS62" i="7"/>
  <c r="AS58" i="7"/>
  <c r="AS52" i="7"/>
  <c r="AS45" i="7"/>
  <c r="AS54" i="7"/>
  <c r="AS30" i="7"/>
  <c r="AS24" i="7"/>
  <c r="AS44" i="8"/>
  <c r="AS72" i="7"/>
  <c r="AS34" i="7"/>
  <c r="AS35" i="8"/>
  <c r="AS50" i="8"/>
  <c r="AS18" i="8"/>
  <c r="AS20" i="8"/>
  <c r="AS312" i="6"/>
  <c r="AS277" i="6"/>
  <c r="AS271" i="6"/>
  <c r="AS19" i="7"/>
  <c r="AS12" i="7"/>
  <c r="AS296" i="6"/>
  <c r="AS85" i="8"/>
  <c r="AS47" i="7"/>
  <c r="AS308" i="6"/>
  <c r="AS311" i="6"/>
  <c r="AS73" i="7"/>
  <c r="AS98" i="7"/>
  <c r="AS8" i="7"/>
  <c r="AS301" i="6"/>
  <c r="AS78" i="8"/>
  <c r="AS39" i="7"/>
  <c r="AS60" i="8"/>
  <c r="AS96" i="7"/>
  <c r="AS15" i="7"/>
  <c r="AS89" i="8"/>
  <c r="AS52" i="8"/>
  <c r="AI10" i="9"/>
  <c r="AS23" i="7"/>
  <c r="AS307" i="6"/>
  <c r="AS306" i="6"/>
  <c r="AS302" i="6"/>
  <c r="AS300" i="6"/>
  <c r="AS83" i="7"/>
  <c r="AS274" i="6"/>
  <c r="AS51" i="8"/>
  <c r="AS35" i="7"/>
  <c r="AS56" i="8"/>
  <c r="AS313" i="6"/>
  <c r="AS245" i="6"/>
  <c r="AS234" i="6"/>
  <c r="AS223" i="6"/>
  <c r="AS84" i="7"/>
  <c r="AS25" i="7"/>
  <c r="AS16" i="7"/>
  <c r="AS10" i="7"/>
  <c r="AS298" i="6"/>
  <c r="AS244" i="6"/>
  <c r="AS233" i="6"/>
  <c r="AS27" i="7"/>
  <c r="AS2" i="7"/>
  <c r="AS279" i="6"/>
  <c r="AS265" i="6"/>
  <c r="AS28" i="7"/>
  <c r="AS295" i="6"/>
  <c r="AS242" i="6"/>
  <c r="AS225" i="6"/>
  <c r="AS292" i="6"/>
  <c r="AS291" i="6"/>
  <c r="AS278" i="6"/>
  <c r="AS276" i="6"/>
  <c r="AS6" i="7"/>
  <c r="AS309" i="6"/>
  <c r="AS275" i="6"/>
  <c r="AS262" i="6"/>
  <c r="AS251" i="6"/>
  <c r="AS243" i="6"/>
  <c r="AS224" i="6"/>
  <c r="AS36" i="7"/>
  <c r="AS11" i="7"/>
  <c r="AS4" i="7"/>
  <c r="AS53" i="7"/>
  <c r="AS257" i="6"/>
  <c r="AS252" i="6"/>
  <c r="AS33" i="7"/>
  <c r="AS282" i="6"/>
  <c r="AS280" i="6"/>
  <c r="AS235" i="6"/>
  <c r="AS222" i="6"/>
  <c r="AS61" i="7"/>
  <c r="AS57" i="7"/>
  <c r="AS281" i="6"/>
  <c r="AS253" i="6"/>
  <c r="AS14" i="7"/>
  <c r="AS269" i="6"/>
  <c r="AS227" i="6"/>
  <c r="AS206" i="6"/>
  <c r="AS195" i="6"/>
  <c r="AS184" i="6"/>
  <c r="AS173" i="6"/>
  <c r="AS162" i="6"/>
  <c r="AS151" i="6"/>
  <c r="AS140" i="6"/>
  <c r="AS129" i="6"/>
  <c r="AS118" i="6"/>
  <c r="AS261" i="6"/>
  <c r="AS260" i="6"/>
  <c r="AS287" i="6"/>
  <c r="AS211" i="6"/>
  <c r="AS200" i="6"/>
  <c r="AS189" i="6"/>
  <c r="AS178" i="6"/>
  <c r="AS167" i="6"/>
  <c r="AS156" i="6"/>
  <c r="AS145" i="6"/>
  <c r="AS134" i="6"/>
  <c r="AS123" i="6"/>
  <c r="AS112" i="6"/>
  <c r="AS285" i="6"/>
  <c r="AS250" i="6"/>
  <c r="AS246" i="6"/>
  <c r="AS24" i="8"/>
  <c r="AS239" i="6"/>
  <c r="AS217" i="6"/>
  <c r="AS205" i="6"/>
  <c r="AS194" i="6"/>
  <c r="AS183" i="6"/>
  <c r="AS172" i="6"/>
  <c r="AS161" i="6"/>
  <c r="AS150" i="6"/>
  <c r="AS139" i="6"/>
  <c r="AS128" i="6"/>
  <c r="AS117" i="6"/>
  <c r="AS267" i="6"/>
  <c r="AS263" i="6"/>
  <c r="AS232" i="6"/>
  <c r="AS26" i="7"/>
  <c r="AS219" i="6"/>
  <c r="AS210" i="6"/>
  <c r="AS199" i="6"/>
  <c r="AS188" i="6"/>
  <c r="AS177" i="6"/>
  <c r="AS166" i="6"/>
  <c r="AS155" i="6"/>
  <c r="AS144" i="6"/>
  <c r="AS133" i="6"/>
  <c r="AS288" i="6"/>
  <c r="AS248" i="6"/>
  <c r="AS231" i="6"/>
  <c r="AS169" i="6"/>
  <c r="AS138" i="6"/>
  <c r="AS124" i="6"/>
  <c r="AS230" i="6"/>
  <c r="AS175" i="6"/>
  <c r="AS130" i="6"/>
  <c r="AS100" i="6"/>
  <c r="AS89" i="6"/>
  <c r="AS78" i="6"/>
  <c r="AS2" i="8"/>
  <c r="AS21" i="7"/>
  <c r="AS293" i="6"/>
  <c r="AS249" i="6"/>
  <c r="AS212" i="6"/>
  <c r="AS181" i="6"/>
  <c r="AS136" i="6"/>
  <c r="AS7" i="7"/>
  <c r="AS255" i="6"/>
  <c r="AS187" i="6"/>
  <c r="AS142" i="6"/>
  <c r="AS105" i="6"/>
  <c r="AS94" i="6"/>
  <c r="AS83" i="6"/>
  <c r="AS72" i="6"/>
  <c r="AS264" i="6"/>
  <c r="AS240" i="6"/>
  <c r="AS214" i="6"/>
  <c r="AS193" i="6"/>
  <c r="AS179" i="6"/>
  <c r="AS148" i="6"/>
  <c r="AS115" i="6"/>
  <c r="AS290" i="6"/>
  <c r="AS241" i="6"/>
  <c r="AS185" i="6"/>
  <c r="AS154" i="6"/>
  <c r="AS120" i="6"/>
  <c r="AS110" i="6"/>
  <c r="AS99" i="6"/>
  <c r="AS88" i="6"/>
  <c r="AS77" i="6"/>
  <c r="AS66" i="6"/>
  <c r="AS76" i="7"/>
  <c r="AS273" i="6"/>
  <c r="AS268" i="6"/>
  <c r="AS221" i="6"/>
  <c r="AS197" i="6"/>
  <c r="AS152" i="6"/>
  <c r="AS104" i="6"/>
  <c r="AS93" i="6"/>
  <c r="AS82" i="6"/>
  <c r="AS159" i="6"/>
  <c r="AS116" i="6"/>
  <c r="AS80" i="6"/>
  <c r="AS56" i="6"/>
  <c r="AS9" i="7"/>
  <c r="AS163" i="6"/>
  <c r="AS149" i="6"/>
  <c r="AS86" i="6"/>
  <c r="AS74" i="6"/>
  <c r="AS68" i="6"/>
  <c r="AS44" i="6"/>
  <c r="AS33" i="6"/>
  <c r="AS88" i="7"/>
  <c r="AS247" i="6"/>
  <c r="AS153" i="6"/>
  <c r="AS92" i="6"/>
  <c r="AS55" i="6"/>
  <c r="AS209" i="6"/>
  <c r="AS157" i="6"/>
  <c r="AS146" i="6"/>
  <c r="AS143" i="6"/>
  <c r="AS98" i="6"/>
  <c r="AS84" i="6"/>
  <c r="AS64" i="6"/>
  <c r="AS49" i="6"/>
  <c r="AS38" i="6"/>
  <c r="AS27" i="6"/>
  <c r="AS147" i="6"/>
  <c r="AS90" i="6"/>
  <c r="AS48" i="7"/>
  <c r="AS203" i="6"/>
  <c r="AS137" i="6"/>
  <c r="AS96" i="6"/>
  <c r="AS54" i="6"/>
  <c r="AS43" i="6"/>
  <c r="AS32" i="6"/>
  <c r="AS238" i="6"/>
  <c r="AS213" i="6"/>
  <c r="AS207" i="6"/>
  <c r="AS141" i="6"/>
  <c r="AS127" i="6"/>
  <c r="AS102" i="6"/>
  <c r="AS204" i="6"/>
  <c r="AS131" i="6"/>
  <c r="AS108" i="6"/>
  <c r="AS69" i="6"/>
  <c r="AS65" i="6"/>
  <c r="AS48" i="6"/>
  <c r="AS37" i="6"/>
  <c r="AS26" i="6"/>
  <c r="AS297" i="6"/>
  <c r="AS270" i="6"/>
  <c r="AS259" i="6"/>
  <c r="AS215" i="6"/>
  <c r="AS208" i="6"/>
  <c r="AS201" i="6"/>
  <c r="AS60" i="6"/>
  <c r="AS41" i="6"/>
  <c r="AS19" i="6"/>
  <c r="AS8" i="6"/>
  <c r="AS310" i="6"/>
  <c r="AS191" i="6"/>
  <c r="AS109" i="6"/>
  <c r="AS107" i="6"/>
  <c r="AS57" i="6"/>
  <c r="AS46" i="6"/>
  <c r="AS13" i="6"/>
  <c r="AS2" i="6"/>
  <c r="AS186" i="6"/>
  <c r="AS158" i="6"/>
  <c r="AS91" i="6"/>
  <c r="AS284" i="6"/>
  <c r="AS196" i="6"/>
  <c r="AS75" i="6"/>
  <c r="AS51" i="6"/>
  <c r="AS28" i="6"/>
  <c r="AS25" i="6"/>
  <c r="AS18" i="6"/>
  <c r="AS7" i="6"/>
  <c r="AS299" i="6"/>
  <c r="AS164" i="6"/>
  <c r="AS216" i="6"/>
  <c r="AS125" i="6"/>
  <c r="AS53" i="6"/>
  <c r="AS30" i="6"/>
  <c r="AS12" i="6"/>
  <c r="AS111" i="6"/>
  <c r="AS95" i="6"/>
  <c r="AS76" i="6"/>
  <c r="AS39" i="6"/>
  <c r="AS34" i="6"/>
  <c r="AS29" i="6"/>
  <c r="AS22" i="6"/>
  <c r="AS10" i="6"/>
  <c r="AS165" i="6"/>
  <c r="AS62" i="6"/>
  <c r="AS14" i="6"/>
  <c r="AS229" i="6"/>
  <c r="AS218" i="6"/>
  <c r="AS73" i="6"/>
  <c r="AS15" i="6"/>
  <c r="AS237" i="6"/>
  <c r="AS160" i="6"/>
  <c r="AS135" i="6"/>
  <c r="AS122" i="6"/>
  <c r="AS202" i="6"/>
  <c r="AS63" i="6"/>
  <c r="AS11" i="6"/>
  <c r="AS254" i="6"/>
  <c r="AS192" i="6"/>
  <c r="AS190" i="6"/>
  <c r="AS24" i="6"/>
  <c r="AS23" i="6"/>
  <c r="AS132" i="6"/>
  <c r="AS126" i="6"/>
  <c r="AS58" i="6"/>
  <c r="AS40" i="6"/>
  <c r="AS36" i="6"/>
  <c r="AS226" i="6"/>
  <c r="AS4" i="6"/>
  <c r="AS236" i="6"/>
  <c r="AS106" i="6"/>
  <c r="AS17" i="6"/>
  <c r="AS220" i="6"/>
  <c r="AS59" i="6"/>
  <c r="AS52" i="6"/>
  <c r="AS45" i="6"/>
  <c r="AS114" i="6"/>
  <c r="AS70" i="6"/>
  <c r="AS67" i="6"/>
  <c r="AS16" i="6"/>
  <c r="AS6" i="6"/>
  <c r="AS198" i="6"/>
  <c r="AS9" i="6"/>
  <c r="AS180" i="6"/>
  <c r="AS174" i="6"/>
  <c r="AS228" i="6"/>
  <c r="AS119" i="6"/>
  <c r="AS85" i="6"/>
  <c r="AS35" i="6"/>
  <c r="AS101" i="6"/>
  <c r="AS113" i="6"/>
  <c r="AS87" i="6"/>
  <c r="AS50" i="6"/>
  <c r="AS31" i="6"/>
  <c r="AS256" i="6"/>
  <c r="AS3" i="6"/>
  <c r="AS171" i="6"/>
  <c r="AS42" i="6"/>
  <c r="AS103" i="6"/>
  <c r="AS79" i="6"/>
  <c r="AS170" i="6"/>
  <c r="AS182" i="6"/>
  <c r="AS71" i="6"/>
  <c r="AS47" i="6"/>
  <c r="AS168" i="6"/>
  <c r="AS97" i="6"/>
  <c r="AS61" i="6"/>
  <c r="AS81" i="6"/>
  <c r="AS20" i="6"/>
  <c r="AS121" i="6"/>
  <c r="AS21" i="6"/>
  <c r="AS176" i="6"/>
  <c r="AS5" i="6"/>
  <c r="Q17" i="8"/>
  <c r="Q16" i="8"/>
  <c r="Q15" i="8"/>
  <c r="Q16" i="7"/>
  <c r="Q17" i="7"/>
  <c r="Q14" i="7"/>
  <c r="Q14" i="8"/>
  <c r="Q15" i="7"/>
  <c r="Q40" i="6"/>
  <c r="Q29" i="6"/>
  <c r="Q34" i="6"/>
  <c r="Q39" i="6"/>
  <c r="Q28" i="6"/>
  <c r="Q33" i="6"/>
  <c r="Q30" i="6"/>
  <c r="Q27" i="6"/>
  <c r="Q35" i="6"/>
  <c r="Q32" i="6"/>
  <c r="Q31" i="6"/>
  <c r="Q36" i="6"/>
  <c r="Q37" i="6"/>
  <c r="Q41" i="6"/>
  <c r="Q38" i="6"/>
  <c r="Q26" i="6"/>
  <c r="L26" i="7"/>
  <c r="L28" i="7"/>
  <c r="L26" i="8"/>
  <c r="L29" i="8"/>
  <c r="L28" i="8"/>
  <c r="L29" i="7"/>
  <c r="L27" i="8"/>
  <c r="L27" i="7"/>
  <c r="L81" i="6"/>
  <c r="L86" i="6"/>
  <c r="L75" i="6"/>
  <c r="L80" i="6"/>
  <c r="L84" i="6"/>
  <c r="L76" i="6"/>
  <c r="L74" i="6"/>
  <c r="L82" i="6"/>
  <c r="L88" i="6"/>
  <c r="L79" i="6"/>
  <c r="L77" i="6"/>
  <c r="L78" i="6"/>
  <c r="L87" i="6"/>
  <c r="L85" i="6"/>
  <c r="L89" i="6"/>
  <c r="L83" i="6"/>
  <c r="S30" i="7"/>
  <c r="S30" i="8"/>
  <c r="S33" i="8"/>
  <c r="S32" i="7"/>
  <c r="S31" i="7"/>
  <c r="S32" i="8"/>
  <c r="S33" i="7"/>
  <c r="S101" i="6"/>
  <c r="S90" i="6"/>
  <c r="S95" i="6"/>
  <c r="S100" i="6"/>
  <c r="S105" i="6"/>
  <c r="S94" i="6"/>
  <c r="S98" i="6"/>
  <c r="S104" i="6"/>
  <c r="S96" i="6"/>
  <c r="S102" i="6"/>
  <c r="S31" i="8"/>
  <c r="S103" i="6"/>
  <c r="S91" i="6"/>
  <c r="S97" i="6"/>
  <c r="S93" i="6"/>
  <c r="S92" i="6"/>
  <c r="S99" i="6"/>
  <c r="O45" i="8"/>
  <c r="O44" i="8"/>
  <c r="O43" i="8"/>
  <c r="O42" i="8"/>
  <c r="O42" i="7"/>
  <c r="O45" i="7"/>
  <c r="O43" i="7"/>
  <c r="O153" i="6"/>
  <c r="O142" i="6"/>
  <c r="O147" i="6"/>
  <c r="O152" i="6"/>
  <c r="O141" i="6"/>
  <c r="O146" i="6"/>
  <c r="O138" i="6"/>
  <c r="O144" i="6"/>
  <c r="O150" i="6"/>
  <c r="O148" i="6"/>
  <c r="O44" i="7"/>
  <c r="O140" i="6"/>
  <c r="O143" i="6"/>
  <c r="O149" i="6"/>
  <c r="O139" i="6"/>
  <c r="O151" i="6"/>
  <c r="O145" i="6"/>
  <c r="M192" i="6"/>
  <c r="M197" i="6"/>
  <c r="M186" i="6"/>
  <c r="M191" i="6"/>
  <c r="M196" i="6"/>
  <c r="M189" i="6"/>
  <c r="M195" i="6"/>
  <c r="M193" i="6"/>
  <c r="M199" i="6"/>
  <c r="M200" i="6"/>
  <c r="M190" i="6"/>
  <c r="M194" i="6"/>
  <c r="M198" i="6"/>
  <c r="M187" i="6"/>
  <c r="M188" i="6"/>
  <c r="M201" i="6"/>
  <c r="R263" i="6"/>
  <c r="R265" i="6"/>
  <c r="R250" i="6"/>
  <c r="R264" i="6"/>
  <c r="R259" i="6"/>
  <c r="R257" i="6"/>
  <c r="R251" i="6"/>
  <c r="R252" i="6"/>
  <c r="R258" i="6"/>
  <c r="R262" i="6"/>
  <c r="R260" i="6"/>
  <c r="R253" i="6"/>
  <c r="R254" i="6"/>
  <c r="R256" i="6"/>
  <c r="R255" i="6"/>
  <c r="R261" i="6"/>
  <c r="AT94" i="8"/>
  <c r="AT83" i="8"/>
  <c r="AT85" i="8"/>
  <c r="AT82" i="8"/>
  <c r="AT44" i="8"/>
  <c r="AT29" i="8"/>
  <c r="AT18" i="8"/>
  <c r="AT101" i="7"/>
  <c r="AT90" i="7"/>
  <c r="AT79" i="7"/>
  <c r="AT68" i="7"/>
  <c r="AT57" i="7"/>
  <c r="AJ13" i="9"/>
  <c r="AJ16" i="9"/>
  <c r="AT93" i="8"/>
  <c r="AT89" i="8"/>
  <c r="AT73" i="8"/>
  <c r="AJ9" i="9"/>
  <c r="AJ11" i="9"/>
  <c r="AT79" i="8"/>
  <c r="AJ4" i="9"/>
  <c r="AT98" i="8"/>
  <c r="AT95" i="8"/>
  <c r="AT71" i="8"/>
  <c r="AT60" i="8"/>
  <c r="AT67" i="8"/>
  <c r="AT63" i="8"/>
  <c r="AT37" i="8"/>
  <c r="AT88" i="8"/>
  <c r="AJ8" i="9"/>
  <c r="AJ7" i="9"/>
  <c r="AT99" i="8"/>
  <c r="AT66" i="8"/>
  <c r="AT70" i="8"/>
  <c r="AJ6" i="9"/>
  <c r="AJ5" i="9"/>
  <c r="AT97" i="8"/>
  <c r="AT51" i="8"/>
  <c r="AT22" i="8"/>
  <c r="AT13" i="8"/>
  <c r="AT4" i="8"/>
  <c r="AT82" i="7"/>
  <c r="AT74" i="8"/>
  <c r="AT24" i="8"/>
  <c r="AT5" i="8"/>
  <c r="AT98" i="7"/>
  <c r="AT64" i="7"/>
  <c r="AT44" i="7"/>
  <c r="AT33" i="7"/>
  <c r="AT64" i="8"/>
  <c r="AT84" i="7"/>
  <c r="AT58" i="7"/>
  <c r="AT45" i="7"/>
  <c r="AT23" i="7"/>
  <c r="AT78" i="8"/>
  <c r="AT76" i="8"/>
  <c r="AT53" i="8"/>
  <c r="AT47" i="8"/>
  <c r="AT3" i="8"/>
  <c r="AT94" i="7"/>
  <c r="AT87" i="7"/>
  <c r="AJ10" i="9"/>
  <c r="AT77" i="8"/>
  <c r="AT69" i="8"/>
  <c r="AT56" i="8"/>
  <c r="AT46" i="8"/>
  <c r="AT80" i="7"/>
  <c r="AT53" i="7"/>
  <c r="AT48" i="7"/>
  <c r="AT304" i="6"/>
  <c r="AT293" i="6"/>
  <c r="AT282" i="6"/>
  <c r="AT271" i="6"/>
  <c r="AT259" i="6"/>
  <c r="AT90" i="8"/>
  <c r="AT55" i="8"/>
  <c r="AT9" i="8"/>
  <c r="AT75" i="7"/>
  <c r="AT40" i="7"/>
  <c r="AT31" i="7"/>
  <c r="AT10" i="8"/>
  <c r="AT7" i="8"/>
  <c r="AJ12" i="9"/>
  <c r="AT87" i="8"/>
  <c r="AT101" i="8"/>
  <c r="AT92" i="8"/>
  <c r="AT68" i="8"/>
  <c r="AT32" i="8"/>
  <c r="AT15" i="8"/>
  <c r="AT12" i="8"/>
  <c r="AT77" i="7"/>
  <c r="AT13" i="7"/>
  <c r="AT4" i="7"/>
  <c r="AT307" i="6"/>
  <c r="AT50" i="8"/>
  <c r="AT49" i="7"/>
  <c r="AT42" i="7"/>
  <c r="AT80" i="8"/>
  <c r="AT76" i="7"/>
  <c r="AT72" i="8"/>
  <c r="AT14" i="8"/>
  <c r="AT93" i="7"/>
  <c r="AT91" i="7"/>
  <c r="AT65" i="7"/>
  <c r="AT22" i="7"/>
  <c r="AT18" i="7"/>
  <c r="AT3" i="7"/>
  <c r="AT303" i="6"/>
  <c r="AT266" i="6"/>
  <c r="AT54" i="8"/>
  <c r="AT43" i="8"/>
  <c r="AT30" i="7"/>
  <c r="AT295" i="6"/>
  <c r="AT292" i="6"/>
  <c r="AT269" i="6"/>
  <c r="AJ2" i="9"/>
  <c r="AT26" i="8"/>
  <c r="AT11" i="8"/>
  <c r="AT89" i="7"/>
  <c r="AT88" i="7"/>
  <c r="AT62" i="8"/>
  <c r="AT49" i="8"/>
  <c r="AT100" i="7"/>
  <c r="AT86" i="7"/>
  <c r="AT85" i="7"/>
  <c r="AT32" i="7"/>
  <c r="AT25" i="7"/>
  <c r="AT86" i="8"/>
  <c r="AT39" i="8"/>
  <c r="AT31" i="8"/>
  <c r="AT73" i="7"/>
  <c r="AT70" i="7"/>
  <c r="AT45" i="8"/>
  <c r="AT65" i="8"/>
  <c r="AT57" i="8"/>
  <c r="AT40" i="8"/>
  <c r="AT34" i="8"/>
  <c r="AT54" i="7"/>
  <c r="AT66" i="7"/>
  <c r="AT83" i="7"/>
  <c r="AT99" i="7"/>
  <c r="AT96" i="8"/>
  <c r="AT27" i="8"/>
  <c r="AT23" i="8"/>
  <c r="AJ15" i="9"/>
  <c r="AT81" i="8"/>
  <c r="AT8" i="8"/>
  <c r="AT95" i="7"/>
  <c r="AT19" i="8"/>
  <c r="AT16" i="8"/>
  <c r="AT6" i="8"/>
  <c r="AT55" i="7"/>
  <c r="AJ3" i="9"/>
  <c r="AT100" i="8"/>
  <c r="AT78" i="7"/>
  <c r="AT61" i="8"/>
  <c r="AT97" i="7"/>
  <c r="AT92" i="7"/>
  <c r="AT38" i="8"/>
  <c r="AT91" i="8"/>
  <c r="AT48" i="8"/>
  <c r="AT42" i="8"/>
  <c r="AT24" i="7"/>
  <c r="AT2" i="7"/>
  <c r="AT30" i="8"/>
  <c r="AT72" i="7"/>
  <c r="AT43" i="7"/>
  <c r="AT34" i="7"/>
  <c r="AT20" i="7"/>
  <c r="AJ14" i="9"/>
  <c r="AT41" i="8"/>
  <c r="AT35" i="8"/>
  <c r="AT63" i="7"/>
  <c r="AT38" i="7"/>
  <c r="AT2" i="8"/>
  <c r="AT59" i="7"/>
  <c r="AT26" i="7"/>
  <c r="AT16" i="7"/>
  <c r="AT67" i="7"/>
  <c r="AT50" i="7"/>
  <c r="AT19" i="7"/>
  <c r="AT12" i="7"/>
  <c r="AT299" i="6"/>
  <c r="AT291" i="6"/>
  <c r="AT265" i="6"/>
  <c r="AT47" i="7"/>
  <c r="AT308" i="6"/>
  <c r="AT305" i="6"/>
  <c r="AT71" i="7"/>
  <c r="AT311" i="6"/>
  <c r="AT69" i="7"/>
  <c r="AT14" i="7"/>
  <c r="AT33" i="8"/>
  <c r="AT84" i="8"/>
  <c r="AT61" i="7"/>
  <c r="AT35" i="7"/>
  <c r="AT11" i="7"/>
  <c r="AT5" i="7"/>
  <c r="AT96" i="7"/>
  <c r="AT17" i="7"/>
  <c r="AT15" i="7"/>
  <c r="AT52" i="8"/>
  <c r="AT37" i="7"/>
  <c r="AT29" i="7"/>
  <c r="AT301" i="6"/>
  <c r="AT283" i="6"/>
  <c r="AT280" i="6"/>
  <c r="AT28" i="8"/>
  <c r="AT74" i="7"/>
  <c r="AT52" i="7"/>
  <c r="AT46" i="7"/>
  <c r="AT294" i="6"/>
  <c r="AT59" i="8"/>
  <c r="AT306" i="6"/>
  <c r="AT302" i="6"/>
  <c r="AT300" i="6"/>
  <c r="AT62" i="7"/>
  <c r="AT277" i="6"/>
  <c r="AT58" i="8"/>
  <c r="AT75" i="8"/>
  <c r="AT298" i="6"/>
  <c r="AT56" i="7"/>
  <c r="AT296" i="6"/>
  <c r="AT273" i="6"/>
  <c r="AT21" i="8"/>
  <c r="AT20" i="8"/>
  <c r="AT297" i="6"/>
  <c r="AT25" i="8"/>
  <c r="AT260" i="6"/>
  <c r="AT257" i="6"/>
  <c r="AT254" i="6"/>
  <c r="AT243" i="6"/>
  <c r="AT278" i="6"/>
  <c r="AT276" i="6"/>
  <c r="AT6" i="7"/>
  <c r="AT309" i="6"/>
  <c r="AT275" i="6"/>
  <c r="AT262" i="6"/>
  <c r="AT251" i="6"/>
  <c r="AT224" i="6"/>
  <c r="AT36" i="7"/>
  <c r="AT279" i="6"/>
  <c r="AT234" i="6"/>
  <c r="AT252" i="6"/>
  <c r="AT223" i="6"/>
  <c r="AT36" i="8"/>
  <c r="AT235" i="6"/>
  <c r="AT222" i="6"/>
  <c r="AT27" i="7"/>
  <c r="AT281" i="6"/>
  <c r="AT253" i="6"/>
  <c r="AT244" i="6"/>
  <c r="AT39" i="7"/>
  <c r="AT264" i="6"/>
  <c r="AT236" i="6"/>
  <c r="AT221" i="6"/>
  <c r="AT9" i="7"/>
  <c r="AT51" i="7"/>
  <c r="AT261" i="6"/>
  <c r="AT312" i="6"/>
  <c r="AT287" i="6"/>
  <c r="AT211" i="6"/>
  <c r="AT200" i="6"/>
  <c r="AT189" i="6"/>
  <c r="AT178" i="6"/>
  <c r="AT167" i="6"/>
  <c r="AT156" i="6"/>
  <c r="AT145" i="6"/>
  <c r="AT134" i="6"/>
  <c r="AT123" i="6"/>
  <c r="AT8" i="7"/>
  <c r="AT285" i="6"/>
  <c r="AT250" i="6"/>
  <c r="AT246" i="6"/>
  <c r="AT239" i="6"/>
  <c r="AT217" i="6"/>
  <c r="AT205" i="6"/>
  <c r="AT194" i="6"/>
  <c r="AT183" i="6"/>
  <c r="AT172" i="6"/>
  <c r="AT161" i="6"/>
  <c r="AT150" i="6"/>
  <c r="AT139" i="6"/>
  <c r="AT128" i="6"/>
  <c r="AT117" i="6"/>
  <c r="AT272" i="6"/>
  <c r="AT267" i="6"/>
  <c r="AT263" i="6"/>
  <c r="AT232" i="6"/>
  <c r="AT219" i="6"/>
  <c r="AT210" i="6"/>
  <c r="AT199" i="6"/>
  <c r="AT188" i="6"/>
  <c r="AT177" i="6"/>
  <c r="AT166" i="6"/>
  <c r="AT155" i="6"/>
  <c r="AT144" i="6"/>
  <c r="AT133" i="6"/>
  <c r="AT122" i="6"/>
  <c r="AT111" i="6"/>
  <c r="AT290" i="6"/>
  <c r="AT229" i="6"/>
  <c r="AT274" i="6"/>
  <c r="AT258" i="6"/>
  <c r="AT230" i="6"/>
  <c r="AT206" i="6"/>
  <c r="AT175" i="6"/>
  <c r="AT130" i="6"/>
  <c r="AT100" i="6"/>
  <c r="AT89" i="6"/>
  <c r="AT78" i="6"/>
  <c r="AT67" i="6"/>
  <c r="AT56" i="6"/>
  <c r="AT81" i="7"/>
  <c r="AT21" i="7"/>
  <c r="AT249" i="6"/>
  <c r="AT212" i="6"/>
  <c r="AT181" i="6"/>
  <c r="AT136" i="6"/>
  <c r="AT7" i="7"/>
  <c r="AT255" i="6"/>
  <c r="AT187" i="6"/>
  <c r="AT173" i="6"/>
  <c r="AT142" i="6"/>
  <c r="AT105" i="6"/>
  <c r="AT94" i="6"/>
  <c r="AT83" i="6"/>
  <c r="AT72" i="6"/>
  <c r="AT61" i="6"/>
  <c r="AT240" i="6"/>
  <c r="AT214" i="6"/>
  <c r="AT193" i="6"/>
  <c r="AT179" i="6"/>
  <c r="AT148" i="6"/>
  <c r="AT115" i="6"/>
  <c r="AT241" i="6"/>
  <c r="AT185" i="6"/>
  <c r="AT154" i="6"/>
  <c r="AT140" i="6"/>
  <c r="AT120" i="6"/>
  <c r="AT110" i="6"/>
  <c r="AT99" i="6"/>
  <c r="AT88" i="6"/>
  <c r="AT77" i="6"/>
  <c r="AT242" i="6"/>
  <c r="AT191" i="6"/>
  <c r="AT160" i="6"/>
  <c r="AT146" i="6"/>
  <c r="AT233" i="6"/>
  <c r="AT203" i="6"/>
  <c r="AT158" i="6"/>
  <c r="AT127" i="6"/>
  <c r="AT41" i="7"/>
  <c r="AT286" i="6"/>
  <c r="AT245" i="6"/>
  <c r="AT163" i="6"/>
  <c r="AT152" i="6"/>
  <c r="AT149" i="6"/>
  <c r="AT86" i="6"/>
  <c r="AT74" i="6"/>
  <c r="AT68" i="6"/>
  <c r="AT44" i="6"/>
  <c r="AT33" i="6"/>
  <c r="AT247" i="6"/>
  <c r="AT153" i="6"/>
  <c r="AT92" i="6"/>
  <c r="AT55" i="6"/>
  <c r="AT209" i="6"/>
  <c r="AT157" i="6"/>
  <c r="AT143" i="6"/>
  <c r="AT98" i="6"/>
  <c r="AT84" i="6"/>
  <c r="AT64" i="6"/>
  <c r="AT49" i="6"/>
  <c r="AT38" i="6"/>
  <c r="AT27" i="6"/>
  <c r="AT147" i="6"/>
  <c r="AT90" i="6"/>
  <c r="AT227" i="6"/>
  <c r="AT151" i="6"/>
  <c r="AT137" i="6"/>
  <c r="AT104" i="6"/>
  <c r="AT96" i="6"/>
  <c r="AT54" i="6"/>
  <c r="AT43" i="6"/>
  <c r="AT32" i="6"/>
  <c r="AT289" i="6"/>
  <c r="AT238" i="6"/>
  <c r="AT213" i="6"/>
  <c r="AT207" i="6"/>
  <c r="AT141" i="6"/>
  <c r="AT102" i="6"/>
  <c r="AT204" i="6"/>
  <c r="AT138" i="6"/>
  <c r="AT131" i="6"/>
  <c r="AT108" i="6"/>
  <c r="AT69" i="6"/>
  <c r="AT65" i="6"/>
  <c r="AT48" i="6"/>
  <c r="AT37" i="6"/>
  <c r="AT26" i="6"/>
  <c r="AT270" i="6"/>
  <c r="AT215" i="6"/>
  <c r="AT208" i="6"/>
  <c r="AT201" i="6"/>
  <c r="AT197" i="6"/>
  <c r="AT135" i="6"/>
  <c r="AT28" i="7"/>
  <c r="AT198" i="6"/>
  <c r="AT310" i="6"/>
  <c r="AT268" i="6"/>
  <c r="AT121" i="6"/>
  <c r="AT186" i="6"/>
  <c r="AT124" i="6"/>
  <c r="AT91" i="6"/>
  <c r="AT284" i="6"/>
  <c r="AT196" i="6"/>
  <c r="AT169" i="6"/>
  <c r="AT93" i="6"/>
  <c r="AT75" i="6"/>
  <c r="AT51" i="6"/>
  <c r="AT28" i="6"/>
  <c r="AT25" i="6"/>
  <c r="AT164" i="6"/>
  <c r="AT216" i="6"/>
  <c r="AT125" i="6"/>
  <c r="AT118" i="6"/>
  <c r="AT53" i="6"/>
  <c r="AT30" i="6"/>
  <c r="AT12" i="6"/>
  <c r="AT170" i="6"/>
  <c r="AT176" i="6"/>
  <c r="AT195" i="6"/>
  <c r="AT174" i="6"/>
  <c r="AT6" i="6"/>
  <c r="AT237" i="6"/>
  <c r="AT202" i="6"/>
  <c r="AT63" i="6"/>
  <c r="AT11" i="6"/>
  <c r="AT192" i="6"/>
  <c r="AT190" i="6"/>
  <c r="AT116" i="6"/>
  <c r="AT24" i="6"/>
  <c r="AT19" i="6"/>
  <c r="AT225" i="6"/>
  <c r="AT126" i="6"/>
  <c r="AT248" i="6"/>
  <c r="AT132" i="6"/>
  <c r="AT58" i="6"/>
  <c r="AT40" i="6"/>
  <c r="AT36" i="6"/>
  <c r="AT184" i="6"/>
  <c r="AT226" i="6"/>
  <c r="AT7" i="6"/>
  <c r="AT106" i="6"/>
  <c r="AT17" i="6"/>
  <c r="AT4" i="6"/>
  <c r="AT17" i="8"/>
  <c r="AT60" i="7"/>
  <c r="AT231" i="6"/>
  <c r="AT220" i="6"/>
  <c r="AT129" i="6"/>
  <c r="AT112" i="6"/>
  <c r="AT80" i="6"/>
  <c r="AT159" i="6"/>
  <c r="AT76" i="6"/>
  <c r="AT59" i="6"/>
  <c r="AT52" i="6"/>
  <c r="AT29" i="6"/>
  <c r="AT62" i="6"/>
  <c r="AT114" i="6"/>
  <c r="AT313" i="6"/>
  <c r="AT82" i="6"/>
  <c r="AT70" i="6"/>
  <c r="AT22" i="6"/>
  <c r="AT16" i="6"/>
  <c r="AT14" i="6"/>
  <c r="AT162" i="6"/>
  <c r="AT42" i="6"/>
  <c r="AT9" i="6"/>
  <c r="AT45" i="6"/>
  <c r="AT41" i="6"/>
  <c r="AT119" i="6"/>
  <c r="AT85" i="6"/>
  <c r="AT73" i="6"/>
  <c r="AT46" i="6"/>
  <c r="AT35" i="6"/>
  <c r="AT50" i="6"/>
  <c r="AT13" i="6"/>
  <c r="AT101" i="6"/>
  <c r="AT165" i="6"/>
  <c r="AT66" i="6"/>
  <c r="AT57" i="6"/>
  <c r="AT113" i="6"/>
  <c r="AT23" i="6"/>
  <c r="AT10" i="7"/>
  <c r="AT256" i="6"/>
  <c r="AT10" i="6"/>
  <c r="AT8" i="6"/>
  <c r="AT3" i="6"/>
  <c r="AT87" i="6"/>
  <c r="AT103" i="6"/>
  <c r="AT79" i="6"/>
  <c r="AT228" i="6"/>
  <c r="AT171" i="6"/>
  <c r="AT15" i="6"/>
  <c r="AT2" i="6"/>
  <c r="AT288" i="6"/>
  <c r="AT107" i="6"/>
  <c r="AT218" i="6"/>
  <c r="AT34" i="6"/>
  <c r="AT95" i="6"/>
  <c r="AT31" i="6"/>
  <c r="AT182" i="6"/>
  <c r="AT71" i="6"/>
  <c r="AT47" i="6"/>
  <c r="AT109" i="6"/>
  <c r="AT5" i="6"/>
  <c r="AT168" i="6"/>
  <c r="AT20" i="6"/>
  <c r="AT81" i="6"/>
  <c r="AT21" i="6"/>
  <c r="AT60" i="6"/>
  <c r="AT18" i="6"/>
  <c r="AT180" i="6"/>
  <c r="AT39" i="6"/>
  <c r="AT97" i="6"/>
  <c r="AW3" i="9"/>
  <c r="R27" i="8"/>
  <c r="R28" i="8"/>
  <c r="R29" i="7"/>
  <c r="R28" i="7"/>
  <c r="R29" i="8"/>
  <c r="R26" i="8"/>
  <c r="R26" i="7"/>
  <c r="R27" i="7"/>
  <c r="R85" i="6"/>
  <c r="R74" i="6"/>
  <c r="R79" i="6"/>
  <c r="R84" i="6"/>
  <c r="R77" i="6"/>
  <c r="R83" i="6"/>
  <c r="R82" i="6"/>
  <c r="R80" i="6"/>
  <c r="R81" i="6"/>
  <c r="R88" i="6"/>
  <c r="R89" i="6"/>
  <c r="R75" i="6"/>
  <c r="R76" i="6"/>
  <c r="R87" i="6"/>
  <c r="R78" i="6"/>
  <c r="R86" i="6"/>
  <c r="M41" i="8"/>
  <c r="M40" i="8"/>
  <c r="M39" i="8"/>
  <c r="M39" i="7"/>
  <c r="M38" i="7"/>
  <c r="M41" i="7"/>
  <c r="M40" i="7"/>
  <c r="M38" i="8"/>
  <c r="M137" i="6"/>
  <c r="M126" i="6"/>
  <c r="M131" i="6"/>
  <c r="M136" i="6"/>
  <c r="M125" i="6"/>
  <c r="M130" i="6"/>
  <c r="M134" i="6"/>
  <c r="M132" i="6"/>
  <c r="M122" i="6"/>
  <c r="M133" i="6"/>
  <c r="M127" i="6"/>
  <c r="M128" i="6"/>
  <c r="M124" i="6"/>
  <c r="M123" i="6"/>
  <c r="M129" i="6"/>
  <c r="M135" i="6"/>
  <c r="X94" i="8"/>
  <c r="X83" i="8"/>
  <c r="X98" i="8"/>
  <c r="N8" i="9"/>
  <c r="N3" i="9"/>
  <c r="X71" i="8"/>
  <c r="X56" i="8"/>
  <c r="X29" i="8"/>
  <c r="X18" i="8"/>
  <c r="X101" i="7"/>
  <c r="X90" i="7"/>
  <c r="X79" i="7"/>
  <c r="X68" i="7"/>
  <c r="X57" i="7"/>
  <c r="N6" i="9"/>
  <c r="X86" i="8"/>
  <c r="X81" i="8"/>
  <c r="N11" i="9"/>
  <c r="N9" i="9"/>
  <c r="X100" i="8"/>
  <c r="X96" i="8"/>
  <c r="N10" i="9"/>
  <c r="N13" i="9"/>
  <c r="X78" i="8"/>
  <c r="X69" i="8"/>
  <c r="X66" i="8"/>
  <c r="X93" i="8"/>
  <c r="X82" i="8"/>
  <c r="X38" i="8"/>
  <c r="X97" i="8"/>
  <c r="X61" i="8"/>
  <c r="X44" i="8"/>
  <c r="X79" i="8"/>
  <c r="X65" i="8"/>
  <c r="X58" i="8"/>
  <c r="X70" i="8"/>
  <c r="X57" i="8"/>
  <c r="X49" i="8"/>
  <c r="X46" i="8"/>
  <c r="X86" i="7"/>
  <c r="X67" i="7"/>
  <c r="X84" i="8"/>
  <c r="X80" i="8"/>
  <c r="X25" i="8"/>
  <c r="X83" i="7"/>
  <c r="X44" i="7"/>
  <c r="X33" i="7"/>
  <c r="N2" i="9"/>
  <c r="X92" i="8"/>
  <c r="X73" i="8"/>
  <c r="X62" i="8"/>
  <c r="X35" i="8"/>
  <c r="X8" i="8"/>
  <c r="X89" i="7"/>
  <c r="X63" i="7"/>
  <c r="X50" i="7"/>
  <c r="X23" i="7"/>
  <c r="X6" i="8"/>
  <c r="X92" i="7"/>
  <c r="X73" i="7"/>
  <c r="X64" i="8"/>
  <c r="X45" i="8"/>
  <c r="X42" i="8"/>
  <c r="X9" i="8"/>
  <c r="X82" i="7"/>
  <c r="X75" i="7"/>
  <c r="X30" i="7"/>
  <c r="X19" i="7"/>
  <c r="X304" i="6"/>
  <c r="X293" i="6"/>
  <c r="X282" i="6"/>
  <c r="X271" i="6"/>
  <c r="X259" i="6"/>
  <c r="X22" i="8"/>
  <c r="X13" i="8"/>
  <c r="X93" i="7"/>
  <c r="X70" i="7"/>
  <c r="X16" i="7"/>
  <c r="X60" i="8"/>
  <c r="X33" i="8"/>
  <c r="X98" i="7"/>
  <c r="X88" i="7"/>
  <c r="X99" i="8"/>
  <c r="X59" i="8"/>
  <c r="X36" i="8"/>
  <c r="X16" i="8"/>
  <c r="X12" i="8"/>
  <c r="X91" i="8"/>
  <c r="X30" i="8"/>
  <c r="X76" i="7"/>
  <c r="X46" i="7"/>
  <c r="X313" i="6"/>
  <c r="X43" i="8"/>
  <c r="X10" i="8"/>
  <c r="X91" i="7"/>
  <c r="X87" i="7"/>
  <c r="X39" i="7"/>
  <c r="X32" i="7"/>
  <c r="X24" i="7"/>
  <c r="X76" i="8"/>
  <c r="X67" i="8"/>
  <c r="X53" i="8"/>
  <c r="N7" i="9"/>
  <c r="X17" i="8"/>
  <c r="X272" i="6"/>
  <c r="X74" i="8"/>
  <c r="X100" i="7"/>
  <c r="X99" i="7"/>
  <c r="X53" i="7"/>
  <c r="X51" i="7"/>
  <c r="X49" i="7"/>
  <c r="X14" i="7"/>
  <c r="X301" i="6"/>
  <c r="X298" i="6"/>
  <c r="X278" i="6"/>
  <c r="X275" i="6"/>
  <c r="X21" i="8"/>
  <c r="X3" i="8"/>
  <c r="N12" i="9"/>
  <c r="X47" i="8"/>
  <c r="X14" i="8"/>
  <c r="X2" i="8"/>
  <c r="X54" i="7"/>
  <c r="X94" i="7"/>
  <c r="N14" i="9"/>
  <c r="N5" i="9"/>
  <c r="X72" i="8"/>
  <c r="X28" i="8"/>
  <c r="X4" i="8"/>
  <c r="N16" i="9"/>
  <c r="X97" i="7"/>
  <c r="X96" i="7"/>
  <c r="X61" i="7"/>
  <c r="X88" i="8"/>
  <c r="X77" i="8"/>
  <c r="X71" i="7"/>
  <c r="X58" i="7"/>
  <c r="X52" i="7"/>
  <c r="X68" i="8"/>
  <c r="X52" i="8"/>
  <c r="X20" i="8"/>
  <c r="X80" i="7"/>
  <c r="X59" i="7"/>
  <c r="N4" i="9"/>
  <c r="X50" i="8"/>
  <c r="X89" i="8"/>
  <c r="X26" i="8"/>
  <c r="X31" i="8"/>
  <c r="X81" i="7"/>
  <c r="X85" i="7"/>
  <c r="X40" i="8"/>
  <c r="N15" i="9"/>
  <c r="X51" i="8"/>
  <c r="X39" i="8"/>
  <c r="X74" i="7"/>
  <c r="X41" i="7"/>
  <c r="X309" i="6"/>
  <c r="X302" i="6"/>
  <c r="X300" i="6"/>
  <c r="X296" i="6"/>
  <c r="X19" i="8"/>
  <c r="X84" i="7"/>
  <c r="X40" i="7"/>
  <c r="X36" i="7"/>
  <c r="X12" i="7"/>
  <c r="X75" i="8"/>
  <c r="X65" i="7"/>
  <c r="X25" i="7"/>
  <c r="X54" i="8"/>
  <c r="X23" i="8"/>
  <c r="X7" i="8"/>
  <c r="X47" i="7"/>
  <c r="X31" i="7"/>
  <c r="X28" i="7"/>
  <c r="X15" i="8"/>
  <c r="X5" i="8"/>
  <c r="X27" i="7"/>
  <c r="X11" i="7"/>
  <c r="X8" i="7"/>
  <c r="X2" i="7"/>
  <c r="X26" i="7"/>
  <c r="X55" i="8"/>
  <c r="X55" i="7"/>
  <c r="X60" i="7"/>
  <c r="X41" i="8"/>
  <c r="X11" i="8"/>
  <c r="X78" i="7"/>
  <c r="X307" i="6"/>
  <c r="X85" i="8"/>
  <c r="X37" i="8"/>
  <c r="X29" i="7"/>
  <c r="X101" i="8"/>
  <c r="X7" i="7"/>
  <c r="X310" i="6"/>
  <c r="X312" i="6"/>
  <c r="X21" i="7"/>
  <c r="X4" i="7"/>
  <c r="X266" i="6"/>
  <c r="X34" i="8"/>
  <c r="X24" i="8"/>
  <c r="X95" i="7"/>
  <c r="X48" i="7"/>
  <c r="X3" i="7"/>
  <c r="X288" i="6"/>
  <c r="X279" i="6"/>
  <c r="X268" i="6"/>
  <c r="X77" i="7"/>
  <c r="X297" i="6"/>
  <c r="X264" i="6"/>
  <c r="X62" i="7"/>
  <c r="X34" i="7"/>
  <c r="X10" i="7"/>
  <c r="X9" i="7"/>
  <c r="X6" i="7"/>
  <c r="X5" i="7"/>
  <c r="X32" i="8"/>
  <c r="X15" i="7"/>
  <c r="X284" i="6"/>
  <c r="X42" i="7"/>
  <c r="X27" i="8"/>
  <c r="X299" i="6"/>
  <c r="X292" i="6"/>
  <c r="X265" i="6"/>
  <c r="X43" i="7"/>
  <c r="X287" i="6"/>
  <c r="X269" i="6"/>
  <c r="X257" i="6"/>
  <c r="X255" i="6"/>
  <c r="X18" i="7"/>
  <c r="X267" i="6"/>
  <c r="X254" i="6"/>
  <c r="X243" i="6"/>
  <c r="X17" i="7"/>
  <c r="X306" i="6"/>
  <c r="X252" i="6"/>
  <c r="X224" i="6"/>
  <c r="X37" i="7"/>
  <c r="X286" i="6"/>
  <c r="X261" i="6"/>
  <c r="X235" i="6"/>
  <c r="X90" i="8"/>
  <c r="X308" i="6"/>
  <c r="X294" i="6"/>
  <c r="X253" i="6"/>
  <c r="X244" i="6"/>
  <c r="X223" i="6"/>
  <c r="X236" i="6"/>
  <c r="X222" i="6"/>
  <c r="X245" i="6"/>
  <c r="X237" i="6"/>
  <c r="X221" i="6"/>
  <c r="X87" i="8"/>
  <c r="X295" i="6"/>
  <c r="X263" i="6"/>
  <c r="X48" i="8"/>
  <c r="X311" i="6"/>
  <c r="X226" i="6"/>
  <c r="X211" i="6"/>
  <c r="X200" i="6"/>
  <c r="X189" i="6"/>
  <c r="X178" i="6"/>
  <c r="X167" i="6"/>
  <c r="X156" i="6"/>
  <c r="X145" i="6"/>
  <c r="X134" i="6"/>
  <c r="X123" i="6"/>
  <c r="X20" i="7"/>
  <c r="X248" i="6"/>
  <c r="X289" i="6"/>
  <c r="X274" i="6"/>
  <c r="X258" i="6"/>
  <c r="X231" i="6"/>
  <c r="X205" i="6"/>
  <c r="X194" i="6"/>
  <c r="X183" i="6"/>
  <c r="X172" i="6"/>
  <c r="X161" i="6"/>
  <c r="X150" i="6"/>
  <c r="X139" i="6"/>
  <c r="X128" i="6"/>
  <c r="X117" i="6"/>
  <c r="X241" i="6"/>
  <c r="X228" i="6"/>
  <c r="X66" i="7"/>
  <c r="X45" i="7"/>
  <c r="X210" i="6"/>
  <c r="X199" i="6"/>
  <c r="X188" i="6"/>
  <c r="X177" i="6"/>
  <c r="X166" i="6"/>
  <c r="X155" i="6"/>
  <c r="X144" i="6"/>
  <c r="X133" i="6"/>
  <c r="X122" i="6"/>
  <c r="X111" i="6"/>
  <c r="X256" i="6"/>
  <c r="X234" i="6"/>
  <c r="X216" i="6"/>
  <c r="X203" i="6"/>
  <c r="X158" i="6"/>
  <c r="X127" i="6"/>
  <c r="X100" i="6"/>
  <c r="X89" i="6"/>
  <c r="X78" i="6"/>
  <c r="X67" i="6"/>
  <c r="X56" i="6"/>
  <c r="X225" i="6"/>
  <c r="X209" i="6"/>
  <c r="X195" i="6"/>
  <c r="X164" i="6"/>
  <c r="X246" i="6"/>
  <c r="X227" i="6"/>
  <c r="X201" i="6"/>
  <c r="X170" i="6"/>
  <c r="X125" i="6"/>
  <c r="X105" i="6"/>
  <c r="X94" i="6"/>
  <c r="X83" i="6"/>
  <c r="X72" i="6"/>
  <c r="X247" i="6"/>
  <c r="X207" i="6"/>
  <c r="X176" i="6"/>
  <c r="X162" i="6"/>
  <c r="X131" i="6"/>
  <c r="X95" i="8"/>
  <c r="X291" i="6"/>
  <c r="X281" i="6"/>
  <c r="X238" i="6"/>
  <c r="X182" i="6"/>
  <c r="X168" i="6"/>
  <c r="X137" i="6"/>
  <c r="X118" i="6"/>
  <c r="X116" i="6"/>
  <c r="X110" i="6"/>
  <c r="X99" i="6"/>
  <c r="X88" i="6"/>
  <c r="X77" i="6"/>
  <c r="X276" i="6"/>
  <c r="X213" i="6"/>
  <c r="X174" i="6"/>
  <c r="X143" i="6"/>
  <c r="X129" i="6"/>
  <c r="X64" i="7"/>
  <c r="X38" i="7"/>
  <c r="X229" i="6"/>
  <c r="X215" i="6"/>
  <c r="X186" i="6"/>
  <c r="X141" i="6"/>
  <c r="X187" i="6"/>
  <c r="X113" i="6"/>
  <c r="X55" i="6"/>
  <c r="X44" i="6"/>
  <c r="X33" i="6"/>
  <c r="X249" i="6"/>
  <c r="X191" i="6"/>
  <c r="X184" i="6"/>
  <c r="X180" i="6"/>
  <c r="X121" i="6"/>
  <c r="X106" i="6"/>
  <c r="X69" i="6"/>
  <c r="X69" i="7"/>
  <c r="X181" i="6"/>
  <c r="X81" i="6"/>
  <c r="X75" i="6"/>
  <c r="X65" i="6"/>
  <c r="X49" i="6"/>
  <c r="X38" i="6"/>
  <c r="X27" i="6"/>
  <c r="X303" i="6"/>
  <c r="X217" i="6"/>
  <c r="X185" i="6"/>
  <c r="X171" i="6"/>
  <c r="X87" i="6"/>
  <c r="X260" i="6"/>
  <c r="X232" i="6"/>
  <c r="X175" i="6"/>
  <c r="X79" i="6"/>
  <c r="X54" i="6"/>
  <c r="X43" i="6"/>
  <c r="X32" i="6"/>
  <c r="X218" i="6"/>
  <c r="X179" i="6"/>
  <c r="X165" i="6"/>
  <c r="X93" i="6"/>
  <c r="X85" i="6"/>
  <c r="X240" i="6"/>
  <c r="X169" i="6"/>
  <c r="X112" i="6"/>
  <c r="X91" i="6"/>
  <c r="X48" i="6"/>
  <c r="X37" i="6"/>
  <c r="X26" i="6"/>
  <c r="X13" i="7"/>
  <c r="X242" i="6"/>
  <c r="X173" i="6"/>
  <c r="X159" i="6"/>
  <c r="X120" i="6"/>
  <c r="X119" i="6"/>
  <c r="X97" i="6"/>
  <c r="X70" i="6"/>
  <c r="X66" i="6"/>
  <c r="X285" i="6"/>
  <c r="X230" i="6"/>
  <c r="X63" i="8"/>
  <c r="X197" i="6"/>
  <c r="X160" i="6"/>
  <c r="X149" i="6"/>
  <c r="X82" i="6"/>
  <c r="X280" i="6"/>
  <c r="X163" i="6"/>
  <c r="X72" i="7"/>
  <c r="X273" i="6"/>
  <c r="X190" i="6"/>
  <c r="X140" i="6"/>
  <c r="X132" i="6"/>
  <c r="X45" i="6"/>
  <c r="X42" i="6"/>
  <c r="X198" i="6"/>
  <c r="X61" i="6"/>
  <c r="X208" i="6"/>
  <c r="X146" i="6"/>
  <c r="X138" i="6"/>
  <c r="X135" i="6"/>
  <c r="X102" i="6"/>
  <c r="X68" i="6"/>
  <c r="X50" i="6"/>
  <c r="X47" i="6"/>
  <c r="X23" i="6"/>
  <c r="X12" i="6"/>
  <c r="X262" i="6"/>
  <c r="X104" i="6"/>
  <c r="X86" i="6"/>
  <c r="X84" i="6"/>
  <c r="X58" i="6"/>
  <c r="X239" i="6"/>
  <c r="X136" i="6"/>
  <c r="X11" i="6"/>
  <c r="X251" i="6"/>
  <c r="X154" i="6"/>
  <c r="X115" i="6"/>
  <c r="X71" i="6"/>
  <c r="X20" i="6"/>
  <c r="X101" i="6"/>
  <c r="X283" i="6"/>
  <c r="X51" i="6"/>
  <c r="X46" i="6"/>
  <c r="X41" i="6"/>
  <c r="X36" i="6"/>
  <c r="X31" i="6"/>
  <c r="X250" i="6"/>
  <c r="X98" i="6"/>
  <c r="X95" i="6"/>
  <c r="X76" i="6"/>
  <c r="X60" i="6"/>
  <c r="X57" i="6"/>
  <c r="X7" i="6"/>
  <c r="X3" i="6"/>
  <c r="X305" i="6"/>
  <c r="X290" i="6"/>
  <c r="X153" i="6"/>
  <c r="X92" i="6"/>
  <c r="X39" i="6"/>
  <c r="X34" i="6"/>
  <c r="X29" i="6"/>
  <c r="X21" i="6"/>
  <c r="X35" i="6"/>
  <c r="X196" i="6"/>
  <c r="X151" i="6"/>
  <c r="X206" i="6"/>
  <c r="X148" i="6"/>
  <c r="X13" i="6"/>
  <c r="X62" i="6"/>
  <c r="X28" i="6"/>
  <c r="X22" i="7"/>
  <c r="X270" i="6"/>
  <c r="X192" i="6"/>
  <c r="X56" i="7"/>
  <c r="X202" i="6"/>
  <c r="X157" i="6"/>
  <c r="X25" i="6"/>
  <c r="X24" i="6"/>
  <c r="X15" i="6"/>
  <c r="X5" i="6"/>
  <c r="X220" i="6"/>
  <c r="X90" i="6"/>
  <c r="X80" i="6"/>
  <c r="X212" i="6"/>
  <c r="X126" i="6"/>
  <c r="X108" i="6"/>
  <c r="X40" i="6"/>
  <c r="X10" i="6"/>
  <c r="X8" i="6"/>
  <c r="X147" i="6"/>
  <c r="X64" i="6"/>
  <c r="X18" i="6"/>
  <c r="X214" i="6"/>
  <c r="X22" i="6"/>
  <c r="X233" i="6"/>
  <c r="X4" i="6"/>
  <c r="X30" i="6"/>
  <c r="X193" i="6"/>
  <c r="X73" i="6"/>
  <c r="X152" i="6"/>
  <c r="X142" i="6"/>
  <c r="X130" i="6"/>
  <c r="X124" i="6"/>
  <c r="X63" i="6"/>
  <c r="X219" i="6"/>
  <c r="X59" i="6"/>
  <c r="X96" i="6"/>
  <c r="X9" i="6"/>
  <c r="X204" i="6"/>
  <c r="X14" i="6"/>
  <c r="X107" i="6"/>
  <c r="X103" i="6"/>
  <c r="X53" i="6"/>
  <c r="X2" i="6"/>
  <c r="X17" i="6"/>
  <c r="X52" i="6"/>
  <c r="X277" i="6"/>
  <c r="X109" i="6"/>
  <c r="X74" i="6"/>
  <c r="X35" i="7"/>
  <c r="X6" i="6"/>
  <c r="X16" i="6"/>
  <c r="X19" i="6"/>
  <c r="X114" i="6"/>
  <c r="R196" i="6"/>
  <c r="R201" i="6"/>
  <c r="R190" i="6"/>
  <c r="R195" i="6"/>
  <c r="R187" i="6"/>
  <c r="R193" i="6"/>
  <c r="R199" i="6"/>
  <c r="R191" i="6"/>
  <c r="R197" i="6"/>
  <c r="R198" i="6"/>
  <c r="R188" i="6"/>
  <c r="R192" i="6"/>
  <c r="R189" i="6"/>
  <c r="R186" i="6"/>
  <c r="R200" i="6"/>
  <c r="R194" i="6"/>
  <c r="P245" i="6"/>
  <c r="P234" i="6"/>
  <c r="P241" i="6"/>
  <c r="P242" i="6"/>
  <c r="P243" i="6"/>
  <c r="P235" i="6"/>
  <c r="P249" i="6"/>
  <c r="P238" i="6"/>
  <c r="P236" i="6"/>
  <c r="P237" i="6"/>
  <c r="P244" i="6"/>
  <c r="P239" i="6"/>
  <c r="P247" i="6"/>
  <c r="P246" i="6"/>
  <c r="P248" i="6"/>
  <c r="P240" i="6"/>
  <c r="AO11" i="9"/>
  <c r="AY79" i="8"/>
  <c r="AY68" i="8"/>
  <c r="AY57" i="8"/>
  <c r="AY49" i="8"/>
  <c r="AY38" i="8"/>
  <c r="AY8" i="8"/>
  <c r="AO7" i="9"/>
  <c r="AO15" i="9"/>
  <c r="AY96" i="8"/>
  <c r="AY100" i="8"/>
  <c r="AY98" i="8"/>
  <c r="AY92" i="8"/>
  <c r="AO10" i="9"/>
  <c r="AO3" i="9"/>
  <c r="AY97" i="8"/>
  <c r="AO13" i="9"/>
  <c r="AO6" i="9"/>
  <c r="AO5" i="9"/>
  <c r="AY61" i="8"/>
  <c r="AY30" i="8"/>
  <c r="AY81" i="8"/>
  <c r="AY75" i="8"/>
  <c r="AY65" i="8"/>
  <c r="AY58" i="8"/>
  <c r="AO8" i="9"/>
  <c r="AY43" i="8"/>
  <c r="AY34" i="8"/>
  <c r="AY29" i="8"/>
  <c r="AY24" i="8"/>
  <c r="AY5" i="8"/>
  <c r="AY98" i="7"/>
  <c r="AY79" i="7"/>
  <c r="AY64" i="7"/>
  <c r="AY44" i="7"/>
  <c r="AY33" i="7"/>
  <c r="AO14" i="9"/>
  <c r="AY41" i="8"/>
  <c r="AY6" i="8"/>
  <c r="AY95" i="7"/>
  <c r="AY61" i="7"/>
  <c r="AY63" i="8"/>
  <c r="AY39" i="8"/>
  <c r="AY37" i="8"/>
  <c r="AY3" i="8"/>
  <c r="AY101" i="7"/>
  <c r="AY75" i="7"/>
  <c r="AY56" i="7"/>
  <c r="AY62" i="8"/>
  <c r="AY33" i="8"/>
  <c r="AY21" i="8"/>
  <c r="AY85" i="7"/>
  <c r="AY59" i="7"/>
  <c r="AY89" i="8"/>
  <c r="AY84" i="8"/>
  <c r="AY78" i="8"/>
  <c r="AY67" i="8"/>
  <c r="AY40" i="8"/>
  <c r="AY7" i="8"/>
  <c r="AY89" i="7"/>
  <c r="AY40" i="7"/>
  <c r="AY31" i="7"/>
  <c r="AY17" i="7"/>
  <c r="AO16" i="9"/>
  <c r="AY101" i="8"/>
  <c r="AY85" i="8"/>
  <c r="AY32" i="8"/>
  <c r="AY19" i="8"/>
  <c r="AY13" i="8"/>
  <c r="AY93" i="7"/>
  <c r="AY70" i="7"/>
  <c r="AY14" i="7"/>
  <c r="AY7" i="7"/>
  <c r="AY312" i="6"/>
  <c r="AY301" i="6"/>
  <c r="AY290" i="6"/>
  <c r="AY279" i="6"/>
  <c r="AY268" i="6"/>
  <c r="AY262" i="6"/>
  <c r="AY42" i="8"/>
  <c r="AY82" i="7"/>
  <c r="AY53" i="8"/>
  <c r="AY28" i="8"/>
  <c r="AY88" i="8"/>
  <c r="AY71" i="8"/>
  <c r="AY87" i="8"/>
  <c r="AY11" i="8"/>
  <c r="AY92" i="7"/>
  <c r="AY52" i="7"/>
  <c r="AY46" i="7"/>
  <c r="AY28" i="7"/>
  <c r="AY15" i="7"/>
  <c r="AY8" i="7"/>
  <c r="AY56" i="8"/>
  <c r="AY48" i="8"/>
  <c r="AY47" i="8"/>
  <c r="AY36" i="8"/>
  <c r="AY27" i="8"/>
  <c r="AY100" i="7"/>
  <c r="AY60" i="7"/>
  <c r="AY70" i="8"/>
  <c r="AY69" i="8"/>
  <c r="AY44" i="8"/>
  <c r="AY90" i="7"/>
  <c r="AY78" i="7"/>
  <c r="AY19" i="7"/>
  <c r="AY313" i="6"/>
  <c r="AY281" i="6"/>
  <c r="AY35" i="7"/>
  <c r="AY26" i="7"/>
  <c r="AY9" i="7"/>
  <c r="AY306" i="6"/>
  <c r="AY284" i="6"/>
  <c r="AY99" i="8"/>
  <c r="AY59" i="8"/>
  <c r="AY10" i="8"/>
  <c r="AY86" i="7"/>
  <c r="AY9" i="8"/>
  <c r="AY88" i="7"/>
  <c r="AY71" i="7"/>
  <c r="AY68" i="7"/>
  <c r="AY27" i="7"/>
  <c r="AY45" i="8"/>
  <c r="AY51" i="7"/>
  <c r="AY34" i="7"/>
  <c r="AO2" i="9"/>
  <c r="AY90" i="8"/>
  <c r="AO4" i="9"/>
  <c r="AY77" i="8"/>
  <c r="AY60" i="8"/>
  <c r="AY46" i="8"/>
  <c r="AY17" i="8"/>
  <c r="AY74" i="8"/>
  <c r="AY94" i="7"/>
  <c r="AY67" i="7"/>
  <c r="AY48" i="7"/>
  <c r="AY36" i="7"/>
  <c r="AY12" i="8"/>
  <c r="AY4" i="8"/>
  <c r="AY93" i="8"/>
  <c r="AY31" i="8"/>
  <c r="AY18" i="8"/>
  <c r="AO12" i="9"/>
  <c r="AY76" i="8"/>
  <c r="AY35" i="8"/>
  <c r="AY80" i="8"/>
  <c r="AY69" i="7"/>
  <c r="AY63" i="7"/>
  <c r="AY64" i="8"/>
  <c r="AY22" i="8"/>
  <c r="AY74" i="7"/>
  <c r="AY95" i="8"/>
  <c r="AY91" i="8"/>
  <c r="AY83" i="8"/>
  <c r="AY25" i="8"/>
  <c r="AY14" i="8"/>
  <c r="AY2" i="8"/>
  <c r="AY57" i="7"/>
  <c r="AY66" i="8"/>
  <c r="AY55" i="8"/>
  <c r="AY54" i="8"/>
  <c r="AY54" i="7"/>
  <c r="AY18" i="7"/>
  <c r="AY16" i="7"/>
  <c r="AY309" i="6"/>
  <c r="AY302" i="6"/>
  <c r="AY300" i="6"/>
  <c r="AY86" i="8"/>
  <c r="AY42" i="7"/>
  <c r="AY97" i="7"/>
  <c r="AY50" i="8"/>
  <c r="AY20" i="8"/>
  <c r="AY16" i="8"/>
  <c r="AY83" i="7"/>
  <c r="AY29" i="7"/>
  <c r="AY23" i="8"/>
  <c r="AY65" i="7"/>
  <c r="AY311" i="6"/>
  <c r="AY293" i="6"/>
  <c r="AY94" i="8"/>
  <c r="AY26" i="8"/>
  <c r="AY80" i="7"/>
  <c r="AY5" i="7"/>
  <c r="AY2" i="7"/>
  <c r="AY73" i="7"/>
  <c r="AY43" i="7"/>
  <c r="AY304" i="6"/>
  <c r="AY87" i="7"/>
  <c r="AY11" i="7"/>
  <c r="AY307" i="6"/>
  <c r="AY15" i="8"/>
  <c r="AY77" i="7"/>
  <c r="AY62" i="7"/>
  <c r="AY50" i="7"/>
  <c r="AY23" i="7"/>
  <c r="AY22" i="7"/>
  <c r="AY289" i="6"/>
  <c r="AY305" i="6"/>
  <c r="AY91" i="7"/>
  <c r="AY32" i="7"/>
  <c r="AY299" i="6"/>
  <c r="AY285" i="6"/>
  <c r="AY271" i="6"/>
  <c r="AY51" i="8"/>
  <c r="AY310" i="6"/>
  <c r="AY308" i="6"/>
  <c r="AO9" i="9"/>
  <c r="AY292" i="6"/>
  <c r="AY288" i="6"/>
  <c r="AY276" i="6"/>
  <c r="AY99" i="7"/>
  <c r="AY76" i="7"/>
  <c r="AY49" i="7"/>
  <c r="AY256" i="6"/>
  <c r="AY255" i="6"/>
  <c r="AY249" i="6"/>
  <c r="AY238" i="6"/>
  <c r="AY227" i="6"/>
  <c r="AY216" i="6"/>
  <c r="AY21" i="7"/>
  <c r="AY248" i="6"/>
  <c r="AY237" i="6"/>
  <c r="AY52" i="8"/>
  <c r="AY37" i="7"/>
  <c r="AY72" i="8"/>
  <c r="AY58" i="7"/>
  <c r="AY53" i="7"/>
  <c r="AY6" i="7"/>
  <c r="AY277" i="6"/>
  <c r="AY222" i="6"/>
  <c r="AY4" i="7"/>
  <c r="AY280" i="6"/>
  <c r="AY257" i="6"/>
  <c r="AY253" i="6"/>
  <c r="AY244" i="6"/>
  <c r="AY236" i="6"/>
  <c r="AY221" i="6"/>
  <c r="AY13" i="7"/>
  <c r="AY264" i="6"/>
  <c r="AY296" i="6"/>
  <c r="AY282" i="6"/>
  <c r="AY259" i="6"/>
  <c r="AY245" i="6"/>
  <c r="AY220" i="6"/>
  <c r="AY45" i="7"/>
  <c r="AY254" i="6"/>
  <c r="AY39" i="7"/>
  <c r="AY30" i="7"/>
  <c r="AY261" i="6"/>
  <c r="AY246" i="6"/>
  <c r="AY219" i="6"/>
  <c r="AY283" i="6"/>
  <c r="AY66" i="7"/>
  <c r="AY41" i="7"/>
  <c r="AY286" i="6"/>
  <c r="AY267" i="6"/>
  <c r="AY232" i="6"/>
  <c r="AY210" i="6"/>
  <c r="AY199" i="6"/>
  <c r="AY188" i="6"/>
  <c r="AY177" i="6"/>
  <c r="AY166" i="6"/>
  <c r="AY155" i="6"/>
  <c r="AY144" i="6"/>
  <c r="AY133" i="6"/>
  <c r="AY122" i="6"/>
  <c r="AY111" i="6"/>
  <c r="AY73" i="8"/>
  <c r="AY84" i="7"/>
  <c r="AY229" i="6"/>
  <c r="AY96" i="7"/>
  <c r="AY272" i="6"/>
  <c r="AY263" i="6"/>
  <c r="AY224" i="6"/>
  <c r="AY204" i="6"/>
  <c r="AY193" i="6"/>
  <c r="AY182" i="6"/>
  <c r="AY171" i="6"/>
  <c r="AY160" i="6"/>
  <c r="AY149" i="6"/>
  <c r="AY138" i="6"/>
  <c r="AY127" i="6"/>
  <c r="AY116" i="6"/>
  <c r="AY270" i="6"/>
  <c r="AY242" i="6"/>
  <c r="AY226" i="6"/>
  <c r="AY209" i="6"/>
  <c r="AY198" i="6"/>
  <c r="AY187" i="6"/>
  <c r="AY176" i="6"/>
  <c r="AY165" i="6"/>
  <c r="AY154" i="6"/>
  <c r="AY143" i="6"/>
  <c r="AY132" i="6"/>
  <c r="AY121" i="6"/>
  <c r="AY303" i="6"/>
  <c r="AY298" i="6"/>
  <c r="AY294" i="6"/>
  <c r="AY235" i="6"/>
  <c r="AY275" i="6"/>
  <c r="AY203" i="6"/>
  <c r="AY192" i="6"/>
  <c r="AY181" i="6"/>
  <c r="AY170" i="6"/>
  <c r="AY159" i="6"/>
  <c r="AY148" i="6"/>
  <c r="AY137" i="6"/>
  <c r="AY126" i="6"/>
  <c r="AY12" i="7"/>
  <c r="AY191" i="6"/>
  <c r="AY146" i="6"/>
  <c r="AY110" i="6"/>
  <c r="AY38" i="7"/>
  <c r="AY25" i="7"/>
  <c r="AY197" i="6"/>
  <c r="AY183" i="6"/>
  <c r="AY152" i="6"/>
  <c r="AY104" i="6"/>
  <c r="AY93" i="6"/>
  <c r="AY82" i="6"/>
  <c r="AY278" i="6"/>
  <c r="AY189" i="6"/>
  <c r="AY158" i="6"/>
  <c r="AY20" i="7"/>
  <c r="AY273" i="6"/>
  <c r="AY233" i="6"/>
  <c r="AY218" i="6"/>
  <c r="AY195" i="6"/>
  <c r="AY164" i="6"/>
  <c r="AY150" i="6"/>
  <c r="AY109" i="6"/>
  <c r="AY98" i="6"/>
  <c r="AY87" i="6"/>
  <c r="AY76" i="6"/>
  <c r="AY65" i="6"/>
  <c r="AY24" i="7"/>
  <c r="AY234" i="6"/>
  <c r="AY201" i="6"/>
  <c r="AY156" i="6"/>
  <c r="AY125" i="6"/>
  <c r="AY3" i="7"/>
  <c r="AY266" i="6"/>
  <c r="AY207" i="6"/>
  <c r="AY162" i="6"/>
  <c r="AY131" i="6"/>
  <c r="AY118" i="6"/>
  <c r="AY112" i="6"/>
  <c r="AY103" i="6"/>
  <c r="AY92" i="6"/>
  <c r="AY81" i="6"/>
  <c r="AY70" i="6"/>
  <c r="AY10" i="7"/>
  <c r="AY251" i="6"/>
  <c r="AY217" i="6"/>
  <c r="AY205" i="6"/>
  <c r="AY174" i="6"/>
  <c r="AY129" i="6"/>
  <c r="AY123" i="6"/>
  <c r="AY108" i="6"/>
  <c r="AY97" i="6"/>
  <c r="AY86" i="6"/>
  <c r="AY75" i="6"/>
  <c r="AY213" i="6"/>
  <c r="AY141" i="6"/>
  <c r="AY117" i="6"/>
  <c r="AY102" i="6"/>
  <c r="AY88" i="6"/>
  <c r="AY82" i="8"/>
  <c r="AY260" i="6"/>
  <c r="AY211" i="6"/>
  <c r="AY145" i="6"/>
  <c r="AY94" i="6"/>
  <c r="AY69" i="6"/>
  <c r="AY48" i="6"/>
  <c r="AY37" i="6"/>
  <c r="AY26" i="6"/>
  <c r="AY250" i="6"/>
  <c r="AY215" i="6"/>
  <c r="AY208" i="6"/>
  <c r="AY142" i="6"/>
  <c r="AY135" i="6"/>
  <c r="AY115" i="6"/>
  <c r="AY100" i="6"/>
  <c r="AY72" i="6"/>
  <c r="AY240" i="6"/>
  <c r="AY230" i="6"/>
  <c r="AY212" i="6"/>
  <c r="AY139" i="6"/>
  <c r="AY106" i="6"/>
  <c r="AY53" i="6"/>
  <c r="AY42" i="6"/>
  <c r="AY31" i="6"/>
  <c r="AY214" i="6"/>
  <c r="AY202" i="6"/>
  <c r="AY136" i="6"/>
  <c r="AY114" i="6"/>
  <c r="AY297" i="6"/>
  <c r="AY206" i="6"/>
  <c r="AY140" i="6"/>
  <c r="AY47" i="6"/>
  <c r="AY36" i="6"/>
  <c r="AY25" i="6"/>
  <c r="AY81" i="7"/>
  <c r="AY228" i="6"/>
  <c r="AY225" i="6"/>
  <c r="AY196" i="6"/>
  <c r="AY130" i="6"/>
  <c r="AY113" i="6"/>
  <c r="AY79" i="6"/>
  <c r="AY243" i="6"/>
  <c r="AY200" i="6"/>
  <c r="AY186" i="6"/>
  <c r="AY134" i="6"/>
  <c r="AY85" i="6"/>
  <c r="AY52" i="6"/>
  <c r="AY41" i="6"/>
  <c r="AY30" i="6"/>
  <c r="AY190" i="6"/>
  <c r="AY72" i="7"/>
  <c r="AY252" i="6"/>
  <c r="AY175" i="6"/>
  <c r="AY33" i="6"/>
  <c r="AY12" i="6"/>
  <c r="AY47" i="7"/>
  <c r="AY178" i="6"/>
  <c r="AY73" i="6"/>
  <c r="AY64" i="6"/>
  <c r="AY59" i="6"/>
  <c r="AY38" i="6"/>
  <c r="AY35" i="6"/>
  <c r="AY17" i="6"/>
  <c r="AY6" i="6"/>
  <c r="AY147" i="6"/>
  <c r="AY23" i="6"/>
  <c r="AY184" i="6"/>
  <c r="AY95" i="6"/>
  <c r="AY74" i="6"/>
  <c r="AY63" i="6"/>
  <c r="AY56" i="6"/>
  <c r="AY43" i="6"/>
  <c r="AY40" i="6"/>
  <c r="AY22" i="6"/>
  <c r="AY11" i="6"/>
  <c r="AY291" i="6"/>
  <c r="AY194" i="6"/>
  <c r="AY161" i="6"/>
  <c r="AY153" i="6"/>
  <c r="AY77" i="6"/>
  <c r="AY62" i="6"/>
  <c r="AY45" i="6"/>
  <c r="AY16" i="6"/>
  <c r="AY5" i="6"/>
  <c r="AY68" i="6"/>
  <c r="AY105" i="6"/>
  <c r="AY83" i="6"/>
  <c r="AY151" i="6"/>
  <c r="AY96" i="6"/>
  <c r="AY2" i="6"/>
  <c r="AY185" i="6"/>
  <c r="AY180" i="6"/>
  <c r="AY124" i="6"/>
  <c r="AY274" i="6"/>
  <c r="AY265" i="6"/>
  <c r="AY169" i="6"/>
  <c r="AY128" i="6"/>
  <c r="AY120" i="6"/>
  <c r="AY3" i="6"/>
  <c r="AY241" i="6"/>
  <c r="AY179" i="6"/>
  <c r="AY247" i="6"/>
  <c r="AY157" i="6"/>
  <c r="AY44" i="6"/>
  <c r="AY80" i="6"/>
  <c r="AY78" i="6"/>
  <c r="AY14" i="6"/>
  <c r="AY9" i="6"/>
  <c r="AY90" i="6"/>
  <c r="AY84" i="6"/>
  <c r="AY67" i="6"/>
  <c r="AY258" i="6"/>
  <c r="AY168" i="6"/>
  <c r="AY60" i="6"/>
  <c r="AY19" i="6"/>
  <c r="AY163" i="6"/>
  <c r="AY49" i="6"/>
  <c r="AY55" i="7"/>
  <c r="AY34" i="6"/>
  <c r="AY21" i="6"/>
  <c r="AY295" i="6"/>
  <c r="AY172" i="6"/>
  <c r="AY66" i="6"/>
  <c r="AY27" i="6"/>
  <c r="AY91" i="6"/>
  <c r="AY99" i="6"/>
  <c r="AY173" i="6"/>
  <c r="AY54" i="6"/>
  <c r="AY107" i="6"/>
  <c r="AY167" i="6"/>
  <c r="AY29" i="6"/>
  <c r="AY13" i="6"/>
  <c r="AY231" i="6"/>
  <c r="AY51" i="6"/>
  <c r="AY15" i="6"/>
  <c r="AY71" i="6"/>
  <c r="AY269" i="6"/>
  <c r="AY50" i="6"/>
  <c r="AY61" i="6"/>
  <c r="AY32" i="6"/>
  <c r="AY4" i="6"/>
  <c r="AY24" i="6"/>
  <c r="AY287" i="6"/>
  <c r="AY39" i="6"/>
  <c r="AY20" i="6"/>
  <c r="AY18" i="6"/>
  <c r="AY239" i="6"/>
  <c r="AY58" i="6"/>
  <c r="AY101" i="6"/>
  <c r="AY7" i="6"/>
  <c r="AY10" i="6"/>
  <c r="AY28" i="6"/>
  <c r="AY57" i="6"/>
  <c r="AY8" i="6"/>
  <c r="AY223" i="6"/>
  <c r="AY119" i="6"/>
  <c r="AY89" i="6"/>
  <c r="AY55" i="6"/>
  <c r="AY46" i="6"/>
  <c r="N30" i="7"/>
  <c r="N32" i="8"/>
  <c r="N31" i="8"/>
  <c r="N32" i="7"/>
  <c r="N33" i="8"/>
  <c r="N33" i="7"/>
  <c r="N30" i="8"/>
  <c r="N31" i="7"/>
  <c r="N97" i="6"/>
  <c r="N102" i="6"/>
  <c r="N91" i="6"/>
  <c r="N96" i="6"/>
  <c r="N90" i="6"/>
  <c r="N94" i="6"/>
  <c r="N100" i="6"/>
  <c r="N92" i="6"/>
  <c r="N98" i="6"/>
  <c r="N104" i="6"/>
  <c r="N99" i="6"/>
  <c r="N101" i="6"/>
  <c r="N103" i="6"/>
  <c r="N93" i="6"/>
  <c r="N105" i="6"/>
  <c r="N95" i="6"/>
  <c r="S34" i="8"/>
  <c r="S37" i="7"/>
  <c r="S36" i="7"/>
  <c r="S37" i="8"/>
  <c r="S35" i="7"/>
  <c r="S36" i="8"/>
  <c r="S34" i="7"/>
  <c r="S35" i="8"/>
  <c r="S119" i="6"/>
  <c r="S113" i="6"/>
  <c r="S118" i="6"/>
  <c r="S120" i="6"/>
  <c r="S115" i="6"/>
  <c r="S106" i="6"/>
  <c r="S111" i="6"/>
  <c r="S114" i="6"/>
  <c r="S110" i="6"/>
  <c r="S108" i="6"/>
  <c r="S121" i="6"/>
  <c r="S117" i="6"/>
  <c r="S107" i="6"/>
  <c r="S112" i="6"/>
  <c r="S109" i="6"/>
  <c r="S116" i="6"/>
  <c r="O50" i="8"/>
  <c r="O53" i="7"/>
  <c r="O53" i="8"/>
  <c r="O52" i="8"/>
  <c r="O51" i="7"/>
  <c r="O51" i="8"/>
  <c r="O50" i="7"/>
  <c r="O175" i="6"/>
  <c r="O180" i="6"/>
  <c r="O185" i="6"/>
  <c r="O174" i="6"/>
  <c r="O179" i="6"/>
  <c r="O177" i="6"/>
  <c r="O183" i="6"/>
  <c r="O181" i="6"/>
  <c r="O184" i="6"/>
  <c r="O178" i="6"/>
  <c r="O182" i="6"/>
  <c r="O172" i="6"/>
  <c r="O171" i="6"/>
  <c r="O52" i="7"/>
  <c r="O176" i="6"/>
  <c r="O173" i="6"/>
  <c r="O170" i="6"/>
  <c r="L246" i="6"/>
  <c r="L235" i="6"/>
  <c r="L248" i="6"/>
  <c r="L240" i="6"/>
  <c r="L249" i="6"/>
  <c r="L241" i="6"/>
  <c r="L242" i="6"/>
  <c r="L239" i="6"/>
  <c r="L243" i="6"/>
  <c r="L244" i="6"/>
  <c r="L245" i="6"/>
  <c r="L236" i="6"/>
  <c r="L237" i="6"/>
  <c r="L234" i="6"/>
  <c r="L247" i="6"/>
  <c r="L238" i="6"/>
  <c r="Q265" i="6"/>
  <c r="Q262" i="6"/>
  <c r="Q252" i="6"/>
  <c r="Q251" i="6"/>
  <c r="Q260" i="6"/>
  <c r="Q250" i="6"/>
  <c r="Q264" i="6"/>
  <c r="Q259" i="6"/>
  <c r="Q257" i="6"/>
  <c r="Q263" i="6"/>
  <c r="Q253" i="6"/>
  <c r="Q258" i="6"/>
  <c r="Q254" i="6"/>
  <c r="Q256" i="6"/>
  <c r="Q255" i="6"/>
  <c r="Q261" i="6"/>
  <c r="AE12" i="9"/>
  <c r="AO97" i="8"/>
  <c r="AO82" i="8"/>
  <c r="AO71" i="8"/>
  <c r="AO60" i="8"/>
  <c r="AO46" i="8"/>
  <c r="AE16" i="9"/>
  <c r="AO99" i="8"/>
  <c r="AO96" i="8"/>
  <c r="AO70" i="8"/>
  <c r="AO55" i="8"/>
  <c r="AO47" i="8"/>
  <c r="AO12" i="8"/>
  <c r="AE9" i="9"/>
  <c r="AO90" i="8"/>
  <c r="AE2" i="9"/>
  <c r="AO89" i="8"/>
  <c r="AO83" i="8"/>
  <c r="AO73" i="8"/>
  <c r="AE3" i="9"/>
  <c r="AO87" i="8"/>
  <c r="AO85" i="8"/>
  <c r="AO75" i="8"/>
  <c r="AO51" i="8"/>
  <c r="AO50" i="8"/>
  <c r="AO49" i="8"/>
  <c r="AO48" i="8"/>
  <c r="AE4" i="9"/>
  <c r="AO98" i="8"/>
  <c r="AO88" i="8"/>
  <c r="AO32" i="8"/>
  <c r="AO41" i="8"/>
  <c r="AO94" i="8"/>
  <c r="AE10" i="9"/>
  <c r="AO100" i="8"/>
  <c r="AO26" i="8"/>
  <c r="AO84" i="8"/>
  <c r="AO91" i="8"/>
  <c r="AO65" i="8"/>
  <c r="AO42" i="8"/>
  <c r="AO3" i="8"/>
  <c r="AO85" i="7"/>
  <c r="AO66" i="7"/>
  <c r="AO54" i="7"/>
  <c r="AO52" i="7"/>
  <c r="AO41" i="7"/>
  <c r="AO30" i="7"/>
  <c r="AE8" i="9"/>
  <c r="AO101" i="8"/>
  <c r="AO37" i="8"/>
  <c r="AO22" i="8"/>
  <c r="AO4" i="8"/>
  <c r="AO101" i="7"/>
  <c r="AO82" i="7"/>
  <c r="AO67" i="7"/>
  <c r="AO95" i="8"/>
  <c r="AO34" i="8"/>
  <c r="AO93" i="7"/>
  <c r="AO86" i="7"/>
  <c r="AO34" i="7"/>
  <c r="AO33" i="7"/>
  <c r="AO32" i="7"/>
  <c r="AO31" i="7"/>
  <c r="AE14" i="9"/>
  <c r="AE7" i="9"/>
  <c r="AO69" i="8"/>
  <c r="AO19" i="8"/>
  <c r="AO13" i="8"/>
  <c r="AO58" i="7"/>
  <c r="AO59" i="8"/>
  <c r="AO52" i="8"/>
  <c r="AO29" i="8"/>
  <c r="AO99" i="7"/>
  <c r="AO76" i="7"/>
  <c r="AO46" i="7"/>
  <c r="AO27" i="7"/>
  <c r="AO22" i="7"/>
  <c r="AO2" i="7"/>
  <c r="AE15" i="9"/>
  <c r="AO80" i="7"/>
  <c r="AO57" i="7"/>
  <c r="AO48" i="7"/>
  <c r="AO39" i="7"/>
  <c r="AO29" i="7"/>
  <c r="AO304" i="6"/>
  <c r="AO293" i="6"/>
  <c r="AO282" i="6"/>
  <c r="AO271" i="6"/>
  <c r="AO259" i="6"/>
  <c r="AO93" i="8"/>
  <c r="AO44" i="8"/>
  <c r="AO15" i="8"/>
  <c r="AO96" i="7"/>
  <c r="AO43" i="8"/>
  <c r="AO21" i="8"/>
  <c r="AO79" i="8"/>
  <c r="AO54" i="8"/>
  <c r="AO24" i="8"/>
  <c r="AO18" i="8"/>
  <c r="AO8" i="8"/>
  <c r="AO71" i="7"/>
  <c r="AE6" i="9"/>
  <c r="AO61" i="8"/>
  <c r="AO38" i="8"/>
  <c r="AO28" i="8"/>
  <c r="AO61" i="7"/>
  <c r="AO45" i="7"/>
  <c r="AO21" i="7"/>
  <c r="AO57" i="8"/>
  <c r="AO27" i="8"/>
  <c r="AO20" i="8"/>
  <c r="AO92" i="7"/>
  <c r="AO31" i="8"/>
  <c r="AO94" i="7"/>
  <c r="AO81" i="7"/>
  <c r="AO312" i="6"/>
  <c r="AO305" i="6"/>
  <c r="AO300" i="6"/>
  <c r="AO297" i="6"/>
  <c r="AO277" i="6"/>
  <c r="AO274" i="6"/>
  <c r="AO92" i="8"/>
  <c r="AO30" i="8"/>
  <c r="AO60" i="7"/>
  <c r="AO25" i="7"/>
  <c r="AO66" i="8"/>
  <c r="AO45" i="8"/>
  <c r="AO72" i="8"/>
  <c r="AO6" i="8"/>
  <c r="AO98" i="7"/>
  <c r="AO20" i="7"/>
  <c r="AO78" i="7"/>
  <c r="AO77" i="7"/>
  <c r="AO37" i="7"/>
  <c r="AO86" i="8"/>
  <c r="AO62" i="8"/>
  <c r="AO39" i="8"/>
  <c r="AE11" i="9"/>
  <c r="AO77" i="8"/>
  <c r="AO40" i="8"/>
  <c r="AO9" i="8"/>
  <c r="AO89" i="7"/>
  <c r="AO88" i="7"/>
  <c r="AO69" i="7"/>
  <c r="AO68" i="7"/>
  <c r="AO74" i="7"/>
  <c r="AO16" i="8"/>
  <c r="AO11" i="8"/>
  <c r="AO7" i="8"/>
  <c r="AO75" i="7"/>
  <c r="AO49" i="7"/>
  <c r="AO63" i="8"/>
  <c r="AO74" i="8"/>
  <c r="AO17" i="8"/>
  <c r="AO23" i="8"/>
  <c r="AO73" i="7"/>
  <c r="AO51" i="7"/>
  <c r="AO67" i="8"/>
  <c r="AO56" i="8"/>
  <c r="AO80" i="8"/>
  <c r="AO76" i="8"/>
  <c r="AO53" i="8"/>
  <c r="AO56" i="7"/>
  <c r="AO64" i="8"/>
  <c r="AO58" i="8"/>
  <c r="AO97" i="7"/>
  <c r="AO63" i="7"/>
  <c r="AO5" i="8"/>
  <c r="AO91" i="7"/>
  <c r="AO33" i="8"/>
  <c r="AO95" i="7"/>
  <c r="AO62" i="7"/>
  <c r="AO53" i="7"/>
  <c r="AO14" i="8"/>
  <c r="AO87" i="7"/>
  <c r="AO44" i="7"/>
  <c r="AO25" i="8"/>
  <c r="AO72" i="7"/>
  <c r="AO13" i="7"/>
  <c r="AO43" i="7"/>
  <c r="AO38" i="7"/>
  <c r="AO24" i="7"/>
  <c r="AO18" i="7"/>
  <c r="AO83" i="7"/>
  <c r="AO42" i="7"/>
  <c r="AO78" i="8"/>
  <c r="AO309" i="6"/>
  <c r="AO294" i="6"/>
  <c r="AO6" i="7"/>
  <c r="AE13" i="9"/>
  <c r="AO50" i="7"/>
  <c r="AO15" i="7"/>
  <c r="AO3" i="7"/>
  <c r="AO287" i="6"/>
  <c r="AO281" i="6"/>
  <c r="AO9" i="7"/>
  <c r="AO302" i="6"/>
  <c r="AO285" i="6"/>
  <c r="AO65" i="7"/>
  <c r="AO19" i="7"/>
  <c r="AE5" i="9"/>
  <c r="AO47" i="7"/>
  <c r="AO100" i="7"/>
  <c r="AO12" i="7"/>
  <c r="AO295" i="6"/>
  <c r="AO290" i="6"/>
  <c r="AO68" i="8"/>
  <c r="AO59" i="7"/>
  <c r="AO26" i="7"/>
  <c r="AO16" i="7"/>
  <c r="AO10" i="8"/>
  <c r="AO70" i="7"/>
  <c r="AO17" i="7"/>
  <c r="AO280" i="6"/>
  <c r="AO269" i="6"/>
  <c r="AO301" i="6"/>
  <c r="AO64" i="7"/>
  <c r="AO303" i="6"/>
  <c r="AO310" i="6"/>
  <c r="AO283" i="6"/>
  <c r="AO264" i="6"/>
  <c r="AO246" i="6"/>
  <c r="AO235" i="6"/>
  <c r="AO224" i="6"/>
  <c r="AO213" i="6"/>
  <c r="AO35" i="8"/>
  <c r="AO40" i="7"/>
  <c r="AO23" i="7"/>
  <c r="AO313" i="6"/>
  <c r="AO245" i="6"/>
  <c r="AO234" i="6"/>
  <c r="AO81" i="8"/>
  <c r="AO55" i="7"/>
  <c r="AO311" i="6"/>
  <c r="AO298" i="6"/>
  <c r="AO299" i="6"/>
  <c r="AO272" i="6"/>
  <c r="AO260" i="6"/>
  <c r="AO256" i="6"/>
  <c r="AO229" i="6"/>
  <c r="AO227" i="6"/>
  <c r="AO79" i="7"/>
  <c r="AO28" i="7"/>
  <c r="AO273" i="6"/>
  <c r="AO265" i="6"/>
  <c r="AO232" i="6"/>
  <c r="AO231" i="6"/>
  <c r="AO230" i="6"/>
  <c r="AO250" i="6"/>
  <c r="AO241" i="6"/>
  <c r="AO233" i="6"/>
  <c r="AO226" i="6"/>
  <c r="AO291" i="6"/>
  <c r="AO292" i="6"/>
  <c r="AO279" i="6"/>
  <c r="AO276" i="6"/>
  <c r="AO275" i="6"/>
  <c r="AO262" i="6"/>
  <c r="AO242" i="6"/>
  <c r="AO225" i="6"/>
  <c r="AO36" i="8"/>
  <c r="AO4" i="7"/>
  <c r="AO307" i="6"/>
  <c r="AO278" i="6"/>
  <c r="AO251" i="6"/>
  <c r="AO36" i="7"/>
  <c r="AO11" i="7"/>
  <c r="AO243" i="6"/>
  <c r="AO255" i="6"/>
  <c r="AO220" i="6"/>
  <c r="AO216" i="6"/>
  <c r="AO207" i="6"/>
  <c r="AO196" i="6"/>
  <c r="AO185" i="6"/>
  <c r="AO174" i="6"/>
  <c r="AO163" i="6"/>
  <c r="AO152" i="6"/>
  <c r="AO141" i="6"/>
  <c r="AO130" i="6"/>
  <c r="AO119" i="6"/>
  <c r="AO247" i="6"/>
  <c r="AO84" i="7"/>
  <c r="AO254" i="6"/>
  <c r="AO240" i="6"/>
  <c r="AO236" i="6"/>
  <c r="AO222" i="6"/>
  <c r="AO212" i="6"/>
  <c r="AO201" i="6"/>
  <c r="AO190" i="6"/>
  <c r="AO179" i="6"/>
  <c r="AO168" i="6"/>
  <c r="AO157" i="6"/>
  <c r="AO146" i="6"/>
  <c r="AO135" i="6"/>
  <c r="AO124" i="6"/>
  <c r="AO113" i="6"/>
  <c r="AO35" i="7"/>
  <c r="AO8" i="7"/>
  <c r="AO206" i="6"/>
  <c r="AO195" i="6"/>
  <c r="AO184" i="6"/>
  <c r="AO173" i="6"/>
  <c r="AO162" i="6"/>
  <c r="AO151" i="6"/>
  <c r="AO140" i="6"/>
  <c r="AO129" i="6"/>
  <c r="AO118" i="6"/>
  <c r="AO5" i="7"/>
  <c r="AO261" i="6"/>
  <c r="AO306" i="6"/>
  <c r="AO296" i="6"/>
  <c r="AO253" i="6"/>
  <c r="AO211" i="6"/>
  <c r="AO200" i="6"/>
  <c r="AO189" i="6"/>
  <c r="AO178" i="6"/>
  <c r="AO167" i="6"/>
  <c r="AO156" i="6"/>
  <c r="AO145" i="6"/>
  <c r="AO134" i="6"/>
  <c r="AO204" i="6"/>
  <c r="AO159" i="6"/>
  <c r="AO128" i="6"/>
  <c r="AO210" i="6"/>
  <c r="AO165" i="6"/>
  <c r="AO117" i="6"/>
  <c r="AO101" i="6"/>
  <c r="AO90" i="6"/>
  <c r="AO79" i="6"/>
  <c r="AO202" i="6"/>
  <c r="AO171" i="6"/>
  <c r="AO126" i="6"/>
  <c r="AO114" i="6"/>
  <c r="AO2" i="8"/>
  <c r="AO288" i="6"/>
  <c r="AO258" i="6"/>
  <c r="AO208" i="6"/>
  <c r="AO177" i="6"/>
  <c r="AO132" i="6"/>
  <c r="AO122" i="6"/>
  <c r="AO106" i="6"/>
  <c r="AO95" i="6"/>
  <c r="AO84" i="6"/>
  <c r="AO73" i="6"/>
  <c r="AO62" i="6"/>
  <c r="AO248" i="6"/>
  <c r="AO183" i="6"/>
  <c r="AO169" i="6"/>
  <c r="AO138" i="6"/>
  <c r="AO90" i="7"/>
  <c r="AO7" i="7"/>
  <c r="AO249" i="6"/>
  <c r="AO175" i="6"/>
  <c r="AO144" i="6"/>
  <c r="AO100" i="6"/>
  <c r="AO89" i="6"/>
  <c r="AO78" i="6"/>
  <c r="AO67" i="6"/>
  <c r="AO187" i="6"/>
  <c r="AO142" i="6"/>
  <c r="AO105" i="6"/>
  <c r="AO94" i="6"/>
  <c r="AO83" i="6"/>
  <c r="AO221" i="6"/>
  <c r="AO164" i="6"/>
  <c r="AO286" i="6"/>
  <c r="AO237" i="6"/>
  <c r="AO161" i="6"/>
  <c r="AO154" i="6"/>
  <c r="AO150" i="6"/>
  <c r="AO107" i="6"/>
  <c r="AO76" i="6"/>
  <c r="AO71" i="6"/>
  <c r="AO58" i="6"/>
  <c r="AO45" i="6"/>
  <c r="AO34" i="6"/>
  <c r="AO268" i="6"/>
  <c r="AO218" i="6"/>
  <c r="AO158" i="6"/>
  <c r="AO111" i="6"/>
  <c r="AO82" i="6"/>
  <c r="AO57" i="6"/>
  <c r="AO155" i="6"/>
  <c r="AO148" i="6"/>
  <c r="AO88" i="6"/>
  <c r="AO63" i="6"/>
  <c r="AO50" i="6"/>
  <c r="AO39" i="6"/>
  <c r="AO28" i="6"/>
  <c r="AO14" i="7"/>
  <c r="AO116" i="6"/>
  <c r="AO80" i="6"/>
  <c r="AO68" i="6"/>
  <c r="AO56" i="6"/>
  <c r="AO308" i="6"/>
  <c r="AO149" i="6"/>
  <c r="AO115" i="6"/>
  <c r="AO86" i="6"/>
  <c r="AO74" i="6"/>
  <c r="AO44" i="6"/>
  <c r="AO33" i="6"/>
  <c r="AO289" i="6"/>
  <c r="AO205" i="6"/>
  <c r="AO153" i="6"/>
  <c r="AO139" i="6"/>
  <c r="AO92" i="6"/>
  <c r="AO55" i="6"/>
  <c r="AO219" i="6"/>
  <c r="AO214" i="6"/>
  <c r="AO209" i="6"/>
  <c r="AO143" i="6"/>
  <c r="AO98" i="6"/>
  <c r="AO72" i="6"/>
  <c r="AO64" i="6"/>
  <c r="AO49" i="6"/>
  <c r="AO38" i="6"/>
  <c r="AO27" i="6"/>
  <c r="AO257" i="6"/>
  <c r="AO199" i="6"/>
  <c r="AO188" i="6"/>
  <c r="AO166" i="6"/>
  <c r="AO87" i="6"/>
  <c r="AO85" i="6"/>
  <c r="AO66" i="6"/>
  <c r="AO54" i="6"/>
  <c r="AO31" i="6"/>
  <c r="AO20" i="6"/>
  <c r="AO9" i="6"/>
  <c r="AO198" i="6"/>
  <c r="AO267" i="6"/>
  <c r="AO263" i="6"/>
  <c r="AO180" i="6"/>
  <c r="AO172" i="6"/>
  <c r="AO110" i="6"/>
  <c r="AO108" i="6"/>
  <c r="AO65" i="6"/>
  <c r="AO36" i="6"/>
  <c r="AO14" i="6"/>
  <c r="AO3" i="6"/>
  <c r="AO252" i="6"/>
  <c r="AO133" i="6"/>
  <c r="AO191" i="6"/>
  <c r="AO60" i="6"/>
  <c r="AO41" i="6"/>
  <c r="AO19" i="6"/>
  <c r="AO8" i="6"/>
  <c r="AO147" i="6"/>
  <c r="AO136" i="6"/>
  <c r="AO121" i="6"/>
  <c r="AO181" i="6"/>
  <c r="AO109" i="6"/>
  <c r="AO46" i="6"/>
  <c r="AO43" i="6"/>
  <c r="AO13" i="6"/>
  <c r="AO2" i="6"/>
  <c r="AO193" i="6"/>
  <c r="AO131" i="6"/>
  <c r="AO59" i="6"/>
  <c r="AO40" i="6"/>
  <c r="AO35" i="6"/>
  <c r="AO30" i="6"/>
  <c r="AO25" i="6"/>
  <c r="AO238" i="6"/>
  <c r="AO61" i="6"/>
  <c r="AO26" i="6"/>
  <c r="AO29" i="6"/>
  <c r="AO22" i="6"/>
  <c r="AO10" i="6"/>
  <c r="AO215" i="6"/>
  <c r="AO176" i="6"/>
  <c r="AO102" i="6"/>
  <c r="AO99" i="6"/>
  <c r="AO96" i="6"/>
  <c r="AO77" i="6"/>
  <c r="AO197" i="6"/>
  <c r="AO137" i="6"/>
  <c r="AO93" i="6"/>
  <c r="AO6" i="6"/>
  <c r="AO170" i="6"/>
  <c r="AO51" i="6"/>
  <c r="AO47" i="6"/>
  <c r="AO284" i="6"/>
  <c r="AO192" i="6"/>
  <c r="AO182" i="6"/>
  <c r="AO24" i="6"/>
  <c r="AO7" i="6"/>
  <c r="AO160" i="6"/>
  <c r="AO123" i="6"/>
  <c r="AO48" i="6"/>
  <c r="AO270" i="6"/>
  <c r="AO104" i="6"/>
  <c r="AO23" i="6"/>
  <c r="AO120" i="6"/>
  <c r="AO112" i="6"/>
  <c r="AO12" i="6"/>
  <c r="AO52" i="6"/>
  <c r="AO37" i="6"/>
  <c r="AO17" i="6"/>
  <c r="AO4" i="6"/>
  <c r="AO194" i="6"/>
  <c r="AO81" i="6"/>
  <c r="AO91" i="6"/>
  <c r="AO103" i="6"/>
  <c r="AO97" i="6"/>
  <c r="AO42" i="6"/>
  <c r="AO75" i="6"/>
  <c r="AO266" i="6"/>
  <c r="AO244" i="6"/>
  <c r="AO186" i="6"/>
  <c r="AO16" i="6"/>
  <c r="AO69" i="6"/>
  <c r="AO53" i="6"/>
  <c r="AO32" i="6"/>
  <c r="AO15" i="6"/>
  <c r="AO10" i="7"/>
  <c r="AO228" i="6"/>
  <c r="AO217" i="6"/>
  <c r="AO239" i="6"/>
  <c r="AO127" i="6"/>
  <c r="AO203" i="6"/>
  <c r="AO21" i="6"/>
  <c r="AO125" i="6"/>
  <c r="AO70" i="6"/>
  <c r="AO18" i="6"/>
  <c r="AO11" i="6"/>
  <c r="AO223" i="6"/>
  <c r="AO5" i="6"/>
  <c r="L32" i="8"/>
  <c r="L33" i="8"/>
  <c r="L31" i="8"/>
  <c r="L30" i="8"/>
  <c r="L32" i="7"/>
  <c r="L33" i="7"/>
  <c r="L31" i="7"/>
  <c r="L103" i="6"/>
  <c r="L92" i="6"/>
  <c r="L97" i="6"/>
  <c r="L102" i="6"/>
  <c r="L91" i="6"/>
  <c r="L90" i="6"/>
  <c r="L96" i="6"/>
  <c r="L94" i="6"/>
  <c r="L100" i="6"/>
  <c r="L98" i="6"/>
  <c r="L30" i="7"/>
  <c r="L101" i="6"/>
  <c r="L99" i="6"/>
  <c r="L105" i="6"/>
  <c r="L95" i="6"/>
  <c r="L93" i="6"/>
  <c r="L104" i="6"/>
  <c r="P35" i="8"/>
  <c r="P35" i="7"/>
  <c r="P37" i="8"/>
  <c r="P34" i="8"/>
  <c r="P37" i="7"/>
  <c r="P36" i="8"/>
  <c r="P36" i="7"/>
  <c r="P34" i="7"/>
  <c r="P114" i="6"/>
  <c r="P119" i="6"/>
  <c r="P113" i="6"/>
  <c r="P107" i="6"/>
  <c r="P106" i="6"/>
  <c r="P110" i="6"/>
  <c r="P108" i="6"/>
  <c r="P120" i="6"/>
  <c r="P115" i="6"/>
  <c r="P118" i="6"/>
  <c r="P116" i="6"/>
  <c r="P109" i="6"/>
  <c r="P121" i="6"/>
  <c r="P112" i="6"/>
  <c r="P117" i="6"/>
  <c r="P111" i="6"/>
  <c r="S40" i="8"/>
  <c r="S41" i="7"/>
  <c r="S39" i="7"/>
  <c r="S38" i="7"/>
  <c r="S40" i="7"/>
  <c r="S41" i="8"/>
  <c r="S39" i="8"/>
  <c r="S38" i="8"/>
  <c r="S130" i="6"/>
  <c r="S135" i="6"/>
  <c r="S124" i="6"/>
  <c r="S129" i="6"/>
  <c r="S134" i="6"/>
  <c r="S127" i="6"/>
  <c r="S123" i="6"/>
  <c r="S125" i="6"/>
  <c r="S136" i="6"/>
  <c r="S126" i="6"/>
  <c r="S122" i="6"/>
  <c r="S137" i="6"/>
  <c r="S133" i="6"/>
  <c r="S132" i="6"/>
  <c r="S128" i="6"/>
  <c r="S131" i="6"/>
  <c r="Z100" i="8"/>
  <c r="Z89" i="8"/>
  <c r="Z87" i="8"/>
  <c r="P13" i="9"/>
  <c r="Z79" i="8"/>
  <c r="Z60" i="8"/>
  <c r="Z34" i="8"/>
  <c r="Z23" i="8"/>
  <c r="Z7" i="8"/>
  <c r="Z96" i="7"/>
  <c r="Z85" i="7"/>
  <c r="Z74" i="7"/>
  <c r="Z63" i="7"/>
  <c r="P7" i="9"/>
  <c r="Z91" i="8"/>
  <c r="P4" i="9"/>
  <c r="Z98" i="8"/>
  <c r="Z92" i="8"/>
  <c r="Z94" i="8"/>
  <c r="Z90" i="8"/>
  <c r="Z84" i="8"/>
  <c r="P6" i="9"/>
  <c r="Z81" i="8"/>
  <c r="Z57" i="8"/>
  <c r="Z54" i="8"/>
  <c r="Z75" i="8"/>
  <c r="P16" i="9"/>
  <c r="Z93" i="8"/>
  <c r="Z80" i="8"/>
  <c r="Z37" i="8"/>
  <c r="Z30" i="8"/>
  <c r="Z52" i="8"/>
  <c r="Z24" i="8"/>
  <c r="Z90" i="7"/>
  <c r="Z75" i="7"/>
  <c r="Z85" i="8"/>
  <c r="Z83" i="8"/>
  <c r="Z69" i="8"/>
  <c r="Z91" i="7"/>
  <c r="Z72" i="7"/>
  <c r="Z49" i="7"/>
  <c r="Z38" i="7"/>
  <c r="Z27" i="7"/>
  <c r="P10" i="9"/>
  <c r="Z20" i="8"/>
  <c r="Z3" i="8"/>
  <c r="Z101" i="7"/>
  <c r="Z94" i="7"/>
  <c r="Z56" i="7"/>
  <c r="Z17" i="7"/>
  <c r="Z66" i="8"/>
  <c r="Z16" i="8"/>
  <c r="Z59" i="7"/>
  <c r="Z97" i="8"/>
  <c r="P3" i="9"/>
  <c r="Z53" i="8"/>
  <c r="Z32" i="8"/>
  <c r="Z28" i="8"/>
  <c r="Z11" i="8"/>
  <c r="Z68" i="7"/>
  <c r="Z61" i="7"/>
  <c r="Z40" i="7"/>
  <c r="Z31" i="7"/>
  <c r="Z18" i="7"/>
  <c r="Z310" i="6"/>
  <c r="Z299" i="6"/>
  <c r="Z288" i="6"/>
  <c r="Z277" i="6"/>
  <c r="Z266" i="6"/>
  <c r="Z264" i="6"/>
  <c r="P14" i="9"/>
  <c r="Z61" i="8"/>
  <c r="Z44" i="8"/>
  <c r="Z2" i="8"/>
  <c r="Z95" i="7"/>
  <c r="Z79" i="7"/>
  <c r="Z54" i="7"/>
  <c r="Z33" i="7"/>
  <c r="Z15" i="7"/>
  <c r="Z6" i="7"/>
  <c r="P11" i="9"/>
  <c r="P8" i="9"/>
  <c r="P5" i="9"/>
  <c r="Z40" i="8"/>
  <c r="Z36" i="8"/>
  <c r="Z9" i="8"/>
  <c r="Z96" i="8"/>
  <c r="Z86" i="8"/>
  <c r="Z74" i="8"/>
  <c r="Z22" i="8"/>
  <c r="Z18" i="8"/>
  <c r="P15" i="9"/>
  <c r="Z43" i="8"/>
  <c r="Z42" i="8"/>
  <c r="Z10" i="8"/>
  <c r="Z87" i="7"/>
  <c r="Z43" i="7"/>
  <c r="Z71" i="8"/>
  <c r="Z59" i="8"/>
  <c r="Z41" i="8"/>
  <c r="Z99" i="7"/>
  <c r="Z69" i="7"/>
  <c r="Z66" i="7"/>
  <c r="Z25" i="7"/>
  <c r="Z38" i="8"/>
  <c r="Z82" i="7"/>
  <c r="Z86" i="7"/>
  <c r="Z53" i="7"/>
  <c r="Z51" i="7"/>
  <c r="Z23" i="7"/>
  <c r="Z313" i="6"/>
  <c r="Z306" i="6"/>
  <c r="Z278" i="6"/>
  <c r="Z64" i="8"/>
  <c r="Z51" i="8"/>
  <c r="Z57" i="7"/>
  <c r="Z47" i="7"/>
  <c r="Z9" i="7"/>
  <c r="Z284" i="6"/>
  <c r="Z281" i="6"/>
  <c r="Z88" i="8"/>
  <c r="Z15" i="8"/>
  <c r="Z64" i="7"/>
  <c r="Z82" i="8"/>
  <c r="Z78" i="8"/>
  <c r="Z27" i="8"/>
  <c r="Z26" i="8"/>
  <c r="Z13" i="8"/>
  <c r="Z95" i="8"/>
  <c r="Z48" i="8"/>
  <c r="Z56" i="8"/>
  <c r="P9" i="9"/>
  <c r="Z39" i="8"/>
  <c r="Z29" i="8"/>
  <c r="Z81" i="7"/>
  <c r="Z97" i="7"/>
  <c r="Z33" i="8"/>
  <c r="Z25" i="8"/>
  <c r="Z6" i="8"/>
  <c r="Z60" i="7"/>
  <c r="Z72" i="8"/>
  <c r="Z70" i="8"/>
  <c r="Z14" i="8"/>
  <c r="Z99" i="8"/>
  <c r="Z47" i="8"/>
  <c r="Z21" i="8"/>
  <c r="Z77" i="8"/>
  <c r="Z76" i="7"/>
  <c r="Z35" i="8"/>
  <c r="Z49" i="8"/>
  <c r="Z8" i="8"/>
  <c r="Z88" i="7"/>
  <c r="Z67" i="8"/>
  <c r="Z77" i="7"/>
  <c r="Z76" i="8"/>
  <c r="Z45" i="8"/>
  <c r="Z100" i="7"/>
  <c r="Z84" i="7"/>
  <c r="Z311" i="6"/>
  <c r="Z298" i="6"/>
  <c r="Z292" i="6"/>
  <c r="Z36" i="7"/>
  <c r="Z32" i="7"/>
  <c r="Z71" i="7"/>
  <c r="Z65" i="7"/>
  <c r="Z62" i="7"/>
  <c r="Z50" i="7"/>
  <c r="Z21" i="7"/>
  <c r="P2" i="9"/>
  <c r="Z58" i="8"/>
  <c r="Z5" i="8"/>
  <c r="Z28" i="7"/>
  <c r="Z89" i="7"/>
  <c r="Z55" i="8"/>
  <c r="Z70" i="7"/>
  <c r="Z55" i="7"/>
  <c r="Z304" i="6"/>
  <c r="Z46" i="8"/>
  <c r="Z93" i="7"/>
  <c r="Z39" i="7"/>
  <c r="Z24" i="7"/>
  <c r="Z78" i="7"/>
  <c r="Z307" i="6"/>
  <c r="Z290" i="6"/>
  <c r="Z58" i="7"/>
  <c r="Z295" i="6"/>
  <c r="Z65" i="8"/>
  <c r="Z4" i="8"/>
  <c r="Z46" i="7"/>
  <c r="Z30" i="7"/>
  <c r="Z29" i="7"/>
  <c r="Z16" i="7"/>
  <c r="Z7" i="7"/>
  <c r="Z101" i="8"/>
  <c r="Z80" i="7"/>
  <c r="Z17" i="8"/>
  <c r="Z10" i="7"/>
  <c r="Z4" i="7"/>
  <c r="P12" i="9"/>
  <c r="Z3" i="7"/>
  <c r="Z279" i="6"/>
  <c r="Z271" i="6"/>
  <c r="Z268" i="6"/>
  <c r="Z48" i="7"/>
  <c r="Z2" i="7"/>
  <c r="Z297" i="6"/>
  <c r="Z5" i="7"/>
  <c r="Z276" i="6"/>
  <c r="Z52" i="7"/>
  <c r="Z44" i="7"/>
  <c r="Z34" i="7"/>
  <c r="Z19" i="8"/>
  <c r="Z42" i="7"/>
  <c r="Z22" i="7"/>
  <c r="Z8" i="7"/>
  <c r="Z291" i="6"/>
  <c r="Z68" i="8"/>
  <c r="Z41" i="7"/>
  <c r="Z309" i="6"/>
  <c r="Z73" i="7"/>
  <c r="Z35" i="7"/>
  <c r="Z294" i="6"/>
  <c r="Z286" i="6"/>
  <c r="Z285" i="6"/>
  <c r="Z261" i="6"/>
  <c r="Z258" i="6"/>
  <c r="Z248" i="6"/>
  <c r="Z237" i="6"/>
  <c r="Z308" i="6"/>
  <c r="Z253" i="6"/>
  <c r="Z244" i="6"/>
  <c r="Z223" i="6"/>
  <c r="Z50" i="8"/>
  <c r="Z301" i="6"/>
  <c r="Z287" i="6"/>
  <c r="Z236" i="6"/>
  <c r="Z222" i="6"/>
  <c r="Z67" i="7"/>
  <c r="Z254" i="6"/>
  <c r="Z245" i="6"/>
  <c r="Z221" i="6"/>
  <c r="Z267" i="6"/>
  <c r="Z13" i="7"/>
  <c r="Z270" i="6"/>
  <c r="Z263" i="6"/>
  <c r="Z246" i="6"/>
  <c r="Z220" i="6"/>
  <c r="Z98" i="7"/>
  <c r="Z45" i="7"/>
  <c r="Z274" i="6"/>
  <c r="Z37" i="7"/>
  <c r="Z20" i="7"/>
  <c r="Z293" i="6"/>
  <c r="Z252" i="6"/>
  <c r="Z231" i="6"/>
  <c r="Z205" i="6"/>
  <c r="Z194" i="6"/>
  <c r="Z183" i="6"/>
  <c r="Z172" i="6"/>
  <c r="Z161" i="6"/>
  <c r="Z150" i="6"/>
  <c r="Z139" i="6"/>
  <c r="Z128" i="6"/>
  <c r="Z117" i="6"/>
  <c r="Z12" i="8"/>
  <c r="Z289" i="6"/>
  <c r="Z241" i="6"/>
  <c r="Z73" i="8"/>
  <c r="Z83" i="7"/>
  <c r="Z14" i="7"/>
  <c r="Z11" i="7"/>
  <c r="Z228" i="6"/>
  <c r="Z210" i="6"/>
  <c r="Z199" i="6"/>
  <c r="Z188" i="6"/>
  <c r="Z177" i="6"/>
  <c r="Z166" i="6"/>
  <c r="Z155" i="6"/>
  <c r="Z144" i="6"/>
  <c r="Z133" i="6"/>
  <c r="Z122" i="6"/>
  <c r="Z269" i="6"/>
  <c r="Z256" i="6"/>
  <c r="Z234" i="6"/>
  <c r="Z257" i="6"/>
  <c r="Z218" i="6"/>
  <c r="Z204" i="6"/>
  <c r="Z193" i="6"/>
  <c r="Z182" i="6"/>
  <c r="Z171" i="6"/>
  <c r="Z160" i="6"/>
  <c r="Z149" i="6"/>
  <c r="Z138" i="6"/>
  <c r="Z127" i="6"/>
  <c r="Z116" i="6"/>
  <c r="Z282" i="6"/>
  <c r="Z260" i="6"/>
  <c r="Z255" i="6"/>
  <c r="Z247" i="6"/>
  <c r="Z26" i="7"/>
  <c r="Z265" i="6"/>
  <c r="Z227" i="6"/>
  <c r="Z201" i="6"/>
  <c r="Z170" i="6"/>
  <c r="Z156" i="6"/>
  <c r="Z125" i="6"/>
  <c r="Z105" i="6"/>
  <c r="Z94" i="6"/>
  <c r="Z83" i="6"/>
  <c r="Z72" i="6"/>
  <c r="Z61" i="6"/>
  <c r="Z207" i="6"/>
  <c r="Z176" i="6"/>
  <c r="Z162" i="6"/>
  <c r="Z131" i="6"/>
  <c r="Z111" i="6"/>
  <c r="Z312" i="6"/>
  <c r="Z224" i="6"/>
  <c r="Z168" i="6"/>
  <c r="Z137" i="6"/>
  <c r="Z118" i="6"/>
  <c r="Z110" i="6"/>
  <c r="Z99" i="6"/>
  <c r="Z88" i="6"/>
  <c r="Z77" i="6"/>
  <c r="Z66" i="6"/>
  <c r="Z238" i="6"/>
  <c r="Z226" i="6"/>
  <c r="Z213" i="6"/>
  <c r="Z174" i="6"/>
  <c r="Z143" i="6"/>
  <c r="Z129" i="6"/>
  <c r="Z92" i="7"/>
  <c r="Z12" i="7"/>
  <c r="Z300" i="6"/>
  <c r="Z230" i="6"/>
  <c r="Z211" i="6"/>
  <c r="Z180" i="6"/>
  <c r="Z135" i="6"/>
  <c r="Z123" i="6"/>
  <c r="Z121" i="6"/>
  <c r="Z104" i="6"/>
  <c r="Z93" i="6"/>
  <c r="Z82" i="6"/>
  <c r="Z71" i="6"/>
  <c r="Z296" i="6"/>
  <c r="Z239" i="6"/>
  <c r="Z229" i="6"/>
  <c r="Z215" i="6"/>
  <c r="Z186" i="6"/>
  <c r="Z141" i="6"/>
  <c r="Z112" i="6"/>
  <c r="Z303" i="6"/>
  <c r="Z198" i="6"/>
  <c r="Z184" i="6"/>
  <c r="Z153" i="6"/>
  <c r="Z113" i="6"/>
  <c r="Z249" i="6"/>
  <c r="Z195" i="6"/>
  <c r="Z181" i="6"/>
  <c r="Z81" i="6"/>
  <c r="Z75" i="6"/>
  <c r="Z65" i="6"/>
  <c r="Z49" i="6"/>
  <c r="Z38" i="6"/>
  <c r="Z27" i="6"/>
  <c r="Z275" i="6"/>
  <c r="Z185" i="6"/>
  <c r="Z232" i="6"/>
  <c r="Z217" i="6"/>
  <c r="Z189" i="6"/>
  <c r="Z178" i="6"/>
  <c r="Z175" i="6"/>
  <c r="Z87" i="6"/>
  <c r="Z79" i="6"/>
  <c r="Z54" i="6"/>
  <c r="Z43" i="6"/>
  <c r="Z32" i="6"/>
  <c r="Z179" i="6"/>
  <c r="Z165" i="6"/>
  <c r="Z85" i="6"/>
  <c r="Z169" i="6"/>
  <c r="Z91" i="6"/>
  <c r="Z48" i="6"/>
  <c r="Z37" i="6"/>
  <c r="Z26" i="6"/>
  <c r="Z242" i="6"/>
  <c r="Z240" i="6"/>
  <c r="Z173" i="6"/>
  <c r="Z159" i="6"/>
  <c r="Z120" i="6"/>
  <c r="Z119" i="6"/>
  <c r="Z97" i="6"/>
  <c r="Z70" i="6"/>
  <c r="Z31" i="8"/>
  <c r="Z163" i="6"/>
  <c r="Z103" i="6"/>
  <c r="Z89" i="6"/>
  <c r="Z73" i="6"/>
  <c r="Z53" i="6"/>
  <c r="Z42" i="6"/>
  <c r="Z31" i="6"/>
  <c r="Z19" i="7"/>
  <c r="Z302" i="6"/>
  <c r="Z262" i="6"/>
  <c r="Z167" i="6"/>
  <c r="Z95" i="6"/>
  <c r="Z63" i="8"/>
  <c r="Z259" i="6"/>
  <c r="Z225" i="6"/>
  <c r="Z62" i="8"/>
  <c r="Z190" i="6"/>
  <c r="Z140" i="6"/>
  <c r="Z273" i="6"/>
  <c r="Z200" i="6"/>
  <c r="Z69" i="6"/>
  <c r="Z208" i="6"/>
  <c r="Z146" i="6"/>
  <c r="Z102" i="6"/>
  <c r="Z100" i="6"/>
  <c r="Z68" i="6"/>
  <c r="Z50" i="6"/>
  <c r="Z47" i="6"/>
  <c r="Z23" i="6"/>
  <c r="Z86" i="6"/>
  <c r="Z84" i="6"/>
  <c r="Z58" i="6"/>
  <c r="Z152" i="6"/>
  <c r="Z67" i="6"/>
  <c r="Z55" i="6"/>
  <c r="Z52" i="6"/>
  <c r="Z29" i="6"/>
  <c r="Z24" i="6"/>
  <c r="Z17" i="6"/>
  <c r="Z6" i="6"/>
  <c r="Z235" i="6"/>
  <c r="Z219" i="6"/>
  <c r="Z203" i="6"/>
  <c r="Z114" i="6"/>
  <c r="Z107" i="6"/>
  <c r="Z251" i="6"/>
  <c r="Z154" i="6"/>
  <c r="Z134" i="6"/>
  <c r="Z115" i="6"/>
  <c r="Z20" i="6"/>
  <c r="Z2" i="6"/>
  <c r="Z283" i="6"/>
  <c r="Z60" i="6"/>
  <c r="Z57" i="6"/>
  <c r="Z3" i="6"/>
  <c r="Z305" i="6"/>
  <c r="Z250" i="6"/>
  <c r="Z98" i="6"/>
  <c r="Z92" i="6"/>
  <c r="Z76" i="6"/>
  <c r="Z44" i="6"/>
  <c r="Z39" i="6"/>
  <c r="Z34" i="6"/>
  <c r="Z21" i="6"/>
  <c r="Z7" i="6"/>
  <c r="Z233" i="6"/>
  <c r="Z142" i="6"/>
  <c r="Z108" i="6"/>
  <c r="Z59" i="6"/>
  <c r="Z56" i="6"/>
  <c r="Z45" i="6"/>
  <c r="Z4" i="6"/>
  <c r="Z151" i="6"/>
  <c r="Z40" i="6"/>
  <c r="Z35" i="6"/>
  <c r="Z30" i="6"/>
  <c r="Z25" i="6"/>
  <c r="Z12" i="6"/>
  <c r="Z196" i="6"/>
  <c r="Z272" i="6"/>
  <c r="Z206" i="6"/>
  <c r="Z148" i="6"/>
  <c r="Z243" i="6"/>
  <c r="Z145" i="6"/>
  <c r="Z28" i="6"/>
  <c r="Z209" i="6"/>
  <c r="Z96" i="6"/>
  <c r="Z202" i="6"/>
  <c r="Z192" i="6"/>
  <c r="Z157" i="6"/>
  <c r="Z36" i="6"/>
  <c r="Z15" i="6"/>
  <c r="Z5" i="6"/>
  <c r="Z216" i="6"/>
  <c r="Z212" i="6"/>
  <c r="Z132" i="6"/>
  <c r="Z10" i="6"/>
  <c r="Z8" i="6"/>
  <c r="Z74" i="6"/>
  <c r="Z126" i="6"/>
  <c r="Z64" i="6"/>
  <c r="Z51" i="6"/>
  <c r="Z106" i="6"/>
  <c r="Z280" i="6"/>
  <c r="Z147" i="6"/>
  <c r="Z18" i="6"/>
  <c r="Z90" i="6"/>
  <c r="Z80" i="6"/>
  <c r="Z62" i="6"/>
  <c r="Z13" i="6"/>
  <c r="Z197" i="6"/>
  <c r="Z187" i="6"/>
  <c r="Z191" i="6"/>
  <c r="Z11" i="6"/>
  <c r="Z130" i="6"/>
  <c r="Z124" i="6"/>
  <c r="Z63" i="6"/>
  <c r="Z101" i="6"/>
  <c r="Z9" i="6"/>
  <c r="Z136" i="6"/>
  <c r="Z46" i="6"/>
  <c r="Z14" i="6"/>
  <c r="Z16" i="6"/>
  <c r="Z164" i="6"/>
  <c r="Z158" i="6"/>
  <c r="Z109" i="6"/>
  <c r="Z41" i="6"/>
  <c r="Z78" i="6"/>
  <c r="Z214" i="6"/>
  <c r="Z22" i="6"/>
  <c r="Z19" i="6"/>
  <c r="Z33" i="6"/>
  <c r="N229" i="6"/>
  <c r="N228" i="6"/>
  <c r="N230" i="6"/>
  <c r="N233" i="6"/>
  <c r="N232" i="6"/>
  <c r="N231" i="6"/>
  <c r="N227" i="6"/>
  <c r="N226" i="6"/>
  <c r="N224" i="6"/>
  <c r="N219" i="6"/>
  <c r="N221" i="6"/>
  <c r="N223" i="6"/>
  <c r="N218" i="6"/>
  <c r="N225" i="6"/>
  <c r="N220" i="6"/>
  <c r="N222" i="6"/>
  <c r="Q241" i="6"/>
  <c r="Q240" i="6"/>
  <c r="Q242" i="6"/>
  <c r="Q234" i="6"/>
  <c r="Q243" i="6"/>
  <c r="Q249" i="6"/>
  <c r="Q245" i="6"/>
  <c r="Q238" i="6"/>
  <c r="Q236" i="6"/>
  <c r="Q237" i="6"/>
  <c r="Q244" i="6"/>
  <c r="Q239" i="6"/>
  <c r="Q247" i="6"/>
  <c r="Q246" i="6"/>
  <c r="Q248" i="6"/>
  <c r="Q235" i="6"/>
  <c r="AF13" i="9"/>
  <c r="AP93" i="8"/>
  <c r="AP82" i="8"/>
  <c r="AF8" i="9"/>
  <c r="AP101" i="8"/>
  <c r="AP74" i="8"/>
  <c r="AP30" i="8"/>
  <c r="AP19" i="8"/>
  <c r="AP5" i="8"/>
  <c r="AP100" i="7"/>
  <c r="AP89" i="7"/>
  <c r="AP78" i="7"/>
  <c r="AP67" i="7"/>
  <c r="AF15" i="9"/>
  <c r="AF2" i="9"/>
  <c r="AP83" i="8"/>
  <c r="AF16" i="9"/>
  <c r="AF14" i="9"/>
  <c r="AP78" i="8"/>
  <c r="AF3" i="9"/>
  <c r="AP87" i="8"/>
  <c r="AP85" i="8"/>
  <c r="AP76" i="8"/>
  <c r="AF7" i="9"/>
  <c r="AF5" i="9"/>
  <c r="AF12" i="9"/>
  <c r="AP77" i="8"/>
  <c r="AP56" i="8"/>
  <c r="AP53" i="8"/>
  <c r="AP52" i="8"/>
  <c r="AP34" i="8"/>
  <c r="AF11" i="9"/>
  <c r="AP90" i="8"/>
  <c r="AP80" i="8"/>
  <c r="AP16" i="8"/>
  <c r="AP89" i="8"/>
  <c r="AF9" i="9"/>
  <c r="AP39" i="8"/>
  <c r="AP97" i="8"/>
  <c r="AP68" i="8"/>
  <c r="AP95" i="8"/>
  <c r="AP92" i="8"/>
  <c r="AP45" i="8"/>
  <c r="AP15" i="8"/>
  <c r="AP70" i="7"/>
  <c r="AP75" i="8"/>
  <c r="AP40" i="8"/>
  <c r="AP86" i="7"/>
  <c r="AP45" i="7"/>
  <c r="AP34" i="7"/>
  <c r="AP70" i="8"/>
  <c r="AP18" i="8"/>
  <c r="AP2" i="8"/>
  <c r="AP79" i="7"/>
  <c r="AP60" i="7"/>
  <c r="AP55" i="7"/>
  <c r="AP35" i="7"/>
  <c r="AP24" i="7"/>
  <c r="AP13" i="7"/>
  <c r="AP88" i="8"/>
  <c r="AP63" i="8"/>
  <c r="AP96" i="7"/>
  <c r="AP77" i="7"/>
  <c r="AP50" i="7"/>
  <c r="AP49" i="7"/>
  <c r="AP99" i="8"/>
  <c r="AP71" i="8"/>
  <c r="AP58" i="8"/>
  <c r="AP57" i="8"/>
  <c r="AP49" i="8"/>
  <c r="AP38" i="8"/>
  <c r="AP27" i="8"/>
  <c r="AP92" i="7"/>
  <c r="AP69" i="7"/>
  <c r="AP37" i="7"/>
  <c r="AP303" i="6"/>
  <c r="AP292" i="6"/>
  <c r="AP281" i="6"/>
  <c r="AP270" i="6"/>
  <c r="AP260" i="6"/>
  <c r="AF6" i="9"/>
  <c r="AP67" i="8"/>
  <c r="AP21" i="8"/>
  <c r="AP3" i="8"/>
  <c r="AP73" i="7"/>
  <c r="AP19" i="7"/>
  <c r="AP4" i="7"/>
  <c r="AP100" i="8"/>
  <c r="AP43" i="8"/>
  <c r="AP83" i="7"/>
  <c r="AP66" i="8"/>
  <c r="AP65" i="8"/>
  <c r="AP26" i="8"/>
  <c r="AP17" i="8"/>
  <c r="AP81" i="8"/>
  <c r="AP69" i="8"/>
  <c r="AP61" i="8"/>
  <c r="AP51" i="8"/>
  <c r="AP28" i="8"/>
  <c r="AP85" i="7"/>
  <c r="AP61" i="7"/>
  <c r="AP21" i="7"/>
  <c r="AP10" i="7"/>
  <c r="AP101" i="7"/>
  <c r="AP81" i="7"/>
  <c r="AP38" i="7"/>
  <c r="AP27" i="7"/>
  <c r="AP47" i="8"/>
  <c r="AP31" i="8"/>
  <c r="AP11" i="8"/>
  <c r="AP88" i="7"/>
  <c r="AP80" i="7"/>
  <c r="AP52" i="7"/>
  <c r="AP48" i="7"/>
  <c r="AP39" i="7"/>
  <c r="AP32" i="7"/>
  <c r="AP25" i="7"/>
  <c r="AP41" i="8"/>
  <c r="AP20" i="8"/>
  <c r="AP93" i="7"/>
  <c r="AP72" i="7"/>
  <c r="AP8" i="7"/>
  <c r="AP310" i="6"/>
  <c r="AP283" i="6"/>
  <c r="AP280" i="6"/>
  <c r="AF4" i="9"/>
  <c r="AP62" i="8"/>
  <c r="AP44" i="8"/>
  <c r="AP90" i="7"/>
  <c r="AP84" i="8"/>
  <c r="AP59" i="8"/>
  <c r="AP82" i="7"/>
  <c r="AP30" i="7"/>
  <c r="AP7" i="8"/>
  <c r="AP99" i="7"/>
  <c r="AP84" i="7"/>
  <c r="AP75" i="7"/>
  <c r="AP44" i="7"/>
  <c r="AP54" i="8"/>
  <c r="AF10" i="9"/>
  <c r="AP50" i="8"/>
  <c r="AP98" i="7"/>
  <c r="AP72" i="8"/>
  <c r="AP55" i="8"/>
  <c r="AP65" i="7"/>
  <c r="AP79" i="8"/>
  <c r="AP37" i="8"/>
  <c r="AP76" i="7"/>
  <c r="AP48" i="8"/>
  <c r="AP96" i="8"/>
  <c r="AP73" i="8"/>
  <c r="AP94" i="7"/>
  <c r="AP43" i="7"/>
  <c r="AP6" i="8"/>
  <c r="AP29" i="8"/>
  <c r="AP4" i="8"/>
  <c r="AP62" i="7"/>
  <c r="AP46" i="8"/>
  <c r="AP74" i="7"/>
  <c r="AP36" i="8"/>
  <c r="AP33" i="8"/>
  <c r="AP95" i="7"/>
  <c r="AP53" i="7"/>
  <c r="AP14" i="8"/>
  <c r="AP87" i="7"/>
  <c r="AP58" i="7"/>
  <c r="AP86" i="8"/>
  <c r="AP25" i="8"/>
  <c r="AP66" i="7"/>
  <c r="AP22" i="7"/>
  <c r="AP97" i="7"/>
  <c r="AP18" i="7"/>
  <c r="AP91" i="8"/>
  <c r="AP35" i="8"/>
  <c r="AP32" i="8"/>
  <c r="AP9" i="8"/>
  <c r="AP63" i="7"/>
  <c r="AP54" i="7"/>
  <c r="AP20" i="7"/>
  <c r="AP59" i="7"/>
  <c r="AP8" i="8"/>
  <c r="AP6" i="7"/>
  <c r="AP289" i="6"/>
  <c r="AP60" i="8"/>
  <c r="AP23" i="8"/>
  <c r="AP56" i="7"/>
  <c r="AP33" i="7"/>
  <c r="AP15" i="7"/>
  <c r="AP3" i="7"/>
  <c r="AP94" i="8"/>
  <c r="AP9" i="7"/>
  <c r="AP312" i="6"/>
  <c r="AP302" i="6"/>
  <c r="AP285" i="6"/>
  <c r="AP279" i="6"/>
  <c r="AP277" i="6"/>
  <c r="AP275" i="6"/>
  <c r="AP273" i="6"/>
  <c r="AP269" i="6"/>
  <c r="AP299" i="6"/>
  <c r="AP12" i="7"/>
  <c r="AP305" i="6"/>
  <c r="AP71" i="7"/>
  <c r="AP47" i="7"/>
  <c r="AP22" i="8"/>
  <c r="AP308" i="6"/>
  <c r="AP68" i="7"/>
  <c r="AP31" i="7"/>
  <c r="AP295" i="6"/>
  <c r="AP24" i="8"/>
  <c r="AP26" i="7"/>
  <c r="AP16" i="7"/>
  <c r="AP272" i="6"/>
  <c r="AP10" i="8"/>
  <c r="AP46" i="7"/>
  <c r="AP17" i="7"/>
  <c r="AP304" i="6"/>
  <c r="AP42" i="7"/>
  <c r="AP29" i="7"/>
  <c r="AP301" i="6"/>
  <c r="AP286" i="6"/>
  <c r="AP91" i="7"/>
  <c r="AP64" i="7"/>
  <c r="AP98" i="8"/>
  <c r="AP23" i="7"/>
  <c r="AP307" i="6"/>
  <c r="AP28" i="7"/>
  <c r="AP274" i="6"/>
  <c r="AP266" i="6"/>
  <c r="AP13" i="8"/>
  <c r="AP262" i="6"/>
  <c r="AP12" i="8"/>
  <c r="AP271" i="6"/>
  <c r="AP244" i="6"/>
  <c r="AP233" i="6"/>
  <c r="AP290" i="6"/>
  <c r="AP265" i="6"/>
  <c r="AP232" i="6"/>
  <c r="AP231" i="6"/>
  <c r="AP230" i="6"/>
  <c r="AP250" i="6"/>
  <c r="AP241" i="6"/>
  <c r="AP226" i="6"/>
  <c r="AP291" i="6"/>
  <c r="AP64" i="8"/>
  <c r="AP276" i="6"/>
  <c r="AP242" i="6"/>
  <c r="AP225" i="6"/>
  <c r="AP309" i="6"/>
  <c r="AP278" i="6"/>
  <c r="AP251" i="6"/>
  <c r="AP36" i="7"/>
  <c r="AP11" i="7"/>
  <c r="AP243" i="6"/>
  <c r="AP234" i="6"/>
  <c r="AP224" i="6"/>
  <c r="AP2" i="7"/>
  <c r="AP296" i="6"/>
  <c r="AP223" i="6"/>
  <c r="AP293" i="6"/>
  <c r="AP264" i="6"/>
  <c r="AP259" i="6"/>
  <c r="AP253" i="6"/>
  <c r="AP247" i="6"/>
  <c r="AP51" i="7"/>
  <c r="AP254" i="6"/>
  <c r="AP240" i="6"/>
  <c r="AP236" i="6"/>
  <c r="AP222" i="6"/>
  <c r="AP212" i="6"/>
  <c r="AP201" i="6"/>
  <c r="AP190" i="6"/>
  <c r="AP179" i="6"/>
  <c r="AP168" i="6"/>
  <c r="AP157" i="6"/>
  <c r="AP146" i="6"/>
  <c r="AP135" i="6"/>
  <c r="AP124" i="6"/>
  <c r="AP41" i="7"/>
  <c r="AP287" i="6"/>
  <c r="AP227" i="6"/>
  <c r="AP206" i="6"/>
  <c r="AP195" i="6"/>
  <c r="AP184" i="6"/>
  <c r="AP173" i="6"/>
  <c r="AP162" i="6"/>
  <c r="AP151" i="6"/>
  <c r="AP140" i="6"/>
  <c r="AP129" i="6"/>
  <c r="AP118" i="6"/>
  <c r="AP5" i="7"/>
  <c r="AP261" i="6"/>
  <c r="AP57" i="7"/>
  <c r="AP40" i="7"/>
  <c r="AP306" i="6"/>
  <c r="AP211" i="6"/>
  <c r="AP200" i="6"/>
  <c r="AP189" i="6"/>
  <c r="AP178" i="6"/>
  <c r="AP167" i="6"/>
  <c r="AP156" i="6"/>
  <c r="AP145" i="6"/>
  <c r="AP134" i="6"/>
  <c r="AP123" i="6"/>
  <c r="AP112" i="6"/>
  <c r="AP42" i="8"/>
  <c r="AP294" i="6"/>
  <c r="AP246" i="6"/>
  <c r="AP239" i="6"/>
  <c r="AP210" i="6"/>
  <c r="AP196" i="6"/>
  <c r="AP165" i="6"/>
  <c r="AP119" i="6"/>
  <c r="AP117" i="6"/>
  <c r="AP101" i="6"/>
  <c r="AP90" i="6"/>
  <c r="AP79" i="6"/>
  <c r="AP68" i="6"/>
  <c r="AP57" i="6"/>
  <c r="AP297" i="6"/>
  <c r="AP202" i="6"/>
  <c r="AP171" i="6"/>
  <c r="AP126" i="6"/>
  <c r="AP114" i="6"/>
  <c r="AP288" i="6"/>
  <c r="AP258" i="6"/>
  <c r="AP208" i="6"/>
  <c r="AP177" i="6"/>
  <c r="AP163" i="6"/>
  <c r="AP132" i="6"/>
  <c r="AP122" i="6"/>
  <c r="AP106" i="6"/>
  <c r="AP95" i="6"/>
  <c r="AP84" i="6"/>
  <c r="AP73" i="6"/>
  <c r="AP62" i="6"/>
  <c r="AP248" i="6"/>
  <c r="AP183" i="6"/>
  <c r="AP169" i="6"/>
  <c r="AP138" i="6"/>
  <c r="AP7" i="7"/>
  <c r="AP249" i="6"/>
  <c r="AP175" i="6"/>
  <c r="AP144" i="6"/>
  <c r="AP130" i="6"/>
  <c r="AP100" i="6"/>
  <c r="AP89" i="6"/>
  <c r="AP78" i="6"/>
  <c r="AP311" i="6"/>
  <c r="AP255" i="6"/>
  <c r="AP181" i="6"/>
  <c r="AP150" i="6"/>
  <c r="AP136" i="6"/>
  <c r="AP235" i="6"/>
  <c r="AP214" i="6"/>
  <c r="AP193" i="6"/>
  <c r="AP148" i="6"/>
  <c r="AP115" i="6"/>
  <c r="AP237" i="6"/>
  <c r="AP161" i="6"/>
  <c r="AP154" i="6"/>
  <c r="AP107" i="6"/>
  <c r="AP76" i="6"/>
  <c r="AP71" i="6"/>
  <c r="AP58" i="6"/>
  <c r="AP45" i="6"/>
  <c r="AP34" i="6"/>
  <c r="AP282" i="6"/>
  <c r="AP268" i="6"/>
  <c r="AP218" i="6"/>
  <c r="AP158" i="6"/>
  <c r="AP111" i="6"/>
  <c r="AP82" i="6"/>
  <c r="AP155" i="6"/>
  <c r="AP88" i="6"/>
  <c r="AP63" i="6"/>
  <c r="AP50" i="6"/>
  <c r="AP39" i="6"/>
  <c r="AP28" i="6"/>
  <c r="AP14" i="7"/>
  <c r="AP245" i="6"/>
  <c r="AP159" i="6"/>
  <c r="AP152" i="6"/>
  <c r="AP116" i="6"/>
  <c r="AP80" i="6"/>
  <c r="AP56" i="6"/>
  <c r="AP149" i="6"/>
  <c r="AP94" i="6"/>
  <c r="AP86" i="6"/>
  <c r="AP74" i="6"/>
  <c r="AP44" i="6"/>
  <c r="AP33" i="6"/>
  <c r="AP205" i="6"/>
  <c r="AP153" i="6"/>
  <c r="AP142" i="6"/>
  <c r="AP139" i="6"/>
  <c r="AP92" i="6"/>
  <c r="AP55" i="6"/>
  <c r="AP219" i="6"/>
  <c r="AP209" i="6"/>
  <c r="AP143" i="6"/>
  <c r="AP98" i="6"/>
  <c r="AP72" i="6"/>
  <c r="AP64" i="6"/>
  <c r="AP49" i="6"/>
  <c r="AP38" i="6"/>
  <c r="AP27" i="6"/>
  <c r="AP257" i="6"/>
  <c r="AP199" i="6"/>
  <c r="AP147" i="6"/>
  <c r="AP133" i="6"/>
  <c r="AP104" i="6"/>
  <c r="AP267" i="6"/>
  <c r="AP238" i="6"/>
  <c r="AP203" i="6"/>
  <c r="AP300" i="6"/>
  <c r="AP213" i="6"/>
  <c r="AP198" i="6"/>
  <c r="AP127" i="6"/>
  <c r="AP263" i="6"/>
  <c r="AP180" i="6"/>
  <c r="AP172" i="6"/>
  <c r="AP252" i="6"/>
  <c r="AP141" i="6"/>
  <c r="AP191" i="6"/>
  <c r="AP60" i="6"/>
  <c r="AP41" i="6"/>
  <c r="AP121" i="6"/>
  <c r="AP109" i="6"/>
  <c r="AP46" i="6"/>
  <c r="AP43" i="6"/>
  <c r="AP13" i="6"/>
  <c r="AP2" i="6"/>
  <c r="AP298" i="6"/>
  <c r="AP284" i="6"/>
  <c r="AP186" i="6"/>
  <c r="AP93" i="6"/>
  <c r="AP91" i="6"/>
  <c r="AP256" i="6"/>
  <c r="AP36" i="6"/>
  <c r="AP5" i="6"/>
  <c r="AP108" i="6"/>
  <c r="AP67" i="6"/>
  <c r="AP18" i="6"/>
  <c r="AP215" i="6"/>
  <c r="AP176" i="6"/>
  <c r="AP102" i="6"/>
  <c r="AP14" i="6"/>
  <c r="AP207" i="6"/>
  <c r="AP105" i="6"/>
  <c r="AP99" i="6"/>
  <c r="AP96" i="6"/>
  <c r="AP83" i="6"/>
  <c r="AP77" i="6"/>
  <c r="AP229" i="6"/>
  <c r="AP197" i="6"/>
  <c r="AP174" i="6"/>
  <c r="AP137" i="6"/>
  <c r="AP6" i="6"/>
  <c r="AP221" i="6"/>
  <c r="AP185" i="6"/>
  <c r="AP160" i="6"/>
  <c r="AP69" i="6"/>
  <c r="AP15" i="6"/>
  <c r="AP216" i="6"/>
  <c r="AP113" i="6"/>
  <c r="AP51" i="6"/>
  <c r="AP47" i="6"/>
  <c r="AP26" i="6"/>
  <c r="AP70" i="6"/>
  <c r="AP192" i="6"/>
  <c r="AP182" i="6"/>
  <c r="AP24" i="6"/>
  <c r="AP48" i="6"/>
  <c r="AP25" i="6"/>
  <c r="AP7" i="6"/>
  <c r="AP110" i="6"/>
  <c r="AP23" i="6"/>
  <c r="AP11" i="6"/>
  <c r="AP131" i="6"/>
  <c r="AP40" i="6"/>
  <c r="AP187" i="6"/>
  <c r="AP120" i="6"/>
  <c r="AP12" i="6"/>
  <c r="AP65" i="6"/>
  <c r="AP166" i="6"/>
  <c r="AP37" i="6"/>
  <c r="AP29" i="6"/>
  <c r="AP19" i="6"/>
  <c r="AP17" i="6"/>
  <c r="AP4" i="6"/>
  <c r="AP313" i="6"/>
  <c r="AP125" i="6"/>
  <c r="AP53" i="6"/>
  <c r="AP220" i="6"/>
  <c r="AP194" i="6"/>
  <c r="AP128" i="6"/>
  <c r="AP204" i="6"/>
  <c r="AP188" i="6"/>
  <c r="AP59" i="6"/>
  <c r="AP52" i="6"/>
  <c r="AP22" i="6"/>
  <c r="AP97" i="6"/>
  <c r="AP75" i="6"/>
  <c r="AP103" i="6"/>
  <c r="AP228" i="6"/>
  <c r="AP85" i="6"/>
  <c r="AP54" i="6"/>
  <c r="AP35" i="6"/>
  <c r="AP16" i="6"/>
  <c r="AP66" i="6"/>
  <c r="AP217" i="6"/>
  <c r="AP87" i="6"/>
  <c r="AP164" i="6"/>
  <c r="AP10" i="6"/>
  <c r="AP8" i="6"/>
  <c r="AP32" i="6"/>
  <c r="AP3" i="6"/>
  <c r="AP42" i="6"/>
  <c r="AP61" i="6"/>
  <c r="AP20" i="6"/>
  <c r="AP21" i="6"/>
  <c r="AP31" i="6"/>
  <c r="AP9" i="6"/>
  <c r="AP170" i="6"/>
  <c r="AP30" i="6"/>
  <c r="AP81" i="6"/>
  <c r="M17" i="8"/>
  <c r="M16" i="8"/>
  <c r="M15" i="8"/>
  <c r="M17" i="7"/>
  <c r="M14" i="8"/>
  <c r="M14" i="7"/>
  <c r="M16" i="7"/>
  <c r="M15" i="7"/>
  <c r="M41" i="6"/>
  <c r="M30" i="6"/>
  <c r="M35" i="6"/>
  <c r="M40" i="6"/>
  <c r="M29" i="6"/>
  <c r="M34" i="6"/>
  <c r="M36" i="6"/>
  <c r="M33" i="6"/>
  <c r="M38" i="6"/>
  <c r="M39" i="6"/>
  <c r="M31" i="6"/>
  <c r="M32" i="6"/>
  <c r="M28" i="6"/>
  <c r="M27" i="6"/>
  <c r="M37" i="6"/>
  <c r="M26" i="6"/>
  <c r="M19" i="8"/>
  <c r="M18" i="8"/>
  <c r="M21" i="8"/>
  <c r="M20" i="7"/>
  <c r="M20" i="8"/>
  <c r="M18" i="7"/>
  <c r="M19" i="7"/>
  <c r="M21" i="7"/>
  <c r="M52" i="6"/>
  <c r="M46" i="6"/>
  <c r="M51" i="6"/>
  <c r="M57" i="6"/>
  <c r="M45" i="6"/>
  <c r="M56" i="6"/>
  <c r="M43" i="6"/>
  <c r="M48" i="6"/>
  <c r="M55" i="6"/>
  <c r="M50" i="6"/>
  <c r="M42" i="6"/>
  <c r="M54" i="6"/>
  <c r="M47" i="6"/>
  <c r="M49" i="6"/>
  <c r="M44" i="6"/>
  <c r="M53" i="6"/>
  <c r="M25" i="8"/>
  <c r="M22" i="7"/>
  <c r="M23" i="8"/>
  <c r="M25" i="7"/>
  <c r="M22" i="8"/>
  <c r="M24" i="8"/>
  <c r="M24" i="7"/>
  <c r="M23" i="7"/>
  <c r="M69" i="6"/>
  <c r="M63" i="6"/>
  <c r="M61" i="6"/>
  <c r="M71" i="6"/>
  <c r="M60" i="6"/>
  <c r="M68" i="6"/>
  <c r="M59" i="6"/>
  <c r="M58" i="6"/>
  <c r="M65" i="6"/>
  <c r="M66" i="6"/>
  <c r="M73" i="6"/>
  <c r="M64" i="6"/>
  <c r="M72" i="6"/>
  <c r="M70" i="6"/>
  <c r="M62" i="6"/>
  <c r="M67" i="6"/>
  <c r="M26" i="7"/>
  <c r="M28" i="8"/>
  <c r="M27" i="8"/>
  <c r="M27" i="7"/>
  <c r="M26" i="8"/>
  <c r="M29" i="7"/>
  <c r="M28" i="7"/>
  <c r="M29" i="8"/>
  <c r="M86" i="6"/>
  <c r="M80" i="6"/>
  <c r="M85" i="6"/>
  <c r="M74" i="6"/>
  <c r="M79" i="6"/>
  <c r="M76" i="6"/>
  <c r="M82" i="6"/>
  <c r="M88" i="6"/>
  <c r="M78" i="6"/>
  <c r="M83" i="6"/>
  <c r="M81" i="6"/>
  <c r="M84" i="6"/>
  <c r="M75" i="6"/>
  <c r="M87" i="6"/>
  <c r="M77" i="6"/>
  <c r="M89" i="6"/>
  <c r="M32" i="8"/>
  <c r="M30" i="7"/>
  <c r="M32" i="7"/>
  <c r="M33" i="7"/>
  <c r="M33" i="8"/>
  <c r="M31" i="8"/>
  <c r="M30" i="8"/>
  <c r="M31" i="7"/>
  <c r="M97" i="6"/>
  <c r="M102" i="6"/>
  <c r="M91" i="6"/>
  <c r="M96" i="6"/>
  <c r="M101" i="6"/>
  <c r="M90" i="6"/>
  <c r="M94" i="6"/>
  <c r="M100" i="6"/>
  <c r="M92" i="6"/>
  <c r="M98" i="6"/>
  <c r="M104" i="6"/>
  <c r="M99" i="6"/>
  <c r="M103" i="6"/>
  <c r="M93" i="6"/>
  <c r="M105" i="6"/>
  <c r="M95" i="6"/>
  <c r="N37" i="8"/>
  <c r="N34" i="8"/>
  <c r="N35" i="8"/>
  <c r="N36" i="7"/>
  <c r="N36" i="8"/>
  <c r="N37" i="7"/>
  <c r="N34" i="7"/>
  <c r="N120" i="6"/>
  <c r="N114" i="6"/>
  <c r="N119" i="6"/>
  <c r="N117" i="6"/>
  <c r="N108" i="6"/>
  <c r="N107" i="6"/>
  <c r="N106" i="6"/>
  <c r="N113" i="6"/>
  <c r="N110" i="6"/>
  <c r="N112" i="6"/>
  <c r="N115" i="6"/>
  <c r="N118" i="6"/>
  <c r="N116" i="6"/>
  <c r="N111" i="6"/>
  <c r="N121" i="6"/>
  <c r="N109" i="6"/>
  <c r="N35" i="7"/>
  <c r="O39" i="8"/>
  <c r="O38" i="7"/>
  <c r="O41" i="8"/>
  <c r="O41" i="7"/>
  <c r="O40" i="7"/>
  <c r="O39" i="7"/>
  <c r="O38" i="8"/>
  <c r="O131" i="6"/>
  <c r="O136" i="6"/>
  <c r="O125" i="6"/>
  <c r="O130" i="6"/>
  <c r="O135" i="6"/>
  <c r="O132" i="6"/>
  <c r="O122" i="6"/>
  <c r="O129" i="6"/>
  <c r="O134" i="6"/>
  <c r="O127" i="6"/>
  <c r="O128" i="6"/>
  <c r="O124" i="6"/>
  <c r="O123" i="6"/>
  <c r="O126" i="6"/>
  <c r="O137" i="6"/>
  <c r="O40" i="8"/>
  <c r="O133" i="6"/>
  <c r="P45" i="8"/>
  <c r="P43" i="7"/>
  <c r="P44" i="8"/>
  <c r="P43" i="8"/>
  <c r="P42" i="8"/>
  <c r="P45" i="7"/>
  <c r="P42" i="7"/>
  <c r="P147" i="6"/>
  <c r="P152" i="6"/>
  <c r="P141" i="6"/>
  <c r="P146" i="6"/>
  <c r="P138" i="6"/>
  <c r="P144" i="6"/>
  <c r="P150" i="6"/>
  <c r="P142" i="6"/>
  <c r="P148" i="6"/>
  <c r="P44" i="7"/>
  <c r="P140" i="6"/>
  <c r="P143" i="6"/>
  <c r="P145" i="6"/>
  <c r="P149" i="6"/>
  <c r="P139" i="6"/>
  <c r="P151" i="6"/>
  <c r="P153" i="6"/>
  <c r="Q49" i="8"/>
  <c r="Q48" i="8"/>
  <c r="Q47" i="7"/>
  <c r="Q46" i="8"/>
  <c r="Q49" i="7"/>
  <c r="Q46" i="7"/>
  <c r="Q47" i="8"/>
  <c r="Q48" i="7"/>
  <c r="Q169" i="6"/>
  <c r="Q158" i="6"/>
  <c r="Q163" i="6"/>
  <c r="Q168" i="6"/>
  <c r="Q157" i="6"/>
  <c r="Q162" i="6"/>
  <c r="Q156" i="6"/>
  <c r="Q154" i="6"/>
  <c r="Q160" i="6"/>
  <c r="Q166" i="6"/>
  <c r="Q159" i="6"/>
  <c r="Q167" i="6"/>
  <c r="Q155" i="6"/>
  <c r="Q161" i="6"/>
  <c r="Q165" i="6"/>
  <c r="Q164" i="6"/>
  <c r="R53" i="8"/>
  <c r="R52" i="8"/>
  <c r="R51" i="7"/>
  <c r="R50" i="7"/>
  <c r="R51" i="8"/>
  <c r="R53" i="7"/>
  <c r="R52" i="7"/>
  <c r="R50" i="8"/>
  <c r="R185" i="6"/>
  <c r="R174" i="6"/>
  <c r="R179" i="6"/>
  <c r="R184" i="6"/>
  <c r="R173" i="6"/>
  <c r="R181" i="6"/>
  <c r="R178" i="6"/>
  <c r="R182" i="6"/>
  <c r="R183" i="6"/>
  <c r="R176" i="6"/>
  <c r="R172" i="6"/>
  <c r="R180" i="6"/>
  <c r="R177" i="6"/>
  <c r="R170" i="6"/>
  <c r="R171" i="6"/>
  <c r="R175" i="6"/>
  <c r="S196" i="6"/>
  <c r="S201" i="6"/>
  <c r="S190" i="6"/>
  <c r="S195" i="6"/>
  <c r="S200" i="6"/>
  <c r="S189" i="6"/>
  <c r="S187" i="6"/>
  <c r="S193" i="6"/>
  <c r="S199" i="6"/>
  <c r="S191" i="6"/>
  <c r="S197" i="6"/>
  <c r="S188" i="6"/>
  <c r="S192" i="6"/>
  <c r="S186" i="6"/>
  <c r="S198" i="6"/>
  <c r="S194" i="6"/>
  <c r="AG14" i="9"/>
  <c r="AG16" i="9"/>
  <c r="AQ86" i="8"/>
  <c r="AQ77" i="8"/>
  <c r="AQ66" i="8"/>
  <c r="AQ55" i="8"/>
  <c r="AQ51" i="8"/>
  <c r="AQ40" i="8"/>
  <c r="AG7" i="9"/>
  <c r="AQ78" i="8"/>
  <c r="AQ59" i="8"/>
  <c r="AQ46" i="8"/>
  <c r="AG5" i="9"/>
  <c r="AQ95" i="8"/>
  <c r="AG6" i="9"/>
  <c r="AQ81" i="8"/>
  <c r="AQ92" i="8"/>
  <c r="AQ31" i="8"/>
  <c r="AG8" i="9"/>
  <c r="AG2" i="9"/>
  <c r="AQ36" i="8"/>
  <c r="AQ87" i="8"/>
  <c r="AQ64" i="8"/>
  <c r="AQ57" i="8"/>
  <c r="AQ50" i="8"/>
  <c r="AQ35" i="8"/>
  <c r="AQ27" i="8"/>
  <c r="AG4" i="9"/>
  <c r="AQ83" i="8"/>
  <c r="AQ76" i="8"/>
  <c r="AQ61" i="8"/>
  <c r="AQ93" i="8"/>
  <c r="AQ68" i="8"/>
  <c r="AQ18" i="8"/>
  <c r="AQ17" i="8"/>
  <c r="AQ16" i="8"/>
  <c r="AQ8" i="8"/>
  <c r="AQ89" i="7"/>
  <c r="AQ74" i="7"/>
  <c r="AQ46" i="7"/>
  <c r="AQ35" i="7"/>
  <c r="AG9" i="9"/>
  <c r="AQ43" i="8"/>
  <c r="AQ29" i="8"/>
  <c r="AQ23" i="8"/>
  <c r="AQ9" i="8"/>
  <c r="AQ90" i="7"/>
  <c r="AQ71" i="7"/>
  <c r="AG13" i="9"/>
  <c r="AQ10" i="8"/>
  <c r="AQ98" i="7"/>
  <c r="AQ39" i="7"/>
  <c r="AQ38" i="7"/>
  <c r="AQ37" i="7"/>
  <c r="AQ36" i="7"/>
  <c r="AQ97" i="8"/>
  <c r="AQ58" i="8"/>
  <c r="AQ32" i="8"/>
  <c r="AQ70" i="7"/>
  <c r="AQ63" i="7"/>
  <c r="AQ51" i="7"/>
  <c r="AQ99" i="8"/>
  <c r="AQ71" i="8"/>
  <c r="AQ49" i="8"/>
  <c r="AQ94" i="8"/>
  <c r="AQ33" i="8"/>
  <c r="AQ25" i="8"/>
  <c r="AQ12" i="8"/>
  <c r="AQ101" i="7"/>
  <c r="AQ85" i="7"/>
  <c r="AQ62" i="7"/>
  <c r="AQ28" i="7"/>
  <c r="AQ21" i="7"/>
  <c r="AQ10" i="7"/>
  <c r="AQ79" i="8"/>
  <c r="AQ5" i="8"/>
  <c r="AQ96" i="7"/>
  <c r="AQ18" i="7"/>
  <c r="AQ11" i="7"/>
  <c r="AQ310" i="6"/>
  <c r="AQ299" i="6"/>
  <c r="AQ288" i="6"/>
  <c r="AQ277" i="6"/>
  <c r="AQ266" i="6"/>
  <c r="AQ264" i="6"/>
  <c r="AG15" i="9"/>
  <c r="AQ90" i="8"/>
  <c r="AQ65" i="8"/>
  <c r="AQ26" i="8"/>
  <c r="AQ21" i="8"/>
  <c r="AQ19" i="8"/>
  <c r="AQ67" i="8"/>
  <c r="AQ13" i="8"/>
  <c r="AQ91" i="8"/>
  <c r="AQ52" i="8"/>
  <c r="AQ38" i="8"/>
  <c r="AQ3" i="8"/>
  <c r="AQ81" i="7"/>
  <c r="AQ45" i="7"/>
  <c r="AQ27" i="7"/>
  <c r="AQ37" i="8"/>
  <c r="AQ15" i="8"/>
  <c r="AQ97" i="7"/>
  <c r="AQ93" i="7"/>
  <c r="AQ64" i="7"/>
  <c r="AQ85" i="8"/>
  <c r="AQ6" i="8"/>
  <c r="AQ2" i="8"/>
  <c r="AQ73" i="7"/>
  <c r="AQ41" i="8"/>
  <c r="AQ30" i="8"/>
  <c r="AQ20" i="8"/>
  <c r="AQ72" i="7"/>
  <c r="AQ60" i="7"/>
  <c r="AQ8" i="7"/>
  <c r="AQ283" i="6"/>
  <c r="AQ280" i="6"/>
  <c r="AQ88" i="8"/>
  <c r="AQ42" i="8"/>
  <c r="AQ14" i="8"/>
  <c r="AQ55" i="7"/>
  <c r="AQ22" i="7"/>
  <c r="AQ101" i="8"/>
  <c r="AQ80" i="8"/>
  <c r="AQ7" i="8"/>
  <c r="AQ99" i="7"/>
  <c r="AQ84" i="7"/>
  <c r="AQ78" i="7"/>
  <c r="AQ77" i="7"/>
  <c r="AQ75" i="7"/>
  <c r="AQ44" i="7"/>
  <c r="AQ70" i="8"/>
  <c r="AQ44" i="8"/>
  <c r="AQ83" i="7"/>
  <c r="AQ76" i="7"/>
  <c r="AQ58" i="7"/>
  <c r="AQ57" i="7"/>
  <c r="AQ54" i="8"/>
  <c r="AQ39" i="8"/>
  <c r="AQ45" i="8"/>
  <c r="AQ72" i="8"/>
  <c r="AQ11" i="8"/>
  <c r="AQ65" i="7"/>
  <c r="AQ49" i="7"/>
  <c r="AQ82" i="8"/>
  <c r="AQ63" i="8"/>
  <c r="AQ34" i="8"/>
  <c r="AQ22" i="8"/>
  <c r="AQ74" i="8"/>
  <c r="AQ96" i="8"/>
  <c r="AQ94" i="7"/>
  <c r="AQ53" i="8"/>
  <c r="AQ56" i="8"/>
  <c r="AQ61" i="7"/>
  <c r="AG11" i="9"/>
  <c r="AQ84" i="8"/>
  <c r="AQ100" i="8"/>
  <c r="AG3" i="9"/>
  <c r="AQ4" i="8"/>
  <c r="AQ100" i="7"/>
  <c r="AQ69" i="7"/>
  <c r="AQ69" i="8"/>
  <c r="AQ75" i="8"/>
  <c r="AQ87" i="7"/>
  <c r="AQ66" i="7"/>
  <c r="AQ52" i="7"/>
  <c r="AQ80" i="7"/>
  <c r="AQ30" i="7"/>
  <c r="AQ54" i="7"/>
  <c r="AQ43" i="7"/>
  <c r="AQ24" i="7"/>
  <c r="AQ20" i="7"/>
  <c r="AQ4" i="7"/>
  <c r="AQ2" i="7"/>
  <c r="AQ62" i="8"/>
  <c r="AQ42" i="7"/>
  <c r="AQ34" i="7"/>
  <c r="AQ47" i="8"/>
  <c r="AQ60" i="8"/>
  <c r="AQ56" i="7"/>
  <c r="AQ33" i="7"/>
  <c r="AQ15" i="7"/>
  <c r="AQ3" i="7"/>
  <c r="AQ287" i="6"/>
  <c r="AQ50" i="7"/>
  <c r="AQ9" i="7"/>
  <c r="AQ312" i="6"/>
  <c r="AQ302" i="6"/>
  <c r="AQ67" i="7"/>
  <c r="AQ271" i="6"/>
  <c r="AQ19" i="7"/>
  <c r="AQ12" i="7"/>
  <c r="AQ305" i="6"/>
  <c r="AQ291" i="6"/>
  <c r="AQ47" i="7"/>
  <c r="AG12" i="9"/>
  <c r="AQ92" i="7"/>
  <c r="AQ95" i="7"/>
  <c r="AQ82" i="7"/>
  <c r="AQ311" i="6"/>
  <c r="AQ24" i="8"/>
  <c r="AQ26" i="7"/>
  <c r="AQ16" i="7"/>
  <c r="AQ88" i="7"/>
  <c r="AQ59" i="7"/>
  <c r="AQ262" i="6"/>
  <c r="AQ17" i="7"/>
  <c r="AQ13" i="7"/>
  <c r="AQ304" i="6"/>
  <c r="AQ28" i="8"/>
  <c r="AQ29" i="7"/>
  <c r="AQ301" i="6"/>
  <c r="AQ286" i="6"/>
  <c r="AQ269" i="6"/>
  <c r="AG10" i="9"/>
  <c r="AQ89" i="8"/>
  <c r="AQ91" i="7"/>
  <c r="AQ294" i="6"/>
  <c r="AQ98" i="8"/>
  <c r="AQ23" i="7"/>
  <c r="AQ307" i="6"/>
  <c r="AQ303" i="6"/>
  <c r="AQ308" i="6"/>
  <c r="AQ306" i="6"/>
  <c r="AQ300" i="6"/>
  <c r="AQ289" i="6"/>
  <c r="AQ32" i="7"/>
  <c r="AQ295" i="6"/>
  <c r="AQ282" i="6"/>
  <c r="AQ251" i="6"/>
  <c r="AQ240" i="6"/>
  <c r="AQ229" i="6"/>
  <c r="AQ218" i="6"/>
  <c r="AQ7" i="7"/>
  <c r="AQ281" i="6"/>
  <c r="AQ250" i="6"/>
  <c r="AQ239" i="6"/>
  <c r="AQ228" i="6"/>
  <c r="AQ297" i="6"/>
  <c r="AQ79" i="7"/>
  <c r="AQ273" i="6"/>
  <c r="AQ241" i="6"/>
  <c r="AQ226" i="6"/>
  <c r="AQ31" i="7"/>
  <c r="AQ274" i="6"/>
  <c r="AQ233" i="6"/>
  <c r="AQ68" i="7"/>
  <c r="AQ25" i="7"/>
  <c r="AQ276" i="6"/>
  <c r="AQ242" i="6"/>
  <c r="AQ225" i="6"/>
  <c r="AQ6" i="7"/>
  <c r="AQ309" i="6"/>
  <c r="AQ292" i="6"/>
  <c r="AQ279" i="6"/>
  <c r="AQ278" i="6"/>
  <c r="AQ275" i="6"/>
  <c r="AQ48" i="8"/>
  <c r="AQ243" i="6"/>
  <c r="AQ234" i="6"/>
  <c r="AQ224" i="6"/>
  <c r="AQ53" i="7"/>
  <c r="AQ296" i="6"/>
  <c r="AQ223" i="6"/>
  <c r="AQ257" i="6"/>
  <c r="AQ252" i="6"/>
  <c r="AQ254" i="6"/>
  <c r="AQ236" i="6"/>
  <c r="AQ222" i="6"/>
  <c r="AQ212" i="6"/>
  <c r="AQ201" i="6"/>
  <c r="AQ190" i="6"/>
  <c r="AQ179" i="6"/>
  <c r="AQ168" i="6"/>
  <c r="AQ157" i="6"/>
  <c r="AQ146" i="6"/>
  <c r="AQ135" i="6"/>
  <c r="AQ124" i="6"/>
  <c r="AQ113" i="6"/>
  <c r="AQ41" i="7"/>
  <c r="AQ230" i="6"/>
  <c r="AQ73" i="8"/>
  <c r="AQ227" i="6"/>
  <c r="AQ206" i="6"/>
  <c r="AQ195" i="6"/>
  <c r="AQ184" i="6"/>
  <c r="AQ173" i="6"/>
  <c r="AQ162" i="6"/>
  <c r="AQ151" i="6"/>
  <c r="AQ140" i="6"/>
  <c r="AQ129" i="6"/>
  <c r="AQ118" i="6"/>
  <c r="AQ5" i="7"/>
  <c r="AQ261" i="6"/>
  <c r="AQ260" i="6"/>
  <c r="AQ40" i="7"/>
  <c r="AQ285" i="6"/>
  <c r="AQ211" i="6"/>
  <c r="AQ200" i="6"/>
  <c r="AQ189" i="6"/>
  <c r="AQ178" i="6"/>
  <c r="AQ167" i="6"/>
  <c r="AQ156" i="6"/>
  <c r="AQ145" i="6"/>
  <c r="AQ134" i="6"/>
  <c r="AQ123" i="6"/>
  <c r="AQ272" i="6"/>
  <c r="AQ253" i="6"/>
  <c r="AQ246" i="6"/>
  <c r="AQ298" i="6"/>
  <c r="AQ267" i="6"/>
  <c r="AQ263" i="6"/>
  <c r="AQ235" i="6"/>
  <c r="AQ217" i="6"/>
  <c r="AQ205" i="6"/>
  <c r="AQ194" i="6"/>
  <c r="AQ183" i="6"/>
  <c r="AQ172" i="6"/>
  <c r="AQ161" i="6"/>
  <c r="AQ150" i="6"/>
  <c r="AQ139" i="6"/>
  <c r="AQ128" i="6"/>
  <c r="AQ202" i="6"/>
  <c r="AQ171" i="6"/>
  <c r="AQ126" i="6"/>
  <c r="AQ114" i="6"/>
  <c r="AQ258" i="6"/>
  <c r="AQ247" i="6"/>
  <c r="AQ232" i="6"/>
  <c r="AQ208" i="6"/>
  <c r="AQ177" i="6"/>
  <c r="AQ163" i="6"/>
  <c r="AQ132" i="6"/>
  <c r="AQ122" i="6"/>
  <c r="AQ106" i="6"/>
  <c r="AQ95" i="6"/>
  <c r="AQ84" i="6"/>
  <c r="AQ248" i="6"/>
  <c r="AQ231" i="6"/>
  <c r="AQ169" i="6"/>
  <c r="AQ138" i="6"/>
  <c r="AQ293" i="6"/>
  <c r="AQ249" i="6"/>
  <c r="AQ175" i="6"/>
  <c r="AQ144" i="6"/>
  <c r="AQ130" i="6"/>
  <c r="AQ100" i="6"/>
  <c r="AQ89" i="6"/>
  <c r="AQ78" i="6"/>
  <c r="AQ67" i="6"/>
  <c r="AQ255" i="6"/>
  <c r="AQ181" i="6"/>
  <c r="AQ136" i="6"/>
  <c r="AQ187" i="6"/>
  <c r="AQ142" i="6"/>
  <c r="AQ105" i="6"/>
  <c r="AQ94" i="6"/>
  <c r="AQ83" i="6"/>
  <c r="AQ72" i="6"/>
  <c r="AQ290" i="6"/>
  <c r="AQ199" i="6"/>
  <c r="AQ185" i="6"/>
  <c r="AQ154" i="6"/>
  <c r="AQ120" i="6"/>
  <c r="AQ110" i="6"/>
  <c r="AQ99" i="6"/>
  <c r="AQ88" i="6"/>
  <c r="AQ77" i="6"/>
  <c r="AQ268" i="6"/>
  <c r="AQ165" i="6"/>
  <c r="AQ158" i="6"/>
  <c r="AQ111" i="6"/>
  <c r="AQ82" i="6"/>
  <c r="AQ155" i="6"/>
  <c r="AQ119" i="6"/>
  <c r="AQ63" i="6"/>
  <c r="AQ57" i="6"/>
  <c r="AQ50" i="6"/>
  <c r="AQ39" i="6"/>
  <c r="AQ28" i="6"/>
  <c r="AQ14" i="7"/>
  <c r="AQ265" i="6"/>
  <c r="AQ245" i="6"/>
  <c r="AQ159" i="6"/>
  <c r="AQ152" i="6"/>
  <c r="AQ148" i="6"/>
  <c r="AQ117" i="6"/>
  <c r="AQ116" i="6"/>
  <c r="AQ80" i="6"/>
  <c r="AQ56" i="6"/>
  <c r="AQ86" i="7"/>
  <c r="AQ149" i="6"/>
  <c r="AQ86" i="6"/>
  <c r="AQ74" i="6"/>
  <c r="AQ68" i="6"/>
  <c r="AQ44" i="6"/>
  <c r="AQ33" i="6"/>
  <c r="AQ153" i="6"/>
  <c r="AQ115" i="6"/>
  <c r="AQ92" i="6"/>
  <c r="AQ55" i="6"/>
  <c r="AQ219" i="6"/>
  <c r="AQ209" i="6"/>
  <c r="AQ143" i="6"/>
  <c r="AQ98" i="6"/>
  <c r="AQ64" i="6"/>
  <c r="AQ49" i="6"/>
  <c r="AQ38" i="6"/>
  <c r="AQ27" i="6"/>
  <c r="AQ48" i="7"/>
  <c r="AQ214" i="6"/>
  <c r="AQ147" i="6"/>
  <c r="AQ133" i="6"/>
  <c r="AQ104" i="6"/>
  <c r="AQ90" i="6"/>
  <c r="AQ238" i="6"/>
  <c r="AQ210" i="6"/>
  <c r="AQ203" i="6"/>
  <c r="AQ137" i="6"/>
  <c r="AQ96" i="6"/>
  <c r="AQ54" i="6"/>
  <c r="AQ43" i="6"/>
  <c r="AQ32" i="6"/>
  <c r="AQ213" i="6"/>
  <c r="AQ207" i="6"/>
  <c r="AQ180" i="6"/>
  <c r="AQ108" i="6"/>
  <c r="AQ65" i="6"/>
  <c r="AQ36" i="6"/>
  <c r="AQ14" i="6"/>
  <c r="AQ3" i="6"/>
  <c r="AQ141" i="6"/>
  <c r="AQ191" i="6"/>
  <c r="AQ60" i="6"/>
  <c r="AQ41" i="6"/>
  <c r="AQ19" i="6"/>
  <c r="AQ8" i="6"/>
  <c r="AQ121" i="6"/>
  <c r="AQ109" i="6"/>
  <c r="AQ107" i="6"/>
  <c r="AQ46" i="6"/>
  <c r="AQ13" i="6"/>
  <c r="AQ2" i="6"/>
  <c r="AQ284" i="6"/>
  <c r="AQ186" i="6"/>
  <c r="AQ93" i="6"/>
  <c r="AQ91" i="6"/>
  <c r="AQ196" i="6"/>
  <c r="AQ75" i="6"/>
  <c r="AQ51" i="6"/>
  <c r="AQ48" i="6"/>
  <c r="AQ25" i="6"/>
  <c r="AQ18" i="6"/>
  <c r="AQ7" i="6"/>
  <c r="AQ85" i="6"/>
  <c r="AQ61" i="6"/>
  <c r="AQ58" i="6"/>
  <c r="AQ31" i="6"/>
  <c r="AQ26" i="6"/>
  <c r="AQ188" i="6"/>
  <c r="AQ76" i="6"/>
  <c r="AQ34" i="6"/>
  <c r="AQ29" i="6"/>
  <c r="AQ22" i="6"/>
  <c r="AQ10" i="6"/>
  <c r="AQ259" i="6"/>
  <c r="AQ197" i="6"/>
  <c r="AQ174" i="6"/>
  <c r="AQ73" i="6"/>
  <c r="AQ6" i="6"/>
  <c r="AQ221" i="6"/>
  <c r="AQ160" i="6"/>
  <c r="AQ69" i="6"/>
  <c r="AQ15" i="6"/>
  <c r="AQ237" i="6"/>
  <c r="AQ256" i="6"/>
  <c r="AQ192" i="6"/>
  <c r="AQ182" i="6"/>
  <c r="AQ176" i="6"/>
  <c r="AQ24" i="6"/>
  <c r="AQ16" i="6"/>
  <c r="AQ23" i="6"/>
  <c r="AQ270" i="6"/>
  <c r="AQ40" i="6"/>
  <c r="AQ30" i="6"/>
  <c r="AQ102" i="6"/>
  <c r="AQ12" i="6"/>
  <c r="AQ166" i="6"/>
  <c r="AQ112" i="6"/>
  <c r="AQ37" i="6"/>
  <c r="AQ17" i="6"/>
  <c r="AQ4" i="6"/>
  <c r="AQ198" i="6"/>
  <c r="AQ131" i="6"/>
  <c r="AQ125" i="6"/>
  <c r="AQ53" i="6"/>
  <c r="AQ220" i="6"/>
  <c r="AQ62" i="6"/>
  <c r="AQ70" i="6"/>
  <c r="AQ204" i="6"/>
  <c r="AQ59" i="6"/>
  <c r="AQ52" i="6"/>
  <c r="AQ313" i="6"/>
  <c r="AQ215" i="6"/>
  <c r="AQ11" i="6"/>
  <c r="AQ79" i="6"/>
  <c r="AQ193" i="6"/>
  <c r="AQ87" i="6"/>
  <c r="AQ244" i="6"/>
  <c r="AQ101" i="6"/>
  <c r="AQ35" i="6"/>
  <c r="AQ66" i="6"/>
  <c r="AQ45" i="6"/>
  <c r="AQ42" i="6"/>
  <c r="AQ103" i="6"/>
  <c r="AQ164" i="6"/>
  <c r="AQ127" i="6"/>
  <c r="AQ20" i="6"/>
  <c r="AQ170" i="6"/>
  <c r="AQ97" i="6"/>
  <c r="AQ71" i="6"/>
  <c r="AQ47" i="6"/>
  <c r="AQ5" i="6"/>
  <c r="AQ216" i="6"/>
  <c r="AQ81" i="6"/>
  <c r="AQ21" i="6"/>
  <c r="AQ9" i="6"/>
  <c r="I180" i="8" l="1"/>
  <c r="I158" i="8"/>
  <c r="I136" i="8"/>
  <c r="I114" i="8"/>
  <c r="I98" i="8"/>
  <c r="I87" i="8"/>
  <c r="I191" i="8"/>
  <c r="I168" i="8"/>
  <c r="I145" i="8"/>
  <c r="I131" i="8"/>
  <c r="I108" i="8"/>
  <c r="I97" i="8"/>
  <c r="I189" i="8"/>
  <c r="I184" i="8"/>
  <c r="I160" i="8"/>
  <c r="I126" i="8"/>
  <c r="I102" i="8"/>
  <c r="I70" i="8"/>
  <c r="I55" i="8"/>
  <c r="I51" i="8"/>
  <c r="I39" i="8"/>
  <c r="I27" i="8"/>
  <c r="I16" i="8"/>
  <c r="I4" i="8"/>
  <c r="I192" i="7"/>
  <c r="I170" i="7"/>
  <c r="I148" i="7"/>
  <c r="I126" i="7"/>
  <c r="I104" i="7"/>
  <c r="I94" i="7"/>
  <c r="I83" i="7"/>
  <c r="I72" i="7"/>
  <c r="I61" i="7"/>
  <c r="I199" i="8"/>
  <c r="I194" i="8"/>
  <c r="I127" i="8"/>
  <c r="I122" i="8"/>
  <c r="I95" i="8"/>
  <c r="I152" i="8"/>
  <c r="I115" i="8"/>
  <c r="I99" i="8"/>
  <c r="I188" i="8"/>
  <c r="I172" i="8"/>
  <c r="I151" i="8"/>
  <c r="I140" i="8"/>
  <c r="I76" i="8"/>
  <c r="I193" i="8"/>
  <c r="I177" i="8"/>
  <c r="I156" i="8"/>
  <c r="I119" i="8"/>
  <c r="I103" i="8"/>
  <c r="I81" i="8"/>
  <c r="I125" i="8"/>
  <c r="I56" i="8"/>
  <c r="I179" i="8"/>
  <c r="I173" i="8"/>
  <c r="I84" i="8"/>
  <c r="I48" i="8"/>
  <c r="I47" i="8"/>
  <c r="I46" i="8"/>
  <c r="I45" i="8"/>
  <c r="I44" i="8"/>
  <c r="I43" i="8"/>
  <c r="I36" i="8"/>
  <c r="I24" i="8"/>
  <c r="I186" i="8"/>
  <c r="I146" i="8"/>
  <c r="I112" i="8"/>
  <c r="I105" i="8"/>
  <c r="I83" i="8"/>
  <c r="I71" i="8"/>
  <c r="I32" i="8"/>
  <c r="I31" i="8"/>
  <c r="I30" i="8"/>
  <c r="I29" i="8"/>
  <c r="I28" i="8"/>
  <c r="I178" i="8"/>
  <c r="I144" i="8"/>
  <c r="I117" i="8"/>
  <c r="I78" i="8"/>
  <c r="I165" i="8"/>
  <c r="I150" i="8"/>
  <c r="I135" i="8"/>
  <c r="I128" i="8"/>
  <c r="I73" i="8"/>
  <c r="I66" i="8"/>
  <c r="I34" i="8"/>
  <c r="I148" i="8"/>
  <c r="I141" i="8"/>
  <c r="I92" i="8"/>
  <c r="I63" i="8"/>
  <c r="I190" i="8"/>
  <c r="I174" i="8"/>
  <c r="I157" i="8"/>
  <c r="I133" i="8"/>
  <c r="I116" i="8"/>
  <c r="I12" i="8"/>
  <c r="I178" i="7"/>
  <c r="I155" i="7"/>
  <c r="I132" i="7"/>
  <c r="I109" i="7"/>
  <c r="I85" i="7"/>
  <c r="I66" i="7"/>
  <c r="I155" i="8"/>
  <c r="I139" i="8"/>
  <c r="I107" i="8"/>
  <c r="I60" i="8"/>
  <c r="I13" i="8"/>
  <c r="I200" i="7"/>
  <c r="I177" i="7"/>
  <c r="I154" i="7"/>
  <c r="I131" i="7"/>
  <c r="I117" i="7"/>
  <c r="I101" i="7"/>
  <c r="I82" i="7"/>
  <c r="I67" i="7"/>
  <c r="I55" i="7"/>
  <c r="I53" i="7"/>
  <c r="I42" i="7"/>
  <c r="I31" i="7"/>
  <c r="I195" i="8"/>
  <c r="I159" i="8"/>
  <c r="I132" i="8"/>
  <c r="I80" i="8"/>
  <c r="I75" i="8"/>
  <c r="I74" i="8"/>
  <c r="I58" i="8"/>
  <c r="I22" i="8"/>
  <c r="I17" i="8"/>
  <c r="I2" i="8"/>
  <c r="I197" i="7"/>
  <c r="I141" i="7"/>
  <c r="I136" i="7"/>
  <c r="I98" i="7"/>
  <c r="I21" i="7"/>
  <c r="I12" i="7"/>
  <c r="I192" i="8"/>
  <c r="I175" i="8"/>
  <c r="I129" i="8"/>
  <c r="I101" i="8"/>
  <c r="I67" i="8"/>
  <c r="I62" i="8"/>
  <c r="I26" i="8"/>
  <c r="I150" i="7"/>
  <c r="I145" i="7"/>
  <c r="I63" i="7"/>
  <c r="I182" i="8"/>
  <c r="I162" i="8"/>
  <c r="I143" i="8"/>
  <c r="I123" i="8"/>
  <c r="I113" i="8"/>
  <c r="I96" i="8"/>
  <c r="I86" i="8"/>
  <c r="I171" i="8"/>
  <c r="I33" i="8"/>
  <c r="I194" i="7"/>
  <c r="I183" i="7"/>
  <c r="I116" i="7"/>
  <c r="I105" i="7"/>
  <c r="I87" i="7"/>
  <c r="I64" i="7"/>
  <c r="I14" i="7"/>
  <c r="I308" i="6"/>
  <c r="I297" i="6"/>
  <c r="I286" i="6"/>
  <c r="I275" i="6"/>
  <c r="I257" i="6"/>
  <c r="I200" i="8"/>
  <c r="I120" i="8"/>
  <c r="I110" i="8"/>
  <c r="I82" i="8"/>
  <c r="I64" i="8"/>
  <c r="I18" i="8"/>
  <c r="I193" i="7"/>
  <c r="I176" i="7"/>
  <c r="I68" i="7"/>
  <c r="I46" i="7"/>
  <c r="I27" i="7"/>
  <c r="I3" i="7"/>
  <c r="I183" i="8"/>
  <c r="I85" i="8"/>
  <c r="I21" i="8"/>
  <c r="I15" i="8"/>
  <c r="I188" i="7"/>
  <c r="I163" i="7"/>
  <c r="I151" i="7"/>
  <c r="I120" i="7"/>
  <c r="I114" i="7"/>
  <c r="I170" i="8"/>
  <c r="I147" i="8"/>
  <c r="I57" i="8"/>
  <c r="I42" i="8"/>
  <c r="I134" i="8"/>
  <c r="I93" i="8"/>
  <c r="I112" i="7"/>
  <c r="I106" i="7"/>
  <c r="I80" i="7"/>
  <c r="I57" i="7"/>
  <c r="I48" i="7"/>
  <c r="I91" i="8"/>
  <c r="I11" i="8"/>
  <c r="I157" i="7"/>
  <c r="I144" i="7"/>
  <c r="I92" i="7"/>
  <c r="I88" i="7"/>
  <c r="I70" i="7"/>
  <c r="I51" i="7"/>
  <c r="I41" i="7"/>
  <c r="I169" i="8"/>
  <c r="I104" i="8"/>
  <c r="I10" i="8"/>
  <c r="I5" i="8"/>
  <c r="I187" i="7"/>
  <c r="I168" i="7"/>
  <c r="I79" i="7"/>
  <c r="I196" i="8"/>
  <c r="I118" i="8"/>
  <c r="I124" i="7"/>
  <c r="I102" i="7"/>
  <c r="I89" i="7"/>
  <c r="I50" i="7"/>
  <c r="I16" i="7"/>
  <c r="I310" i="6"/>
  <c r="I149" i="8"/>
  <c r="I191" i="7"/>
  <c r="I184" i="7"/>
  <c r="I161" i="7"/>
  <c r="I139" i="7"/>
  <c r="I32" i="7"/>
  <c r="I8" i="7"/>
  <c r="I283" i="6"/>
  <c r="I280" i="6"/>
  <c r="I261" i="6"/>
  <c r="I260" i="6"/>
  <c r="I259" i="6"/>
  <c r="I258" i="6"/>
  <c r="I256" i="6"/>
  <c r="I176" i="8"/>
  <c r="I161" i="8"/>
  <c r="I49" i="8"/>
  <c r="I23" i="8"/>
  <c r="I6" i="8"/>
  <c r="I182" i="7"/>
  <c r="I174" i="7"/>
  <c r="I167" i="7"/>
  <c r="I137" i="7"/>
  <c r="I115" i="7"/>
  <c r="I61" i="8"/>
  <c r="I35" i="8"/>
  <c r="I186" i="7"/>
  <c r="I152" i="7"/>
  <c r="I143" i="7"/>
  <c r="I91" i="7"/>
  <c r="I89" i="8"/>
  <c r="I169" i="7"/>
  <c r="I160" i="7"/>
  <c r="I44" i="7"/>
  <c r="I154" i="8"/>
  <c r="I138" i="8"/>
  <c r="I69" i="8"/>
  <c r="I52" i="8"/>
  <c r="I19" i="8"/>
  <c r="I175" i="7"/>
  <c r="I95" i="7"/>
  <c r="I130" i="8"/>
  <c r="I109" i="8"/>
  <c r="I100" i="8"/>
  <c r="I41" i="8"/>
  <c r="I134" i="7"/>
  <c r="I96" i="7"/>
  <c r="I78" i="7"/>
  <c r="I56" i="7"/>
  <c r="I201" i="8"/>
  <c r="I153" i="8"/>
  <c r="I94" i="8"/>
  <c r="I164" i="7"/>
  <c r="I86" i="7"/>
  <c r="I88" i="8"/>
  <c r="I173" i="7"/>
  <c r="I123" i="7"/>
  <c r="I103" i="7"/>
  <c r="I198" i="8"/>
  <c r="I72" i="8"/>
  <c r="I68" i="8"/>
  <c r="I197" i="8"/>
  <c r="I77" i="8"/>
  <c r="I142" i="7"/>
  <c r="I133" i="7"/>
  <c r="I20" i="8"/>
  <c r="I14" i="8"/>
  <c r="I172" i="7"/>
  <c r="I185" i="8"/>
  <c r="I59" i="8"/>
  <c r="I3" i="8"/>
  <c r="I147" i="7"/>
  <c r="I107" i="7"/>
  <c r="I93" i="7"/>
  <c r="I90" i="7"/>
  <c r="I121" i="8"/>
  <c r="I54" i="8"/>
  <c r="I185" i="7"/>
  <c r="I158" i="7"/>
  <c r="I171" i="7"/>
  <c r="I146" i="7"/>
  <c r="I130" i="7"/>
  <c r="I119" i="7"/>
  <c r="I71" i="7"/>
  <c r="I181" i="7"/>
  <c r="I84" i="7"/>
  <c r="I76" i="7"/>
  <c r="I53" i="8"/>
  <c r="I8" i="8"/>
  <c r="I195" i="7"/>
  <c r="I180" i="7"/>
  <c r="I156" i="7"/>
  <c r="I99" i="7"/>
  <c r="I166" i="8"/>
  <c r="I38" i="7"/>
  <c r="I15" i="7"/>
  <c r="I124" i="8"/>
  <c r="I122" i="7"/>
  <c r="I164" i="8"/>
  <c r="I121" i="7"/>
  <c r="I100" i="7"/>
  <c r="I22" i="7"/>
  <c r="I111" i="8"/>
  <c r="I190" i="7"/>
  <c r="I138" i="7"/>
  <c r="I20" i="7"/>
  <c r="I6" i="7"/>
  <c r="I163" i="8"/>
  <c r="I24" i="7"/>
  <c r="I79" i="8"/>
  <c r="I65" i="7"/>
  <c r="I37" i="7"/>
  <c r="I29" i="7"/>
  <c r="I18" i="7"/>
  <c r="I38" i="8"/>
  <c r="I108" i="7"/>
  <c r="I62" i="7"/>
  <c r="I305" i="6"/>
  <c r="I285" i="6"/>
  <c r="I279" i="6"/>
  <c r="I277" i="6"/>
  <c r="I273" i="6"/>
  <c r="I271" i="6"/>
  <c r="I269" i="6"/>
  <c r="I267" i="6"/>
  <c r="I201" i="7"/>
  <c r="I179" i="7"/>
  <c r="I74" i="7"/>
  <c r="I52" i="7"/>
  <c r="I50" i="8"/>
  <c r="I128" i="7"/>
  <c r="I311" i="6"/>
  <c r="I167" i="8"/>
  <c r="I149" i="7"/>
  <c r="I293" i="6"/>
  <c r="I49" i="7"/>
  <c r="I11" i="7"/>
  <c r="I65" i="8"/>
  <c r="I199" i="7"/>
  <c r="I127" i="7"/>
  <c r="I60" i="7"/>
  <c r="I45" i="7"/>
  <c r="I26" i="7"/>
  <c r="I37" i="8"/>
  <c r="I58" i="7"/>
  <c r="I39" i="7"/>
  <c r="I25" i="7"/>
  <c r="I106" i="8"/>
  <c r="I165" i="7"/>
  <c r="I129" i="7"/>
  <c r="I309" i="6"/>
  <c r="I40" i="8"/>
  <c r="I198" i="7"/>
  <c r="I33" i="7"/>
  <c r="I196" i="7"/>
  <c r="I43" i="7"/>
  <c r="I28" i="7"/>
  <c r="I19" i="7"/>
  <c r="I299" i="6"/>
  <c r="I298" i="6"/>
  <c r="I125" i="7"/>
  <c r="I81" i="7"/>
  <c r="I313" i="6"/>
  <c r="I187" i="8"/>
  <c r="I162" i="7"/>
  <c r="I118" i="7"/>
  <c r="I2" i="7"/>
  <c r="I266" i="6"/>
  <c r="I189" i="7"/>
  <c r="I77" i="7"/>
  <c r="I4" i="7"/>
  <c r="I181" i="8"/>
  <c r="I36" i="7"/>
  <c r="I5" i="7"/>
  <c r="I312" i="6"/>
  <c r="I159" i="7"/>
  <c r="I7" i="8"/>
  <c r="I47" i="7"/>
  <c r="I17" i="7"/>
  <c r="I291" i="6"/>
  <c r="I290" i="6"/>
  <c r="I278" i="6"/>
  <c r="I262" i="6"/>
  <c r="I166" i="7"/>
  <c r="I111" i="7"/>
  <c r="I73" i="7"/>
  <c r="I304" i="6"/>
  <c r="I300" i="6"/>
  <c r="I252" i="6"/>
  <c r="I241" i="6"/>
  <c r="I40" i="7"/>
  <c r="I10" i="7"/>
  <c r="I219" i="6"/>
  <c r="I239" i="6"/>
  <c r="I153" i="7"/>
  <c r="I248" i="6"/>
  <c r="I218" i="6"/>
  <c r="I301" i="6"/>
  <c r="I240" i="6"/>
  <c r="I90" i="8"/>
  <c r="I25" i="8"/>
  <c r="I34" i="7"/>
  <c r="I23" i="7"/>
  <c r="I306" i="6"/>
  <c r="I294" i="6"/>
  <c r="I249" i="6"/>
  <c r="I288" i="6"/>
  <c r="I287" i="6"/>
  <c r="I264" i="6"/>
  <c r="I230" i="6"/>
  <c r="I229" i="6"/>
  <c r="I228" i="6"/>
  <c r="I216" i="6"/>
  <c r="I295" i="6"/>
  <c r="I142" i="8"/>
  <c r="I97" i="7"/>
  <c r="I9" i="7"/>
  <c r="I302" i="6"/>
  <c r="I276" i="6"/>
  <c r="I254" i="6"/>
  <c r="I220" i="6"/>
  <c r="I307" i="6"/>
  <c r="I209" i="6"/>
  <c r="I198" i="6"/>
  <c r="I187" i="6"/>
  <c r="I176" i="6"/>
  <c r="I165" i="6"/>
  <c r="I154" i="6"/>
  <c r="I143" i="6"/>
  <c r="I132" i="6"/>
  <c r="I121" i="6"/>
  <c r="I281" i="6"/>
  <c r="I232" i="6"/>
  <c r="I59" i="7"/>
  <c r="I253" i="6"/>
  <c r="I246" i="6"/>
  <c r="I222" i="6"/>
  <c r="I215" i="6"/>
  <c r="I203" i="6"/>
  <c r="I192" i="6"/>
  <c r="I181" i="6"/>
  <c r="I170" i="6"/>
  <c r="I159" i="6"/>
  <c r="I148" i="6"/>
  <c r="I137" i="6"/>
  <c r="I126" i="6"/>
  <c r="I115" i="6"/>
  <c r="I137" i="8"/>
  <c r="I289" i="6"/>
  <c r="I242" i="6"/>
  <c r="I235" i="6"/>
  <c r="I140" i="7"/>
  <c r="I284" i="6"/>
  <c r="I265" i="6"/>
  <c r="I224" i="6"/>
  <c r="I214" i="6"/>
  <c r="I208" i="6"/>
  <c r="I197" i="6"/>
  <c r="I186" i="6"/>
  <c r="I175" i="6"/>
  <c r="I164" i="6"/>
  <c r="I153" i="6"/>
  <c r="I142" i="6"/>
  <c r="I131" i="6"/>
  <c r="I120" i="6"/>
  <c r="I75" i="7"/>
  <c r="I274" i="6"/>
  <c r="I206" i="6"/>
  <c r="I161" i="6"/>
  <c r="I130" i="6"/>
  <c r="I124" i="6"/>
  <c r="I109" i="6"/>
  <c r="I98" i="6"/>
  <c r="I87" i="6"/>
  <c r="I76" i="6"/>
  <c r="I65" i="6"/>
  <c r="I69" i="7"/>
  <c r="I212" i="6"/>
  <c r="I167" i="6"/>
  <c r="I136" i="6"/>
  <c r="I114" i="6"/>
  <c r="I217" i="6"/>
  <c r="I204" i="6"/>
  <c r="I173" i="6"/>
  <c r="I128" i="6"/>
  <c r="I103" i="6"/>
  <c r="I92" i="6"/>
  <c r="I81" i="6"/>
  <c r="I70" i="6"/>
  <c r="I243" i="6"/>
  <c r="I210" i="6"/>
  <c r="I179" i="6"/>
  <c r="I134" i="6"/>
  <c r="I244" i="6"/>
  <c r="I226" i="6"/>
  <c r="I185" i="6"/>
  <c r="I171" i="6"/>
  <c r="I140" i="6"/>
  <c r="I117" i="6"/>
  <c r="I108" i="6"/>
  <c r="I97" i="6"/>
  <c r="I86" i="6"/>
  <c r="I75" i="6"/>
  <c r="I245" i="6"/>
  <c r="I221" i="6"/>
  <c r="I191" i="6"/>
  <c r="I177" i="6"/>
  <c r="I146" i="6"/>
  <c r="I54" i="7"/>
  <c r="I225" i="6"/>
  <c r="I189" i="6"/>
  <c r="I158" i="6"/>
  <c r="I144" i="6"/>
  <c r="I201" i="6"/>
  <c r="I149" i="6"/>
  <c r="I138" i="6"/>
  <c r="I135" i="6"/>
  <c r="I116" i="6"/>
  <c r="I80" i="6"/>
  <c r="I53" i="6"/>
  <c r="I42" i="6"/>
  <c r="I31" i="6"/>
  <c r="I263" i="6"/>
  <c r="I251" i="6"/>
  <c r="I205" i="6"/>
  <c r="I139" i="6"/>
  <c r="I125" i="6"/>
  <c r="I111" i="6"/>
  <c r="I78" i="6"/>
  <c r="I202" i="6"/>
  <c r="I195" i="6"/>
  <c r="I129" i="6"/>
  <c r="I84" i="6"/>
  <c r="I74" i="6"/>
  <c r="I67" i="6"/>
  <c r="I62" i="6"/>
  <c r="I47" i="6"/>
  <c r="I36" i="6"/>
  <c r="I25" i="6"/>
  <c r="I272" i="6"/>
  <c r="I234" i="6"/>
  <c r="I223" i="6"/>
  <c r="I199" i="6"/>
  <c r="I133" i="6"/>
  <c r="I90" i="6"/>
  <c r="I61" i="6"/>
  <c r="I196" i="6"/>
  <c r="I96" i="6"/>
  <c r="I82" i="6"/>
  <c r="I63" i="6"/>
  <c r="I52" i="6"/>
  <c r="I41" i="6"/>
  <c r="I30" i="6"/>
  <c r="I303" i="6"/>
  <c r="I282" i="6"/>
  <c r="I268" i="6"/>
  <c r="I200" i="6"/>
  <c r="I193" i="6"/>
  <c r="I127" i="6"/>
  <c r="I88" i="6"/>
  <c r="I71" i="6"/>
  <c r="I60" i="6"/>
  <c r="I135" i="7"/>
  <c r="I190" i="6"/>
  <c r="I102" i="6"/>
  <c r="I94" i="6"/>
  <c r="I68" i="6"/>
  <c r="I59" i="6"/>
  <c r="I46" i="6"/>
  <c r="I35" i="6"/>
  <c r="I24" i="6"/>
  <c r="I7" i="7"/>
  <c r="I237" i="6"/>
  <c r="I194" i="6"/>
  <c r="I183" i="6"/>
  <c r="I180" i="6"/>
  <c r="I123" i="6"/>
  <c r="I100" i="6"/>
  <c r="I113" i="7"/>
  <c r="I184" i="6"/>
  <c r="I9" i="8"/>
  <c r="I168" i="6"/>
  <c r="I119" i="6"/>
  <c r="I292" i="6"/>
  <c r="I207" i="6"/>
  <c r="I250" i="6"/>
  <c r="I247" i="6"/>
  <c r="I236" i="6"/>
  <c r="I233" i="6"/>
  <c r="I182" i="6"/>
  <c r="I174" i="6"/>
  <c r="I145" i="6"/>
  <c r="I79" i="6"/>
  <c r="I77" i="6"/>
  <c r="I73" i="6"/>
  <c r="I72" i="6"/>
  <c r="I30" i="7"/>
  <c r="I33" i="6"/>
  <c r="I227" i="6"/>
  <c r="I151" i="6"/>
  <c r="I112" i="6"/>
  <c r="I69" i="6"/>
  <c r="I56" i="6"/>
  <c r="I38" i="6"/>
  <c r="I21" i="6"/>
  <c r="I10" i="6"/>
  <c r="I904" i="5"/>
  <c r="I893" i="5"/>
  <c r="I882" i="5"/>
  <c r="I871" i="5"/>
  <c r="I860" i="5"/>
  <c r="I849" i="5"/>
  <c r="I838" i="5"/>
  <c r="I827" i="5"/>
  <c r="I816" i="5"/>
  <c r="I805" i="5"/>
  <c r="I794" i="5"/>
  <c r="I783" i="5"/>
  <c r="I772" i="5"/>
  <c r="I761" i="5"/>
  <c r="I750" i="5"/>
  <c r="I739" i="5"/>
  <c r="I728" i="5"/>
  <c r="I717" i="5"/>
  <c r="I706" i="5"/>
  <c r="I695" i="5"/>
  <c r="I684" i="5"/>
  <c r="I673" i="5"/>
  <c r="I662" i="5"/>
  <c r="I651" i="5"/>
  <c r="I640" i="5"/>
  <c r="I629" i="5"/>
  <c r="I618" i="5"/>
  <c r="I607" i="5"/>
  <c r="I596" i="5"/>
  <c r="I585" i="5"/>
  <c r="I574" i="5"/>
  <c r="I563" i="5"/>
  <c r="I238" i="6"/>
  <c r="I157" i="6"/>
  <c r="I113" i="6"/>
  <c r="I93" i="6"/>
  <c r="I64" i="6"/>
  <c r="I885" i="5"/>
  <c r="I876" i="5"/>
  <c r="I857" i="5"/>
  <c r="I833" i="5"/>
  <c r="I790" i="5"/>
  <c r="I781" i="5"/>
  <c r="I743" i="5"/>
  <c r="I738" i="5"/>
  <c r="I729" i="5"/>
  <c r="I686" i="5"/>
  <c r="I672" i="5"/>
  <c r="I654" i="5"/>
  <c r="I641" i="5"/>
  <c r="I636" i="5"/>
  <c r="I623" i="5"/>
  <c r="I605" i="5"/>
  <c r="I587" i="5"/>
  <c r="I569" i="5"/>
  <c r="I556" i="5"/>
  <c r="I539" i="5"/>
  <c r="I526" i="5"/>
  <c r="I899" i="5"/>
  <c r="I856" i="5"/>
  <c r="I847" i="5"/>
  <c r="I809" i="5"/>
  <c r="I804" i="5"/>
  <c r="I795" i="5"/>
  <c r="I752" i="5"/>
  <c r="I709" i="5"/>
  <c r="I700" i="5"/>
  <c r="I681" i="5"/>
  <c r="I676" i="5"/>
  <c r="I663" i="5"/>
  <c r="I658" i="5"/>
  <c r="I645" i="5"/>
  <c r="I627" i="5"/>
  <c r="I609" i="5"/>
  <c r="I591" i="5"/>
  <c r="I573" i="5"/>
  <c r="I547" i="5"/>
  <c r="I530" i="5"/>
  <c r="I255" i="6"/>
  <c r="I172" i="6"/>
  <c r="I110" i="6"/>
  <c r="I13" i="6"/>
  <c r="I9" i="6"/>
  <c r="I5" i="6"/>
  <c r="I875" i="5"/>
  <c r="I870" i="5"/>
  <c r="I861" i="5"/>
  <c r="I818" i="5"/>
  <c r="I775" i="5"/>
  <c r="I766" i="5"/>
  <c r="I747" i="5"/>
  <c r="I723" i="5"/>
  <c r="I680" i="5"/>
  <c r="I667" i="5"/>
  <c r="I649" i="5"/>
  <c r="I631" i="5"/>
  <c r="I613" i="5"/>
  <c r="I595" i="5"/>
  <c r="I577" i="5"/>
  <c r="I564" i="5"/>
  <c r="I555" i="5"/>
  <c r="I534" i="5"/>
  <c r="I188" i="6"/>
  <c r="I107" i="6"/>
  <c r="I104" i="6"/>
  <c r="I91" i="6"/>
  <c r="I85" i="6"/>
  <c r="I903" i="5"/>
  <c r="I894" i="5"/>
  <c r="I851" i="5"/>
  <c r="I808" i="5"/>
  <c r="I799" i="5"/>
  <c r="I780" i="5"/>
  <c r="I756" i="5"/>
  <c r="I713" i="5"/>
  <c r="I704" i="5"/>
  <c r="I622" i="5"/>
  <c r="I604" i="5"/>
  <c r="I559" i="5"/>
  <c r="I538" i="5"/>
  <c r="I514" i="5"/>
  <c r="I503" i="5"/>
  <c r="I492" i="5"/>
  <c r="I481" i="5"/>
  <c r="I470" i="5"/>
  <c r="I459" i="5"/>
  <c r="I448" i="5"/>
  <c r="I437" i="5"/>
  <c r="I426" i="5"/>
  <c r="I415" i="5"/>
  <c r="I404" i="5"/>
  <c r="I393" i="5"/>
  <c r="I382" i="5"/>
  <c r="I371" i="5"/>
  <c r="I360" i="5"/>
  <c r="I349" i="5"/>
  <c r="I338" i="5"/>
  <c r="I327" i="5"/>
  <c r="I316" i="5"/>
  <c r="I305" i="5"/>
  <c r="I294" i="5"/>
  <c r="I283" i="5"/>
  <c r="I272" i="5"/>
  <c r="I261" i="5"/>
  <c r="I250" i="5"/>
  <c r="I239" i="5"/>
  <c r="I228" i="5"/>
  <c r="I217" i="5"/>
  <c r="I206" i="5"/>
  <c r="I195" i="5"/>
  <c r="I184" i="5"/>
  <c r="I173" i="5"/>
  <c r="I162" i="5"/>
  <c r="I151" i="5"/>
  <c r="I140" i="5"/>
  <c r="I129" i="5"/>
  <c r="I118" i="5"/>
  <c r="I147" i="6"/>
  <c r="I101" i="6"/>
  <c r="I22" i="6"/>
  <c r="I884" i="5"/>
  <c r="I841" i="5"/>
  <c r="I832" i="5"/>
  <c r="I813" i="5"/>
  <c r="I789" i="5"/>
  <c r="I746" i="5"/>
  <c r="I737" i="5"/>
  <c r="I699" i="5"/>
  <c r="I694" i="5"/>
  <c r="I685" i="5"/>
  <c r="I671" i="5"/>
  <c r="I653" i="5"/>
  <c r="I635" i="5"/>
  <c r="I617" i="5"/>
  <c r="I599" i="5"/>
  <c r="I586" i="5"/>
  <c r="I581" i="5"/>
  <c r="I568" i="5"/>
  <c r="I525" i="5"/>
  <c r="I156" i="6"/>
  <c r="I18" i="6"/>
  <c r="I874" i="5"/>
  <c r="I865" i="5"/>
  <c r="I846" i="5"/>
  <c r="I822" i="5"/>
  <c r="I779" i="5"/>
  <c r="I770" i="5"/>
  <c r="I732" i="5"/>
  <c r="I727" i="5"/>
  <c r="I718" i="5"/>
  <c r="I644" i="5"/>
  <c r="I626" i="5"/>
  <c r="I542" i="5"/>
  <c r="I529" i="5"/>
  <c r="I521" i="5"/>
  <c r="I510" i="5"/>
  <c r="I499" i="5"/>
  <c r="I488" i="5"/>
  <c r="I477" i="5"/>
  <c r="I466" i="5"/>
  <c r="I455" i="5"/>
  <c r="I444" i="5"/>
  <c r="I433" i="5"/>
  <c r="I422" i="5"/>
  <c r="I411" i="5"/>
  <c r="I400" i="5"/>
  <c r="I389" i="5"/>
  <c r="I378" i="5"/>
  <c r="I367" i="5"/>
  <c r="I356" i="5"/>
  <c r="I345" i="5"/>
  <c r="I334" i="5"/>
  <c r="I323" i="5"/>
  <c r="I312" i="5"/>
  <c r="I301" i="5"/>
  <c r="I290" i="5"/>
  <c r="I279" i="5"/>
  <c r="I268" i="5"/>
  <c r="I257" i="5"/>
  <c r="I246" i="5"/>
  <c r="I235" i="5"/>
  <c r="I224" i="5"/>
  <c r="I213" i="5"/>
  <c r="I83" i="6"/>
  <c r="I49" i="6"/>
  <c r="I26" i="6"/>
  <c r="I23" i="6"/>
  <c r="I892" i="5"/>
  <c r="I879" i="5"/>
  <c r="I840" i="5"/>
  <c r="I788" i="5"/>
  <c r="I768" i="5"/>
  <c r="I716" i="5"/>
  <c r="I703" i="5"/>
  <c r="I634" i="5"/>
  <c r="I628" i="5"/>
  <c r="I621" i="5"/>
  <c r="I579" i="5"/>
  <c r="I572" i="5"/>
  <c r="I566" i="5"/>
  <c r="I554" i="5"/>
  <c r="I543" i="5"/>
  <c r="I500" i="5"/>
  <c r="I379" i="5"/>
  <c r="I258" i="5"/>
  <c r="I169" i="5"/>
  <c r="I160" i="5"/>
  <c r="I146" i="5"/>
  <c r="I128" i="5"/>
  <c r="I115" i="5"/>
  <c r="I111" i="5"/>
  <c r="I107" i="5"/>
  <c r="I896" i="5"/>
  <c r="I792" i="5"/>
  <c r="I720" i="5"/>
  <c r="I714" i="5"/>
  <c r="I432" i="5"/>
  <c r="I397" i="5"/>
  <c r="I387" i="5"/>
  <c r="I372" i="5"/>
  <c r="I341" i="5"/>
  <c r="I311" i="5"/>
  <c r="I276" i="5"/>
  <c r="I220" i="5"/>
  <c r="I87" i="5"/>
  <c r="I213" i="6"/>
  <c r="I99" i="6"/>
  <c r="I95" i="6"/>
  <c r="I89" i="6"/>
  <c r="I7" i="6"/>
  <c r="I886" i="5"/>
  <c r="I859" i="5"/>
  <c r="I807" i="5"/>
  <c r="I755" i="5"/>
  <c r="I742" i="5"/>
  <c r="I735" i="5"/>
  <c r="I710" i="5"/>
  <c r="I690" i="5"/>
  <c r="I683" i="5"/>
  <c r="I659" i="5"/>
  <c r="I515" i="5"/>
  <c r="I484" i="5"/>
  <c r="I469" i="5"/>
  <c r="I454" i="5"/>
  <c r="I439" i="5"/>
  <c r="I424" i="5"/>
  <c r="I419" i="5"/>
  <c r="I409" i="5"/>
  <c r="I394" i="5"/>
  <c r="I363" i="5"/>
  <c r="I348" i="5"/>
  <c r="I333" i="5"/>
  <c r="I318" i="5"/>
  <c r="I303" i="5"/>
  <c r="I298" i="5"/>
  <c r="I288" i="5"/>
  <c r="I273" i="5"/>
  <c r="I242" i="5"/>
  <c r="I227" i="5"/>
  <c r="I212" i="5"/>
  <c r="I202" i="5"/>
  <c r="I193" i="5"/>
  <c r="I155" i="5"/>
  <c r="I103" i="5"/>
  <c r="I92" i="5"/>
  <c r="I81" i="5"/>
  <c r="I70" i="5"/>
  <c r="I59" i="5"/>
  <c r="I48" i="5"/>
  <c r="I37" i="5"/>
  <c r="I26" i="5"/>
  <c r="I15" i="5"/>
  <c r="I4" i="5"/>
  <c r="I155" i="6"/>
  <c r="I105" i="6"/>
  <c r="I57" i="6"/>
  <c r="I50" i="6"/>
  <c r="I27" i="6"/>
  <c r="I898" i="5"/>
  <c r="I878" i="5"/>
  <c r="I866" i="5"/>
  <c r="I853" i="5"/>
  <c r="I826" i="5"/>
  <c r="I814" i="5"/>
  <c r="I774" i="5"/>
  <c r="I762" i="5"/>
  <c r="I722" i="5"/>
  <c r="I702" i="5"/>
  <c r="I652" i="5"/>
  <c r="I646" i="5"/>
  <c r="I639" i="5"/>
  <c r="I597" i="5"/>
  <c r="I590" i="5"/>
  <c r="I584" i="5"/>
  <c r="I560" i="5"/>
  <c r="I548" i="5"/>
  <c r="I531" i="5"/>
  <c r="I434" i="5"/>
  <c r="I313" i="5"/>
  <c r="I188" i="5"/>
  <c r="I183" i="5"/>
  <c r="I174" i="5"/>
  <c r="I150" i="5"/>
  <c r="I137" i="5"/>
  <c r="I132" i="5"/>
  <c r="I119" i="5"/>
  <c r="I845" i="5"/>
  <c r="I820" i="5"/>
  <c r="I741" i="5"/>
  <c r="I689" i="5"/>
  <c r="I677" i="5"/>
  <c r="I615" i="5"/>
  <c r="I509" i="5"/>
  <c r="I474" i="5"/>
  <c r="I418" i="5"/>
  <c r="I403" i="5"/>
  <c r="I388" i="5"/>
  <c r="I373" i="5"/>
  <c r="I358" i="5"/>
  <c r="I343" i="5"/>
  <c r="I328" i="5"/>
  <c r="I297" i="5"/>
  <c r="I267" i="5"/>
  <c r="I252" i="5"/>
  <c r="I237" i="5"/>
  <c r="I232" i="5"/>
  <c r="I222" i="5"/>
  <c r="I207" i="5"/>
  <c r="I22" i="5"/>
  <c r="I546" i="5"/>
  <c r="I793" i="5"/>
  <c r="I670" i="5"/>
  <c r="I536" i="5"/>
  <c r="I494" i="5"/>
  <c r="I479" i="5"/>
  <c r="I464" i="5"/>
  <c r="I449" i="5"/>
  <c r="I353" i="5"/>
  <c r="I282" i="5"/>
  <c r="I164" i="5"/>
  <c r="I99" i="5"/>
  <c r="I88" i="5"/>
  <c r="I77" i="5"/>
  <c r="I66" i="5"/>
  <c r="I55" i="5"/>
  <c r="I44" i="5"/>
  <c r="I33" i="5"/>
  <c r="I11" i="5"/>
  <c r="I166" i="6"/>
  <c r="I28" i="6"/>
  <c r="I19" i="6"/>
  <c r="I14" i="6"/>
  <c r="I844" i="5"/>
  <c r="I798" i="5"/>
  <c r="I740" i="5"/>
  <c r="I535" i="5"/>
  <c r="I523" i="5"/>
  <c r="I518" i="5"/>
  <c r="I508" i="5"/>
  <c r="I493" i="5"/>
  <c r="I462" i="5"/>
  <c r="I447" i="5"/>
  <c r="I417" i="5"/>
  <c r="I402" i="5"/>
  <c r="I296" i="5"/>
  <c r="I281" i="5"/>
  <c r="I266" i="5"/>
  <c r="I172" i="5"/>
  <c r="I163" i="5"/>
  <c r="I122" i="5"/>
  <c r="I98" i="5"/>
  <c r="I13" i="7"/>
  <c r="I296" i="6"/>
  <c r="I17" i="6"/>
  <c r="I12" i="6"/>
  <c r="I4" i="6"/>
  <c r="I905" i="5"/>
  <c r="I812" i="5"/>
  <c r="I787" i="5"/>
  <c r="I760" i="5"/>
  <c r="I708" i="5"/>
  <c r="I664" i="5"/>
  <c r="I657" i="5"/>
  <c r="I608" i="5"/>
  <c r="I602" i="5"/>
  <c r="I578" i="5"/>
  <c r="I524" i="5"/>
  <c r="I489" i="5"/>
  <c r="I368" i="5"/>
  <c r="I247" i="5"/>
  <c r="I197" i="5"/>
  <c r="I154" i="5"/>
  <c r="I141" i="5"/>
  <c r="I136" i="5"/>
  <c r="I123" i="5"/>
  <c r="I114" i="5"/>
  <c r="I110" i="5"/>
  <c r="I825" i="5"/>
  <c r="I773" i="5"/>
  <c r="I701" i="5"/>
  <c r="I632" i="5"/>
  <c r="I191" i="5"/>
  <c r="I149" i="5"/>
  <c r="I326" i="5"/>
  <c r="I43" i="5"/>
  <c r="I160" i="6"/>
  <c r="I118" i="6"/>
  <c r="I872" i="5"/>
  <c r="I852" i="5"/>
  <c r="I800" i="5"/>
  <c r="I754" i="5"/>
  <c r="I748" i="5"/>
  <c r="I696" i="5"/>
  <c r="I633" i="5"/>
  <c r="I571" i="5"/>
  <c r="I541" i="5"/>
  <c r="I519" i="5"/>
  <c r="I504" i="5"/>
  <c r="I473" i="5"/>
  <c r="I458" i="5"/>
  <c r="I443" i="5"/>
  <c r="I428" i="5"/>
  <c r="I413" i="5"/>
  <c r="I408" i="5"/>
  <c r="I398" i="5"/>
  <c r="I383" i="5"/>
  <c r="I352" i="5"/>
  <c r="I337" i="5"/>
  <c r="I322" i="5"/>
  <c r="I307" i="5"/>
  <c r="I292" i="5"/>
  <c r="I287" i="5"/>
  <c r="I277" i="5"/>
  <c r="I262" i="5"/>
  <c r="I231" i="5"/>
  <c r="I216" i="5"/>
  <c r="I187" i="5"/>
  <c r="I178" i="5"/>
  <c r="I159" i="5"/>
  <c r="I106" i="5"/>
  <c r="I95" i="5"/>
  <c r="I84" i="5"/>
  <c r="I73" i="5"/>
  <c r="I62" i="5"/>
  <c r="I51" i="5"/>
  <c r="I40" i="5"/>
  <c r="I29" i="5"/>
  <c r="I18" i="5"/>
  <c r="I7" i="5"/>
  <c r="I576" i="5"/>
  <c r="I478" i="5"/>
  <c r="I357" i="5"/>
  <c r="I131" i="5"/>
  <c r="I51" i="6"/>
  <c r="I251" i="5"/>
  <c r="I76" i="5"/>
  <c r="I32" i="5"/>
  <c r="I21" i="5"/>
  <c r="I10" i="5"/>
  <c r="I106" i="6"/>
  <c r="I55" i="6"/>
  <c r="I66" i="6"/>
  <c r="I58" i="6"/>
  <c r="I43" i="6"/>
  <c r="I39" i="6"/>
  <c r="I897" i="5"/>
  <c r="I891" i="5"/>
  <c r="I839" i="5"/>
  <c r="I819" i="5"/>
  <c r="I767" i="5"/>
  <c r="I721" i="5"/>
  <c r="I715" i="5"/>
  <c r="I675" i="5"/>
  <c r="I669" i="5"/>
  <c r="I620" i="5"/>
  <c r="I614" i="5"/>
  <c r="I565" i="5"/>
  <c r="I553" i="5"/>
  <c r="I423" i="5"/>
  <c r="I302" i="5"/>
  <c r="I192" i="5"/>
  <c r="I168" i="5"/>
  <c r="I145" i="5"/>
  <c r="I127" i="5"/>
  <c r="I877" i="5"/>
  <c r="I831" i="5"/>
  <c r="I753" i="5"/>
  <c r="I638" i="5"/>
  <c r="I625" i="5"/>
  <c r="I583" i="5"/>
  <c r="I570" i="5"/>
  <c r="I236" i="5"/>
  <c r="I182" i="5"/>
  <c r="I177" i="5"/>
  <c r="I65" i="5"/>
  <c r="I54" i="5"/>
  <c r="I32" i="6"/>
  <c r="I54" i="6"/>
  <c r="I864" i="5"/>
  <c r="I858" i="5"/>
  <c r="I806" i="5"/>
  <c r="I786" i="5"/>
  <c r="I734" i="5"/>
  <c r="I688" i="5"/>
  <c r="I682" i="5"/>
  <c r="I589" i="5"/>
  <c r="I558" i="5"/>
  <c r="I513" i="5"/>
  <c r="I498" i="5"/>
  <c r="I483" i="5"/>
  <c r="I468" i="5"/>
  <c r="I463" i="5"/>
  <c r="I453" i="5"/>
  <c r="I438" i="5"/>
  <c r="I407" i="5"/>
  <c r="I392" i="5"/>
  <c r="I377" i="5"/>
  <c r="I362" i="5"/>
  <c r="I347" i="5"/>
  <c r="I342" i="5"/>
  <c r="I332" i="5"/>
  <c r="I317" i="5"/>
  <c r="I286" i="5"/>
  <c r="I271" i="5"/>
  <c r="I256" i="5"/>
  <c r="I241" i="5"/>
  <c r="I226" i="5"/>
  <c r="I221" i="5"/>
  <c r="I211" i="5"/>
  <c r="I201" i="5"/>
  <c r="I158" i="5"/>
  <c r="I102" i="5"/>
  <c r="I91" i="5"/>
  <c r="I80" i="5"/>
  <c r="I69" i="5"/>
  <c r="I58" i="5"/>
  <c r="I47" i="5"/>
  <c r="I36" i="5"/>
  <c r="I25" i="5"/>
  <c r="I14" i="5"/>
  <c r="I3" i="5"/>
  <c r="I270" i="6"/>
  <c r="I231" i="6"/>
  <c r="I169" i="6"/>
  <c r="I163" i="6"/>
  <c r="I40" i="6"/>
  <c r="I16" i="6"/>
  <c r="I162" i="6"/>
  <c r="I44" i="6"/>
  <c r="I15" i="6"/>
  <c r="I785" i="5"/>
  <c r="I763" i="5"/>
  <c r="I691" i="5"/>
  <c r="I611" i="5"/>
  <c r="I544" i="5"/>
  <c r="I505" i="5"/>
  <c r="I495" i="5"/>
  <c r="I486" i="5"/>
  <c r="I476" i="5"/>
  <c r="I457" i="5"/>
  <c r="I375" i="5"/>
  <c r="I339" i="5"/>
  <c r="I329" i="5"/>
  <c r="I319" i="5"/>
  <c r="I310" i="5"/>
  <c r="I300" i="5"/>
  <c r="I165" i="5"/>
  <c r="I41" i="5"/>
  <c r="I34" i="5"/>
  <c r="I27" i="5"/>
  <c r="I20" i="5"/>
  <c r="I13" i="5"/>
  <c r="I6" i="5"/>
  <c r="I888" i="5"/>
  <c r="I390" i="5"/>
  <c r="I214" i="5"/>
  <c r="I112" i="5"/>
  <c r="I517" i="5"/>
  <c r="I351" i="5"/>
  <c r="I78" i="5"/>
  <c r="I731" i="5"/>
  <c r="I452" i="5"/>
  <c r="I791" i="5"/>
  <c r="I2" i="6"/>
  <c r="I834" i="5"/>
  <c r="I810" i="5"/>
  <c r="I522" i="5"/>
  <c r="I346" i="5"/>
  <c r="I190" i="5"/>
  <c r="I147" i="5"/>
  <c r="I758" i="5"/>
  <c r="I325" i="5"/>
  <c r="I416" i="5"/>
  <c r="I278" i="5"/>
  <c r="I240" i="5"/>
  <c r="I90" i="5"/>
  <c r="I744" i="5"/>
  <c r="I176" i="5"/>
  <c r="I117" i="5"/>
  <c r="I881" i="5"/>
  <c r="I784" i="5"/>
  <c r="I712" i="5"/>
  <c r="I666" i="5"/>
  <c r="I655" i="5"/>
  <c r="I512" i="5"/>
  <c r="I502" i="5"/>
  <c r="I430" i="5"/>
  <c r="I384" i="5"/>
  <c r="I374" i="5"/>
  <c r="I365" i="5"/>
  <c r="I355" i="5"/>
  <c r="I336" i="5"/>
  <c r="I254" i="5"/>
  <c r="I218" i="5"/>
  <c r="I208" i="5"/>
  <c r="I199" i="5"/>
  <c r="I181" i="5"/>
  <c r="I156" i="5"/>
  <c r="I74" i="5"/>
  <c r="I67" i="5"/>
  <c r="I60" i="5"/>
  <c r="I53" i="5"/>
  <c r="I46" i="5"/>
  <c r="I39" i="5"/>
  <c r="I733" i="5"/>
  <c r="I782" i="5"/>
  <c r="I582" i="5"/>
  <c r="I179" i="5"/>
  <c r="I57" i="5"/>
  <c r="I110" i="7"/>
  <c r="I3" i="6"/>
  <c r="I855" i="5"/>
  <c r="I759" i="5"/>
  <c r="I725" i="5"/>
  <c r="I687" i="5"/>
  <c r="I678" i="5"/>
  <c r="I610" i="5"/>
  <c r="I598" i="5"/>
  <c r="I575" i="5"/>
  <c r="I552" i="5"/>
  <c r="I532" i="5"/>
  <c r="I401" i="5"/>
  <c r="I225" i="5"/>
  <c r="I130" i="5"/>
  <c r="I121" i="5"/>
  <c r="I113" i="5"/>
  <c r="I17" i="5"/>
  <c r="I901" i="5"/>
  <c r="I135" i="5"/>
  <c r="I186" i="5"/>
  <c r="I71" i="5"/>
  <c r="I902" i="5"/>
  <c r="I868" i="5"/>
  <c r="I830" i="5"/>
  <c r="I821" i="5"/>
  <c r="I749" i="5"/>
  <c r="I485" i="5"/>
  <c r="I429" i="5"/>
  <c r="I420" i="5"/>
  <c r="I410" i="5"/>
  <c r="I391" i="5"/>
  <c r="I381" i="5"/>
  <c r="I309" i="5"/>
  <c r="I263" i="5"/>
  <c r="I253" i="5"/>
  <c r="I244" i="5"/>
  <c r="I234" i="5"/>
  <c r="I215" i="5"/>
  <c r="I180" i="5"/>
  <c r="I100" i="5"/>
  <c r="I93" i="5"/>
  <c r="I86" i="5"/>
  <c r="I79" i="5"/>
  <c r="I72" i="5"/>
  <c r="I6" i="6"/>
  <c r="I38" i="5"/>
  <c r="I854" i="5"/>
  <c r="I829" i="5"/>
  <c r="I757" i="5"/>
  <c r="I361" i="5"/>
  <c r="I223" i="5"/>
  <c r="I85" i="5"/>
  <c r="I850" i="5"/>
  <c r="I697" i="5"/>
  <c r="I435" i="5"/>
  <c r="I406" i="5"/>
  <c r="I249" i="5"/>
  <c r="I83" i="5"/>
  <c r="I765" i="5"/>
  <c r="I549" i="5"/>
  <c r="I527" i="5"/>
  <c r="I324" i="5"/>
  <c r="I126" i="5"/>
  <c r="I890" i="5"/>
  <c r="I796" i="5"/>
  <c r="I771" i="5"/>
  <c r="I724" i="5"/>
  <c r="I665" i="5"/>
  <c r="I642" i="5"/>
  <c r="I630" i="5"/>
  <c r="I619" i="5"/>
  <c r="I562" i="5"/>
  <c r="I540" i="5"/>
  <c r="I456" i="5"/>
  <c r="I280" i="5"/>
  <c r="I205" i="5"/>
  <c r="I198" i="5"/>
  <c r="I153" i="5"/>
  <c r="I138" i="5"/>
  <c r="I745" i="5"/>
  <c r="I674" i="5"/>
  <c r="I594" i="5"/>
  <c r="I511" i="5"/>
  <c r="I189" i="5"/>
  <c r="I20" i="6"/>
  <c r="I711" i="5"/>
  <c r="I550" i="5"/>
  <c r="I528" i="5"/>
  <c r="I501" i="5"/>
  <c r="I482" i="5"/>
  <c r="I354" i="5"/>
  <c r="I306" i="5"/>
  <c r="I243" i="5"/>
  <c r="I144" i="5"/>
  <c r="I45" i="5"/>
  <c r="I24" i="5"/>
  <c r="I863" i="5"/>
  <c r="I661" i="5"/>
  <c r="I650" i="5"/>
  <c r="I120" i="5"/>
  <c r="I122" i="6"/>
  <c r="I204" i="5"/>
  <c r="I143" i="5"/>
  <c r="I45" i="6"/>
  <c r="I593" i="5"/>
  <c r="I396" i="5"/>
  <c r="I259" i="5"/>
  <c r="I97" i="5"/>
  <c r="I178" i="6"/>
  <c r="I141" i="6"/>
  <c r="I889" i="5"/>
  <c r="I880" i="5"/>
  <c r="I867" i="5"/>
  <c r="I843" i="5"/>
  <c r="I736" i="5"/>
  <c r="I698" i="5"/>
  <c r="I551" i="5"/>
  <c r="I475" i="5"/>
  <c r="I465" i="5"/>
  <c r="I446" i="5"/>
  <c r="I436" i="5"/>
  <c r="I427" i="5"/>
  <c r="I364" i="5"/>
  <c r="I308" i="5"/>
  <c r="I299" i="5"/>
  <c r="I289" i="5"/>
  <c r="I270" i="5"/>
  <c r="I260" i="5"/>
  <c r="I171" i="5"/>
  <c r="I105" i="5"/>
  <c r="I19" i="5"/>
  <c r="I12" i="5"/>
  <c r="I5" i="5"/>
  <c r="I817" i="5"/>
  <c r="I606" i="5"/>
  <c r="I335" i="5"/>
  <c r="I196" i="5"/>
  <c r="I842" i="5"/>
  <c r="I520" i="5"/>
  <c r="I491" i="5"/>
  <c r="I472" i="5"/>
  <c r="I344" i="5"/>
  <c r="I315" i="5"/>
  <c r="I52" i="5"/>
  <c r="I31" i="5"/>
  <c r="I161" i="5"/>
  <c r="I48" i="6"/>
  <c r="I399" i="5"/>
  <c r="I380" i="5"/>
  <c r="I370" i="5"/>
  <c r="I233" i="5"/>
  <c r="I64" i="5"/>
  <c r="I50" i="5"/>
  <c r="I707" i="5"/>
  <c r="I561" i="5"/>
  <c r="I269" i="5"/>
  <c r="I170" i="5"/>
  <c r="I152" i="5"/>
  <c r="I211" i="6"/>
  <c r="I29" i="6"/>
  <c r="I425" i="5"/>
  <c r="I104" i="5"/>
  <c r="I900" i="5"/>
  <c r="I803" i="5"/>
  <c r="I769" i="5"/>
  <c r="I445" i="5"/>
  <c r="I778" i="5"/>
  <c r="I616" i="5"/>
  <c r="I887" i="5"/>
  <c r="I837" i="5"/>
  <c r="I828" i="5"/>
  <c r="I815" i="5"/>
  <c r="I648" i="5"/>
  <c r="I637" i="5"/>
  <c r="I537" i="5"/>
  <c r="I490" i="5"/>
  <c r="I451" i="5"/>
  <c r="I9" i="5"/>
  <c r="I152" i="6"/>
  <c r="I230" i="5"/>
  <c r="I719" i="5"/>
  <c r="I507" i="5"/>
  <c r="I480" i="5"/>
  <c r="I471" i="5"/>
  <c r="I461" i="5"/>
  <c r="I442" i="5"/>
  <c r="I331" i="5"/>
  <c r="I314" i="5"/>
  <c r="I304" i="5"/>
  <c r="I295" i="5"/>
  <c r="I285" i="5"/>
  <c r="I275" i="5"/>
  <c r="I194" i="5"/>
  <c r="I30" i="5"/>
  <c r="I23" i="5"/>
  <c r="I16" i="5"/>
  <c r="I2" i="5"/>
  <c r="I811" i="5"/>
  <c r="I777" i="5"/>
  <c r="I264" i="5"/>
  <c r="I395" i="5"/>
  <c r="I797" i="5"/>
  <c r="I245" i="5"/>
  <c r="I660" i="5"/>
  <c r="I496" i="5"/>
  <c r="I467" i="5"/>
  <c r="I293" i="5"/>
  <c r="I203" i="5"/>
  <c r="I101" i="5"/>
  <c r="I35" i="5"/>
  <c r="I8" i="5"/>
  <c r="I68" i="5"/>
  <c r="I869" i="5"/>
  <c r="I883" i="5"/>
  <c r="I693" i="5"/>
  <c r="I624" i="5"/>
  <c r="I376" i="5"/>
  <c r="I320" i="5"/>
  <c r="I291" i="5"/>
  <c r="I56" i="5"/>
  <c r="I726" i="5"/>
  <c r="I35" i="7"/>
  <c r="I612" i="5"/>
  <c r="I506" i="5"/>
  <c r="I330" i="5"/>
  <c r="I89" i="5"/>
  <c r="I643" i="5"/>
  <c r="I108" i="5"/>
  <c r="I63" i="5"/>
  <c r="I37" i="6"/>
  <c r="I567" i="5"/>
  <c r="I441" i="5"/>
  <c r="I238" i="5"/>
  <c r="I125" i="5"/>
  <c r="I668" i="5"/>
  <c r="I557" i="5"/>
  <c r="I440" i="5"/>
  <c r="I350" i="5"/>
  <c r="I848" i="5"/>
  <c r="I776" i="5"/>
  <c r="I588" i="5"/>
  <c r="I405" i="5"/>
  <c r="I175" i="5"/>
  <c r="I124" i="5"/>
  <c r="I116" i="5"/>
  <c r="I109" i="5"/>
  <c r="I862" i="5"/>
  <c r="I487" i="5"/>
  <c r="I229" i="5"/>
  <c r="I148" i="5"/>
  <c r="I8" i="6"/>
  <c r="I801" i="5"/>
  <c r="I284" i="5"/>
  <c r="I94" i="5"/>
  <c r="I28" i="5"/>
  <c r="I366" i="5"/>
  <c r="I139" i="5"/>
  <c r="I248" i="5"/>
  <c r="I134" i="5"/>
  <c r="I679" i="5"/>
  <c r="I421" i="5"/>
  <c r="I359" i="5"/>
  <c r="I386" i="5"/>
  <c r="I274" i="5"/>
  <c r="I185" i="5"/>
  <c r="I11" i="6"/>
  <c r="I601" i="5"/>
  <c r="I533" i="5"/>
  <c r="I210" i="5"/>
  <c r="I133" i="5"/>
  <c r="I150" i="6"/>
  <c r="I414" i="5"/>
  <c r="I600" i="5"/>
  <c r="I412" i="5"/>
  <c r="I61" i="5"/>
  <c r="I592" i="5"/>
  <c r="I34" i="6"/>
  <c r="I764" i="5"/>
  <c r="I730" i="5"/>
  <c r="I656" i="5"/>
  <c r="I516" i="5"/>
  <c r="I200" i="5"/>
  <c r="I75" i="5"/>
  <c r="I823" i="5"/>
  <c r="I802" i="5"/>
  <c r="I580" i="5"/>
  <c r="I431" i="5"/>
  <c r="I340" i="5"/>
  <c r="I167" i="5"/>
  <c r="I96" i="5"/>
  <c r="I166" i="5"/>
  <c r="I835" i="5"/>
  <c r="I603" i="5"/>
  <c r="I265" i="5"/>
  <c r="I836" i="5"/>
  <c r="I692" i="5"/>
  <c r="I460" i="5"/>
  <c r="I369" i="5"/>
  <c r="I255" i="5"/>
  <c r="I142" i="5"/>
  <c r="I545" i="5"/>
  <c r="I49" i="5"/>
  <c r="I873" i="5"/>
  <c r="I647" i="5"/>
  <c r="I219" i="5"/>
  <c r="I450" i="5"/>
  <c r="I157" i="5"/>
  <c r="I82" i="5"/>
  <c r="I824" i="5"/>
  <c r="I42" i="5"/>
  <c r="I209" i="5"/>
  <c r="I895" i="5"/>
  <c r="I705" i="5"/>
  <c r="I321" i="5"/>
  <c r="I385" i="5"/>
  <c r="I751" i="5"/>
  <c r="I497" i="5"/>
  <c r="G198" i="8"/>
  <c r="G176" i="8"/>
  <c r="G154" i="8"/>
  <c r="G132" i="8"/>
  <c r="G110" i="8"/>
  <c r="G92" i="8"/>
  <c r="G196" i="8"/>
  <c r="G173" i="8"/>
  <c r="G150" i="8"/>
  <c r="G136" i="8"/>
  <c r="G113" i="8"/>
  <c r="G93" i="8"/>
  <c r="G199" i="8"/>
  <c r="G170" i="8"/>
  <c r="G146" i="8"/>
  <c r="G112" i="8"/>
  <c r="G81" i="8"/>
  <c r="G66" i="8"/>
  <c r="G52" i="8"/>
  <c r="G40" i="8"/>
  <c r="G33" i="8"/>
  <c r="G22" i="8"/>
  <c r="G188" i="7"/>
  <c r="G166" i="7"/>
  <c r="G144" i="7"/>
  <c r="G122" i="7"/>
  <c r="G99" i="7"/>
  <c r="G88" i="7"/>
  <c r="G77" i="7"/>
  <c r="G66" i="7"/>
  <c r="G193" i="8"/>
  <c r="G188" i="8"/>
  <c r="G183" i="8"/>
  <c r="G178" i="8"/>
  <c r="G107" i="8"/>
  <c r="G102" i="8"/>
  <c r="G90" i="8"/>
  <c r="G80" i="8"/>
  <c r="G201" i="8"/>
  <c r="G179" i="8"/>
  <c r="G142" i="8"/>
  <c r="G131" i="8"/>
  <c r="G167" i="8"/>
  <c r="G130" i="8"/>
  <c r="G109" i="8"/>
  <c r="G85" i="8"/>
  <c r="G135" i="8"/>
  <c r="G114" i="8"/>
  <c r="G200" i="8"/>
  <c r="G156" i="8"/>
  <c r="G138" i="8"/>
  <c r="G98" i="8"/>
  <c r="G124" i="8"/>
  <c r="G118" i="8"/>
  <c r="G94" i="8"/>
  <c r="G71" i="8"/>
  <c r="G68" i="8"/>
  <c r="G39" i="8"/>
  <c r="G38" i="8"/>
  <c r="G37" i="8"/>
  <c r="G25" i="8"/>
  <c r="G180" i="8"/>
  <c r="G166" i="8"/>
  <c r="G153" i="8"/>
  <c r="G133" i="8"/>
  <c r="G126" i="8"/>
  <c r="G119" i="8"/>
  <c r="G89" i="8"/>
  <c r="G79" i="8"/>
  <c r="G24" i="8"/>
  <c r="G23" i="8"/>
  <c r="G158" i="8"/>
  <c r="G121" i="8"/>
  <c r="G96" i="8"/>
  <c r="G83" i="8"/>
  <c r="G64" i="8"/>
  <c r="G57" i="8"/>
  <c r="G42" i="8"/>
  <c r="G104" i="8"/>
  <c r="G61" i="8"/>
  <c r="G182" i="8"/>
  <c r="G125" i="8"/>
  <c r="G75" i="8"/>
  <c r="G58" i="8"/>
  <c r="G26" i="8"/>
  <c r="G7" i="8"/>
  <c r="G197" i="7"/>
  <c r="G183" i="7"/>
  <c r="G160" i="7"/>
  <c r="G137" i="7"/>
  <c r="G114" i="7"/>
  <c r="G96" i="7"/>
  <c r="G62" i="7"/>
  <c r="G181" i="8"/>
  <c r="G123" i="8"/>
  <c r="G51" i="8"/>
  <c r="G8" i="8"/>
  <c r="G182" i="7"/>
  <c r="G159" i="7"/>
  <c r="G136" i="7"/>
  <c r="G93" i="7"/>
  <c r="G78" i="7"/>
  <c r="G59" i="7"/>
  <c r="G48" i="7"/>
  <c r="G37" i="7"/>
  <c r="G26" i="7"/>
  <c r="G186" i="8"/>
  <c r="G141" i="8"/>
  <c r="G105" i="8"/>
  <c r="G63" i="8"/>
  <c r="G192" i="7"/>
  <c r="G187" i="7"/>
  <c r="G126" i="7"/>
  <c r="G121" i="7"/>
  <c r="G116" i="7"/>
  <c r="G111" i="7"/>
  <c r="G106" i="7"/>
  <c r="G86" i="7"/>
  <c r="G16" i="7"/>
  <c r="G157" i="8"/>
  <c r="G148" i="8"/>
  <c r="G13" i="8"/>
  <c r="G201" i="7"/>
  <c r="G196" i="7"/>
  <c r="G135" i="7"/>
  <c r="G130" i="7"/>
  <c r="G125" i="7"/>
  <c r="G120" i="7"/>
  <c r="G115" i="7"/>
  <c r="G110" i="7"/>
  <c r="G105" i="7"/>
  <c r="G58" i="7"/>
  <c r="G192" i="8"/>
  <c r="G172" i="8"/>
  <c r="G103" i="8"/>
  <c r="G67" i="8"/>
  <c r="G49" i="8"/>
  <c r="G162" i="8"/>
  <c r="G143" i="8"/>
  <c r="G91" i="8"/>
  <c r="G46" i="8"/>
  <c r="G20" i="8"/>
  <c r="G14" i="8"/>
  <c r="G189" i="7"/>
  <c r="G161" i="7"/>
  <c r="G94" i="7"/>
  <c r="G43" i="7"/>
  <c r="G15" i="7"/>
  <c r="G8" i="7"/>
  <c r="G313" i="6"/>
  <c r="G302" i="6"/>
  <c r="G291" i="6"/>
  <c r="G280" i="6"/>
  <c r="G269" i="6"/>
  <c r="G263" i="6"/>
  <c r="G190" i="8"/>
  <c r="G87" i="8"/>
  <c r="G5" i="8"/>
  <c r="G171" i="7"/>
  <c r="G154" i="7"/>
  <c r="G143" i="7"/>
  <c r="G132" i="7"/>
  <c r="G82" i="7"/>
  <c r="G52" i="7"/>
  <c r="G45" i="7"/>
  <c r="G36" i="7"/>
  <c r="G195" i="8"/>
  <c r="G160" i="8"/>
  <c r="G115" i="8"/>
  <c r="G82" i="8"/>
  <c r="G55" i="8"/>
  <c r="G48" i="8"/>
  <c r="G4" i="8"/>
  <c r="G145" i="7"/>
  <c r="G139" i="7"/>
  <c r="G133" i="7"/>
  <c r="G127" i="7"/>
  <c r="G108" i="7"/>
  <c r="G137" i="8"/>
  <c r="G95" i="8"/>
  <c r="G78" i="8"/>
  <c r="G72" i="8"/>
  <c r="G56" i="8"/>
  <c r="G34" i="8"/>
  <c r="G21" i="8"/>
  <c r="G19" i="8"/>
  <c r="G15" i="8"/>
  <c r="G10" i="8"/>
  <c r="G169" i="8"/>
  <c r="G145" i="8"/>
  <c r="G122" i="8"/>
  <c r="G74" i="8"/>
  <c r="G175" i="8"/>
  <c r="G161" i="8"/>
  <c r="G47" i="8"/>
  <c r="G177" i="7"/>
  <c r="G164" i="7"/>
  <c r="G119" i="7"/>
  <c r="G44" i="7"/>
  <c r="G312" i="6"/>
  <c r="G187" i="8"/>
  <c r="G134" i="8"/>
  <c r="G120" i="8"/>
  <c r="G86" i="8"/>
  <c r="G170" i="7"/>
  <c r="G151" i="7"/>
  <c r="G138" i="7"/>
  <c r="G84" i="7"/>
  <c r="G67" i="7"/>
  <c r="G30" i="7"/>
  <c r="G129" i="8"/>
  <c r="G84" i="8"/>
  <c r="G60" i="8"/>
  <c r="G35" i="8"/>
  <c r="G194" i="7"/>
  <c r="G181" i="7"/>
  <c r="G149" i="7"/>
  <c r="G117" i="7"/>
  <c r="G104" i="7"/>
  <c r="G91" i="7"/>
  <c r="G87" i="7"/>
  <c r="G83" i="7"/>
  <c r="G165" i="8"/>
  <c r="G151" i="8"/>
  <c r="G28" i="8"/>
  <c r="G27" i="8"/>
  <c r="G199" i="7"/>
  <c r="G169" i="7"/>
  <c r="G162" i="7"/>
  <c r="G41" i="7"/>
  <c r="G21" i="7"/>
  <c r="G305" i="6"/>
  <c r="G297" i="6"/>
  <c r="G147" i="7"/>
  <c r="G102" i="7"/>
  <c r="G89" i="7"/>
  <c r="G54" i="7"/>
  <c r="G300" i="6"/>
  <c r="G277" i="6"/>
  <c r="G274" i="6"/>
  <c r="G191" i="8"/>
  <c r="G190" i="7"/>
  <c r="G194" i="8"/>
  <c r="G106" i="8"/>
  <c r="G11" i="8"/>
  <c r="G109" i="7"/>
  <c r="G17" i="7"/>
  <c r="G139" i="8"/>
  <c r="G100" i="8"/>
  <c r="G195" i="7"/>
  <c r="G118" i="7"/>
  <c r="G90" i="7"/>
  <c r="G174" i="8"/>
  <c r="G76" i="8"/>
  <c r="G36" i="8"/>
  <c r="G18" i="8"/>
  <c r="G17" i="8"/>
  <c r="G12" i="8"/>
  <c r="G117" i="8"/>
  <c r="G69" i="8"/>
  <c r="G2" i="8"/>
  <c r="G185" i="7"/>
  <c r="G150" i="7"/>
  <c r="G124" i="7"/>
  <c r="G107" i="7"/>
  <c r="G65" i="7"/>
  <c r="G64" i="7"/>
  <c r="G97" i="8"/>
  <c r="G62" i="8"/>
  <c r="G54" i="8"/>
  <c r="G174" i="7"/>
  <c r="G85" i="7"/>
  <c r="G69" i="7"/>
  <c r="G177" i="8"/>
  <c r="G41" i="8"/>
  <c r="G9" i="8"/>
  <c r="G55" i="7"/>
  <c r="G184" i="7"/>
  <c r="G134" i="7"/>
  <c r="G101" i="7"/>
  <c r="G152" i="8"/>
  <c r="G108" i="8"/>
  <c r="G88" i="8"/>
  <c r="G128" i="8"/>
  <c r="G173" i="7"/>
  <c r="G163" i="7"/>
  <c r="G113" i="7"/>
  <c r="G103" i="7"/>
  <c r="G197" i="8"/>
  <c r="G152" i="7"/>
  <c r="G142" i="7"/>
  <c r="G131" i="7"/>
  <c r="G112" i="7"/>
  <c r="G97" i="7"/>
  <c r="G172" i="7"/>
  <c r="G185" i="8"/>
  <c r="G155" i="8"/>
  <c r="G3" i="8"/>
  <c r="G198" i="7"/>
  <c r="G149" i="8"/>
  <c r="G77" i="8"/>
  <c r="G59" i="8"/>
  <c r="G43" i="8"/>
  <c r="G184" i="8"/>
  <c r="G147" i="8"/>
  <c r="G158" i="7"/>
  <c r="G146" i="7"/>
  <c r="G116" i="8"/>
  <c r="G157" i="7"/>
  <c r="G71" i="7"/>
  <c r="G47" i="7"/>
  <c r="G70" i="8"/>
  <c r="G168" i="7"/>
  <c r="G144" i="8"/>
  <c r="G99" i="8"/>
  <c r="G53" i="8"/>
  <c r="G140" i="7"/>
  <c r="G123" i="7"/>
  <c r="G34" i="7"/>
  <c r="G45" i="8"/>
  <c r="G191" i="7"/>
  <c r="G176" i="7"/>
  <c r="G38" i="7"/>
  <c r="G79" i="7"/>
  <c r="G56" i="7"/>
  <c r="G164" i="8"/>
  <c r="G175" i="7"/>
  <c r="G156" i="7"/>
  <c r="G100" i="7"/>
  <c r="G42" i="7"/>
  <c r="G4" i="7"/>
  <c r="G2" i="7"/>
  <c r="G111" i="8"/>
  <c r="G155" i="7"/>
  <c r="G68" i="7"/>
  <c r="G61" i="7"/>
  <c r="G22" i="7"/>
  <c r="G20" i="7"/>
  <c r="G153" i="7"/>
  <c r="G57" i="7"/>
  <c r="G35" i="7"/>
  <c r="G19" i="7"/>
  <c r="G18" i="7"/>
  <c r="G12" i="7"/>
  <c r="G289" i="6"/>
  <c r="G287" i="6"/>
  <c r="G283" i="6"/>
  <c r="G168" i="8"/>
  <c r="G179" i="7"/>
  <c r="G74" i="7"/>
  <c r="G70" i="7"/>
  <c r="G308" i="6"/>
  <c r="G285" i="6"/>
  <c r="G279" i="6"/>
  <c r="G273" i="6"/>
  <c r="G271" i="6"/>
  <c r="G30" i="8"/>
  <c r="G200" i="7"/>
  <c r="G296" i="6"/>
  <c r="G163" i="8"/>
  <c r="G50" i="8"/>
  <c r="G178" i="7"/>
  <c r="G128" i="7"/>
  <c r="G311" i="6"/>
  <c r="G159" i="8"/>
  <c r="G49" i="7"/>
  <c r="G65" i="8"/>
  <c r="G76" i="7"/>
  <c r="G60" i="7"/>
  <c r="G11" i="7"/>
  <c r="G304" i="6"/>
  <c r="G310" i="6"/>
  <c r="G294" i="6"/>
  <c r="G6" i="8"/>
  <c r="G165" i="7"/>
  <c r="G129" i="7"/>
  <c r="G92" i="7"/>
  <c r="G309" i="6"/>
  <c r="G189" i="8"/>
  <c r="G101" i="8"/>
  <c r="G33" i="7"/>
  <c r="G293" i="6"/>
  <c r="G299" i="6"/>
  <c r="G298" i="6"/>
  <c r="G193" i="7"/>
  <c r="G81" i="7"/>
  <c r="G28" i="7"/>
  <c r="G25" i="7"/>
  <c r="G80" i="7"/>
  <c r="G95" i="7"/>
  <c r="G46" i="7"/>
  <c r="G171" i="8"/>
  <c r="G50" i="7"/>
  <c r="G39" i="7"/>
  <c r="G31" i="7"/>
  <c r="G272" i="6"/>
  <c r="G44" i="8"/>
  <c r="G180" i="7"/>
  <c r="G127" i="8"/>
  <c r="G3" i="7"/>
  <c r="G306" i="6"/>
  <c r="G303" i="6"/>
  <c r="G9" i="7"/>
  <c r="G288" i="6"/>
  <c r="G247" i="6"/>
  <c r="G236" i="6"/>
  <c r="G75" i="7"/>
  <c r="G255" i="6"/>
  <c r="G220" i="6"/>
  <c r="G10" i="7"/>
  <c r="G284" i="6"/>
  <c r="G238" i="6"/>
  <c r="G63" i="7"/>
  <c r="G40" i="7"/>
  <c r="G262" i="6"/>
  <c r="G219" i="6"/>
  <c r="G148" i="7"/>
  <c r="G239" i="6"/>
  <c r="G301" i="6"/>
  <c r="G256" i="6"/>
  <c r="G248" i="6"/>
  <c r="G16" i="8"/>
  <c r="G73" i="7"/>
  <c r="G286" i="6"/>
  <c r="G240" i="6"/>
  <c r="G53" i="7"/>
  <c r="G217" i="6"/>
  <c r="G6" i="7"/>
  <c r="G186" i="7"/>
  <c r="G32" i="7"/>
  <c r="G264" i="6"/>
  <c r="G243" i="6"/>
  <c r="G227" i="6"/>
  <c r="G295" i="6"/>
  <c r="G276" i="6"/>
  <c r="G254" i="6"/>
  <c r="G204" i="6"/>
  <c r="G193" i="6"/>
  <c r="G182" i="6"/>
  <c r="G171" i="6"/>
  <c r="G160" i="6"/>
  <c r="G149" i="6"/>
  <c r="G138" i="6"/>
  <c r="G127" i="6"/>
  <c r="G116" i="6"/>
  <c r="G140" i="8"/>
  <c r="G167" i="7"/>
  <c r="G24" i="7"/>
  <c r="G307" i="6"/>
  <c r="G29" i="8"/>
  <c r="G27" i="7"/>
  <c r="G281" i="6"/>
  <c r="G232" i="6"/>
  <c r="G209" i="6"/>
  <c r="G198" i="6"/>
  <c r="G187" i="6"/>
  <c r="G176" i="6"/>
  <c r="G165" i="6"/>
  <c r="G154" i="6"/>
  <c r="G143" i="6"/>
  <c r="G132" i="6"/>
  <c r="G121" i="6"/>
  <c r="G73" i="8"/>
  <c r="G141" i="7"/>
  <c r="G253" i="6"/>
  <c r="G229" i="6"/>
  <c r="G23" i="7"/>
  <c r="G249" i="6"/>
  <c r="G246" i="6"/>
  <c r="G242" i="6"/>
  <c r="G222" i="6"/>
  <c r="G216" i="6"/>
  <c r="G215" i="6"/>
  <c r="G203" i="6"/>
  <c r="G192" i="6"/>
  <c r="G181" i="6"/>
  <c r="G170" i="6"/>
  <c r="G159" i="6"/>
  <c r="G148" i="6"/>
  <c r="G137" i="6"/>
  <c r="G126" i="6"/>
  <c r="G115" i="6"/>
  <c r="G235" i="6"/>
  <c r="G31" i="8"/>
  <c r="G98" i="7"/>
  <c r="G250" i="6"/>
  <c r="G208" i="6"/>
  <c r="G194" i="6"/>
  <c r="G163" i="6"/>
  <c r="G119" i="6"/>
  <c r="G113" i="6"/>
  <c r="G104" i="6"/>
  <c r="G93" i="6"/>
  <c r="G82" i="6"/>
  <c r="G71" i="6"/>
  <c r="G60" i="6"/>
  <c r="G267" i="6"/>
  <c r="G251" i="6"/>
  <c r="G200" i="6"/>
  <c r="G169" i="6"/>
  <c r="G155" i="6"/>
  <c r="G257" i="6"/>
  <c r="G252" i="6"/>
  <c r="G206" i="6"/>
  <c r="G175" i="6"/>
  <c r="G161" i="6"/>
  <c r="G130" i="6"/>
  <c r="G124" i="6"/>
  <c r="G109" i="6"/>
  <c r="G98" i="6"/>
  <c r="G87" i="6"/>
  <c r="G76" i="6"/>
  <c r="G65" i="6"/>
  <c r="G265" i="6"/>
  <c r="G214" i="6"/>
  <c r="G212" i="6"/>
  <c r="G167" i="6"/>
  <c r="G136" i="6"/>
  <c r="G114" i="6"/>
  <c r="G218" i="6"/>
  <c r="G173" i="6"/>
  <c r="G142" i="6"/>
  <c r="G128" i="6"/>
  <c r="G103" i="6"/>
  <c r="G92" i="6"/>
  <c r="G81" i="6"/>
  <c r="G70" i="6"/>
  <c r="G224" i="6"/>
  <c r="G210" i="6"/>
  <c r="G179" i="6"/>
  <c r="G134" i="6"/>
  <c r="G260" i="6"/>
  <c r="G245" i="6"/>
  <c r="G191" i="6"/>
  <c r="G177" i="6"/>
  <c r="G146" i="6"/>
  <c r="G207" i="6"/>
  <c r="G141" i="6"/>
  <c r="G105" i="6"/>
  <c r="G66" i="6"/>
  <c r="G48" i="6"/>
  <c r="G37" i="6"/>
  <c r="G26" i="6"/>
  <c r="G290" i="6"/>
  <c r="G211" i="6"/>
  <c r="G197" i="6"/>
  <c r="G145" i="6"/>
  <c r="G131" i="6"/>
  <c r="G80" i="6"/>
  <c r="G51" i="7"/>
  <c r="G226" i="6"/>
  <c r="G201" i="6"/>
  <c r="G135" i="6"/>
  <c r="G53" i="6"/>
  <c r="G42" i="6"/>
  <c r="G31" i="6"/>
  <c r="G32" i="8"/>
  <c r="G29" i="7"/>
  <c r="G205" i="6"/>
  <c r="G139" i="6"/>
  <c r="G125" i="6"/>
  <c r="G111" i="6"/>
  <c r="G86" i="6"/>
  <c r="G78" i="6"/>
  <c r="G244" i="6"/>
  <c r="G223" i="6"/>
  <c r="G202" i="6"/>
  <c r="G195" i="6"/>
  <c r="G129" i="6"/>
  <c r="G84" i="6"/>
  <c r="G74" i="6"/>
  <c r="G67" i="6"/>
  <c r="G62" i="6"/>
  <c r="G47" i="6"/>
  <c r="G36" i="6"/>
  <c r="G25" i="6"/>
  <c r="G258" i="6"/>
  <c r="G234" i="6"/>
  <c r="G199" i="6"/>
  <c r="G133" i="6"/>
  <c r="G90" i="6"/>
  <c r="G61" i="6"/>
  <c r="G14" i="7"/>
  <c r="G282" i="6"/>
  <c r="G268" i="6"/>
  <c r="G196" i="6"/>
  <c r="G189" i="6"/>
  <c r="G185" i="6"/>
  <c r="G96" i="6"/>
  <c r="G63" i="6"/>
  <c r="G52" i="6"/>
  <c r="G41" i="6"/>
  <c r="G30" i="6"/>
  <c r="G275" i="6"/>
  <c r="G186" i="6"/>
  <c r="G102" i="6"/>
  <c r="G88" i="6"/>
  <c r="G190" i="6"/>
  <c r="G162" i="6"/>
  <c r="G75" i="6"/>
  <c r="G292" i="6"/>
  <c r="G168" i="6"/>
  <c r="G230" i="6"/>
  <c r="G225" i="6"/>
  <c r="G120" i="6"/>
  <c r="G95" i="6"/>
  <c r="G54" i="6"/>
  <c r="G51" i="6"/>
  <c r="G28" i="6"/>
  <c r="G22" i="6"/>
  <c r="G72" i="7"/>
  <c r="G259" i="6"/>
  <c r="G233" i="6"/>
  <c r="G174" i="6"/>
  <c r="G123" i="6"/>
  <c r="G97" i="6"/>
  <c r="G79" i="6"/>
  <c r="G77" i="6"/>
  <c r="G73" i="6"/>
  <c r="G72" i="6"/>
  <c r="G59" i="6"/>
  <c r="G33" i="6"/>
  <c r="G16" i="6"/>
  <c r="G5" i="6"/>
  <c r="G897" i="5"/>
  <c r="G886" i="5"/>
  <c r="G875" i="5"/>
  <c r="G864" i="5"/>
  <c r="G853" i="5"/>
  <c r="G842" i="5"/>
  <c r="G831" i="5"/>
  <c r="G820" i="5"/>
  <c r="G809" i="5"/>
  <c r="G798" i="5"/>
  <c r="G787" i="5"/>
  <c r="G776" i="5"/>
  <c r="G765" i="5"/>
  <c r="G754" i="5"/>
  <c r="G743" i="5"/>
  <c r="G732" i="5"/>
  <c r="G721" i="5"/>
  <c r="G710" i="5"/>
  <c r="G699" i="5"/>
  <c r="G688" i="5"/>
  <c r="G677" i="5"/>
  <c r="G666" i="5"/>
  <c r="G655" i="5"/>
  <c r="G644" i="5"/>
  <c r="G633" i="5"/>
  <c r="G622" i="5"/>
  <c r="G611" i="5"/>
  <c r="G600" i="5"/>
  <c r="G589" i="5"/>
  <c r="G578" i="5"/>
  <c r="G567" i="5"/>
  <c r="G241" i="6"/>
  <c r="G180" i="6"/>
  <c r="G151" i="6"/>
  <c r="G140" i="6"/>
  <c r="G112" i="6"/>
  <c r="G100" i="6"/>
  <c r="G231" i="6"/>
  <c r="G184" i="6"/>
  <c r="G12" i="6"/>
  <c r="G871" i="5"/>
  <c r="G862" i="5"/>
  <c r="G824" i="5"/>
  <c r="G819" i="5"/>
  <c r="G810" i="5"/>
  <c r="G767" i="5"/>
  <c r="G724" i="5"/>
  <c r="G715" i="5"/>
  <c r="G696" i="5"/>
  <c r="G668" i="5"/>
  <c r="G650" i="5"/>
  <c r="G632" i="5"/>
  <c r="G614" i="5"/>
  <c r="G601" i="5"/>
  <c r="G596" i="5"/>
  <c r="G583" i="5"/>
  <c r="G565" i="5"/>
  <c r="G266" i="6"/>
  <c r="G17" i="6"/>
  <c r="G890" i="5"/>
  <c r="G885" i="5"/>
  <c r="G876" i="5"/>
  <c r="G833" i="5"/>
  <c r="G790" i="5"/>
  <c r="G781" i="5"/>
  <c r="G762" i="5"/>
  <c r="G738" i="5"/>
  <c r="G695" i="5"/>
  <c r="G686" i="5"/>
  <c r="G672" i="5"/>
  <c r="G654" i="5"/>
  <c r="G636" i="5"/>
  <c r="G623" i="5"/>
  <c r="G618" i="5"/>
  <c r="G605" i="5"/>
  <c r="G587" i="5"/>
  <c r="G569" i="5"/>
  <c r="G539" i="5"/>
  <c r="G526" i="5"/>
  <c r="G899" i="5"/>
  <c r="G856" i="5"/>
  <c r="G847" i="5"/>
  <c r="G828" i="5"/>
  <c r="G804" i="5"/>
  <c r="G761" i="5"/>
  <c r="G752" i="5"/>
  <c r="G714" i="5"/>
  <c r="G709" i="5"/>
  <c r="G700" i="5"/>
  <c r="G676" i="5"/>
  <c r="G658" i="5"/>
  <c r="G645" i="5"/>
  <c r="G640" i="5"/>
  <c r="G627" i="5"/>
  <c r="G609" i="5"/>
  <c r="G591" i="5"/>
  <c r="G573" i="5"/>
  <c r="G547" i="5"/>
  <c r="G183" i="6"/>
  <c r="G94" i="6"/>
  <c r="G889" i="5"/>
  <c r="G880" i="5"/>
  <c r="G861" i="5"/>
  <c r="G837" i="5"/>
  <c r="G794" i="5"/>
  <c r="G785" i="5"/>
  <c r="G747" i="5"/>
  <c r="G742" i="5"/>
  <c r="G733" i="5"/>
  <c r="G690" i="5"/>
  <c r="G582" i="5"/>
  <c r="G564" i="5"/>
  <c r="G551" i="5"/>
  <c r="G534" i="5"/>
  <c r="G518" i="5"/>
  <c r="G507" i="5"/>
  <c r="G496" i="5"/>
  <c r="G485" i="5"/>
  <c r="G474" i="5"/>
  <c r="G463" i="5"/>
  <c r="G452" i="5"/>
  <c r="G441" i="5"/>
  <c r="G430" i="5"/>
  <c r="G419" i="5"/>
  <c r="G408" i="5"/>
  <c r="G397" i="5"/>
  <c r="G386" i="5"/>
  <c r="G375" i="5"/>
  <c r="G364" i="5"/>
  <c r="G353" i="5"/>
  <c r="G342" i="5"/>
  <c r="G331" i="5"/>
  <c r="G320" i="5"/>
  <c r="G309" i="5"/>
  <c r="G298" i="5"/>
  <c r="G287" i="5"/>
  <c r="G276" i="5"/>
  <c r="G265" i="5"/>
  <c r="G254" i="5"/>
  <c r="G243" i="5"/>
  <c r="G232" i="5"/>
  <c r="G221" i="5"/>
  <c r="G210" i="5"/>
  <c r="G199" i="5"/>
  <c r="G188" i="5"/>
  <c r="G177" i="5"/>
  <c r="G166" i="5"/>
  <c r="G155" i="5"/>
  <c r="G144" i="5"/>
  <c r="G133" i="5"/>
  <c r="G122" i="5"/>
  <c r="G5" i="7"/>
  <c r="G172" i="6"/>
  <c r="G110" i="6"/>
  <c r="G91" i="6"/>
  <c r="G24" i="6"/>
  <c r="G13" i="6"/>
  <c r="G9" i="6"/>
  <c r="G894" i="5"/>
  <c r="G870" i="5"/>
  <c r="G827" i="5"/>
  <c r="G818" i="5"/>
  <c r="G780" i="5"/>
  <c r="G775" i="5"/>
  <c r="G766" i="5"/>
  <c r="G723" i="5"/>
  <c r="G680" i="5"/>
  <c r="G667" i="5"/>
  <c r="G662" i="5"/>
  <c r="G649" i="5"/>
  <c r="G631" i="5"/>
  <c r="G613" i="5"/>
  <c r="G595" i="5"/>
  <c r="G577" i="5"/>
  <c r="G555" i="5"/>
  <c r="G188" i="6"/>
  <c r="G158" i="6"/>
  <c r="G107" i="6"/>
  <c r="G85" i="6"/>
  <c r="G10" i="6"/>
  <c r="G903" i="5"/>
  <c r="G860" i="5"/>
  <c r="G851" i="5"/>
  <c r="G813" i="5"/>
  <c r="G808" i="5"/>
  <c r="G799" i="5"/>
  <c r="G756" i="5"/>
  <c r="G713" i="5"/>
  <c r="G704" i="5"/>
  <c r="G685" i="5"/>
  <c r="G604" i="5"/>
  <c r="G586" i="5"/>
  <c r="G559" i="5"/>
  <c r="G538" i="5"/>
  <c r="G514" i="5"/>
  <c r="G503" i="5"/>
  <c r="G492" i="5"/>
  <c r="G481" i="5"/>
  <c r="G470" i="5"/>
  <c r="G459" i="5"/>
  <c r="G448" i="5"/>
  <c r="G437" i="5"/>
  <c r="G426" i="5"/>
  <c r="G415" i="5"/>
  <c r="G404" i="5"/>
  <c r="G393" i="5"/>
  <c r="G382" i="5"/>
  <c r="G371" i="5"/>
  <c r="G360" i="5"/>
  <c r="G349" i="5"/>
  <c r="G338" i="5"/>
  <c r="G327" i="5"/>
  <c r="G316" i="5"/>
  <c r="G305" i="5"/>
  <c r="G294" i="5"/>
  <c r="G283" i="5"/>
  <c r="G272" i="5"/>
  <c r="G261" i="5"/>
  <c r="G250" i="5"/>
  <c r="G239" i="5"/>
  <c r="G228" i="5"/>
  <c r="G217" i="5"/>
  <c r="G164" i="6"/>
  <c r="G38" i="6"/>
  <c r="G34" i="6"/>
  <c r="G20" i="6"/>
  <c r="G2" i="6"/>
  <c r="G854" i="5"/>
  <c r="G834" i="5"/>
  <c r="G782" i="5"/>
  <c r="G736" i="5"/>
  <c r="G730" i="5"/>
  <c r="G678" i="5"/>
  <c r="G671" i="5"/>
  <c r="G665" i="5"/>
  <c r="G641" i="5"/>
  <c r="G616" i="5"/>
  <c r="G610" i="5"/>
  <c r="G603" i="5"/>
  <c r="G561" i="5"/>
  <c r="G549" i="5"/>
  <c r="G525" i="5"/>
  <c r="G460" i="5"/>
  <c r="G339" i="5"/>
  <c r="G218" i="5"/>
  <c r="G203" i="5"/>
  <c r="G198" i="5"/>
  <c r="G189" i="5"/>
  <c r="G142" i="5"/>
  <c r="G124" i="5"/>
  <c r="G270" i="6"/>
  <c r="G858" i="5"/>
  <c r="G838" i="5"/>
  <c r="G734" i="5"/>
  <c r="G663" i="5"/>
  <c r="G513" i="5"/>
  <c r="G357" i="5"/>
  <c r="G347" i="5"/>
  <c r="G332" i="5"/>
  <c r="G301" i="5"/>
  <c r="G241" i="5"/>
  <c r="G236" i="5"/>
  <c r="G211" i="5"/>
  <c r="G201" i="5"/>
  <c r="G102" i="5"/>
  <c r="G69" i="5"/>
  <c r="G237" i="6"/>
  <c r="G221" i="6"/>
  <c r="G49" i="6"/>
  <c r="G879" i="5"/>
  <c r="G873" i="5"/>
  <c r="G821" i="5"/>
  <c r="G801" i="5"/>
  <c r="G795" i="5"/>
  <c r="G749" i="5"/>
  <c r="G703" i="5"/>
  <c r="G697" i="5"/>
  <c r="G543" i="5"/>
  <c r="G520" i="5"/>
  <c r="G505" i="5"/>
  <c r="G500" i="5"/>
  <c r="G490" i="5"/>
  <c r="G475" i="5"/>
  <c r="G444" i="5"/>
  <c r="G429" i="5"/>
  <c r="G414" i="5"/>
  <c r="G399" i="5"/>
  <c r="G384" i="5"/>
  <c r="G379" i="5"/>
  <c r="G369" i="5"/>
  <c r="G354" i="5"/>
  <c r="G323" i="5"/>
  <c r="G308" i="5"/>
  <c r="G293" i="5"/>
  <c r="G278" i="5"/>
  <c r="G263" i="5"/>
  <c r="G258" i="5"/>
  <c r="G248" i="5"/>
  <c r="G233" i="5"/>
  <c r="G179" i="5"/>
  <c r="G111" i="5"/>
  <c r="G107" i="5"/>
  <c r="G96" i="5"/>
  <c r="G85" i="5"/>
  <c r="G74" i="5"/>
  <c r="G63" i="5"/>
  <c r="G52" i="5"/>
  <c r="G41" i="5"/>
  <c r="G30" i="5"/>
  <c r="G19" i="5"/>
  <c r="G8" i="5"/>
  <c r="G213" i="6"/>
  <c r="G83" i="6"/>
  <c r="G35" i="6"/>
  <c r="G23" i="6"/>
  <c r="G892" i="5"/>
  <c r="G846" i="5"/>
  <c r="G840" i="5"/>
  <c r="G788" i="5"/>
  <c r="G768" i="5"/>
  <c r="G716" i="5"/>
  <c r="G659" i="5"/>
  <c r="G634" i="5"/>
  <c r="G628" i="5"/>
  <c r="G621" i="5"/>
  <c r="G579" i="5"/>
  <c r="G572" i="5"/>
  <c r="G566" i="5"/>
  <c r="G554" i="5"/>
  <c r="G542" i="5"/>
  <c r="G515" i="5"/>
  <c r="G394" i="5"/>
  <c r="G273" i="5"/>
  <c r="G169" i="5"/>
  <c r="G160" i="5"/>
  <c r="G146" i="5"/>
  <c r="G128" i="5"/>
  <c r="G115" i="5"/>
  <c r="G7" i="6"/>
  <c r="G866" i="5"/>
  <c r="G859" i="5"/>
  <c r="G814" i="5"/>
  <c r="G807" i="5"/>
  <c r="G735" i="5"/>
  <c r="G597" i="5"/>
  <c r="G560" i="5"/>
  <c r="G531" i="5"/>
  <c r="G499" i="5"/>
  <c r="G484" i="5"/>
  <c r="G348" i="5"/>
  <c r="G333" i="5"/>
  <c r="G318" i="5"/>
  <c r="G288" i="5"/>
  <c r="G257" i="5"/>
  <c r="G212" i="5"/>
  <c r="G193" i="5"/>
  <c r="G174" i="5"/>
  <c r="G103" i="5"/>
  <c r="G377" i="5"/>
  <c r="G80" i="5"/>
  <c r="G99" i="6"/>
  <c r="G89" i="6"/>
  <c r="G46" i="6"/>
  <c r="G755" i="5"/>
  <c r="G683" i="5"/>
  <c r="G652" i="5"/>
  <c r="G469" i="5"/>
  <c r="G454" i="5"/>
  <c r="G439" i="5"/>
  <c r="G434" i="5"/>
  <c r="G424" i="5"/>
  <c r="G409" i="5"/>
  <c r="G378" i="5"/>
  <c r="G363" i="5"/>
  <c r="G313" i="5"/>
  <c r="G303" i="5"/>
  <c r="G242" i="5"/>
  <c r="G227" i="5"/>
  <c r="G202" i="5"/>
  <c r="G137" i="5"/>
  <c r="G92" i="5"/>
  <c r="G81" i="5"/>
  <c r="G70" i="5"/>
  <c r="G59" i="5"/>
  <c r="G48" i="5"/>
  <c r="G37" i="5"/>
  <c r="G26" i="5"/>
  <c r="G15" i="5"/>
  <c r="G4" i="5"/>
  <c r="G786" i="5"/>
  <c r="G773" i="5"/>
  <c r="G682" i="5"/>
  <c r="G558" i="5"/>
  <c r="G498" i="5"/>
  <c r="G483" i="5"/>
  <c r="G478" i="5"/>
  <c r="G468" i="5"/>
  <c r="G453" i="5"/>
  <c r="G422" i="5"/>
  <c r="G407" i="5"/>
  <c r="G392" i="5"/>
  <c r="G362" i="5"/>
  <c r="G286" i="5"/>
  <c r="G271" i="5"/>
  <c r="G256" i="5"/>
  <c r="G57" i="6"/>
  <c r="G50" i="6"/>
  <c r="G27" i="6"/>
  <c r="G898" i="5"/>
  <c r="G878" i="5"/>
  <c r="G826" i="5"/>
  <c r="G774" i="5"/>
  <c r="G729" i="5"/>
  <c r="G722" i="5"/>
  <c r="G702" i="5"/>
  <c r="G646" i="5"/>
  <c r="G639" i="5"/>
  <c r="G590" i="5"/>
  <c r="G584" i="5"/>
  <c r="G548" i="5"/>
  <c r="G449" i="5"/>
  <c r="G328" i="5"/>
  <c r="G207" i="5"/>
  <c r="G183" i="5"/>
  <c r="G150" i="5"/>
  <c r="G132" i="5"/>
  <c r="G119" i="5"/>
  <c r="G891" i="5"/>
  <c r="G806" i="5"/>
  <c r="G91" i="5"/>
  <c r="G14" i="5"/>
  <c r="G4" i="6"/>
  <c r="G905" i="5"/>
  <c r="G865" i="5"/>
  <c r="G845" i="5"/>
  <c r="G793" i="5"/>
  <c r="G741" i="5"/>
  <c r="G728" i="5"/>
  <c r="G689" i="5"/>
  <c r="G670" i="5"/>
  <c r="G615" i="5"/>
  <c r="G608" i="5"/>
  <c r="G536" i="5"/>
  <c r="G530" i="5"/>
  <c r="G509" i="5"/>
  <c r="G494" i="5"/>
  <c r="G489" i="5"/>
  <c r="G479" i="5"/>
  <c r="G464" i="5"/>
  <c r="G433" i="5"/>
  <c r="G418" i="5"/>
  <c r="G403" i="5"/>
  <c r="G388" i="5"/>
  <c r="G373" i="5"/>
  <c r="G368" i="5"/>
  <c r="G358" i="5"/>
  <c r="G343" i="5"/>
  <c r="G312" i="5"/>
  <c r="G297" i="5"/>
  <c r="G282" i="5"/>
  <c r="G267" i="5"/>
  <c r="G252" i="5"/>
  <c r="G247" i="5"/>
  <c r="G237" i="5"/>
  <c r="G222" i="5"/>
  <c r="G173" i="5"/>
  <c r="G164" i="5"/>
  <c r="G99" i="5"/>
  <c r="G88" i="5"/>
  <c r="G77" i="5"/>
  <c r="G66" i="5"/>
  <c r="G55" i="5"/>
  <c r="G44" i="5"/>
  <c r="G33" i="5"/>
  <c r="G22" i="5"/>
  <c r="G11" i="5"/>
  <c r="G746" i="5"/>
  <c r="G694" i="5"/>
  <c r="G675" i="5"/>
  <c r="G620" i="5"/>
  <c r="G607" i="5"/>
  <c r="G140" i="5"/>
  <c r="G108" i="6"/>
  <c r="G158" i="5"/>
  <c r="G58" i="5"/>
  <c r="G47" i="5"/>
  <c r="G904" i="5"/>
  <c r="G884" i="5"/>
  <c r="G872" i="5"/>
  <c r="G852" i="5"/>
  <c r="G832" i="5"/>
  <c r="G812" i="5"/>
  <c r="G800" i="5"/>
  <c r="G760" i="5"/>
  <c r="G748" i="5"/>
  <c r="G708" i="5"/>
  <c r="G664" i="5"/>
  <c r="G657" i="5"/>
  <c r="G651" i="5"/>
  <c r="G602" i="5"/>
  <c r="G541" i="5"/>
  <c r="G524" i="5"/>
  <c r="G504" i="5"/>
  <c r="G383" i="5"/>
  <c r="G262" i="5"/>
  <c r="G206" i="5"/>
  <c r="G197" i="5"/>
  <c r="G159" i="5"/>
  <c r="G154" i="5"/>
  <c r="G141" i="5"/>
  <c r="G136" i="5"/>
  <c r="G123" i="5"/>
  <c r="G118" i="5"/>
  <c r="G114" i="5"/>
  <c r="G110" i="5"/>
  <c r="G669" i="5"/>
  <c r="G438" i="5"/>
  <c r="G317" i="5"/>
  <c r="G168" i="5"/>
  <c r="G145" i="5"/>
  <c r="G127" i="5"/>
  <c r="G226" i="5"/>
  <c r="G36" i="5"/>
  <c r="G25" i="5"/>
  <c r="G3" i="5"/>
  <c r="G40" i="6"/>
  <c r="G118" i="6"/>
  <c r="G839" i="5"/>
  <c r="G779" i="5"/>
  <c r="G727" i="5"/>
  <c r="G626" i="5"/>
  <c r="G571" i="5"/>
  <c r="G553" i="5"/>
  <c r="G529" i="5"/>
  <c r="G519" i="5"/>
  <c r="G488" i="5"/>
  <c r="G473" i="5"/>
  <c r="G458" i="5"/>
  <c r="G443" i="5"/>
  <c r="G428" i="5"/>
  <c r="G423" i="5"/>
  <c r="G413" i="5"/>
  <c r="G398" i="5"/>
  <c r="G367" i="5"/>
  <c r="G352" i="5"/>
  <c r="G337" i="5"/>
  <c r="G322" i="5"/>
  <c r="G307" i="5"/>
  <c r="G302" i="5"/>
  <c r="G292" i="5"/>
  <c r="G277" i="5"/>
  <c r="G246" i="5"/>
  <c r="G231" i="5"/>
  <c r="G216" i="5"/>
  <c r="G192" i="5"/>
  <c r="G187" i="5"/>
  <c r="G178" i="5"/>
  <c r="G106" i="5"/>
  <c r="G95" i="5"/>
  <c r="G84" i="5"/>
  <c r="G73" i="5"/>
  <c r="G62" i="5"/>
  <c r="G51" i="5"/>
  <c r="G40" i="5"/>
  <c r="G29" i="5"/>
  <c r="G18" i="5"/>
  <c r="G7" i="5"/>
  <c r="G261" i="6"/>
  <c r="G157" i="6"/>
  <c r="G69" i="6"/>
  <c r="G58" i="6"/>
  <c r="G43" i="6"/>
  <c r="G39" i="6"/>
  <c r="G835" i="5"/>
  <c r="G822" i="5"/>
  <c r="G750" i="5"/>
  <c r="G726" i="5"/>
  <c r="G467" i="5"/>
  <c r="G450" i="5"/>
  <c r="G440" i="5"/>
  <c r="G431" i="5"/>
  <c r="G421" i="5"/>
  <c r="G411" i="5"/>
  <c r="G402" i="5"/>
  <c r="G291" i="5"/>
  <c r="G274" i="5"/>
  <c r="G264" i="5"/>
  <c r="G255" i="5"/>
  <c r="G245" i="5"/>
  <c r="G235" i="5"/>
  <c r="G200" i="5"/>
  <c r="G148" i="5"/>
  <c r="G101" i="5"/>
  <c r="G94" i="5"/>
  <c r="G87" i="5"/>
  <c r="G642" i="5"/>
  <c r="G205" i="5"/>
  <c r="G770" i="5"/>
  <c r="G841" i="5"/>
  <c r="G214" i="5"/>
  <c r="G10" i="5"/>
  <c r="G661" i="5"/>
  <c r="G581" i="5"/>
  <c r="G389" i="5"/>
  <c r="G50" i="5"/>
  <c r="G625" i="5"/>
  <c r="G893" i="5"/>
  <c r="G869" i="5"/>
  <c r="G857" i="5"/>
  <c r="G797" i="5"/>
  <c r="G701" i="5"/>
  <c r="G643" i="5"/>
  <c r="G563" i="5"/>
  <c r="G139" i="5"/>
  <c r="G108" i="5"/>
  <c r="G843" i="5"/>
  <c r="G511" i="5"/>
  <c r="G153" i="6"/>
  <c r="G769" i="5"/>
  <c r="G445" i="5"/>
  <c r="G380" i="5"/>
  <c r="G341" i="5"/>
  <c r="G213" i="5"/>
  <c r="G170" i="5"/>
  <c r="G71" i="5"/>
  <c r="G57" i="5"/>
  <c r="G44" i="6"/>
  <c r="G15" i="6"/>
  <c r="G844" i="5"/>
  <c r="G772" i="5"/>
  <c r="G763" i="5"/>
  <c r="G691" i="5"/>
  <c r="G544" i="5"/>
  <c r="G522" i="5"/>
  <c r="G495" i="5"/>
  <c r="G486" i="5"/>
  <c r="G476" i="5"/>
  <c r="G466" i="5"/>
  <c r="G457" i="5"/>
  <c r="G447" i="5"/>
  <c r="G346" i="5"/>
  <c r="G329" i="5"/>
  <c r="G319" i="5"/>
  <c r="G310" i="5"/>
  <c r="G300" i="5"/>
  <c r="G290" i="5"/>
  <c r="G281" i="5"/>
  <c r="G172" i="5"/>
  <c r="G165" i="5"/>
  <c r="G34" i="5"/>
  <c r="G27" i="5"/>
  <c r="G20" i="5"/>
  <c r="G13" i="5"/>
  <c r="G6" i="5"/>
  <c r="G867" i="5"/>
  <c r="G19" i="6"/>
  <c r="G606" i="5"/>
  <c r="G306" i="5"/>
  <c r="G462" i="5"/>
  <c r="G390" i="5"/>
  <c r="G325" i="5"/>
  <c r="G13" i="7"/>
  <c r="G784" i="5"/>
  <c r="G737" i="5"/>
  <c r="G493" i="5"/>
  <c r="G190" i="5"/>
  <c r="G181" i="5"/>
  <c r="G163" i="5"/>
  <c r="G147" i="5"/>
  <c r="G482" i="5"/>
  <c r="G816" i="5"/>
  <c r="G344" i="5"/>
  <c r="G45" i="5"/>
  <c r="G14" i="6"/>
  <c r="G881" i="5"/>
  <c r="G725" i="5"/>
  <c r="G712" i="5"/>
  <c r="G575" i="5"/>
  <c r="G552" i="5"/>
  <c r="G521" i="5"/>
  <c r="G512" i="5"/>
  <c r="G502" i="5"/>
  <c r="G401" i="5"/>
  <c r="G374" i="5"/>
  <c r="G365" i="5"/>
  <c r="G355" i="5"/>
  <c r="G345" i="5"/>
  <c r="G336" i="5"/>
  <c r="G326" i="5"/>
  <c r="G225" i="5"/>
  <c r="G208" i="5"/>
  <c r="G156" i="5"/>
  <c r="G67" i="5"/>
  <c r="G60" i="5"/>
  <c r="G53" i="5"/>
  <c r="G46" i="5"/>
  <c r="G39" i="5"/>
  <c r="G32" i="5"/>
  <c r="G178" i="6"/>
  <c r="G617" i="5"/>
  <c r="G888" i="5"/>
  <c r="G792" i="5"/>
  <c r="G711" i="5"/>
  <c r="G31" i="5"/>
  <c r="G122" i="6"/>
  <c r="G508" i="5"/>
  <c r="G370" i="5"/>
  <c r="G223" i="5"/>
  <c r="G186" i="5"/>
  <c r="G64" i="5"/>
  <c r="G43" i="5"/>
  <c r="G803" i="5"/>
  <c r="G731" i="5"/>
  <c r="G240" i="5"/>
  <c r="G204" i="5"/>
  <c r="G152" i="5"/>
  <c r="G101" i="6"/>
  <c r="G3" i="6"/>
  <c r="G868" i="5"/>
  <c r="G855" i="5"/>
  <c r="G783" i="5"/>
  <c r="G759" i="5"/>
  <c r="G687" i="5"/>
  <c r="G598" i="5"/>
  <c r="G532" i="5"/>
  <c r="G372" i="5"/>
  <c r="G162" i="5"/>
  <c r="G130" i="5"/>
  <c r="G121" i="5"/>
  <c r="G113" i="5"/>
  <c r="G805" i="5"/>
  <c r="G562" i="5"/>
  <c r="G153" i="5"/>
  <c r="G138" i="5"/>
  <c r="G129" i="5"/>
  <c r="G817" i="5"/>
  <c r="G674" i="5"/>
  <c r="G465" i="5"/>
  <c r="G446" i="5"/>
  <c r="G417" i="5"/>
  <c r="G335" i="5"/>
  <c r="G299" i="5"/>
  <c r="G279" i="5"/>
  <c r="G260" i="5"/>
  <c r="G105" i="5"/>
  <c r="G5" i="5"/>
  <c r="G6" i="6"/>
  <c r="G758" i="5"/>
  <c r="G745" i="5"/>
  <c r="G629" i="5"/>
  <c r="G594" i="5"/>
  <c r="G720" i="5"/>
  <c r="G501" i="5"/>
  <c r="G24" i="5"/>
  <c r="G161" i="5"/>
  <c r="G112" i="5"/>
  <c r="G56" i="6"/>
  <c r="G707" i="5"/>
  <c r="G166" i="6"/>
  <c r="G147" i="6"/>
  <c r="G902" i="5"/>
  <c r="G830" i="5"/>
  <c r="G771" i="5"/>
  <c r="G630" i="5"/>
  <c r="G619" i="5"/>
  <c r="G456" i="5"/>
  <c r="G420" i="5"/>
  <c r="G410" i="5"/>
  <c r="G400" i="5"/>
  <c r="G391" i="5"/>
  <c r="G381" i="5"/>
  <c r="G280" i="5"/>
  <c r="G253" i="5"/>
  <c r="G244" i="5"/>
  <c r="G234" i="5"/>
  <c r="G224" i="5"/>
  <c r="G215" i="5"/>
  <c r="G180" i="5"/>
  <c r="G100" i="5"/>
  <c r="G93" i="5"/>
  <c r="G86" i="5"/>
  <c r="G79" i="5"/>
  <c r="G72" i="5"/>
  <c r="G65" i="5"/>
  <c r="G18" i="6"/>
  <c r="G877" i="5"/>
  <c r="G796" i="5"/>
  <c r="G653" i="5"/>
  <c r="G585" i="5"/>
  <c r="G574" i="5"/>
  <c r="G540" i="5"/>
  <c r="G427" i="5"/>
  <c r="G251" i="5"/>
  <c r="G698" i="5"/>
  <c r="G455" i="5"/>
  <c r="G436" i="5"/>
  <c r="G289" i="5"/>
  <c r="G270" i="5"/>
  <c r="G196" i="5"/>
  <c r="G171" i="5"/>
  <c r="G98" i="5"/>
  <c r="G12" i="5"/>
  <c r="G117" i="6"/>
  <c r="G32" i="6"/>
  <c r="G901" i="5"/>
  <c r="G550" i="5"/>
  <c r="G528" i="5"/>
  <c r="G510" i="5"/>
  <c r="G491" i="5"/>
  <c r="G472" i="5"/>
  <c r="G334" i="5"/>
  <c r="G315" i="5"/>
  <c r="G296" i="5"/>
  <c r="G195" i="5"/>
  <c r="G38" i="5"/>
  <c r="G17" i="5"/>
  <c r="G21" i="6"/>
  <c r="G757" i="5"/>
  <c r="G673" i="5"/>
  <c r="G638" i="5"/>
  <c r="G361" i="5"/>
  <c r="G120" i="5"/>
  <c r="G829" i="5"/>
  <c r="G684" i="5"/>
  <c r="G517" i="5"/>
  <c r="G570" i="5"/>
  <c r="G351" i="5"/>
  <c r="G269" i="5"/>
  <c r="G78" i="5"/>
  <c r="G900" i="5"/>
  <c r="G228" i="6"/>
  <c r="G45" i="6"/>
  <c r="G29" i="6"/>
  <c r="G874" i="5"/>
  <c r="G791" i="5"/>
  <c r="G778" i="5"/>
  <c r="G719" i="5"/>
  <c r="G706" i="5"/>
  <c r="G593" i="5"/>
  <c r="G863" i="5"/>
  <c r="G135" i="5"/>
  <c r="G850" i="5"/>
  <c r="G416" i="5"/>
  <c r="G143" i="5"/>
  <c r="G7" i="7"/>
  <c r="G435" i="5"/>
  <c r="G425" i="5"/>
  <c r="G406" i="5"/>
  <c r="G396" i="5"/>
  <c r="G387" i="5"/>
  <c r="G324" i="5"/>
  <c r="G268" i="5"/>
  <c r="G259" i="5"/>
  <c r="G249" i="5"/>
  <c r="G230" i="5"/>
  <c r="G220" i="5"/>
  <c r="G126" i="5"/>
  <c r="G104" i="5"/>
  <c r="G97" i="5"/>
  <c r="G90" i="5"/>
  <c r="G83" i="5"/>
  <c r="G76" i="5"/>
  <c r="G739" i="5"/>
  <c r="G350" i="5"/>
  <c r="G321" i="5"/>
  <c r="G149" i="5"/>
  <c r="G82" i="5"/>
  <c r="G16" i="5"/>
  <c r="G836" i="5"/>
  <c r="G191" i="5"/>
  <c r="G789" i="5"/>
  <c r="G144" i="6"/>
  <c r="G887" i="5"/>
  <c r="G592" i="5"/>
  <c r="G557" i="5"/>
  <c r="G753" i="5"/>
  <c r="G480" i="5"/>
  <c r="G811" i="5"/>
  <c r="G777" i="5"/>
  <c r="G523" i="5"/>
  <c r="G432" i="5"/>
  <c r="G284" i="5"/>
  <c r="G275" i="5"/>
  <c r="G717" i="5"/>
  <c r="G537" i="5"/>
  <c r="G2" i="5"/>
  <c r="G11" i="6"/>
  <c r="G442" i="5"/>
  <c r="G21" i="5"/>
  <c r="G744" i="5"/>
  <c r="G266" i="5"/>
  <c r="G184" i="5"/>
  <c r="G131" i="5"/>
  <c r="G42" i="5"/>
  <c r="G635" i="5"/>
  <c r="G385" i="5"/>
  <c r="G278" i="6"/>
  <c r="G815" i="5"/>
  <c r="G497" i="5"/>
  <c r="G883" i="5"/>
  <c r="G660" i="5"/>
  <c r="G461" i="5"/>
  <c r="G35" i="5"/>
  <c r="G693" i="5"/>
  <c r="G624" i="5"/>
  <c r="G556" i="5"/>
  <c r="G405" i="5"/>
  <c r="G376" i="5"/>
  <c r="G285" i="5"/>
  <c r="G117" i="5"/>
  <c r="G56" i="5"/>
  <c r="G580" i="5"/>
  <c r="G340" i="5"/>
  <c r="G194" i="5"/>
  <c r="G167" i="5"/>
  <c r="G8" i="6"/>
  <c r="G648" i="5"/>
  <c r="G612" i="5"/>
  <c r="G366" i="5"/>
  <c r="G576" i="5"/>
  <c r="G395" i="5"/>
  <c r="G304" i="5"/>
  <c r="G477" i="5"/>
  <c r="G109" i="5"/>
  <c r="G535" i="5"/>
  <c r="G568" i="5"/>
  <c r="G330" i="5"/>
  <c r="G896" i="5"/>
  <c r="G751" i="5"/>
  <c r="G637" i="5"/>
  <c r="G359" i="5"/>
  <c r="G471" i="5"/>
  <c r="G823" i="5"/>
  <c r="G533" i="5"/>
  <c r="G356" i="5"/>
  <c r="G295" i="5"/>
  <c r="G157" i="5"/>
  <c r="G527" i="5"/>
  <c r="G740" i="5"/>
  <c r="G412" i="5"/>
  <c r="G849" i="5"/>
  <c r="G705" i="5"/>
  <c r="G238" i="5"/>
  <c r="G176" i="5"/>
  <c r="G882" i="5"/>
  <c r="G848" i="5"/>
  <c r="G588" i="5"/>
  <c r="G546" i="5"/>
  <c r="G314" i="5"/>
  <c r="G229" i="5"/>
  <c r="G175" i="5"/>
  <c r="G681" i="5"/>
  <c r="G28" i="5"/>
  <c r="G156" i="6"/>
  <c r="G152" i="6"/>
  <c r="G134" i="5"/>
  <c r="G23" i="5"/>
  <c r="G151" i="5"/>
  <c r="G895" i="5"/>
  <c r="G106" i="6"/>
  <c r="G487" i="5"/>
  <c r="G54" i="5"/>
  <c r="G718" i="5"/>
  <c r="G506" i="5"/>
  <c r="G679" i="5"/>
  <c r="G802" i="5"/>
  <c r="G764" i="5"/>
  <c r="G656" i="5"/>
  <c r="G516" i="5"/>
  <c r="G311" i="5"/>
  <c r="G75" i="5"/>
  <c r="G9" i="5"/>
  <c r="G68" i="6"/>
  <c r="G692" i="5"/>
  <c r="G545" i="5"/>
  <c r="G451" i="5"/>
  <c r="G116" i="5"/>
  <c r="G49" i="5"/>
  <c r="G647" i="5"/>
  <c r="G825" i="5"/>
  <c r="G219" i="5"/>
  <c r="G68" i="5"/>
  <c r="G55" i="6"/>
  <c r="G599" i="5"/>
  <c r="G209" i="5"/>
  <c r="G125" i="5"/>
  <c r="G61" i="5"/>
  <c r="G64" i="6"/>
  <c r="G89" i="5"/>
  <c r="G185" i="5"/>
  <c r="G150" i="6"/>
  <c r="G182" i="5"/>
  <c r="H189" i="8"/>
  <c r="H167" i="8"/>
  <c r="H145" i="8"/>
  <c r="H123" i="8"/>
  <c r="H182" i="8"/>
  <c r="H159" i="8"/>
  <c r="H122" i="8"/>
  <c r="H76" i="8"/>
  <c r="H65" i="8"/>
  <c r="H54" i="8"/>
  <c r="H43" i="8"/>
  <c r="H194" i="8"/>
  <c r="H165" i="8"/>
  <c r="H141" i="8"/>
  <c r="H136" i="8"/>
  <c r="H131" i="8"/>
  <c r="H107" i="8"/>
  <c r="H99" i="8"/>
  <c r="H96" i="8"/>
  <c r="H11" i="8"/>
  <c r="H201" i="7"/>
  <c r="H179" i="7"/>
  <c r="H157" i="7"/>
  <c r="H135" i="7"/>
  <c r="H113" i="7"/>
  <c r="H198" i="8"/>
  <c r="H117" i="8"/>
  <c r="H112" i="8"/>
  <c r="H83" i="8"/>
  <c r="H195" i="8"/>
  <c r="H184" i="8"/>
  <c r="H163" i="8"/>
  <c r="H147" i="8"/>
  <c r="H110" i="8"/>
  <c r="H101" i="8"/>
  <c r="H78" i="8"/>
  <c r="H183" i="8"/>
  <c r="H146" i="8"/>
  <c r="H135" i="8"/>
  <c r="H114" i="8"/>
  <c r="H73" i="8"/>
  <c r="H188" i="8"/>
  <c r="H172" i="8"/>
  <c r="H151" i="8"/>
  <c r="H140" i="8"/>
  <c r="H162" i="8"/>
  <c r="H119" i="8"/>
  <c r="H113" i="8"/>
  <c r="H88" i="8"/>
  <c r="H85" i="8"/>
  <c r="H79" i="8"/>
  <c r="H130" i="8"/>
  <c r="H81" i="8"/>
  <c r="H42" i="8"/>
  <c r="H41" i="8"/>
  <c r="H40" i="8"/>
  <c r="H201" i="8"/>
  <c r="H193" i="8"/>
  <c r="H173" i="8"/>
  <c r="H139" i="8"/>
  <c r="H27" i="8"/>
  <c r="H26" i="8"/>
  <c r="H25" i="8"/>
  <c r="H21" i="8"/>
  <c r="H185" i="8"/>
  <c r="H171" i="8"/>
  <c r="H158" i="8"/>
  <c r="H138" i="8"/>
  <c r="H124" i="8"/>
  <c r="H104" i="8"/>
  <c r="H98" i="8"/>
  <c r="H82" i="8"/>
  <c r="H143" i="8"/>
  <c r="H106" i="8"/>
  <c r="H53" i="8"/>
  <c r="H178" i="8"/>
  <c r="H111" i="8"/>
  <c r="H149" i="8"/>
  <c r="H61" i="8"/>
  <c r="H39" i="8"/>
  <c r="H36" i="8"/>
  <c r="H192" i="7"/>
  <c r="H169" i="7"/>
  <c r="H146" i="7"/>
  <c r="H123" i="7"/>
  <c r="H100" i="7"/>
  <c r="H81" i="7"/>
  <c r="H49" i="7"/>
  <c r="H38" i="7"/>
  <c r="H27" i="7"/>
  <c r="H164" i="8"/>
  <c r="H115" i="8"/>
  <c r="H70" i="8"/>
  <c r="H57" i="8"/>
  <c r="H191" i="7"/>
  <c r="H168" i="7"/>
  <c r="H145" i="7"/>
  <c r="H122" i="7"/>
  <c r="H108" i="7"/>
  <c r="H97" i="7"/>
  <c r="H63" i="7"/>
  <c r="H168" i="8"/>
  <c r="H150" i="8"/>
  <c r="H90" i="8"/>
  <c r="H77" i="8"/>
  <c r="H34" i="8"/>
  <c r="H31" i="8"/>
  <c r="H131" i="7"/>
  <c r="H79" i="7"/>
  <c r="H60" i="7"/>
  <c r="H55" i="7"/>
  <c r="H166" i="8"/>
  <c r="H121" i="8"/>
  <c r="H92" i="8"/>
  <c r="H18" i="8"/>
  <c r="H140" i="7"/>
  <c r="H96" i="7"/>
  <c r="H89" i="7"/>
  <c r="H77" i="7"/>
  <c r="H70" i="7"/>
  <c r="H153" i="8"/>
  <c r="H91" i="8"/>
  <c r="H46" i="8"/>
  <c r="H191" i="8"/>
  <c r="H133" i="8"/>
  <c r="H86" i="8"/>
  <c r="H80" i="8"/>
  <c r="H66" i="8"/>
  <c r="H55" i="8"/>
  <c r="H29" i="8"/>
  <c r="H172" i="7"/>
  <c r="H155" i="7"/>
  <c r="H144" i="7"/>
  <c r="H133" i="7"/>
  <c r="H71" i="7"/>
  <c r="H51" i="7"/>
  <c r="H34" i="7"/>
  <c r="H160" i="8"/>
  <c r="H63" i="8"/>
  <c r="H37" i="8"/>
  <c r="H15" i="8"/>
  <c r="H182" i="7"/>
  <c r="H165" i="7"/>
  <c r="H126" i="7"/>
  <c r="H115" i="7"/>
  <c r="H75" i="7"/>
  <c r="H59" i="7"/>
  <c r="H24" i="7"/>
  <c r="H10" i="7"/>
  <c r="H309" i="6"/>
  <c r="H298" i="6"/>
  <c r="H287" i="6"/>
  <c r="H276" i="6"/>
  <c r="H148" i="8"/>
  <c r="H137" i="8"/>
  <c r="H126" i="8"/>
  <c r="H102" i="8"/>
  <c r="H95" i="8"/>
  <c r="H72" i="8"/>
  <c r="H71" i="8"/>
  <c r="H56" i="8"/>
  <c r="H38" i="8"/>
  <c r="H19" i="8"/>
  <c r="H10" i="8"/>
  <c r="H7" i="8"/>
  <c r="H200" i="7"/>
  <c r="H194" i="7"/>
  <c r="H102" i="7"/>
  <c r="H17" i="8"/>
  <c r="H179" i="8"/>
  <c r="H187" i="8"/>
  <c r="H134" i="8"/>
  <c r="H120" i="8"/>
  <c r="H64" i="8"/>
  <c r="H196" i="7"/>
  <c r="H170" i="7"/>
  <c r="H151" i="7"/>
  <c r="H138" i="7"/>
  <c r="H125" i="7"/>
  <c r="H84" i="7"/>
  <c r="H67" i="7"/>
  <c r="H30" i="7"/>
  <c r="H18" i="7"/>
  <c r="H200" i="8"/>
  <c r="H174" i="8"/>
  <c r="H183" i="7"/>
  <c r="H112" i="7"/>
  <c r="H106" i="7"/>
  <c r="H80" i="7"/>
  <c r="H57" i="7"/>
  <c r="H48" i="7"/>
  <c r="H155" i="8"/>
  <c r="H89" i="8"/>
  <c r="H44" i="8"/>
  <c r="H162" i="7"/>
  <c r="H136" i="7"/>
  <c r="H95" i="7"/>
  <c r="H76" i="7"/>
  <c r="H180" i="8"/>
  <c r="H67" i="8"/>
  <c r="H13" i="8"/>
  <c r="H177" i="7"/>
  <c r="H154" i="7"/>
  <c r="H147" i="7"/>
  <c r="H117" i="7"/>
  <c r="H78" i="7"/>
  <c r="H54" i="7"/>
  <c r="H52" i="7"/>
  <c r="H300" i="6"/>
  <c r="H277" i="6"/>
  <c r="H274" i="6"/>
  <c r="H196" i="8"/>
  <c r="H118" i="8"/>
  <c r="H103" i="8"/>
  <c r="H60" i="8"/>
  <c r="H47" i="8"/>
  <c r="H176" i="7"/>
  <c r="H132" i="7"/>
  <c r="H124" i="7"/>
  <c r="H109" i="7"/>
  <c r="H64" i="7"/>
  <c r="H50" i="7"/>
  <c r="H16" i="7"/>
  <c r="H310" i="6"/>
  <c r="H257" i="6"/>
  <c r="H129" i="8"/>
  <c r="H94" i="8"/>
  <c r="H8" i="8"/>
  <c r="H99" i="7"/>
  <c r="H98" i="7"/>
  <c r="H157" i="8"/>
  <c r="H100" i="8"/>
  <c r="H58" i="8"/>
  <c r="H195" i="7"/>
  <c r="H127" i="7"/>
  <c r="H118" i="7"/>
  <c r="H90" i="7"/>
  <c r="H37" i="7"/>
  <c r="H20" i="7"/>
  <c r="H192" i="8"/>
  <c r="H156" i="8"/>
  <c r="H105" i="8"/>
  <c r="H35" i="8"/>
  <c r="H186" i="7"/>
  <c r="H152" i="7"/>
  <c r="H143" i="7"/>
  <c r="H91" i="7"/>
  <c r="H190" i="8"/>
  <c r="H74" i="8"/>
  <c r="H154" i="8"/>
  <c r="H93" i="8"/>
  <c r="H20" i="8"/>
  <c r="H16" i="8"/>
  <c r="H170" i="8"/>
  <c r="H3" i="8"/>
  <c r="H193" i="7"/>
  <c r="H167" i="7"/>
  <c r="H93" i="7"/>
  <c r="H177" i="8"/>
  <c r="H9" i="8"/>
  <c r="H114" i="7"/>
  <c r="H109" i="8"/>
  <c r="H28" i="8"/>
  <c r="H24" i="8"/>
  <c r="H184" i="7"/>
  <c r="H134" i="7"/>
  <c r="H104" i="7"/>
  <c r="H101" i="7"/>
  <c r="H56" i="7"/>
  <c r="H199" i="8"/>
  <c r="H152" i="8"/>
  <c r="H108" i="8"/>
  <c r="H49" i="8"/>
  <c r="H32" i="8"/>
  <c r="H164" i="7"/>
  <c r="H176" i="8"/>
  <c r="H128" i="8"/>
  <c r="H175" i="8"/>
  <c r="H68" i="8"/>
  <c r="H52" i="8"/>
  <c r="H6" i="8"/>
  <c r="H153" i="7"/>
  <c r="H127" i="8"/>
  <c r="H181" i="7"/>
  <c r="H92" i="7"/>
  <c r="H23" i="8"/>
  <c r="H12" i="8"/>
  <c r="H198" i="7"/>
  <c r="H120" i="7"/>
  <c r="H58" i="7"/>
  <c r="H59" i="8"/>
  <c r="H107" i="7"/>
  <c r="H185" i="7"/>
  <c r="H158" i="7"/>
  <c r="H116" i="8"/>
  <c r="H84" i="8"/>
  <c r="H62" i="8"/>
  <c r="H197" i="7"/>
  <c r="H171" i="7"/>
  <c r="H65" i="7"/>
  <c r="H45" i="8"/>
  <c r="H33" i="8"/>
  <c r="H130" i="7"/>
  <c r="H119" i="7"/>
  <c r="H181" i="8"/>
  <c r="H144" i="8"/>
  <c r="H142" i="7"/>
  <c r="H129" i="7"/>
  <c r="H105" i="7"/>
  <c r="H72" i="7"/>
  <c r="H125" i="8"/>
  <c r="H159" i="7"/>
  <c r="H103" i="7"/>
  <c r="H13" i="7"/>
  <c r="H312" i="6"/>
  <c r="H305" i="6"/>
  <c r="H51" i="8"/>
  <c r="H139" i="7"/>
  <c r="H48" i="8"/>
  <c r="H175" i="7"/>
  <c r="H156" i="7"/>
  <c r="H42" i="7"/>
  <c r="H121" i="7"/>
  <c r="H82" i="7"/>
  <c r="H68" i="7"/>
  <c r="H61" i="7"/>
  <c r="H22" i="7"/>
  <c r="H307" i="6"/>
  <c r="H190" i="7"/>
  <c r="H174" i="7"/>
  <c r="H161" i="8"/>
  <c r="H75" i="8"/>
  <c r="H189" i="7"/>
  <c r="H74" i="7"/>
  <c r="H33" i="7"/>
  <c r="H26" i="7"/>
  <c r="H169" i="8"/>
  <c r="H2" i="8"/>
  <c r="H36" i="7"/>
  <c r="H15" i="7"/>
  <c r="H299" i="6"/>
  <c r="H281" i="6"/>
  <c r="H275" i="6"/>
  <c r="H87" i="8"/>
  <c r="H5" i="8"/>
  <c r="H88" i="7"/>
  <c r="H62" i="7"/>
  <c r="H308" i="6"/>
  <c r="H30" i="8"/>
  <c r="H150" i="7"/>
  <c r="H44" i="7"/>
  <c r="H296" i="6"/>
  <c r="H291" i="6"/>
  <c r="H50" i="8"/>
  <c r="H178" i="7"/>
  <c r="H128" i="7"/>
  <c r="H83" i="7"/>
  <c r="H311" i="6"/>
  <c r="H149" i="7"/>
  <c r="H8" i="7"/>
  <c r="H173" i="7"/>
  <c r="H85" i="7"/>
  <c r="H14" i="8"/>
  <c r="H199" i="7"/>
  <c r="H148" i="7"/>
  <c r="H53" i="7"/>
  <c r="H45" i="7"/>
  <c r="H5" i="7"/>
  <c r="H2" i="7"/>
  <c r="H301" i="6"/>
  <c r="H69" i="8"/>
  <c r="H41" i="7"/>
  <c r="H293" i="6"/>
  <c r="H269" i="6"/>
  <c r="H261" i="6"/>
  <c r="H163" i="7"/>
  <c r="H43" i="7"/>
  <c r="H28" i="7"/>
  <c r="H25" i="7"/>
  <c r="H19" i="7"/>
  <c r="H289" i="6"/>
  <c r="H313" i="6"/>
  <c r="H186" i="8"/>
  <c r="H161" i="7"/>
  <c r="H116" i="7"/>
  <c r="H46" i="7"/>
  <c r="H160" i="7"/>
  <c r="H87" i="7"/>
  <c r="H39" i="7"/>
  <c r="H31" i="7"/>
  <c r="H4" i="7"/>
  <c r="H292" i="6"/>
  <c r="H282" i="6"/>
  <c r="H66" i="7"/>
  <c r="H14" i="7"/>
  <c r="H271" i="6"/>
  <c r="H264" i="6"/>
  <c r="H254" i="6"/>
  <c r="H243" i="6"/>
  <c r="H232" i="6"/>
  <c r="H221" i="6"/>
  <c r="H132" i="8"/>
  <c r="H180" i="7"/>
  <c r="H4" i="8"/>
  <c r="H6" i="7"/>
  <c r="H270" i="6"/>
  <c r="H259" i="6"/>
  <c r="H253" i="6"/>
  <c r="H242" i="6"/>
  <c r="H231" i="6"/>
  <c r="H166" i="7"/>
  <c r="H94" i="7"/>
  <c r="H69" i="7"/>
  <c r="H47" i="7"/>
  <c r="H303" i="6"/>
  <c r="H297" i="6"/>
  <c r="H284" i="6"/>
  <c r="H283" i="6"/>
  <c r="H247" i="6"/>
  <c r="H238" i="6"/>
  <c r="H40" i="7"/>
  <c r="H12" i="7"/>
  <c r="H262" i="6"/>
  <c r="H219" i="6"/>
  <c r="H3" i="7"/>
  <c r="H285" i="6"/>
  <c r="H239" i="6"/>
  <c r="H21" i="7"/>
  <c r="H256" i="6"/>
  <c r="H248" i="6"/>
  <c r="H218" i="6"/>
  <c r="H197" i="8"/>
  <c r="H73" i="7"/>
  <c r="H286" i="6"/>
  <c r="H240" i="6"/>
  <c r="H86" i="7"/>
  <c r="H17" i="7"/>
  <c r="H217" i="6"/>
  <c r="H23" i="7"/>
  <c r="H306" i="6"/>
  <c r="H304" i="6"/>
  <c r="H294" i="6"/>
  <c r="H249" i="6"/>
  <c r="H241" i="6"/>
  <c r="H268" i="6"/>
  <c r="H295" i="6"/>
  <c r="H236" i="6"/>
  <c r="H204" i="6"/>
  <c r="H193" i="6"/>
  <c r="H182" i="6"/>
  <c r="H171" i="6"/>
  <c r="H160" i="6"/>
  <c r="H149" i="6"/>
  <c r="H138" i="6"/>
  <c r="H127" i="6"/>
  <c r="H116" i="6"/>
  <c r="H142" i="8"/>
  <c r="H9" i="7"/>
  <c r="H302" i="6"/>
  <c r="H220" i="6"/>
  <c r="H209" i="6"/>
  <c r="H198" i="6"/>
  <c r="H187" i="6"/>
  <c r="H176" i="6"/>
  <c r="H165" i="6"/>
  <c r="H154" i="6"/>
  <c r="H143" i="6"/>
  <c r="H132" i="6"/>
  <c r="H121" i="6"/>
  <c r="H141" i="7"/>
  <c r="H229" i="6"/>
  <c r="H11" i="7"/>
  <c r="H246" i="6"/>
  <c r="H222" i="6"/>
  <c r="H216" i="6"/>
  <c r="H215" i="6"/>
  <c r="H203" i="6"/>
  <c r="H192" i="6"/>
  <c r="H181" i="6"/>
  <c r="H170" i="6"/>
  <c r="H159" i="6"/>
  <c r="H148" i="6"/>
  <c r="H137" i="6"/>
  <c r="H126" i="6"/>
  <c r="H235" i="6"/>
  <c r="H137" i="7"/>
  <c r="H279" i="6"/>
  <c r="H266" i="6"/>
  <c r="H265" i="6"/>
  <c r="H224" i="6"/>
  <c r="H214" i="6"/>
  <c r="H208" i="6"/>
  <c r="H197" i="6"/>
  <c r="H186" i="6"/>
  <c r="H175" i="6"/>
  <c r="H164" i="6"/>
  <c r="H153" i="6"/>
  <c r="H142" i="6"/>
  <c r="H131" i="6"/>
  <c r="H267" i="6"/>
  <c r="H251" i="6"/>
  <c r="H200" i="6"/>
  <c r="H169" i="6"/>
  <c r="H155" i="6"/>
  <c r="H252" i="6"/>
  <c r="H206" i="6"/>
  <c r="H161" i="6"/>
  <c r="H130" i="6"/>
  <c r="H124" i="6"/>
  <c r="H109" i="6"/>
  <c r="H98" i="6"/>
  <c r="H87" i="6"/>
  <c r="H76" i="6"/>
  <c r="H97" i="8"/>
  <c r="H212" i="6"/>
  <c r="H167" i="6"/>
  <c r="H136" i="6"/>
  <c r="H114" i="6"/>
  <c r="H22" i="8"/>
  <c r="H173" i="6"/>
  <c r="H128" i="6"/>
  <c r="H103" i="6"/>
  <c r="H92" i="6"/>
  <c r="H81" i="6"/>
  <c r="H70" i="6"/>
  <c r="H32" i="7"/>
  <c r="H210" i="6"/>
  <c r="H179" i="6"/>
  <c r="H134" i="6"/>
  <c r="H244" i="6"/>
  <c r="H226" i="6"/>
  <c r="H185" i="6"/>
  <c r="H140" i="6"/>
  <c r="H117" i="6"/>
  <c r="H108" i="6"/>
  <c r="H97" i="6"/>
  <c r="H86" i="6"/>
  <c r="H75" i="6"/>
  <c r="H64" i="6"/>
  <c r="H187" i="7"/>
  <c r="H288" i="6"/>
  <c r="H228" i="6"/>
  <c r="H223" i="6"/>
  <c r="H183" i="6"/>
  <c r="H152" i="6"/>
  <c r="H122" i="6"/>
  <c r="H120" i="6"/>
  <c r="H102" i="6"/>
  <c r="H91" i="6"/>
  <c r="H80" i="6"/>
  <c r="H290" i="6"/>
  <c r="H211" i="6"/>
  <c r="H145" i="6"/>
  <c r="H201" i="6"/>
  <c r="H135" i="6"/>
  <c r="H53" i="6"/>
  <c r="H42" i="6"/>
  <c r="H31" i="6"/>
  <c r="H188" i="7"/>
  <c r="H29" i="7"/>
  <c r="H263" i="6"/>
  <c r="H205" i="6"/>
  <c r="H139" i="6"/>
  <c r="H125" i="6"/>
  <c r="H111" i="6"/>
  <c r="H78" i="6"/>
  <c r="H202" i="6"/>
  <c r="H195" i="6"/>
  <c r="H191" i="6"/>
  <c r="H129" i="6"/>
  <c r="H84" i="6"/>
  <c r="H74" i="6"/>
  <c r="H67" i="6"/>
  <c r="H62" i="6"/>
  <c r="H47" i="6"/>
  <c r="H36" i="6"/>
  <c r="H25" i="6"/>
  <c r="H272" i="6"/>
  <c r="H258" i="6"/>
  <c r="H234" i="6"/>
  <c r="H199" i="6"/>
  <c r="H133" i="6"/>
  <c r="H90" i="6"/>
  <c r="H61" i="6"/>
  <c r="H196" i="6"/>
  <c r="H189" i="6"/>
  <c r="H96" i="6"/>
  <c r="H82" i="6"/>
  <c r="H63" i="6"/>
  <c r="H52" i="6"/>
  <c r="H41" i="6"/>
  <c r="H30" i="6"/>
  <c r="H88" i="6"/>
  <c r="H71" i="6"/>
  <c r="H60" i="6"/>
  <c r="H260" i="6"/>
  <c r="H190" i="6"/>
  <c r="H94" i="6"/>
  <c r="H68" i="6"/>
  <c r="H59" i="6"/>
  <c r="H46" i="6"/>
  <c r="H35" i="6"/>
  <c r="H24" i="6"/>
  <c r="H7" i="7"/>
  <c r="H237" i="6"/>
  <c r="H194" i="6"/>
  <c r="H49" i="6"/>
  <c r="H26" i="6"/>
  <c r="H17" i="6"/>
  <c r="H6" i="6"/>
  <c r="H905" i="5"/>
  <c r="H894" i="5"/>
  <c r="H883" i="5"/>
  <c r="H872" i="5"/>
  <c r="H861" i="5"/>
  <c r="H850" i="5"/>
  <c r="H839" i="5"/>
  <c r="H828" i="5"/>
  <c r="H817" i="5"/>
  <c r="H806" i="5"/>
  <c r="H795" i="5"/>
  <c r="H784" i="5"/>
  <c r="H773" i="5"/>
  <c r="H762" i="5"/>
  <c r="H751" i="5"/>
  <c r="H740" i="5"/>
  <c r="H729" i="5"/>
  <c r="H718" i="5"/>
  <c r="H707" i="5"/>
  <c r="H696" i="5"/>
  <c r="H685" i="5"/>
  <c r="H674" i="5"/>
  <c r="H663" i="5"/>
  <c r="H652" i="5"/>
  <c r="H641" i="5"/>
  <c r="H630" i="5"/>
  <c r="H619" i="5"/>
  <c r="H608" i="5"/>
  <c r="H597" i="5"/>
  <c r="H586" i="5"/>
  <c r="H575" i="5"/>
  <c r="H564" i="5"/>
  <c r="H553" i="5"/>
  <c r="H542" i="5"/>
  <c r="H531" i="5"/>
  <c r="H168" i="6"/>
  <c r="H230" i="6"/>
  <c r="H225" i="6"/>
  <c r="H207" i="6"/>
  <c r="H95" i="6"/>
  <c r="H93" i="6"/>
  <c r="H54" i="6"/>
  <c r="H51" i="6"/>
  <c r="H28" i="6"/>
  <c r="H22" i="6"/>
  <c r="H11" i="6"/>
  <c r="H901" i="5"/>
  <c r="H890" i="5"/>
  <c r="H879" i="5"/>
  <c r="H868" i="5"/>
  <c r="H857" i="5"/>
  <c r="H846" i="5"/>
  <c r="H835" i="5"/>
  <c r="H824" i="5"/>
  <c r="H813" i="5"/>
  <c r="H802" i="5"/>
  <c r="H791" i="5"/>
  <c r="H780" i="5"/>
  <c r="H769" i="5"/>
  <c r="H758" i="5"/>
  <c r="H747" i="5"/>
  <c r="H736" i="5"/>
  <c r="H725" i="5"/>
  <c r="H714" i="5"/>
  <c r="H703" i="5"/>
  <c r="H692" i="5"/>
  <c r="H681" i="5"/>
  <c r="H250" i="6"/>
  <c r="H233" i="6"/>
  <c r="H174" i="6"/>
  <c r="H123" i="6"/>
  <c r="H79" i="6"/>
  <c r="H77" i="6"/>
  <c r="H73" i="6"/>
  <c r="H72" i="6"/>
  <c r="H33" i="6"/>
  <c r="H16" i="6"/>
  <c r="H5" i="6"/>
  <c r="H897" i="5"/>
  <c r="H886" i="5"/>
  <c r="H875" i="5"/>
  <c r="H864" i="5"/>
  <c r="H853" i="5"/>
  <c r="H842" i="5"/>
  <c r="H831" i="5"/>
  <c r="H820" i="5"/>
  <c r="H809" i="5"/>
  <c r="H798" i="5"/>
  <c r="H787" i="5"/>
  <c r="H776" i="5"/>
  <c r="H765" i="5"/>
  <c r="H754" i="5"/>
  <c r="H743" i="5"/>
  <c r="H732" i="5"/>
  <c r="H721" i="5"/>
  <c r="H710" i="5"/>
  <c r="H699" i="5"/>
  <c r="H688" i="5"/>
  <c r="H677" i="5"/>
  <c r="H666" i="5"/>
  <c r="H655" i="5"/>
  <c r="H644" i="5"/>
  <c r="H633" i="5"/>
  <c r="H622" i="5"/>
  <c r="H611" i="5"/>
  <c r="H600" i="5"/>
  <c r="H589" i="5"/>
  <c r="H578" i="5"/>
  <c r="H567" i="5"/>
  <c r="H556" i="5"/>
  <c r="H545" i="5"/>
  <c r="H534" i="5"/>
  <c r="H280" i="6"/>
  <c r="H227" i="6"/>
  <c r="H180" i="6"/>
  <c r="H177" i="6"/>
  <c r="H151" i="6"/>
  <c r="H112" i="6"/>
  <c r="H100" i="6"/>
  <c r="H69" i="6"/>
  <c r="H56" i="6"/>
  <c r="H38" i="6"/>
  <c r="H21" i="6"/>
  <c r="H10" i="6"/>
  <c r="H904" i="5"/>
  <c r="H893" i="5"/>
  <c r="H882" i="5"/>
  <c r="H871" i="5"/>
  <c r="H860" i="5"/>
  <c r="H849" i="5"/>
  <c r="H838" i="5"/>
  <c r="H827" i="5"/>
  <c r="H816" i="5"/>
  <c r="H805" i="5"/>
  <c r="H794" i="5"/>
  <c r="H783" i="5"/>
  <c r="H772" i="5"/>
  <c r="H761" i="5"/>
  <c r="H750" i="5"/>
  <c r="H739" i="5"/>
  <c r="H728" i="5"/>
  <c r="H717" i="5"/>
  <c r="H706" i="5"/>
  <c r="H695" i="5"/>
  <c r="H684" i="5"/>
  <c r="H673" i="5"/>
  <c r="H662" i="5"/>
  <c r="H651" i="5"/>
  <c r="H640" i="5"/>
  <c r="H629" i="5"/>
  <c r="H618" i="5"/>
  <c r="H607" i="5"/>
  <c r="H596" i="5"/>
  <c r="H585" i="5"/>
  <c r="H574" i="5"/>
  <c r="H563" i="5"/>
  <c r="H552" i="5"/>
  <c r="H541" i="5"/>
  <c r="H530" i="5"/>
  <c r="H150" i="6"/>
  <c r="H4" i="6"/>
  <c r="H895" i="5"/>
  <c r="H852" i="5"/>
  <c r="H843" i="5"/>
  <c r="H800" i="5"/>
  <c r="H757" i="5"/>
  <c r="H748" i="5"/>
  <c r="H705" i="5"/>
  <c r="H659" i="5"/>
  <c r="H535" i="5"/>
  <c r="H515" i="5"/>
  <c r="H504" i="5"/>
  <c r="H493" i="5"/>
  <c r="H482" i="5"/>
  <c r="H471" i="5"/>
  <c r="H460" i="5"/>
  <c r="H449" i="5"/>
  <c r="H438" i="5"/>
  <c r="H427" i="5"/>
  <c r="H416" i="5"/>
  <c r="H405" i="5"/>
  <c r="H394" i="5"/>
  <c r="H383" i="5"/>
  <c r="H372" i="5"/>
  <c r="H361" i="5"/>
  <c r="H350" i="5"/>
  <c r="H339" i="5"/>
  <c r="H328" i="5"/>
  <c r="H317" i="5"/>
  <c r="H306" i="5"/>
  <c r="H295" i="5"/>
  <c r="H284" i="5"/>
  <c r="H273" i="5"/>
  <c r="H262" i="5"/>
  <c r="H251" i="5"/>
  <c r="H240" i="5"/>
  <c r="H229" i="5"/>
  <c r="H218" i="5"/>
  <c r="H207" i="5"/>
  <c r="H196" i="5"/>
  <c r="H185" i="5"/>
  <c r="H174" i="5"/>
  <c r="H163" i="5"/>
  <c r="H213" i="6"/>
  <c r="H8" i="6"/>
  <c r="H866" i="5"/>
  <c r="H823" i="5"/>
  <c r="H814" i="5"/>
  <c r="H771" i="5"/>
  <c r="H719" i="5"/>
  <c r="H560" i="5"/>
  <c r="H543" i="5"/>
  <c r="H522" i="5"/>
  <c r="H511" i="5"/>
  <c r="H500" i="5"/>
  <c r="H489" i="5"/>
  <c r="H478" i="5"/>
  <c r="H467" i="5"/>
  <c r="H456" i="5"/>
  <c r="H445" i="5"/>
  <c r="H434" i="5"/>
  <c r="H423" i="5"/>
  <c r="H412" i="5"/>
  <c r="H401" i="5"/>
  <c r="H390" i="5"/>
  <c r="H379" i="5"/>
  <c r="H368" i="5"/>
  <c r="H357" i="5"/>
  <c r="H346" i="5"/>
  <c r="H335" i="5"/>
  <c r="H324" i="5"/>
  <c r="H313" i="5"/>
  <c r="H302" i="5"/>
  <c r="H291" i="5"/>
  <c r="H280" i="5"/>
  <c r="H269" i="5"/>
  <c r="H258" i="5"/>
  <c r="H247" i="5"/>
  <c r="H236" i="5"/>
  <c r="H225" i="5"/>
  <c r="H214" i="5"/>
  <c r="H203" i="5"/>
  <c r="H192" i="5"/>
  <c r="H181" i="5"/>
  <c r="H170" i="5"/>
  <c r="H159" i="5"/>
  <c r="H148" i="5"/>
  <c r="H137" i="5"/>
  <c r="H126" i="5"/>
  <c r="H163" i="6"/>
  <c r="H889" i="5"/>
  <c r="H880" i="5"/>
  <c r="H837" i="5"/>
  <c r="H785" i="5"/>
  <c r="H742" i="5"/>
  <c r="H733" i="5"/>
  <c r="H690" i="5"/>
  <c r="H582" i="5"/>
  <c r="H551" i="5"/>
  <c r="H518" i="5"/>
  <c r="H507" i="5"/>
  <c r="H496" i="5"/>
  <c r="H485" i="5"/>
  <c r="H474" i="5"/>
  <c r="H463" i="5"/>
  <c r="H452" i="5"/>
  <c r="H441" i="5"/>
  <c r="H430" i="5"/>
  <c r="H419" i="5"/>
  <c r="H408" i="5"/>
  <c r="H397" i="5"/>
  <c r="H386" i="5"/>
  <c r="H375" i="5"/>
  <c r="H364" i="5"/>
  <c r="H353" i="5"/>
  <c r="H342" i="5"/>
  <c r="H331" i="5"/>
  <c r="H320" i="5"/>
  <c r="H309" i="5"/>
  <c r="H298" i="5"/>
  <c r="H287" i="5"/>
  <c r="H276" i="5"/>
  <c r="H265" i="5"/>
  <c r="H254" i="5"/>
  <c r="H243" i="5"/>
  <c r="H232" i="5"/>
  <c r="H221" i="5"/>
  <c r="H210" i="5"/>
  <c r="H199" i="5"/>
  <c r="H188" i="5"/>
  <c r="H177" i="5"/>
  <c r="H166" i="5"/>
  <c r="H155" i="5"/>
  <c r="H144" i="5"/>
  <c r="H133" i="5"/>
  <c r="H122" i="5"/>
  <c r="H111" i="5"/>
  <c r="H255" i="6"/>
  <c r="H172" i="6"/>
  <c r="H113" i="6"/>
  <c r="H110" i="6"/>
  <c r="H13" i="6"/>
  <c r="H9" i="6"/>
  <c r="H870" i="5"/>
  <c r="H818" i="5"/>
  <c r="H775" i="5"/>
  <c r="H766" i="5"/>
  <c r="H723" i="5"/>
  <c r="H680" i="5"/>
  <c r="H667" i="5"/>
  <c r="H649" i="5"/>
  <c r="H631" i="5"/>
  <c r="H613" i="5"/>
  <c r="H595" i="5"/>
  <c r="H577" i="5"/>
  <c r="H555" i="5"/>
  <c r="H188" i="6"/>
  <c r="H158" i="6"/>
  <c r="H119" i="6"/>
  <c r="H115" i="6"/>
  <c r="H107" i="6"/>
  <c r="H104" i="6"/>
  <c r="H85" i="6"/>
  <c r="H903" i="5"/>
  <c r="H851" i="5"/>
  <c r="H808" i="5"/>
  <c r="H799" i="5"/>
  <c r="H756" i="5"/>
  <c r="H713" i="5"/>
  <c r="H704" i="5"/>
  <c r="H604" i="5"/>
  <c r="H559" i="5"/>
  <c r="H538" i="5"/>
  <c r="H514" i="5"/>
  <c r="H503" i="5"/>
  <c r="H492" i="5"/>
  <c r="H481" i="5"/>
  <c r="H470" i="5"/>
  <c r="H459" i="5"/>
  <c r="H448" i="5"/>
  <c r="H437" i="5"/>
  <c r="H426" i="5"/>
  <c r="H415" i="5"/>
  <c r="H404" i="5"/>
  <c r="H393" i="5"/>
  <c r="H382" i="5"/>
  <c r="H371" i="5"/>
  <c r="H360" i="5"/>
  <c r="H349" i="5"/>
  <c r="H338" i="5"/>
  <c r="H327" i="5"/>
  <c r="H316" i="5"/>
  <c r="H305" i="5"/>
  <c r="H294" i="5"/>
  <c r="H283" i="5"/>
  <c r="H272" i="5"/>
  <c r="H261" i="5"/>
  <c r="H250" i="5"/>
  <c r="H239" i="5"/>
  <c r="H228" i="5"/>
  <c r="H217" i="5"/>
  <c r="H206" i="5"/>
  <c r="H195" i="5"/>
  <c r="H184" i="5"/>
  <c r="H173" i="5"/>
  <c r="H162" i="5"/>
  <c r="H151" i="5"/>
  <c r="H140" i="5"/>
  <c r="H129" i="5"/>
  <c r="H118" i="5"/>
  <c r="H107" i="5"/>
  <c r="H147" i="6"/>
  <c r="H101" i="6"/>
  <c r="H65" i="6"/>
  <c r="H884" i="5"/>
  <c r="H841" i="5"/>
  <c r="H832" i="5"/>
  <c r="H789" i="5"/>
  <c r="H746" i="5"/>
  <c r="H737" i="5"/>
  <c r="H694" i="5"/>
  <c r="H671" i="5"/>
  <c r="H653" i="5"/>
  <c r="H635" i="5"/>
  <c r="H617" i="5"/>
  <c r="H599" i="5"/>
  <c r="H581" i="5"/>
  <c r="H568" i="5"/>
  <c r="H525" i="5"/>
  <c r="H873" i="5"/>
  <c r="H821" i="5"/>
  <c r="H801" i="5"/>
  <c r="H749" i="5"/>
  <c r="H697" i="5"/>
  <c r="H520" i="5"/>
  <c r="H505" i="5"/>
  <c r="H490" i="5"/>
  <c r="H475" i="5"/>
  <c r="H444" i="5"/>
  <c r="H429" i="5"/>
  <c r="H414" i="5"/>
  <c r="H399" i="5"/>
  <c r="H384" i="5"/>
  <c r="H369" i="5"/>
  <c r="H354" i="5"/>
  <c r="H323" i="5"/>
  <c r="H308" i="5"/>
  <c r="H293" i="5"/>
  <c r="H278" i="5"/>
  <c r="H263" i="5"/>
  <c r="H248" i="5"/>
  <c r="H233" i="5"/>
  <c r="H179" i="5"/>
  <c r="H96" i="5"/>
  <c r="H85" i="5"/>
  <c r="H74" i="5"/>
  <c r="H63" i="5"/>
  <c r="H52" i="5"/>
  <c r="H41" i="5"/>
  <c r="H30" i="5"/>
  <c r="H19" i="5"/>
  <c r="H8" i="5"/>
  <c r="H825" i="5"/>
  <c r="H701" i="5"/>
  <c r="H632" i="5"/>
  <c r="H576" i="5"/>
  <c r="H546" i="5"/>
  <c r="H83" i="6"/>
  <c r="H23" i="6"/>
  <c r="H899" i="5"/>
  <c r="H892" i="5"/>
  <c r="H847" i="5"/>
  <c r="H840" i="5"/>
  <c r="H788" i="5"/>
  <c r="H768" i="5"/>
  <c r="H716" i="5"/>
  <c r="H634" i="5"/>
  <c r="H628" i="5"/>
  <c r="H621" i="5"/>
  <c r="H591" i="5"/>
  <c r="H579" i="5"/>
  <c r="H572" i="5"/>
  <c r="H566" i="5"/>
  <c r="H554" i="5"/>
  <c r="H169" i="5"/>
  <c r="H160" i="5"/>
  <c r="H146" i="5"/>
  <c r="H128" i="5"/>
  <c r="H115" i="5"/>
  <c r="H99" i="6"/>
  <c r="H89" i="6"/>
  <c r="H7" i="6"/>
  <c r="H859" i="5"/>
  <c r="H807" i="5"/>
  <c r="H755" i="5"/>
  <c r="H735" i="5"/>
  <c r="H683" i="5"/>
  <c r="H499" i="5"/>
  <c r="H484" i="5"/>
  <c r="H469" i="5"/>
  <c r="H454" i="5"/>
  <c r="H439" i="5"/>
  <c r="H424" i="5"/>
  <c r="H409" i="5"/>
  <c r="H378" i="5"/>
  <c r="H363" i="5"/>
  <c r="H348" i="5"/>
  <c r="H333" i="5"/>
  <c r="H318" i="5"/>
  <c r="H303" i="5"/>
  <c r="H288" i="5"/>
  <c r="H257" i="5"/>
  <c r="H242" i="5"/>
  <c r="H227" i="5"/>
  <c r="H212" i="5"/>
  <c r="H202" i="5"/>
  <c r="H193" i="5"/>
  <c r="H103" i="5"/>
  <c r="H92" i="5"/>
  <c r="H81" i="5"/>
  <c r="H70" i="5"/>
  <c r="H59" i="5"/>
  <c r="H48" i="5"/>
  <c r="H37" i="5"/>
  <c r="H26" i="5"/>
  <c r="H15" i="5"/>
  <c r="H4" i="5"/>
  <c r="H898" i="5"/>
  <c r="H826" i="5"/>
  <c r="H774" i="5"/>
  <c r="H709" i="5"/>
  <c r="H658" i="5"/>
  <c r="H646" i="5"/>
  <c r="H639" i="5"/>
  <c r="H609" i="5"/>
  <c r="H590" i="5"/>
  <c r="H105" i="6"/>
  <c r="H57" i="6"/>
  <c r="H50" i="6"/>
  <c r="H27" i="6"/>
  <c r="H878" i="5"/>
  <c r="H722" i="5"/>
  <c r="H702" i="5"/>
  <c r="H584" i="5"/>
  <c r="H548" i="5"/>
  <c r="H183" i="5"/>
  <c r="H150" i="5"/>
  <c r="H132" i="5"/>
  <c r="H119" i="5"/>
  <c r="H25" i="5"/>
  <c r="H753" i="5"/>
  <c r="H625" i="5"/>
  <c r="H583" i="5"/>
  <c r="H570" i="5"/>
  <c r="H149" i="5"/>
  <c r="H166" i="6"/>
  <c r="H885" i="5"/>
  <c r="H865" i="5"/>
  <c r="H845" i="5"/>
  <c r="H833" i="5"/>
  <c r="H793" i="5"/>
  <c r="H781" i="5"/>
  <c r="H741" i="5"/>
  <c r="H689" i="5"/>
  <c r="H670" i="5"/>
  <c r="H615" i="5"/>
  <c r="H536" i="5"/>
  <c r="H509" i="5"/>
  <c r="H494" i="5"/>
  <c r="H479" i="5"/>
  <c r="H464" i="5"/>
  <c r="H433" i="5"/>
  <c r="H418" i="5"/>
  <c r="H403" i="5"/>
  <c r="H388" i="5"/>
  <c r="H373" i="5"/>
  <c r="H358" i="5"/>
  <c r="H343" i="5"/>
  <c r="H312" i="5"/>
  <c r="H297" i="5"/>
  <c r="H282" i="5"/>
  <c r="H267" i="5"/>
  <c r="H252" i="5"/>
  <c r="H237" i="5"/>
  <c r="H222" i="5"/>
  <c r="H164" i="5"/>
  <c r="H99" i="5"/>
  <c r="H88" i="5"/>
  <c r="H77" i="5"/>
  <c r="H66" i="5"/>
  <c r="H55" i="5"/>
  <c r="H44" i="5"/>
  <c r="H33" i="5"/>
  <c r="H22" i="5"/>
  <c r="H11" i="5"/>
  <c r="H858" i="5"/>
  <c r="H786" i="5"/>
  <c r="H392" i="5"/>
  <c r="H347" i="5"/>
  <c r="H301" i="5"/>
  <c r="H271" i="5"/>
  <c r="H211" i="5"/>
  <c r="H102" i="5"/>
  <c r="H36" i="5"/>
  <c r="H3" i="5"/>
  <c r="H182" i="5"/>
  <c r="H12" i="6"/>
  <c r="H812" i="5"/>
  <c r="H760" i="5"/>
  <c r="H708" i="5"/>
  <c r="H676" i="5"/>
  <c r="H664" i="5"/>
  <c r="H657" i="5"/>
  <c r="H627" i="5"/>
  <c r="H602" i="5"/>
  <c r="H524" i="5"/>
  <c r="H197" i="5"/>
  <c r="H154" i="5"/>
  <c r="H141" i="5"/>
  <c r="H136" i="5"/>
  <c r="H123" i="5"/>
  <c r="H114" i="5"/>
  <c r="H110" i="5"/>
  <c r="H682" i="5"/>
  <c r="H513" i="5"/>
  <c r="H468" i="5"/>
  <c r="H422" i="5"/>
  <c r="H377" i="5"/>
  <c r="H332" i="5"/>
  <c r="H286" i="5"/>
  <c r="H256" i="5"/>
  <c r="H241" i="5"/>
  <c r="H80" i="5"/>
  <c r="H69" i="5"/>
  <c r="H14" i="5"/>
  <c r="H40" i="6"/>
  <c r="H191" i="5"/>
  <c r="H131" i="5"/>
  <c r="H118" i="6"/>
  <c r="H779" i="5"/>
  <c r="H727" i="5"/>
  <c r="H626" i="5"/>
  <c r="H571" i="5"/>
  <c r="H529" i="5"/>
  <c r="H519" i="5"/>
  <c r="H488" i="5"/>
  <c r="H473" i="5"/>
  <c r="H458" i="5"/>
  <c r="H443" i="5"/>
  <c r="H428" i="5"/>
  <c r="H413" i="5"/>
  <c r="H398" i="5"/>
  <c r="H367" i="5"/>
  <c r="H352" i="5"/>
  <c r="H337" i="5"/>
  <c r="H322" i="5"/>
  <c r="H307" i="5"/>
  <c r="H292" i="5"/>
  <c r="H277" i="5"/>
  <c r="H246" i="5"/>
  <c r="H231" i="5"/>
  <c r="H216" i="5"/>
  <c r="H187" i="5"/>
  <c r="H178" i="5"/>
  <c r="H106" i="5"/>
  <c r="H95" i="5"/>
  <c r="H84" i="5"/>
  <c r="H73" i="5"/>
  <c r="H62" i="5"/>
  <c r="H51" i="5"/>
  <c r="H40" i="5"/>
  <c r="H29" i="5"/>
  <c r="H18" i="5"/>
  <c r="H7" i="5"/>
  <c r="H734" i="5"/>
  <c r="H558" i="5"/>
  <c r="H498" i="5"/>
  <c r="H483" i="5"/>
  <c r="H453" i="5"/>
  <c r="H407" i="5"/>
  <c r="H362" i="5"/>
  <c r="H226" i="5"/>
  <c r="H201" i="5"/>
  <c r="H158" i="5"/>
  <c r="H91" i="5"/>
  <c r="H58" i="5"/>
  <c r="H47" i="5"/>
  <c r="H877" i="5"/>
  <c r="H638" i="5"/>
  <c r="H157" i="6"/>
  <c r="H66" i="6"/>
  <c r="H58" i="6"/>
  <c r="H43" i="6"/>
  <c r="H39" i="6"/>
  <c r="H891" i="5"/>
  <c r="H819" i="5"/>
  <c r="H767" i="5"/>
  <c r="H715" i="5"/>
  <c r="H675" i="5"/>
  <c r="H669" i="5"/>
  <c r="H645" i="5"/>
  <c r="H620" i="5"/>
  <c r="H614" i="5"/>
  <c r="H565" i="5"/>
  <c r="H547" i="5"/>
  <c r="H168" i="5"/>
  <c r="H145" i="5"/>
  <c r="H127" i="5"/>
  <c r="H35" i="7"/>
  <c r="H869" i="5"/>
  <c r="H797" i="5"/>
  <c r="H643" i="5"/>
  <c r="H139" i="5"/>
  <c r="H124" i="5"/>
  <c r="H108" i="5"/>
  <c r="H594" i="5"/>
  <c r="H32" i="6"/>
  <c r="H528" i="5"/>
  <c r="H462" i="5"/>
  <c r="H334" i="5"/>
  <c r="H38" i="5"/>
  <c r="H10" i="5"/>
  <c r="H782" i="5"/>
  <c r="H135" i="5"/>
  <c r="H48" i="6"/>
  <c r="H539" i="5"/>
  <c r="H508" i="5"/>
  <c r="H341" i="5"/>
  <c r="H900" i="5"/>
  <c r="H731" i="5"/>
  <c r="H561" i="5"/>
  <c r="H204" i="5"/>
  <c r="H230" i="5"/>
  <c r="H104" i="5"/>
  <c r="H162" i="6"/>
  <c r="H44" i="6"/>
  <c r="H15" i="6"/>
  <c r="H844" i="5"/>
  <c r="H763" i="5"/>
  <c r="H738" i="5"/>
  <c r="H691" i="5"/>
  <c r="H623" i="5"/>
  <c r="H544" i="5"/>
  <c r="H495" i="5"/>
  <c r="H486" i="5"/>
  <c r="H476" i="5"/>
  <c r="H466" i="5"/>
  <c r="H457" i="5"/>
  <c r="H447" i="5"/>
  <c r="H329" i="5"/>
  <c r="H319" i="5"/>
  <c r="H310" i="5"/>
  <c r="H300" i="5"/>
  <c r="H290" i="5"/>
  <c r="H281" i="5"/>
  <c r="H172" i="5"/>
  <c r="H165" i="5"/>
  <c r="H34" i="5"/>
  <c r="H27" i="5"/>
  <c r="H20" i="5"/>
  <c r="H13" i="5"/>
  <c r="H6" i="5"/>
  <c r="H417" i="5"/>
  <c r="H105" i="5"/>
  <c r="H24" i="5"/>
  <c r="H143" i="5"/>
  <c r="H778" i="5"/>
  <c r="H593" i="5"/>
  <c r="H435" i="5"/>
  <c r="H396" i="5"/>
  <c r="H387" i="5"/>
  <c r="H268" i="5"/>
  <c r="H249" i="5"/>
  <c r="H220" i="5"/>
  <c r="H97" i="5"/>
  <c r="H83" i="5"/>
  <c r="H111" i="7"/>
  <c r="H2" i="6"/>
  <c r="H856" i="5"/>
  <c r="H834" i="5"/>
  <c r="H810" i="5"/>
  <c r="H190" i="5"/>
  <c r="H147" i="5"/>
  <c r="H698" i="5"/>
  <c r="H510" i="5"/>
  <c r="H112" i="5"/>
  <c r="H14" i="6"/>
  <c r="H881" i="5"/>
  <c r="H712" i="5"/>
  <c r="H587" i="5"/>
  <c r="H521" i="5"/>
  <c r="H512" i="5"/>
  <c r="H502" i="5"/>
  <c r="H374" i="5"/>
  <c r="H365" i="5"/>
  <c r="H355" i="5"/>
  <c r="H345" i="5"/>
  <c r="H336" i="5"/>
  <c r="H326" i="5"/>
  <c r="H208" i="5"/>
  <c r="H156" i="5"/>
  <c r="H67" i="5"/>
  <c r="H60" i="5"/>
  <c r="H53" i="5"/>
  <c r="H46" i="5"/>
  <c r="H39" i="5"/>
  <c r="H32" i="5"/>
  <c r="H446" i="5"/>
  <c r="H189" i="5"/>
  <c r="H315" i="5"/>
  <c r="H17" i="5"/>
  <c r="H120" i="5"/>
  <c r="H110" i="7"/>
  <c r="H3" i="6"/>
  <c r="H855" i="5"/>
  <c r="H759" i="5"/>
  <c r="H700" i="5"/>
  <c r="H687" i="5"/>
  <c r="H678" i="5"/>
  <c r="H610" i="5"/>
  <c r="H598" i="5"/>
  <c r="H532" i="5"/>
  <c r="H130" i="5"/>
  <c r="H121" i="5"/>
  <c r="H113" i="5"/>
  <c r="H770" i="5"/>
  <c r="H606" i="5"/>
  <c r="H45" i="5"/>
  <c r="H863" i="5"/>
  <c r="H803" i="5"/>
  <c r="H152" i="5"/>
  <c r="H874" i="5"/>
  <c r="H605" i="5"/>
  <c r="H425" i="5"/>
  <c r="H406" i="5"/>
  <c r="H259" i="5"/>
  <c r="H76" i="5"/>
  <c r="H273" i="6"/>
  <c r="H902" i="5"/>
  <c r="H830" i="5"/>
  <c r="H654" i="5"/>
  <c r="H420" i="5"/>
  <c r="H410" i="5"/>
  <c r="H400" i="5"/>
  <c r="H391" i="5"/>
  <c r="H381" i="5"/>
  <c r="H253" i="5"/>
  <c r="H244" i="5"/>
  <c r="H234" i="5"/>
  <c r="H224" i="5"/>
  <c r="H215" i="5"/>
  <c r="H180" i="5"/>
  <c r="H100" i="5"/>
  <c r="H93" i="5"/>
  <c r="H86" i="5"/>
  <c r="H79" i="5"/>
  <c r="H72" i="5"/>
  <c r="H65" i="5"/>
  <c r="H141" i="6"/>
  <c r="H455" i="5"/>
  <c r="H436" i="5"/>
  <c r="H289" i="5"/>
  <c r="H270" i="5"/>
  <c r="H260" i="5"/>
  <c r="H171" i="5"/>
  <c r="H12" i="5"/>
  <c r="H5" i="5"/>
  <c r="H745" i="5"/>
  <c r="H20" i="6"/>
  <c r="H888" i="5"/>
  <c r="H792" i="5"/>
  <c r="H720" i="5"/>
  <c r="H711" i="5"/>
  <c r="H686" i="5"/>
  <c r="H550" i="5"/>
  <c r="H501" i="5"/>
  <c r="H491" i="5"/>
  <c r="H472" i="5"/>
  <c r="H344" i="5"/>
  <c r="H325" i="5"/>
  <c r="H31" i="5"/>
  <c r="H146" i="6"/>
  <c r="H370" i="5"/>
  <c r="H186" i="5"/>
  <c r="H78" i="5"/>
  <c r="H57" i="5"/>
  <c r="H18" i="6"/>
  <c r="H796" i="5"/>
  <c r="H724" i="5"/>
  <c r="H665" i="5"/>
  <c r="H642" i="5"/>
  <c r="H562" i="5"/>
  <c r="H540" i="5"/>
  <c r="H205" i="5"/>
  <c r="H198" i="5"/>
  <c r="H153" i="5"/>
  <c r="H138" i="5"/>
  <c r="H178" i="6"/>
  <c r="H867" i="5"/>
  <c r="H465" i="5"/>
  <c r="H299" i="5"/>
  <c r="H279" i="5"/>
  <c r="H98" i="5"/>
  <c r="H19" i="6"/>
  <c r="H296" i="5"/>
  <c r="H854" i="5"/>
  <c r="H804" i="5"/>
  <c r="H661" i="5"/>
  <c r="H650" i="5"/>
  <c r="H573" i="5"/>
  <c r="H161" i="5"/>
  <c r="H876" i="5"/>
  <c r="H829" i="5"/>
  <c r="H517" i="5"/>
  <c r="H71" i="5"/>
  <c r="H50" i="5"/>
  <c r="H389" i="5"/>
  <c r="H351" i="5"/>
  <c r="H223" i="5"/>
  <c r="H43" i="5"/>
  <c r="H90" i="5"/>
  <c r="H744" i="5"/>
  <c r="H616" i="5"/>
  <c r="H549" i="5"/>
  <c r="H527" i="5"/>
  <c r="H184" i="6"/>
  <c r="H380" i="5"/>
  <c r="H213" i="5"/>
  <c r="H64" i="5"/>
  <c r="H29" i="6"/>
  <c r="H45" i="6"/>
  <c r="H176" i="5"/>
  <c r="H117" i="5"/>
  <c r="H144" i="6"/>
  <c r="H887" i="5"/>
  <c r="H592" i="5"/>
  <c r="H557" i="5"/>
  <c r="H440" i="5"/>
  <c r="H235" i="5"/>
  <c r="H219" i="5"/>
  <c r="H134" i="5"/>
  <c r="H811" i="5"/>
  <c r="H777" i="5"/>
  <c r="H523" i="5"/>
  <c r="H432" i="5"/>
  <c r="H264" i="5"/>
  <c r="H569" i="5"/>
  <c r="H679" i="5"/>
  <c r="H660" i="5"/>
  <c r="H461" i="5"/>
  <c r="H101" i="5"/>
  <c r="H35" i="5"/>
  <c r="H116" i="5"/>
  <c r="H156" i="6"/>
  <c r="H612" i="5"/>
  <c r="H275" i="5"/>
  <c r="H49" i="5"/>
  <c r="H109" i="5"/>
  <c r="H330" i="5"/>
  <c r="H636" i="5"/>
  <c r="H356" i="5"/>
  <c r="H266" i="5"/>
  <c r="H157" i="5"/>
  <c r="H385" i="5"/>
  <c r="H37" i="6"/>
  <c r="H668" i="5"/>
  <c r="H16" i="5"/>
  <c r="H693" i="5"/>
  <c r="H624" i="5"/>
  <c r="H376" i="5"/>
  <c r="H285" i="5"/>
  <c r="H56" i="5"/>
  <c r="H480" i="5"/>
  <c r="H647" i="5"/>
  <c r="H537" i="5"/>
  <c r="H89" i="5"/>
  <c r="H23" i="5"/>
  <c r="H848" i="5"/>
  <c r="H588" i="5"/>
  <c r="H314" i="5"/>
  <c r="H175" i="5"/>
  <c r="H726" i="5"/>
  <c r="H451" i="5"/>
  <c r="H94" i="5"/>
  <c r="H28" i="5"/>
  <c r="H366" i="5"/>
  <c r="H395" i="5"/>
  <c r="H304" i="5"/>
  <c r="H68" i="5"/>
  <c r="H752" i="5"/>
  <c r="H637" i="5"/>
  <c r="H450" i="5"/>
  <c r="H2" i="5"/>
  <c r="H672" i="5"/>
  <c r="H21" i="5"/>
  <c r="H601" i="5"/>
  <c r="H533" i="5"/>
  <c r="H42" i="5"/>
  <c r="H822" i="5"/>
  <c r="H209" i="5"/>
  <c r="H278" i="6"/>
  <c r="H526" i="5"/>
  <c r="H411" i="5"/>
  <c r="H321" i="5"/>
  <c r="H82" i="5"/>
  <c r="H106" i="6"/>
  <c r="H487" i="5"/>
  <c r="H54" i="5"/>
  <c r="H648" i="5"/>
  <c r="H790" i="5"/>
  <c r="H477" i="5"/>
  <c r="H34" i="6"/>
  <c r="H764" i="5"/>
  <c r="H730" i="5"/>
  <c r="H656" i="5"/>
  <c r="H516" i="5"/>
  <c r="H402" i="5"/>
  <c r="H311" i="5"/>
  <c r="H200" i="5"/>
  <c r="H75" i="5"/>
  <c r="H9" i="5"/>
  <c r="H836" i="5"/>
  <c r="H421" i="5"/>
  <c r="H274" i="5"/>
  <c r="H87" i="5"/>
  <c r="H815" i="5"/>
  <c r="H580" i="5"/>
  <c r="H431" i="5"/>
  <c r="H340" i="5"/>
  <c r="H194" i="5"/>
  <c r="H167" i="5"/>
  <c r="H255" i="5"/>
  <c r="H142" i="5"/>
  <c r="H506" i="5"/>
  <c r="H442" i="5"/>
  <c r="H55" i="6"/>
  <c r="H497" i="5"/>
  <c r="H238" i="5"/>
  <c r="H125" i="5"/>
  <c r="H61" i="5"/>
  <c r="H862" i="5"/>
  <c r="H359" i="5"/>
  <c r="H896" i="5"/>
  <c r="H603" i="5"/>
  <c r="H245" i="5"/>
  <c r="H245" i="6"/>
  <c r="F185" i="8"/>
  <c r="F163" i="8"/>
  <c r="F141" i="8"/>
  <c r="F119" i="8"/>
  <c r="F187" i="8"/>
  <c r="F164" i="8"/>
  <c r="F127" i="8"/>
  <c r="F104" i="8"/>
  <c r="F89" i="8"/>
  <c r="F81" i="8"/>
  <c r="F70" i="8"/>
  <c r="F59" i="8"/>
  <c r="F49" i="8"/>
  <c r="F38" i="8"/>
  <c r="F175" i="8"/>
  <c r="F151" i="8"/>
  <c r="F117" i="8"/>
  <c r="F93" i="8"/>
  <c r="F90" i="8"/>
  <c r="F62" i="8"/>
  <c r="F3" i="8"/>
  <c r="F197" i="7"/>
  <c r="F175" i="7"/>
  <c r="F153" i="7"/>
  <c r="F131" i="7"/>
  <c r="F109" i="7"/>
  <c r="F173" i="8"/>
  <c r="F168" i="8"/>
  <c r="F77" i="8"/>
  <c r="F198" i="8"/>
  <c r="F190" i="8"/>
  <c r="F174" i="8"/>
  <c r="F158" i="8"/>
  <c r="F137" i="8"/>
  <c r="F126" i="8"/>
  <c r="F105" i="8"/>
  <c r="F75" i="8"/>
  <c r="F200" i="8"/>
  <c r="F194" i="8"/>
  <c r="F178" i="8"/>
  <c r="F162" i="8"/>
  <c r="F125" i="8"/>
  <c r="F87" i="8"/>
  <c r="F83" i="8"/>
  <c r="F183" i="8"/>
  <c r="F167" i="8"/>
  <c r="F146" i="8"/>
  <c r="F130" i="8"/>
  <c r="F109" i="8"/>
  <c r="F85" i="8"/>
  <c r="F181" i="8"/>
  <c r="F169" i="8"/>
  <c r="F150" i="8"/>
  <c r="F144" i="8"/>
  <c r="F132" i="8"/>
  <c r="F107" i="8"/>
  <c r="F95" i="8"/>
  <c r="F73" i="8"/>
  <c r="F161" i="8"/>
  <c r="F155" i="8"/>
  <c r="F143" i="8"/>
  <c r="F106" i="8"/>
  <c r="F91" i="8"/>
  <c r="F65" i="8"/>
  <c r="F94" i="8"/>
  <c r="F45" i="8"/>
  <c r="F40" i="8"/>
  <c r="F22" i="8"/>
  <c r="F199" i="8"/>
  <c r="F192" i="8"/>
  <c r="F165" i="8"/>
  <c r="F131" i="8"/>
  <c r="F111" i="8"/>
  <c r="F84" i="8"/>
  <c r="F33" i="8"/>
  <c r="F193" i="8"/>
  <c r="F186" i="8"/>
  <c r="F156" i="8"/>
  <c r="F134" i="8"/>
  <c r="F166" i="8"/>
  <c r="F55" i="8"/>
  <c r="F53" i="8"/>
  <c r="F31" i="8"/>
  <c r="F174" i="7"/>
  <c r="F151" i="7"/>
  <c r="F128" i="7"/>
  <c r="F105" i="7"/>
  <c r="F92" i="7"/>
  <c r="F77" i="7"/>
  <c r="F58" i="7"/>
  <c r="F44" i="7"/>
  <c r="F33" i="7"/>
  <c r="F197" i="8"/>
  <c r="F189" i="8"/>
  <c r="F172" i="8"/>
  <c r="F148" i="8"/>
  <c r="F67" i="8"/>
  <c r="F48" i="8"/>
  <c r="F27" i="8"/>
  <c r="F196" i="7"/>
  <c r="F173" i="7"/>
  <c r="F150" i="7"/>
  <c r="F127" i="7"/>
  <c r="F113" i="7"/>
  <c r="F74" i="7"/>
  <c r="F123" i="8"/>
  <c r="F79" i="8"/>
  <c r="F76" i="8"/>
  <c r="F69" i="8"/>
  <c r="F28" i="8"/>
  <c r="F7" i="8"/>
  <c r="F182" i="7"/>
  <c r="F177" i="7"/>
  <c r="F172" i="7"/>
  <c r="F167" i="7"/>
  <c r="F162" i="7"/>
  <c r="F93" i="7"/>
  <c r="F67" i="7"/>
  <c r="F11" i="7"/>
  <c r="F184" i="8"/>
  <c r="F139" i="8"/>
  <c r="F112" i="8"/>
  <c r="F103" i="8"/>
  <c r="F5" i="8"/>
  <c r="F191" i="7"/>
  <c r="F186" i="7"/>
  <c r="F181" i="7"/>
  <c r="F176" i="7"/>
  <c r="F171" i="7"/>
  <c r="F84" i="7"/>
  <c r="F65" i="7"/>
  <c r="F101" i="8"/>
  <c r="F68" i="8"/>
  <c r="F182" i="8"/>
  <c r="F153" i="8"/>
  <c r="F113" i="8"/>
  <c r="F96" i="8"/>
  <c r="F17" i="8"/>
  <c r="F12" i="8"/>
  <c r="F200" i="7"/>
  <c r="F178" i="7"/>
  <c r="F122" i="7"/>
  <c r="F111" i="7"/>
  <c r="F101" i="7"/>
  <c r="F85" i="7"/>
  <c r="F78" i="7"/>
  <c r="F69" i="7"/>
  <c r="F62" i="7"/>
  <c r="F180" i="8"/>
  <c r="F170" i="8"/>
  <c r="F140" i="8"/>
  <c r="F97" i="8"/>
  <c r="F199" i="7"/>
  <c r="F188" i="7"/>
  <c r="F104" i="7"/>
  <c r="F89" i="7"/>
  <c r="F73" i="7"/>
  <c r="F66" i="7"/>
  <c r="F25" i="7"/>
  <c r="F2" i="7"/>
  <c r="F303" i="6"/>
  <c r="F292" i="6"/>
  <c r="F281" i="6"/>
  <c r="F270" i="6"/>
  <c r="F262" i="6"/>
  <c r="F171" i="8"/>
  <c r="F54" i="8"/>
  <c r="F99" i="7"/>
  <c r="F195" i="8"/>
  <c r="F160" i="8"/>
  <c r="F115" i="8"/>
  <c r="F102" i="8"/>
  <c r="F92" i="8"/>
  <c r="F82" i="8"/>
  <c r="F71" i="8"/>
  <c r="F4" i="8"/>
  <c r="F191" i="8"/>
  <c r="F157" i="8"/>
  <c r="F86" i="8"/>
  <c r="F201" i="8"/>
  <c r="F147" i="8"/>
  <c r="F108" i="8"/>
  <c r="F32" i="8"/>
  <c r="F15" i="8"/>
  <c r="F190" i="7"/>
  <c r="F184" i="7"/>
  <c r="F158" i="7"/>
  <c r="F132" i="7"/>
  <c r="F64" i="7"/>
  <c r="F37" i="7"/>
  <c r="F17" i="7"/>
  <c r="F3" i="7"/>
  <c r="F64" i="8"/>
  <c r="F47" i="8"/>
  <c r="F164" i="7"/>
  <c r="F125" i="7"/>
  <c r="F119" i="7"/>
  <c r="F43" i="8"/>
  <c r="F156" i="7"/>
  <c r="F135" i="8"/>
  <c r="F19" i="8"/>
  <c r="F14" i="8"/>
  <c r="F140" i="7"/>
  <c r="F110" i="7"/>
  <c r="F90" i="7"/>
  <c r="F70" i="7"/>
  <c r="F34" i="7"/>
  <c r="F5" i="7"/>
  <c r="F312" i="6"/>
  <c r="F294" i="6"/>
  <c r="F271" i="6"/>
  <c r="F268" i="6"/>
  <c r="F179" i="8"/>
  <c r="F13" i="8"/>
  <c r="F169" i="7"/>
  <c r="F154" i="7"/>
  <c r="F117" i="7"/>
  <c r="F52" i="7"/>
  <c r="F48" i="7"/>
  <c r="F41" i="7"/>
  <c r="F21" i="7"/>
  <c r="F305" i="6"/>
  <c r="F297" i="6"/>
  <c r="F145" i="8"/>
  <c r="F116" i="8"/>
  <c r="F98" i="8"/>
  <c r="F160" i="7"/>
  <c r="F130" i="7"/>
  <c r="F123" i="7"/>
  <c r="F176" i="8"/>
  <c r="F46" i="8"/>
  <c r="F41" i="8"/>
  <c r="F179" i="7"/>
  <c r="F170" i="7"/>
  <c r="F161" i="7"/>
  <c r="F135" i="7"/>
  <c r="F49" i="7"/>
  <c r="F122" i="8"/>
  <c r="F61" i="8"/>
  <c r="F58" i="8"/>
  <c r="F11" i="8"/>
  <c r="F121" i="8"/>
  <c r="F80" i="8"/>
  <c r="F42" i="8"/>
  <c r="F138" i="8"/>
  <c r="F120" i="8"/>
  <c r="F74" i="8"/>
  <c r="F21" i="8"/>
  <c r="F136" i="8"/>
  <c r="F72" i="8"/>
  <c r="F52" i="8"/>
  <c r="F37" i="8"/>
  <c r="F25" i="8"/>
  <c r="F24" i="8"/>
  <c r="F16" i="8"/>
  <c r="F142" i="7"/>
  <c r="F94" i="7"/>
  <c r="F63" i="7"/>
  <c r="F51" i="7"/>
  <c r="F154" i="8"/>
  <c r="F185" i="7"/>
  <c r="F165" i="7"/>
  <c r="F155" i="7"/>
  <c r="F145" i="7"/>
  <c r="F54" i="7"/>
  <c r="F129" i="8"/>
  <c r="F100" i="8"/>
  <c r="F194" i="7"/>
  <c r="F144" i="7"/>
  <c r="F124" i="7"/>
  <c r="F114" i="7"/>
  <c r="F96" i="7"/>
  <c r="F177" i="8"/>
  <c r="F9" i="8"/>
  <c r="F66" i="8"/>
  <c r="F152" i="8"/>
  <c r="F88" i="8"/>
  <c r="F193" i="7"/>
  <c r="F149" i="8"/>
  <c r="F44" i="8"/>
  <c r="F39" i="8"/>
  <c r="F6" i="8"/>
  <c r="F2" i="8"/>
  <c r="F192" i="7"/>
  <c r="F124" i="8"/>
  <c r="F159" i="7"/>
  <c r="F134" i="7"/>
  <c r="F87" i="7"/>
  <c r="F23" i="8"/>
  <c r="F147" i="7"/>
  <c r="F133" i="7"/>
  <c r="F120" i="7"/>
  <c r="F118" i="8"/>
  <c r="F10" i="8"/>
  <c r="F198" i="7"/>
  <c r="F107" i="7"/>
  <c r="F26" i="8"/>
  <c r="F183" i="7"/>
  <c r="F80" i="7"/>
  <c r="F146" i="7"/>
  <c r="F106" i="7"/>
  <c r="F59" i="7"/>
  <c r="F114" i="8"/>
  <c r="F56" i="8"/>
  <c r="F18" i="8"/>
  <c r="F118" i="7"/>
  <c r="F91" i="7"/>
  <c r="F76" i="7"/>
  <c r="F36" i="8"/>
  <c r="F98" i="7"/>
  <c r="F86" i="7"/>
  <c r="F60" i="7"/>
  <c r="F43" i="7"/>
  <c r="F30" i="7"/>
  <c r="F63" i="8"/>
  <c r="F157" i="7"/>
  <c r="F103" i="7"/>
  <c r="F51" i="8"/>
  <c r="F139" i="7"/>
  <c r="F102" i="7"/>
  <c r="F38" i="7"/>
  <c r="F79" i="7"/>
  <c r="F56" i="7"/>
  <c r="F138" i="7"/>
  <c r="F121" i="7"/>
  <c r="F100" i="7"/>
  <c r="F82" i="7"/>
  <c r="F42" i="7"/>
  <c r="F137" i="7"/>
  <c r="F24" i="7"/>
  <c r="F152" i="7"/>
  <c r="F129" i="7"/>
  <c r="F81" i="7"/>
  <c r="F72" i="7"/>
  <c r="F9" i="7"/>
  <c r="F108" i="7"/>
  <c r="F36" i="7"/>
  <c r="F35" i="7"/>
  <c r="F19" i="7"/>
  <c r="F18" i="7"/>
  <c r="F15" i="7"/>
  <c r="F12" i="7"/>
  <c r="F34" i="8"/>
  <c r="F201" i="7"/>
  <c r="F88" i="7"/>
  <c r="F299" i="6"/>
  <c r="F275" i="6"/>
  <c r="F269" i="6"/>
  <c r="F55" i="7"/>
  <c r="F308" i="6"/>
  <c r="F291" i="6"/>
  <c r="F285" i="6"/>
  <c r="F30" i="8"/>
  <c r="F83" i="7"/>
  <c r="F50" i="8"/>
  <c r="F8" i="8"/>
  <c r="F149" i="7"/>
  <c r="F159" i="8"/>
  <c r="F78" i="8"/>
  <c r="F60" i="8"/>
  <c r="F126" i="7"/>
  <c r="F26" i="7"/>
  <c r="F29" i="8"/>
  <c r="F310" i="6"/>
  <c r="F286" i="6"/>
  <c r="F280" i="6"/>
  <c r="F265" i="6"/>
  <c r="F311" i="6"/>
  <c r="F309" i="6"/>
  <c r="F188" i="8"/>
  <c r="F195" i="7"/>
  <c r="F163" i="7"/>
  <c r="F71" i="7"/>
  <c r="F293" i="6"/>
  <c r="F277" i="6"/>
  <c r="F99" i="8"/>
  <c r="F298" i="6"/>
  <c r="F289" i="6"/>
  <c r="F57" i="7"/>
  <c r="F28" i="7"/>
  <c r="F20" i="7"/>
  <c r="F313" i="6"/>
  <c r="F189" i="7"/>
  <c r="F116" i="7"/>
  <c r="F68" i="7"/>
  <c r="F274" i="6"/>
  <c r="F115" i="7"/>
  <c r="F95" i="7"/>
  <c r="F46" i="7"/>
  <c r="F133" i="8"/>
  <c r="F61" i="7"/>
  <c r="F258" i="6"/>
  <c r="F249" i="6"/>
  <c r="F238" i="6"/>
  <c r="F227" i="6"/>
  <c r="F216" i="6"/>
  <c r="F128" i="8"/>
  <c r="F180" i="7"/>
  <c r="F168" i="7"/>
  <c r="F97" i="7"/>
  <c r="F248" i="6"/>
  <c r="F237" i="6"/>
  <c r="F35" i="8"/>
  <c r="F290" i="6"/>
  <c r="F278" i="6"/>
  <c r="F14" i="7"/>
  <c r="F260" i="6"/>
  <c r="F166" i="7"/>
  <c r="F75" i="7"/>
  <c r="F50" i="7"/>
  <c r="F47" i="7"/>
  <c r="F283" i="6"/>
  <c r="F255" i="6"/>
  <c r="F247" i="6"/>
  <c r="F220" i="6"/>
  <c r="F31" i="7"/>
  <c r="F10" i="7"/>
  <c r="F284" i="6"/>
  <c r="F40" i="7"/>
  <c r="F219" i="6"/>
  <c r="F148" i="7"/>
  <c r="F8" i="7"/>
  <c r="F239" i="6"/>
  <c r="F196" i="8"/>
  <c r="F301" i="6"/>
  <c r="F256" i="6"/>
  <c r="F218" i="6"/>
  <c r="F143" i="7"/>
  <c r="F240" i="6"/>
  <c r="F142" i="8"/>
  <c r="F141" i="7"/>
  <c r="F259" i="6"/>
  <c r="F263" i="6"/>
  <c r="F250" i="6"/>
  <c r="F210" i="6"/>
  <c r="F199" i="6"/>
  <c r="F188" i="6"/>
  <c r="F177" i="6"/>
  <c r="F166" i="6"/>
  <c r="F155" i="6"/>
  <c r="F144" i="6"/>
  <c r="F133" i="6"/>
  <c r="F122" i="6"/>
  <c r="F111" i="6"/>
  <c r="F32" i="7"/>
  <c r="F6" i="7"/>
  <c r="F264" i="6"/>
  <c r="F243" i="6"/>
  <c r="F236" i="6"/>
  <c r="F304" i="6"/>
  <c r="F302" i="6"/>
  <c r="F295" i="6"/>
  <c r="F276" i="6"/>
  <c r="F254" i="6"/>
  <c r="F204" i="6"/>
  <c r="F193" i="6"/>
  <c r="F182" i="6"/>
  <c r="F171" i="6"/>
  <c r="F160" i="6"/>
  <c r="F149" i="6"/>
  <c r="F138" i="6"/>
  <c r="F127" i="6"/>
  <c r="F116" i="6"/>
  <c r="F307" i="6"/>
  <c r="F27" i="7"/>
  <c r="F232" i="6"/>
  <c r="F209" i="6"/>
  <c r="F198" i="6"/>
  <c r="F187" i="6"/>
  <c r="F176" i="6"/>
  <c r="F165" i="6"/>
  <c r="F154" i="6"/>
  <c r="F143" i="6"/>
  <c r="F132" i="6"/>
  <c r="F121" i="6"/>
  <c r="F253" i="6"/>
  <c r="F229" i="6"/>
  <c r="F110" i="8"/>
  <c r="F23" i="7"/>
  <c r="F246" i="6"/>
  <c r="F242" i="6"/>
  <c r="F222" i="6"/>
  <c r="F215" i="6"/>
  <c r="F203" i="6"/>
  <c r="F192" i="6"/>
  <c r="F181" i="6"/>
  <c r="F170" i="6"/>
  <c r="F159" i="6"/>
  <c r="F148" i="6"/>
  <c r="F137" i="6"/>
  <c r="F126" i="6"/>
  <c r="F57" i="8"/>
  <c r="F279" i="6"/>
  <c r="F272" i="6"/>
  <c r="F235" i="6"/>
  <c r="F202" i="6"/>
  <c r="F157" i="6"/>
  <c r="F4" i="7"/>
  <c r="F208" i="6"/>
  <c r="F194" i="6"/>
  <c r="F163" i="6"/>
  <c r="F119" i="6"/>
  <c r="F113" i="6"/>
  <c r="F104" i="6"/>
  <c r="F93" i="6"/>
  <c r="F82" i="6"/>
  <c r="F267" i="6"/>
  <c r="F251" i="6"/>
  <c r="F200" i="6"/>
  <c r="F169" i="6"/>
  <c r="F257" i="6"/>
  <c r="F252" i="6"/>
  <c r="F217" i="6"/>
  <c r="F206" i="6"/>
  <c r="F175" i="6"/>
  <c r="F161" i="6"/>
  <c r="F130" i="6"/>
  <c r="F124" i="6"/>
  <c r="F109" i="6"/>
  <c r="F98" i="6"/>
  <c r="F87" i="6"/>
  <c r="F76" i="6"/>
  <c r="F65" i="6"/>
  <c r="F45" i="7"/>
  <c r="F16" i="7"/>
  <c r="F214" i="6"/>
  <c r="F212" i="6"/>
  <c r="F167" i="6"/>
  <c r="F136" i="6"/>
  <c r="F114" i="6"/>
  <c r="F173" i="6"/>
  <c r="F142" i="6"/>
  <c r="F128" i="6"/>
  <c r="F103" i="6"/>
  <c r="F92" i="6"/>
  <c r="F81" i="6"/>
  <c r="F70" i="6"/>
  <c r="F244" i="6"/>
  <c r="F226" i="6"/>
  <c r="F221" i="6"/>
  <c r="F185" i="6"/>
  <c r="F140" i="6"/>
  <c r="F117" i="6"/>
  <c r="F108" i="6"/>
  <c r="F97" i="6"/>
  <c r="F86" i="6"/>
  <c r="F75" i="6"/>
  <c r="F151" i="6"/>
  <c r="F115" i="6"/>
  <c r="F99" i="6"/>
  <c r="F207" i="6"/>
  <c r="F141" i="6"/>
  <c r="F105" i="6"/>
  <c r="F66" i="6"/>
  <c r="F48" i="6"/>
  <c r="F37" i="6"/>
  <c r="F26" i="6"/>
  <c r="F22" i="7"/>
  <c r="F211" i="6"/>
  <c r="F197" i="6"/>
  <c r="F145" i="6"/>
  <c r="F134" i="6"/>
  <c r="F131" i="6"/>
  <c r="F80" i="6"/>
  <c r="F187" i="7"/>
  <c r="F39" i="7"/>
  <c r="F201" i="6"/>
  <c r="F135" i="6"/>
  <c r="F53" i="6"/>
  <c r="F42" i="6"/>
  <c r="F31" i="6"/>
  <c r="F29" i="7"/>
  <c r="F205" i="6"/>
  <c r="F191" i="6"/>
  <c r="F139" i="6"/>
  <c r="F125" i="6"/>
  <c r="F78" i="6"/>
  <c r="F136" i="7"/>
  <c r="F223" i="6"/>
  <c r="F195" i="6"/>
  <c r="F129" i="6"/>
  <c r="F84" i="6"/>
  <c r="F74" i="6"/>
  <c r="F67" i="6"/>
  <c r="F62" i="6"/>
  <c r="F47" i="6"/>
  <c r="F36" i="6"/>
  <c r="F25" i="6"/>
  <c r="F234" i="6"/>
  <c r="F90" i="6"/>
  <c r="F61" i="6"/>
  <c r="F282" i="6"/>
  <c r="F196" i="6"/>
  <c r="F189" i="6"/>
  <c r="F96" i="6"/>
  <c r="F71" i="6"/>
  <c r="F63" i="6"/>
  <c r="F60" i="6"/>
  <c r="F52" i="6"/>
  <c r="F41" i="6"/>
  <c r="F30" i="6"/>
  <c r="F20" i="8"/>
  <c r="F186" i="6"/>
  <c r="F7" i="7"/>
  <c r="F94" i="6"/>
  <c r="F64" i="6"/>
  <c r="F57" i="6"/>
  <c r="F44" i="6"/>
  <c r="F23" i="6"/>
  <c r="F12" i="6"/>
  <c r="F898" i="5"/>
  <c r="F887" i="5"/>
  <c r="F876" i="5"/>
  <c r="F865" i="5"/>
  <c r="F854" i="5"/>
  <c r="F843" i="5"/>
  <c r="F832" i="5"/>
  <c r="F821" i="5"/>
  <c r="F810" i="5"/>
  <c r="F799" i="5"/>
  <c r="F788" i="5"/>
  <c r="F777" i="5"/>
  <c r="F766" i="5"/>
  <c r="F755" i="5"/>
  <c r="F744" i="5"/>
  <c r="F733" i="5"/>
  <c r="F722" i="5"/>
  <c r="F711" i="5"/>
  <c r="F700" i="5"/>
  <c r="F689" i="5"/>
  <c r="F678" i="5"/>
  <c r="F667" i="5"/>
  <c r="F656" i="5"/>
  <c r="F645" i="5"/>
  <c r="F634" i="5"/>
  <c r="F623" i="5"/>
  <c r="F612" i="5"/>
  <c r="F601" i="5"/>
  <c r="F590" i="5"/>
  <c r="F579" i="5"/>
  <c r="F568" i="5"/>
  <c r="F557" i="5"/>
  <c r="F546" i="5"/>
  <c r="F535" i="5"/>
  <c r="F524" i="5"/>
  <c r="F162" i="6"/>
  <c r="F49" i="6"/>
  <c r="F46" i="6"/>
  <c r="F17" i="6"/>
  <c r="F6" i="6"/>
  <c r="F905" i="5"/>
  <c r="F894" i="5"/>
  <c r="F883" i="5"/>
  <c r="F872" i="5"/>
  <c r="F861" i="5"/>
  <c r="F850" i="5"/>
  <c r="F839" i="5"/>
  <c r="F828" i="5"/>
  <c r="F817" i="5"/>
  <c r="F806" i="5"/>
  <c r="F795" i="5"/>
  <c r="F784" i="5"/>
  <c r="F773" i="5"/>
  <c r="F762" i="5"/>
  <c r="F751" i="5"/>
  <c r="F740" i="5"/>
  <c r="F729" i="5"/>
  <c r="F718" i="5"/>
  <c r="F707" i="5"/>
  <c r="F696" i="5"/>
  <c r="F685" i="5"/>
  <c r="F300" i="6"/>
  <c r="F168" i="6"/>
  <c r="F230" i="6"/>
  <c r="F225" i="6"/>
  <c r="F190" i="6"/>
  <c r="F120" i="6"/>
  <c r="F95" i="6"/>
  <c r="F54" i="6"/>
  <c r="F51" i="6"/>
  <c r="F28" i="6"/>
  <c r="F22" i="6"/>
  <c r="F11" i="6"/>
  <c r="F901" i="5"/>
  <c r="F890" i="5"/>
  <c r="F879" i="5"/>
  <c r="F868" i="5"/>
  <c r="F857" i="5"/>
  <c r="F846" i="5"/>
  <c r="F835" i="5"/>
  <c r="F824" i="5"/>
  <c r="F813" i="5"/>
  <c r="F802" i="5"/>
  <c r="F791" i="5"/>
  <c r="F780" i="5"/>
  <c r="F769" i="5"/>
  <c r="F758" i="5"/>
  <c r="F747" i="5"/>
  <c r="F736" i="5"/>
  <c r="F725" i="5"/>
  <c r="F714" i="5"/>
  <c r="F703" i="5"/>
  <c r="F692" i="5"/>
  <c r="F681" i="5"/>
  <c r="F670" i="5"/>
  <c r="F659" i="5"/>
  <c r="F648" i="5"/>
  <c r="F637" i="5"/>
  <c r="F626" i="5"/>
  <c r="F615" i="5"/>
  <c r="F604" i="5"/>
  <c r="F593" i="5"/>
  <c r="F582" i="5"/>
  <c r="F571" i="5"/>
  <c r="F560" i="5"/>
  <c r="F549" i="5"/>
  <c r="F538" i="5"/>
  <c r="F527" i="5"/>
  <c r="F112" i="7"/>
  <c r="F233" i="6"/>
  <c r="F174" i="6"/>
  <c r="F123" i="6"/>
  <c r="F79" i="6"/>
  <c r="F77" i="6"/>
  <c r="F73" i="6"/>
  <c r="F72" i="6"/>
  <c r="F59" i="6"/>
  <c r="F33" i="6"/>
  <c r="F16" i="6"/>
  <c r="F5" i="6"/>
  <c r="F897" i="5"/>
  <c r="F886" i="5"/>
  <c r="F875" i="5"/>
  <c r="F864" i="5"/>
  <c r="F853" i="5"/>
  <c r="F842" i="5"/>
  <c r="F831" i="5"/>
  <c r="F820" i="5"/>
  <c r="F809" i="5"/>
  <c r="F798" i="5"/>
  <c r="F787" i="5"/>
  <c r="F776" i="5"/>
  <c r="F765" i="5"/>
  <c r="F754" i="5"/>
  <c r="F743" i="5"/>
  <c r="F732" i="5"/>
  <c r="F721" i="5"/>
  <c r="F710" i="5"/>
  <c r="F699" i="5"/>
  <c r="F688" i="5"/>
  <c r="F677" i="5"/>
  <c r="F666" i="5"/>
  <c r="F655" i="5"/>
  <c r="F644" i="5"/>
  <c r="F633" i="5"/>
  <c r="F622" i="5"/>
  <c r="F611" i="5"/>
  <c r="F600" i="5"/>
  <c r="F589" i="5"/>
  <c r="F578" i="5"/>
  <c r="F567" i="5"/>
  <c r="F556" i="5"/>
  <c r="F545" i="5"/>
  <c r="F534" i="5"/>
  <c r="F53" i="7"/>
  <c r="F306" i="6"/>
  <c r="F152" i="6"/>
  <c r="F3" i="6"/>
  <c r="F881" i="5"/>
  <c r="F838" i="5"/>
  <c r="F829" i="5"/>
  <c r="F786" i="5"/>
  <c r="F734" i="5"/>
  <c r="F691" i="5"/>
  <c r="F682" i="5"/>
  <c r="F619" i="5"/>
  <c r="F552" i="5"/>
  <c r="F531" i="5"/>
  <c r="F519" i="5"/>
  <c r="F508" i="5"/>
  <c r="F497" i="5"/>
  <c r="F486" i="5"/>
  <c r="F475" i="5"/>
  <c r="F464" i="5"/>
  <c r="F453" i="5"/>
  <c r="F442" i="5"/>
  <c r="F431" i="5"/>
  <c r="F420" i="5"/>
  <c r="F409" i="5"/>
  <c r="F398" i="5"/>
  <c r="F387" i="5"/>
  <c r="F376" i="5"/>
  <c r="F365" i="5"/>
  <c r="F354" i="5"/>
  <c r="F343" i="5"/>
  <c r="F332" i="5"/>
  <c r="F321" i="5"/>
  <c r="F310" i="5"/>
  <c r="F299" i="5"/>
  <c r="F288" i="5"/>
  <c r="F277" i="5"/>
  <c r="F266" i="5"/>
  <c r="F255" i="5"/>
  <c r="F244" i="5"/>
  <c r="F233" i="5"/>
  <c r="F222" i="5"/>
  <c r="F211" i="5"/>
  <c r="F200" i="5"/>
  <c r="F189" i="5"/>
  <c r="F178" i="5"/>
  <c r="F167" i="5"/>
  <c r="F156" i="5"/>
  <c r="F150" i="6"/>
  <c r="F4" i="6"/>
  <c r="F904" i="5"/>
  <c r="F895" i="5"/>
  <c r="F852" i="5"/>
  <c r="F800" i="5"/>
  <c r="F757" i="5"/>
  <c r="F748" i="5"/>
  <c r="F705" i="5"/>
  <c r="F641" i="5"/>
  <c r="F515" i="5"/>
  <c r="F504" i="5"/>
  <c r="F493" i="5"/>
  <c r="F482" i="5"/>
  <c r="F471" i="5"/>
  <c r="F460" i="5"/>
  <c r="F449" i="5"/>
  <c r="F438" i="5"/>
  <c r="F427" i="5"/>
  <c r="F416" i="5"/>
  <c r="F405" i="5"/>
  <c r="F394" i="5"/>
  <c r="F383" i="5"/>
  <c r="F372" i="5"/>
  <c r="F361" i="5"/>
  <c r="F350" i="5"/>
  <c r="F339" i="5"/>
  <c r="F328" i="5"/>
  <c r="F317" i="5"/>
  <c r="F306" i="5"/>
  <c r="F295" i="5"/>
  <c r="F284" i="5"/>
  <c r="F273" i="5"/>
  <c r="F262" i="5"/>
  <c r="F251" i="5"/>
  <c r="F240" i="5"/>
  <c r="F229" i="5"/>
  <c r="F218" i="5"/>
  <c r="F207" i="5"/>
  <c r="F196" i="5"/>
  <c r="F185" i="5"/>
  <c r="F174" i="5"/>
  <c r="F163" i="5"/>
  <c r="F152" i="5"/>
  <c r="F141" i="5"/>
  <c r="F130" i="5"/>
  <c r="F119" i="5"/>
  <c r="F261" i="6"/>
  <c r="F213" i="6"/>
  <c r="F179" i="6"/>
  <c r="F8" i="6"/>
  <c r="F866" i="5"/>
  <c r="F823" i="5"/>
  <c r="F814" i="5"/>
  <c r="F771" i="5"/>
  <c r="F728" i="5"/>
  <c r="F719" i="5"/>
  <c r="F663" i="5"/>
  <c r="F543" i="5"/>
  <c r="F530" i="5"/>
  <c r="F522" i="5"/>
  <c r="F511" i="5"/>
  <c r="F500" i="5"/>
  <c r="F489" i="5"/>
  <c r="F478" i="5"/>
  <c r="F467" i="5"/>
  <c r="F456" i="5"/>
  <c r="F445" i="5"/>
  <c r="F434" i="5"/>
  <c r="F423" i="5"/>
  <c r="F412" i="5"/>
  <c r="F401" i="5"/>
  <c r="F390" i="5"/>
  <c r="F379" i="5"/>
  <c r="F368" i="5"/>
  <c r="F357" i="5"/>
  <c r="F346" i="5"/>
  <c r="F335" i="5"/>
  <c r="F324" i="5"/>
  <c r="F313" i="5"/>
  <c r="F302" i="5"/>
  <c r="F291" i="5"/>
  <c r="F280" i="5"/>
  <c r="F269" i="5"/>
  <c r="F258" i="5"/>
  <c r="F247" i="5"/>
  <c r="F236" i="5"/>
  <c r="F225" i="5"/>
  <c r="F214" i="5"/>
  <c r="F203" i="5"/>
  <c r="F192" i="5"/>
  <c r="F181" i="5"/>
  <c r="F170" i="5"/>
  <c r="F159" i="5"/>
  <c r="F148" i="5"/>
  <c r="F137" i="5"/>
  <c r="F126" i="5"/>
  <c r="F115" i="5"/>
  <c r="F899" i="5"/>
  <c r="F856" i="5"/>
  <c r="F847" i="5"/>
  <c r="F804" i="5"/>
  <c r="F761" i="5"/>
  <c r="F752" i="5"/>
  <c r="F709" i="5"/>
  <c r="F676" i="5"/>
  <c r="F658" i="5"/>
  <c r="F640" i="5"/>
  <c r="F627" i="5"/>
  <c r="F609" i="5"/>
  <c r="F591" i="5"/>
  <c r="F573" i="5"/>
  <c r="F547" i="5"/>
  <c r="F183" i="6"/>
  <c r="F889" i="5"/>
  <c r="F880" i="5"/>
  <c r="F837" i="5"/>
  <c r="F794" i="5"/>
  <c r="F785" i="5"/>
  <c r="F742" i="5"/>
  <c r="F690" i="5"/>
  <c r="F564" i="5"/>
  <c r="F551" i="5"/>
  <c r="F518" i="5"/>
  <c r="F507" i="5"/>
  <c r="F496" i="5"/>
  <c r="F485" i="5"/>
  <c r="F474" i="5"/>
  <c r="F463" i="5"/>
  <c r="F452" i="5"/>
  <c r="F441" i="5"/>
  <c r="F430" i="5"/>
  <c r="F419" i="5"/>
  <c r="F408" i="5"/>
  <c r="F397" i="5"/>
  <c r="F386" i="5"/>
  <c r="F375" i="5"/>
  <c r="F364" i="5"/>
  <c r="F353" i="5"/>
  <c r="F342" i="5"/>
  <c r="F331" i="5"/>
  <c r="F320" i="5"/>
  <c r="F309" i="5"/>
  <c r="F298" i="5"/>
  <c r="F287" i="5"/>
  <c r="F276" i="5"/>
  <c r="F265" i="5"/>
  <c r="F254" i="5"/>
  <c r="F243" i="5"/>
  <c r="F232" i="5"/>
  <c r="F221" i="5"/>
  <c r="F210" i="5"/>
  <c r="F199" i="5"/>
  <c r="F188" i="5"/>
  <c r="F177" i="5"/>
  <c r="F166" i="5"/>
  <c r="F155" i="5"/>
  <c r="F144" i="5"/>
  <c r="F133" i="5"/>
  <c r="F122" i="5"/>
  <c r="F111" i="5"/>
  <c r="F172" i="6"/>
  <c r="F110" i="6"/>
  <c r="F91" i="6"/>
  <c r="F88" i="6"/>
  <c r="F24" i="6"/>
  <c r="F13" i="6"/>
  <c r="F9" i="6"/>
  <c r="F870" i="5"/>
  <c r="F827" i="5"/>
  <c r="F818" i="5"/>
  <c r="F775" i="5"/>
  <c r="F723" i="5"/>
  <c r="F680" i="5"/>
  <c r="F662" i="5"/>
  <c r="F649" i="5"/>
  <c r="F631" i="5"/>
  <c r="F613" i="5"/>
  <c r="F595" i="5"/>
  <c r="F577" i="5"/>
  <c r="F555" i="5"/>
  <c r="F287" i="6"/>
  <c r="F273" i="6"/>
  <c r="F101" i="6"/>
  <c r="F867" i="5"/>
  <c r="F815" i="5"/>
  <c r="F763" i="5"/>
  <c r="F537" i="5"/>
  <c r="F510" i="5"/>
  <c r="F495" i="5"/>
  <c r="F480" i="5"/>
  <c r="F465" i="5"/>
  <c r="F450" i="5"/>
  <c r="F435" i="5"/>
  <c r="F404" i="5"/>
  <c r="F389" i="5"/>
  <c r="F374" i="5"/>
  <c r="F359" i="5"/>
  <c r="F344" i="5"/>
  <c r="F329" i="5"/>
  <c r="F314" i="5"/>
  <c r="F283" i="5"/>
  <c r="F268" i="5"/>
  <c r="F253" i="5"/>
  <c r="F238" i="5"/>
  <c r="F223" i="5"/>
  <c r="F208" i="5"/>
  <c r="F165" i="5"/>
  <c r="F100" i="5"/>
  <c r="F89" i="5"/>
  <c r="F78" i="5"/>
  <c r="F67" i="5"/>
  <c r="F56" i="5"/>
  <c r="F45" i="5"/>
  <c r="F34" i="5"/>
  <c r="F23" i="5"/>
  <c r="F12" i="5"/>
  <c r="F241" i="6"/>
  <c r="F224" i="6"/>
  <c r="F58" i="6"/>
  <c r="F891" i="5"/>
  <c r="F746" i="5"/>
  <c r="F675" i="5"/>
  <c r="F620" i="5"/>
  <c r="F607" i="5"/>
  <c r="F168" i="5"/>
  <c r="F140" i="5"/>
  <c r="F127" i="5"/>
  <c r="F164" i="6"/>
  <c r="F107" i="6"/>
  <c r="F38" i="6"/>
  <c r="F34" i="6"/>
  <c r="F20" i="6"/>
  <c r="F2" i="6"/>
  <c r="F834" i="5"/>
  <c r="F782" i="5"/>
  <c r="F730" i="5"/>
  <c r="F671" i="5"/>
  <c r="F665" i="5"/>
  <c r="F616" i="5"/>
  <c r="F610" i="5"/>
  <c r="F603" i="5"/>
  <c r="F561" i="5"/>
  <c r="F525" i="5"/>
  <c r="F198" i="5"/>
  <c r="F142" i="5"/>
  <c r="F124" i="5"/>
  <c r="F873" i="5"/>
  <c r="F801" i="5"/>
  <c r="F749" i="5"/>
  <c r="F697" i="5"/>
  <c r="F520" i="5"/>
  <c r="F505" i="5"/>
  <c r="F490" i="5"/>
  <c r="F459" i="5"/>
  <c r="F444" i="5"/>
  <c r="F429" i="5"/>
  <c r="F414" i="5"/>
  <c r="F399" i="5"/>
  <c r="F384" i="5"/>
  <c r="F369" i="5"/>
  <c r="F338" i="5"/>
  <c r="F323" i="5"/>
  <c r="F308" i="5"/>
  <c r="F293" i="5"/>
  <c r="F278" i="5"/>
  <c r="F263" i="5"/>
  <c r="F248" i="5"/>
  <c r="F217" i="5"/>
  <c r="F179" i="5"/>
  <c r="F107" i="5"/>
  <c r="F96" i="5"/>
  <c r="F85" i="5"/>
  <c r="F74" i="5"/>
  <c r="F63" i="5"/>
  <c r="F52" i="5"/>
  <c r="F41" i="5"/>
  <c r="F30" i="5"/>
  <c r="F19" i="5"/>
  <c r="F8" i="5"/>
  <c r="F892" i="5"/>
  <c r="F840" i="5"/>
  <c r="F768" i="5"/>
  <c r="F716" i="5"/>
  <c r="F628" i="5"/>
  <c r="F621" i="5"/>
  <c r="F542" i="5"/>
  <c r="F83" i="6"/>
  <c r="F35" i="6"/>
  <c r="F572" i="5"/>
  <c r="F566" i="5"/>
  <c r="F554" i="5"/>
  <c r="F169" i="5"/>
  <c r="F160" i="5"/>
  <c r="F146" i="5"/>
  <c r="F128" i="5"/>
  <c r="F694" i="5"/>
  <c r="F669" i="5"/>
  <c r="F89" i="6"/>
  <c r="F7" i="6"/>
  <c r="F859" i="5"/>
  <c r="F807" i="5"/>
  <c r="F735" i="5"/>
  <c r="F683" i="5"/>
  <c r="F652" i="5"/>
  <c r="F597" i="5"/>
  <c r="F559" i="5"/>
  <c r="F514" i="5"/>
  <c r="F499" i="5"/>
  <c r="F484" i="5"/>
  <c r="F469" i="5"/>
  <c r="F454" i="5"/>
  <c r="F439" i="5"/>
  <c r="F424" i="5"/>
  <c r="F393" i="5"/>
  <c r="F378" i="5"/>
  <c r="F363" i="5"/>
  <c r="F348" i="5"/>
  <c r="F333" i="5"/>
  <c r="F318" i="5"/>
  <c r="F303" i="5"/>
  <c r="F272" i="5"/>
  <c r="F257" i="5"/>
  <c r="F242" i="5"/>
  <c r="F227" i="5"/>
  <c r="F212" i="5"/>
  <c r="F202" i="5"/>
  <c r="F193" i="5"/>
  <c r="F103" i="5"/>
  <c r="F92" i="5"/>
  <c r="F81" i="5"/>
  <c r="F70" i="5"/>
  <c r="F59" i="5"/>
  <c r="F48" i="5"/>
  <c r="F37" i="5"/>
  <c r="F26" i="5"/>
  <c r="F15" i="5"/>
  <c r="F4" i="5"/>
  <c r="F903" i="5"/>
  <c r="F871" i="5"/>
  <c r="F819" i="5"/>
  <c r="F443" i="5"/>
  <c r="F246" i="5"/>
  <c r="F18" i="5"/>
  <c r="F296" i="6"/>
  <c r="F50" i="6"/>
  <c r="F27" i="6"/>
  <c r="F885" i="5"/>
  <c r="F878" i="5"/>
  <c r="F833" i="5"/>
  <c r="F826" i="5"/>
  <c r="F781" i="5"/>
  <c r="F774" i="5"/>
  <c r="F702" i="5"/>
  <c r="F646" i="5"/>
  <c r="F639" i="5"/>
  <c r="F584" i="5"/>
  <c r="F548" i="5"/>
  <c r="F183" i="5"/>
  <c r="F150" i="5"/>
  <c r="F132" i="5"/>
  <c r="F767" i="5"/>
  <c r="F727" i="5"/>
  <c r="F715" i="5"/>
  <c r="F565" i="5"/>
  <c r="F553" i="5"/>
  <c r="F529" i="5"/>
  <c r="F503" i="5"/>
  <c r="F488" i="5"/>
  <c r="F458" i="5"/>
  <c r="F413" i="5"/>
  <c r="F367" i="5"/>
  <c r="F322" i="5"/>
  <c r="F231" i="5"/>
  <c r="F187" i="5"/>
  <c r="F106" i="5"/>
  <c r="F95" i="5"/>
  <c r="F62" i="5"/>
  <c r="F51" i="5"/>
  <c r="F231" i="6"/>
  <c r="F69" i="6"/>
  <c r="F43" i="6"/>
  <c r="F39" i="6"/>
  <c r="F845" i="5"/>
  <c r="F793" i="5"/>
  <c r="F741" i="5"/>
  <c r="F608" i="5"/>
  <c r="F596" i="5"/>
  <c r="F536" i="5"/>
  <c r="F509" i="5"/>
  <c r="F494" i="5"/>
  <c r="F479" i="5"/>
  <c r="F448" i="5"/>
  <c r="F433" i="5"/>
  <c r="F418" i="5"/>
  <c r="F403" i="5"/>
  <c r="F388" i="5"/>
  <c r="F373" i="5"/>
  <c r="F358" i="5"/>
  <c r="F327" i="5"/>
  <c r="F312" i="5"/>
  <c r="F297" i="5"/>
  <c r="F282" i="5"/>
  <c r="F267" i="5"/>
  <c r="F252" i="5"/>
  <c r="F237" i="5"/>
  <c r="F173" i="5"/>
  <c r="F164" i="5"/>
  <c r="F99" i="5"/>
  <c r="F88" i="5"/>
  <c r="F77" i="5"/>
  <c r="F66" i="5"/>
  <c r="F55" i="5"/>
  <c r="F44" i="5"/>
  <c r="F33" i="5"/>
  <c r="F22" i="5"/>
  <c r="F11" i="5"/>
  <c r="F851" i="5"/>
  <c r="F779" i="5"/>
  <c r="F614" i="5"/>
  <c r="F473" i="5"/>
  <c r="F428" i="5"/>
  <c r="F382" i="5"/>
  <c r="F352" i="5"/>
  <c r="F337" i="5"/>
  <c r="F307" i="5"/>
  <c r="F292" i="5"/>
  <c r="F261" i="5"/>
  <c r="F216" i="5"/>
  <c r="F84" i="5"/>
  <c r="F73" i="5"/>
  <c r="F40" i="5"/>
  <c r="F29" i="5"/>
  <c r="F7" i="5"/>
  <c r="F145" i="5"/>
  <c r="F884" i="5"/>
  <c r="F812" i="5"/>
  <c r="F760" i="5"/>
  <c r="F708" i="5"/>
  <c r="F695" i="5"/>
  <c r="F664" i="5"/>
  <c r="F657" i="5"/>
  <c r="F651" i="5"/>
  <c r="F602" i="5"/>
  <c r="F541" i="5"/>
  <c r="F206" i="5"/>
  <c r="F197" i="5"/>
  <c r="F154" i="5"/>
  <c r="F136" i="5"/>
  <c r="F123" i="5"/>
  <c r="F118" i="5"/>
  <c r="F114" i="5"/>
  <c r="F110" i="5"/>
  <c r="F118" i="6"/>
  <c r="F102" i="6"/>
  <c r="F245" i="6"/>
  <c r="F848" i="5"/>
  <c r="F679" i="5"/>
  <c r="F599" i="5"/>
  <c r="F588" i="5"/>
  <c r="F576" i="5"/>
  <c r="F533" i="5"/>
  <c r="F182" i="5"/>
  <c r="F175" i="5"/>
  <c r="F131" i="5"/>
  <c r="F116" i="5"/>
  <c r="F40" i="6"/>
  <c r="F674" i="5"/>
  <c r="F270" i="5"/>
  <c r="F91" i="5"/>
  <c r="F816" i="5"/>
  <c r="F10" i="5"/>
  <c r="F661" i="5"/>
  <c r="F56" i="6"/>
  <c r="F498" i="5"/>
  <c r="F370" i="5"/>
  <c r="F822" i="5"/>
  <c r="F750" i="5"/>
  <c r="F726" i="5"/>
  <c r="F632" i="5"/>
  <c r="F440" i="5"/>
  <c r="F421" i="5"/>
  <c r="F411" i="5"/>
  <c r="F402" i="5"/>
  <c r="F392" i="5"/>
  <c r="F274" i="5"/>
  <c r="F264" i="5"/>
  <c r="F245" i="5"/>
  <c r="F235" i="5"/>
  <c r="F226" i="5"/>
  <c r="F101" i="5"/>
  <c r="F94" i="5"/>
  <c r="F87" i="5"/>
  <c r="F80" i="5"/>
  <c r="F18" i="6"/>
  <c r="F129" i="5"/>
  <c r="F178" i="6"/>
  <c r="F841" i="5"/>
  <c r="F31" i="5"/>
  <c r="F184" i="6"/>
  <c r="F146" i="6"/>
  <c r="F21" i="6"/>
  <c r="F638" i="5"/>
  <c r="F539" i="5"/>
  <c r="F120" i="5"/>
  <c r="F684" i="5"/>
  <c r="F558" i="5"/>
  <c r="F360" i="5"/>
  <c r="F71" i="5"/>
  <c r="F57" i="5"/>
  <c r="F43" i="5"/>
  <c r="F180" i="6"/>
  <c r="F893" i="5"/>
  <c r="F869" i="5"/>
  <c r="F797" i="5"/>
  <c r="F738" i="5"/>
  <c r="F701" i="5"/>
  <c r="F643" i="5"/>
  <c r="F563" i="5"/>
  <c r="F139" i="5"/>
  <c r="F108" i="5"/>
  <c r="F234" i="5"/>
  <c r="F562" i="5"/>
  <c r="F698" i="5"/>
  <c r="F436" i="5"/>
  <c r="F250" i="5"/>
  <c r="F98" i="5"/>
  <c r="F19" i="6"/>
  <c r="F745" i="5"/>
  <c r="F15" i="6"/>
  <c r="F844" i="5"/>
  <c r="F772" i="5"/>
  <c r="F544" i="5"/>
  <c r="F476" i="5"/>
  <c r="F466" i="5"/>
  <c r="F457" i="5"/>
  <c r="F447" i="5"/>
  <c r="F437" i="5"/>
  <c r="F319" i="5"/>
  <c r="F300" i="5"/>
  <c r="F290" i="5"/>
  <c r="F281" i="5"/>
  <c r="F271" i="5"/>
  <c r="F172" i="5"/>
  <c r="F27" i="5"/>
  <c r="F20" i="5"/>
  <c r="F13" i="5"/>
  <c r="F6" i="5"/>
  <c r="F594" i="5"/>
  <c r="F13" i="7"/>
  <c r="F737" i="5"/>
  <c r="F587" i="5"/>
  <c r="F190" i="5"/>
  <c r="F147" i="5"/>
  <c r="F371" i="5"/>
  <c r="F58" i="5"/>
  <c r="F205" i="5"/>
  <c r="F426" i="5"/>
  <c r="F279" i="5"/>
  <c r="F171" i="5"/>
  <c r="F105" i="5"/>
  <c r="F5" i="5"/>
  <c r="F606" i="5"/>
  <c r="F38" i="5"/>
  <c r="F570" i="5"/>
  <c r="F135" i="5"/>
  <c r="F112" i="5"/>
  <c r="F3" i="5"/>
  <c r="F517" i="5"/>
  <c r="F380" i="5"/>
  <c r="F341" i="5"/>
  <c r="F186" i="5"/>
  <c r="F64" i="5"/>
  <c r="F50" i="5"/>
  <c r="F36" i="5"/>
  <c r="F85" i="6"/>
  <c r="F14" i="6"/>
  <c r="F808" i="5"/>
  <c r="F712" i="5"/>
  <c r="F586" i="5"/>
  <c r="F575" i="5"/>
  <c r="F521" i="5"/>
  <c r="F512" i="5"/>
  <c r="F502" i="5"/>
  <c r="F492" i="5"/>
  <c r="F483" i="5"/>
  <c r="F355" i="5"/>
  <c r="F345" i="5"/>
  <c r="F336" i="5"/>
  <c r="F326" i="5"/>
  <c r="F316" i="5"/>
  <c r="F60" i="5"/>
  <c r="F53" i="5"/>
  <c r="F46" i="5"/>
  <c r="F39" i="5"/>
  <c r="F32" i="5"/>
  <c r="F25" i="5"/>
  <c r="F147" i="6"/>
  <c r="F830" i="5"/>
  <c r="F410" i="5"/>
  <c r="F391" i="5"/>
  <c r="F362" i="5"/>
  <c r="F215" i="5"/>
  <c r="F93" i="5"/>
  <c r="F86" i="5"/>
  <c r="F72" i="5"/>
  <c r="F65" i="5"/>
  <c r="F877" i="5"/>
  <c r="F796" i="5"/>
  <c r="F653" i="5"/>
  <c r="F585" i="5"/>
  <c r="F455" i="5"/>
  <c r="F417" i="5"/>
  <c r="F407" i="5"/>
  <c r="F289" i="5"/>
  <c r="F260" i="5"/>
  <c r="F241" i="5"/>
  <c r="F617" i="5"/>
  <c r="F112" i="6"/>
  <c r="F32" i="6"/>
  <c r="F888" i="5"/>
  <c r="F491" i="5"/>
  <c r="F325" i="5"/>
  <c r="F286" i="5"/>
  <c r="F24" i="5"/>
  <c r="F863" i="5"/>
  <c r="F855" i="5"/>
  <c r="F783" i="5"/>
  <c r="F759" i="5"/>
  <c r="F687" i="5"/>
  <c r="F654" i="5"/>
  <c r="F598" i="5"/>
  <c r="F532" i="5"/>
  <c r="F162" i="5"/>
  <c r="F121" i="5"/>
  <c r="F113" i="5"/>
  <c r="F100" i="6"/>
  <c r="F902" i="5"/>
  <c r="F724" i="5"/>
  <c r="F630" i="5"/>
  <c r="F400" i="5"/>
  <c r="F381" i="5"/>
  <c r="F224" i="5"/>
  <c r="F180" i="5"/>
  <c r="F79" i="5"/>
  <c r="F805" i="5"/>
  <c r="F642" i="5"/>
  <c r="F618" i="5"/>
  <c r="F574" i="5"/>
  <c r="F540" i="5"/>
  <c r="F153" i="5"/>
  <c r="F138" i="5"/>
  <c r="F266" i="6"/>
  <c r="F770" i="5"/>
  <c r="F583" i="5"/>
  <c r="F446" i="5"/>
  <c r="F686" i="5"/>
  <c r="F629" i="5"/>
  <c r="F792" i="5"/>
  <c r="F481" i="5"/>
  <c r="F315" i="5"/>
  <c r="F195" i="5"/>
  <c r="F17" i="5"/>
  <c r="F673" i="5"/>
  <c r="F581" i="5"/>
  <c r="F153" i="6"/>
  <c r="F720" i="5"/>
  <c r="F650" i="5"/>
  <c r="F528" i="5"/>
  <c r="F501" i="5"/>
  <c r="F472" i="5"/>
  <c r="F334" i="5"/>
  <c r="F305" i="5"/>
  <c r="F161" i="5"/>
  <c r="F756" i="5"/>
  <c r="F351" i="5"/>
  <c r="F213" i="5"/>
  <c r="F900" i="5"/>
  <c r="F803" i="5"/>
  <c r="F731" i="5"/>
  <c r="F625" i="5"/>
  <c r="F605" i="5"/>
  <c r="F158" i="6"/>
  <c r="F288" i="6"/>
  <c r="F550" i="5"/>
  <c r="F462" i="5"/>
  <c r="F296" i="5"/>
  <c r="F204" i="5"/>
  <c r="F143" i="5"/>
  <c r="F849" i="5"/>
  <c r="F668" i="5"/>
  <c r="F526" i="5"/>
  <c r="F406" i="5"/>
  <c r="F176" i="5"/>
  <c r="F125" i="5"/>
  <c r="F61" i="5"/>
  <c r="F340" i="5"/>
  <c r="F156" i="6"/>
  <c r="F717" i="5"/>
  <c r="F739" i="5"/>
  <c r="F704" i="5"/>
  <c r="F230" i="5"/>
  <c r="F149" i="5"/>
  <c r="F82" i="5"/>
  <c r="F16" i="5"/>
  <c r="F220" i="5"/>
  <c r="F194" i="5"/>
  <c r="F753" i="5"/>
  <c r="F304" i="5"/>
  <c r="F228" i="6"/>
  <c r="F592" i="5"/>
  <c r="F349" i="5"/>
  <c r="F259" i="5"/>
  <c r="F201" i="5"/>
  <c r="F76" i="5"/>
  <c r="F311" i="5"/>
  <c r="F75" i="5"/>
  <c r="F68" i="6"/>
  <c r="F69" i="5"/>
  <c r="F836" i="5"/>
  <c r="F422" i="5"/>
  <c r="F90" i="5"/>
  <c r="F366" i="5"/>
  <c r="F275" i="5"/>
  <c r="F790" i="5"/>
  <c r="F647" i="5"/>
  <c r="F395" i="5"/>
  <c r="F109" i="5"/>
  <c r="F55" i="6"/>
  <c r="F636" i="5"/>
  <c r="F42" i="5"/>
  <c r="F209" i="5"/>
  <c r="F151" i="5"/>
  <c r="F811" i="5"/>
  <c r="F523" i="5"/>
  <c r="F432" i="5"/>
  <c r="F97" i="5"/>
  <c r="F14" i="5"/>
  <c r="F516" i="5"/>
  <c r="F569" i="5"/>
  <c r="F477" i="5"/>
  <c r="F219" i="5"/>
  <c r="F660" i="5"/>
  <c r="F461" i="5"/>
  <c r="F347" i="5"/>
  <c r="F256" i="5"/>
  <c r="F35" i="5"/>
  <c r="F580" i="5"/>
  <c r="F249" i="5"/>
  <c r="F451" i="5"/>
  <c r="F28" i="5"/>
  <c r="F49" i="5"/>
  <c r="F158" i="5"/>
  <c r="F789" i="5"/>
  <c r="F506" i="5"/>
  <c r="F134" i="5"/>
  <c r="F713" i="5"/>
  <c r="F330" i="5"/>
  <c r="F706" i="5"/>
  <c r="F672" i="5"/>
  <c r="F83" i="5"/>
  <c r="F860" i="5"/>
  <c r="F104" i="5"/>
  <c r="F21" i="5"/>
  <c r="F470" i="5"/>
  <c r="F356" i="5"/>
  <c r="F102" i="5"/>
  <c r="F468" i="5"/>
  <c r="F693" i="5"/>
  <c r="F624" i="5"/>
  <c r="F285" i="5"/>
  <c r="F117" i="5"/>
  <c r="F191" i="5"/>
  <c r="F2" i="5"/>
  <c r="F778" i="5"/>
  <c r="F377" i="5"/>
  <c r="F10" i="6"/>
  <c r="F882" i="5"/>
  <c r="F425" i="5"/>
  <c r="F513" i="5"/>
  <c r="F825" i="5"/>
  <c r="F47" i="5"/>
  <c r="F415" i="5"/>
  <c r="F68" i="5"/>
  <c r="F157" i="5"/>
  <c r="F106" i="6"/>
  <c r="F874" i="5"/>
  <c r="F487" i="5"/>
  <c r="F396" i="5"/>
  <c r="F228" i="5"/>
  <c r="F54" i="5"/>
  <c r="F764" i="5"/>
  <c r="F9" i="5"/>
  <c r="F301" i="5"/>
  <c r="F862" i="5"/>
  <c r="F29" i="6"/>
  <c r="F858" i="5"/>
  <c r="F294" i="5"/>
  <c r="F239" i="5"/>
  <c r="F385" i="5"/>
  <c r="F896" i="5"/>
  <c r="F635" i="5"/>
  <c r="F45" i="6"/>
  <c r="F184" i="5"/>
  <c r="J193" i="8"/>
  <c r="J171" i="8"/>
  <c r="J149" i="8"/>
  <c r="J127" i="8"/>
  <c r="J105" i="8"/>
  <c r="J200" i="8"/>
  <c r="J177" i="8"/>
  <c r="J154" i="8"/>
  <c r="J140" i="8"/>
  <c r="J117" i="8"/>
  <c r="J101" i="8"/>
  <c r="J82" i="8"/>
  <c r="J71" i="8"/>
  <c r="J60" i="8"/>
  <c r="J48" i="8"/>
  <c r="J179" i="8"/>
  <c r="J155" i="8"/>
  <c r="J121" i="8"/>
  <c r="J74" i="8"/>
  <c r="J183" i="7"/>
  <c r="J161" i="7"/>
  <c r="J139" i="7"/>
  <c r="J117" i="7"/>
  <c r="J162" i="8"/>
  <c r="J157" i="8"/>
  <c r="J152" i="8"/>
  <c r="J147" i="8"/>
  <c r="J142" i="8"/>
  <c r="J137" i="8"/>
  <c r="J132" i="8"/>
  <c r="J88" i="8"/>
  <c r="J168" i="8"/>
  <c r="J120" i="8"/>
  <c r="J97" i="8"/>
  <c r="J95" i="8"/>
  <c r="J93" i="8"/>
  <c r="J91" i="8"/>
  <c r="J156" i="8"/>
  <c r="J119" i="8"/>
  <c r="J103" i="8"/>
  <c r="J81" i="8"/>
  <c r="J199" i="8"/>
  <c r="J161" i="8"/>
  <c r="J124" i="8"/>
  <c r="J192" i="8"/>
  <c r="J186" i="8"/>
  <c r="J174" i="8"/>
  <c r="J59" i="8"/>
  <c r="J197" i="8"/>
  <c r="J191" i="8"/>
  <c r="J185" i="8"/>
  <c r="J166" i="8"/>
  <c r="J148" i="8"/>
  <c r="J136" i="8"/>
  <c r="J111" i="8"/>
  <c r="J50" i="8"/>
  <c r="J49" i="8"/>
  <c r="J159" i="8"/>
  <c r="J69" i="8"/>
  <c r="J67" i="8"/>
  <c r="J63" i="8"/>
  <c r="J51" i="8"/>
  <c r="J34" i="8"/>
  <c r="J33" i="8"/>
  <c r="J20" i="8"/>
  <c r="J151" i="8"/>
  <c r="J87" i="8"/>
  <c r="J195" i="8"/>
  <c r="J187" i="8"/>
  <c r="J180" i="8"/>
  <c r="J172" i="8"/>
  <c r="J113" i="8"/>
  <c r="J46" i="8"/>
  <c r="J201" i="8"/>
  <c r="J170" i="8"/>
  <c r="J163" i="8"/>
  <c r="J126" i="8"/>
  <c r="J118" i="8"/>
  <c r="J70" i="8"/>
  <c r="J198" i="8"/>
  <c r="J141" i="8"/>
  <c r="J108" i="8"/>
  <c r="J42" i="8"/>
  <c r="J3" i="8"/>
  <c r="J201" i="7"/>
  <c r="J187" i="7"/>
  <c r="J164" i="7"/>
  <c r="J141" i="7"/>
  <c r="J118" i="7"/>
  <c r="J89" i="7"/>
  <c r="J70" i="7"/>
  <c r="J54" i="7"/>
  <c r="J43" i="7"/>
  <c r="J32" i="7"/>
  <c r="J131" i="8"/>
  <c r="J54" i="8"/>
  <c r="J37" i="8"/>
  <c r="J4" i="8"/>
  <c r="J186" i="7"/>
  <c r="J163" i="7"/>
  <c r="J140" i="7"/>
  <c r="J103" i="7"/>
  <c r="J86" i="7"/>
  <c r="J176" i="8"/>
  <c r="J114" i="8"/>
  <c r="J100" i="8"/>
  <c r="J99" i="8"/>
  <c r="J10" i="8"/>
  <c r="J156" i="7"/>
  <c r="J151" i="7"/>
  <c r="J146" i="7"/>
  <c r="J91" i="7"/>
  <c r="J72" i="7"/>
  <c r="J83" i="8"/>
  <c r="J72" i="8"/>
  <c r="J29" i="8"/>
  <c r="J23" i="8"/>
  <c r="J8" i="8"/>
  <c r="J165" i="7"/>
  <c r="J160" i="7"/>
  <c r="J155" i="7"/>
  <c r="J101" i="7"/>
  <c r="J82" i="7"/>
  <c r="J75" i="7"/>
  <c r="J133" i="8"/>
  <c r="J80" i="8"/>
  <c r="J66" i="8"/>
  <c r="J55" i="8"/>
  <c r="J122" i="8"/>
  <c r="J102" i="8"/>
  <c r="J43" i="8"/>
  <c r="J35" i="8"/>
  <c r="J27" i="8"/>
  <c r="J25" i="8"/>
  <c r="J166" i="7"/>
  <c r="J149" i="7"/>
  <c r="J138" i="7"/>
  <c r="J127" i="7"/>
  <c r="J80" i="7"/>
  <c r="J57" i="7"/>
  <c r="J44" i="7"/>
  <c r="J35" i="7"/>
  <c r="J9" i="7"/>
  <c r="J150" i="8"/>
  <c r="J129" i="8"/>
  <c r="J9" i="8"/>
  <c r="J7" i="8"/>
  <c r="J159" i="7"/>
  <c r="J148" i="7"/>
  <c r="J137" i="7"/>
  <c r="J120" i="7"/>
  <c r="J109" i="7"/>
  <c r="J98" i="7"/>
  <c r="J37" i="7"/>
  <c r="J23" i="7"/>
  <c r="J304" i="6"/>
  <c r="J293" i="6"/>
  <c r="J282" i="6"/>
  <c r="J271" i="6"/>
  <c r="J261" i="6"/>
  <c r="J92" i="8"/>
  <c r="J78" i="8"/>
  <c r="J57" i="8"/>
  <c r="J17" i="8"/>
  <c r="J181" i="7"/>
  <c r="J175" i="7"/>
  <c r="J169" i="7"/>
  <c r="J157" i="7"/>
  <c r="J92" i="7"/>
  <c r="J182" i="8"/>
  <c r="J125" i="8"/>
  <c r="J53" i="8"/>
  <c r="J110" i="8"/>
  <c r="J96" i="8"/>
  <c r="J79" i="8"/>
  <c r="J86" i="8"/>
  <c r="J11" i="8"/>
  <c r="J144" i="7"/>
  <c r="J88" i="7"/>
  <c r="J51" i="7"/>
  <c r="J41" i="7"/>
  <c r="J19" i="7"/>
  <c r="J10" i="7"/>
  <c r="J160" i="8"/>
  <c r="J146" i="8"/>
  <c r="J107" i="8"/>
  <c r="J65" i="8"/>
  <c r="J58" i="8"/>
  <c r="J6" i="8"/>
  <c r="J2" i="8"/>
  <c r="J195" i="7"/>
  <c r="J189" i="7"/>
  <c r="J176" i="7"/>
  <c r="J131" i="7"/>
  <c r="J100" i="7"/>
  <c r="J96" i="7"/>
  <c r="J196" i="8"/>
  <c r="J183" i="8"/>
  <c r="J143" i="8"/>
  <c r="J116" i="8"/>
  <c r="J200" i="7"/>
  <c r="J174" i="7"/>
  <c r="J142" i="7"/>
  <c r="J129" i="7"/>
  <c r="J123" i="7"/>
  <c r="J110" i="7"/>
  <c r="J99" i="7"/>
  <c r="J104" i="8"/>
  <c r="J47" i="8"/>
  <c r="J191" i="7"/>
  <c r="J184" i="7"/>
  <c r="J132" i="7"/>
  <c r="J64" i="7"/>
  <c r="J48" i="7"/>
  <c r="J8" i="7"/>
  <c r="J283" i="6"/>
  <c r="J280" i="6"/>
  <c r="J260" i="6"/>
  <c r="J259" i="6"/>
  <c r="J164" i="8"/>
  <c r="J134" i="8"/>
  <c r="J85" i="8"/>
  <c r="J26" i="8"/>
  <c r="J12" i="8"/>
  <c r="J198" i="7"/>
  <c r="J69" i="7"/>
  <c r="J39" i="7"/>
  <c r="J25" i="7"/>
  <c r="J13" i="7"/>
  <c r="J303" i="6"/>
  <c r="J262" i="6"/>
  <c r="J61" i="8"/>
  <c r="J24" i="8"/>
  <c r="J197" i="7"/>
  <c r="J152" i="7"/>
  <c r="J145" i="7"/>
  <c r="J107" i="7"/>
  <c r="J139" i="8"/>
  <c r="J123" i="8"/>
  <c r="J89" i="8"/>
  <c r="J67" i="7"/>
  <c r="J175" i="8"/>
  <c r="J178" i="7"/>
  <c r="J134" i="7"/>
  <c r="J126" i="7"/>
  <c r="J108" i="7"/>
  <c r="J66" i="7"/>
  <c r="J55" i="7"/>
  <c r="J52" i="8"/>
  <c r="J36" i="8"/>
  <c r="J189" i="8"/>
  <c r="J173" i="8"/>
  <c r="J84" i="8"/>
  <c r="J188" i="8"/>
  <c r="J153" i="8"/>
  <c r="J56" i="8"/>
  <c r="J15" i="8"/>
  <c r="J14" i="8"/>
  <c r="J158" i="7"/>
  <c r="J133" i="7"/>
  <c r="J115" i="7"/>
  <c r="J94" i="8"/>
  <c r="J64" i="8"/>
  <c r="J28" i="8"/>
  <c r="J194" i="7"/>
  <c r="J124" i="7"/>
  <c r="J104" i="7"/>
  <c r="J32" i="8"/>
  <c r="J13" i="8"/>
  <c r="J173" i="7"/>
  <c r="J154" i="7"/>
  <c r="J79" i="7"/>
  <c r="J40" i="7"/>
  <c r="J30" i="7"/>
  <c r="J128" i="8"/>
  <c r="J68" i="8"/>
  <c r="J19" i="8"/>
  <c r="J193" i="7"/>
  <c r="J153" i="7"/>
  <c r="J143" i="7"/>
  <c r="J113" i="7"/>
  <c r="J77" i="8"/>
  <c r="J106" i="8"/>
  <c r="J44" i="8"/>
  <c r="J182" i="7"/>
  <c r="J122" i="7"/>
  <c r="J97" i="7"/>
  <c r="J169" i="8"/>
  <c r="J162" i="7"/>
  <c r="J121" i="7"/>
  <c r="J102" i="7"/>
  <c r="J158" i="8"/>
  <c r="J39" i="8"/>
  <c r="J185" i="7"/>
  <c r="J171" i="7"/>
  <c r="J184" i="8"/>
  <c r="J62" i="8"/>
  <c r="J130" i="7"/>
  <c r="J119" i="7"/>
  <c r="J45" i="8"/>
  <c r="J41" i="8"/>
  <c r="J106" i="7"/>
  <c r="J84" i="7"/>
  <c r="J76" i="7"/>
  <c r="J181" i="8"/>
  <c r="J145" i="8"/>
  <c r="J196" i="7"/>
  <c r="J170" i="7"/>
  <c r="J46" i="7"/>
  <c r="J178" i="8"/>
  <c r="J112" i="8"/>
  <c r="J73" i="8"/>
  <c r="J31" i="8"/>
  <c r="J192" i="7"/>
  <c r="J177" i="7"/>
  <c r="J4" i="7"/>
  <c r="J2" i="7"/>
  <c r="J165" i="8"/>
  <c r="J56" i="7"/>
  <c r="J42" i="7"/>
  <c r="J22" i="7"/>
  <c r="J115" i="8"/>
  <c r="J21" i="8"/>
  <c r="J190" i="7"/>
  <c r="J68" i="7"/>
  <c r="J61" i="7"/>
  <c r="J20" i="7"/>
  <c r="J24" i="7"/>
  <c r="J74" i="7"/>
  <c r="J71" i="7"/>
  <c r="J33" i="7"/>
  <c r="J26" i="7"/>
  <c r="J109" i="8"/>
  <c r="J5" i="8"/>
  <c r="J172" i="7"/>
  <c r="J116" i="7"/>
  <c r="J77" i="7"/>
  <c r="J179" i="7"/>
  <c r="J52" i="7"/>
  <c r="J308" i="6"/>
  <c r="J296" i="6"/>
  <c r="J291" i="6"/>
  <c r="J30" i="8"/>
  <c r="J150" i="7"/>
  <c r="J128" i="7"/>
  <c r="J311" i="6"/>
  <c r="J167" i="8"/>
  <c r="J105" i="7"/>
  <c r="J83" i="7"/>
  <c r="J93" i="7"/>
  <c r="J49" i="7"/>
  <c r="J11" i="7"/>
  <c r="J199" i="7"/>
  <c r="J85" i="7"/>
  <c r="J60" i="7"/>
  <c r="J45" i="7"/>
  <c r="J5" i="7"/>
  <c r="J58" i="7"/>
  <c r="J53" i="7"/>
  <c r="J168" i="7"/>
  <c r="J38" i="7"/>
  <c r="J28" i="7"/>
  <c r="J194" i="8"/>
  <c r="J40" i="8"/>
  <c r="J190" i="8"/>
  <c r="J299" i="6"/>
  <c r="J298" i="6"/>
  <c r="J289" i="6"/>
  <c r="J125" i="7"/>
  <c r="J81" i="7"/>
  <c r="J65" i="7"/>
  <c r="J313" i="6"/>
  <c r="J292" i="6"/>
  <c r="J274" i="6"/>
  <c r="J76" i="8"/>
  <c r="J95" i="7"/>
  <c r="J87" i="7"/>
  <c r="J36" i="7"/>
  <c r="J31" i="7"/>
  <c r="J312" i="6"/>
  <c r="J50" i="7"/>
  <c r="J3" i="7"/>
  <c r="J75" i="8"/>
  <c r="J188" i="7"/>
  <c r="J62" i="7"/>
  <c r="J180" i="7"/>
  <c r="J135" i="7"/>
  <c r="J248" i="6"/>
  <c r="J237" i="6"/>
  <c r="J226" i="6"/>
  <c r="J215" i="6"/>
  <c r="J130" i="8"/>
  <c r="J112" i="7"/>
  <c r="J309" i="6"/>
  <c r="J288" i="6"/>
  <c r="J247" i="6"/>
  <c r="J236" i="6"/>
  <c r="J12" i="7"/>
  <c r="J269" i="6"/>
  <c r="J268" i="6"/>
  <c r="J239" i="6"/>
  <c r="J63" i="7"/>
  <c r="J285" i="6"/>
  <c r="J218" i="6"/>
  <c r="J21" i="7"/>
  <c r="J301" i="6"/>
  <c r="J256" i="6"/>
  <c r="J240" i="6"/>
  <c r="J90" i="8"/>
  <c r="J38" i="8"/>
  <c r="J73" i="7"/>
  <c r="J34" i="7"/>
  <c r="J286" i="6"/>
  <c r="J217" i="6"/>
  <c r="J16" i="8"/>
  <c r="J17" i="7"/>
  <c r="J306" i="6"/>
  <c r="J294" i="6"/>
  <c r="J249" i="6"/>
  <c r="J147" i="7"/>
  <c r="J287" i="6"/>
  <c r="J264" i="6"/>
  <c r="J241" i="6"/>
  <c r="J230" i="6"/>
  <c r="J229" i="6"/>
  <c r="J228" i="6"/>
  <c r="J144" i="8"/>
  <c r="J250" i="6"/>
  <c r="J231" i="6"/>
  <c r="J78" i="7"/>
  <c r="J267" i="6"/>
  <c r="J6" i="7"/>
  <c r="J307" i="6"/>
  <c r="J209" i="6"/>
  <c r="J198" i="6"/>
  <c r="J187" i="6"/>
  <c r="J176" i="6"/>
  <c r="J165" i="6"/>
  <c r="J154" i="6"/>
  <c r="J143" i="6"/>
  <c r="J132" i="6"/>
  <c r="J121" i="6"/>
  <c r="J167" i="7"/>
  <c r="J281" i="6"/>
  <c r="J232" i="6"/>
  <c r="J59" i="7"/>
  <c r="J47" i="7"/>
  <c r="J27" i="7"/>
  <c r="J253" i="6"/>
  <c r="J246" i="6"/>
  <c r="J222" i="6"/>
  <c r="J203" i="6"/>
  <c r="J192" i="6"/>
  <c r="J181" i="6"/>
  <c r="J170" i="6"/>
  <c r="J159" i="6"/>
  <c r="J148" i="6"/>
  <c r="J137" i="6"/>
  <c r="J126" i="6"/>
  <c r="J115" i="6"/>
  <c r="J138" i="8"/>
  <c r="J310" i="6"/>
  <c r="J242" i="6"/>
  <c r="J235" i="6"/>
  <c r="J216" i="6"/>
  <c r="J284" i="6"/>
  <c r="J265" i="6"/>
  <c r="J224" i="6"/>
  <c r="J214" i="6"/>
  <c r="J208" i="6"/>
  <c r="J197" i="6"/>
  <c r="J186" i="6"/>
  <c r="J175" i="6"/>
  <c r="J164" i="6"/>
  <c r="J153" i="6"/>
  <c r="J142" i="6"/>
  <c r="J131" i="6"/>
  <c r="J120" i="6"/>
  <c r="J135" i="8"/>
  <c r="J297" i="6"/>
  <c r="J279" i="6"/>
  <c r="J266" i="6"/>
  <c r="J213" i="6"/>
  <c r="J202" i="6"/>
  <c r="J191" i="6"/>
  <c r="J180" i="6"/>
  <c r="J169" i="6"/>
  <c r="J158" i="6"/>
  <c r="J147" i="6"/>
  <c r="J136" i="6"/>
  <c r="J125" i="6"/>
  <c r="J98" i="8"/>
  <c r="J252" i="6"/>
  <c r="J212" i="6"/>
  <c r="J167" i="6"/>
  <c r="J114" i="6"/>
  <c r="J257" i="6"/>
  <c r="J204" i="6"/>
  <c r="J173" i="6"/>
  <c r="J128" i="6"/>
  <c r="J103" i="6"/>
  <c r="J92" i="6"/>
  <c r="J81" i="6"/>
  <c r="J22" i="8"/>
  <c r="J305" i="6"/>
  <c r="J243" i="6"/>
  <c r="J219" i="6"/>
  <c r="J210" i="6"/>
  <c r="J179" i="6"/>
  <c r="J134" i="6"/>
  <c r="J94" i="7"/>
  <c r="J16" i="7"/>
  <c r="J244" i="6"/>
  <c r="J185" i="6"/>
  <c r="J171" i="6"/>
  <c r="J140" i="6"/>
  <c r="J117" i="6"/>
  <c r="J108" i="6"/>
  <c r="J97" i="6"/>
  <c r="J86" i="6"/>
  <c r="J75" i="6"/>
  <c r="J64" i="6"/>
  <c r="J245" i="6"/>
  <c r="J221" i="6"/>
  <c r="J177" i="6"/>
  <c r="J146" i="6"/>
  <c r="J223" i="6"/>
  <c r="J183" i="6"/>
  <c r="J152" i="6"/>
  <c r="J138" i="6"/>
  <c r="J122" i="6"/>
  <c r="J102" i="6"/>
  <c r="J91" i="6"/>
  <c r="J80" i="6"/>
  <c r="J69" i="6"/>
  <c r="J90" i="7"/>
  <c r="J7" i="7"/>
  <c r="J300" i="6"/>
  <c r="J276" i="6"/>
  <c r="J195" i="6"/>
  <c r="J150" i="6"/>
  <c r="J107" i="6"/>
  <c r="J96" i="6"/>
  <c r="J85" i="6"/>
  <c r="J74" i="6"/>
  <c r="J263" i="6"/>
  <c r="J251" i="6"/>
  <c r="J205" i="6"/>
  <c r="J139" i="6"/>
  <c r="J111" i="6"/>
  <c r="J109" i="6"/>
  <c r="J78" i="6"/>
  <c r="J29" i="7"/>
  <c r="J15" i="7"/>
  <c r="J129" i="6"/>
  <c r="J84" i="6"/>
  <c r="J67" i="6"/>
  <c r="J62" i="6"/>
  <c r="J47" i="6"/>
  <c r="J36" i="6"/>
  <c r="J25" i="6"/>
  <c r="J272" i="6"/>
  <c r="J234" i="6"/>
  <c r="J206" i="6"/>
  <c r="J199" i="6"/>
  <c r="J133" i="6"/>
  <c r="J90" i="6"/>
  <c r="J76" i="6"/>
  <c r="J61" i="6"/>
  <c r="J258" i="6"/>
  <c r="J196" i="6"/>
  <c r="J130" i="6"/>
  <c r="J82" i="6"/>
  <c r="J63" i="6"/>
  <c r="J52" i="6"/>
  <c r="J41" i="6"/>
  <c r="J30" i="6"/>
  <c r="J136" i="7"/>
  <c r="J220" i="6"/>
  <c r="J200" i="6"/>
  <c r="J193" i="6"/>
  <c r="J189" i="6"/>
  <c r="J127" i="6"/>
  <c r="J88" i="6"/>
  <c r="J71" i="6"/>
  <c r="J60" i="6"/>
  <c r="J14" i="7"/>
  <c r="J190" i="6"/>
  <c r="J94" i="6"/>
  <c r="J68" i="6"/>
  <c r="J59" i="6"/>
  <c r="J46" i="6"/>
  <c r="J35" i="6"/>
  <c r="J24" i="6"/>
  <c r="J275" i="6"/>
  <c r="J194" i="6"/>
  <c r="J124" i="6"/>
  <c r="J123" i="6"/>
  <c r="J100" i="6"/>
  <c r="J114" i="7"/>
  <c r="J254" i="6"/>
  <c r="J184" i="6"/>
  <c r="J106" i="6"/>
  <c r="J58" i="6"/>
  <c r="J51" i="6"/>
  <c r="J40" i="6"/>
  <c r="J29" i="6"/>
  <c r="J278" i="6"/>
  <c r="J188" i="6"/>
  <c r="J207" i="6"/>
  <c r="J95" i="6"/>
  <c r="J93" i="6"/>
  <c r="J54" i="6"/>
  <c r="J31" i="6"/>
  <c r="J28" i="6"/>
  <c r="J22" i="6"/>
  <c r="J11" i="6"/>
  <c r="J901" i="5"/>
  <c r="J890" i="5"/>
  <c r="J879" i="5"/>
  <c r="J868" i="5"/>
  <c r="J857" i="5"/>
  <c r="J846" i="5"/>
  <c r="J835" i="5"/>
  <c r="J824" i="5"/>
  <c r="J813" i="5"/>
  <c r="J802" i="5"/>
  <c r="J791" i="5"/>
  <c r="J780" i="5"/>
  <c r="J769" i="5"/>
  <c r="J758" i="5"/>
  <c r="J747" i="5"/>
  <c r="J736" i="5"/>
  <c r="J725" i="5"/>
  <c r="J714" i="5"/>
  <c r="J703" i="5"/>
  <c r="J692" i="5"/>
  <c r="J681" i="5"/>
  <c r="J670" i="5"/>
  <c r="J659" i="5"/>
  <c r="J648" i="5"/>
  <c r="J637" i="5"/>
  <c r="J626" i="5"/>
  <c r="J615" i="5"/>
  <c r="J604" i="5"/>
  <c r="J593" i="5"/>
  <c r="J582" i="5"/>
  <c r="J571" i="5"/>
  <c r="J560" i="5"/>
  <c r="J549" i="5"/>
  <c r="J538" i="5"/>
  <c r="J527" i="5"/>
  <c r="J18" i="7"/>
  <c r="J233" i="6"/>
  <c r="J225" i="6"/>
  <c r="J182" i="6"/>
  <c r="J174" i="6"/>
  <c r="J145" i="6"/>
  <c r="J33" i="6"/>
  <c r="J16" i="6"/>
  <c r="J5" i="6"/>
  <c r="J897" i="5"/>
  <c r="J886" i="5"/>
  <c r="J875" i="5"/>
  <c r="J864" i="5"/>
  <c r="J853" i="5"/>
  <c r="J842" i="5"/>
  <c r="J831" i="5"/>
  <c r="J820" i="5"/>
  <c r="J809" i="5"/>
  <c r="J798" i="5"/>
  <c r="J787" i="5"/>
  <c r="J776" i="5"/>
  <c r="J765" i="5"/>
  <c r="J754" i="5"/>
  <c r="J743" i="5"/>
  <c r="J732" i="5"/>
  <c r="J721" i="5"/>
  <c r="J710" i="5"/>
  <c r="J699" i="5"/>
  <c r="J688" i="5"/>
  <c r="J227" i="6"/>
  <c r="J151" i="6"/>
  <c r="J112" i="6"/>
  <c r="J98" i="6"/>
  <c r="J116" i="6"/>
  <c r="J56" i="6"/>
  <c r="J38" i="6"/>
  <c r="J21" i="6"/>
  <c r="J10" i="6"/>
  <c r="J904" i="5"/>
  <c r="J893" i="5"/>
  <c r="J882" i="5"/>
  <c r="J871" i="5"/>
  <c r="J860" i="5"/>
  <c r="J849" i="5"/>
  <c r="J838" i="5"/>
  <c r="J827" i="5"/>
  <c r="J816" i="5"/>
  <c r="J805" i="5"/>
  <c r="J794" i="5"/>
  <c r="J783" i="5"/>
  <c r="J772" i="5"/>
  <c r="J761" i="5"/>
  <c r="J750" i="5"/>
  <c r="J739" i="5"/>
  <c r="J728" i="5"/>
  <c r="J717" i="5"/>
  <c r="J706" i="5"/>
  <c r="J695" i="5"/>
  <c r="J684" i="5"/>
  <c r="J673" i="5"/>
  <c r="J662" i="5"/>
  <c r="J651" i="5"/>
  <c r="J640" i="5"/>
  <c r="J629" i="5"/>
  <c r="J618" i="5"/>
  <c r="J607" i="5"/>
  <c r="J596" i="5"/>
  <c r="J585" i="5"/>
  <c r="J574" i="5"/>
  <c r="J563" i="5"/>
  <c r="J552" i="5"/>
  <c r="J541" i="5"/>
  <c r="J530" i="5"/>
  <c r="J238" i="6"/>
  <c r="J157" i="6"/>
  <c r="J113" i="6"/>
  <c r="J111" i="7"/>
  <c r="J160" i="6"/>
  <c r="J43" i="6"/>
  <c r="J15" i="6"/>
  <c r="J4" i="6"/>
  <c r="J900" i="5"/>
  <c r="J889" i="5"/>
  <c r="J878" i="5"/>
  <c r="J867" i="5"/>
  <c r="J856" i="5"/>
  <c r="J845" i="5"/>
  <c r="J834" i="5"/>
  <c r="J823" i="5"/>
  <c r="J812" i="5"/>
  <c r="J801" i="5"/>
  <c r="J790" i="5"/>
  <c r="J779" i="5"/>
  <c r="J768" i="5"/>
  <c r="J757" i="5"/>
  <c r="J746" i="5"/>
  <c r="J735" i="5"/>
  <c r="J724" i="5"/>
  <c r="J713" i="5"/>
  <c r="J702" i="5"/>
  <c r="J691" i="5"/>
  <c r="J680" i="5"/>
  <c r="J669" i="5"/>
  <c r="J658" i="5"/>
  <c r="J647" i="5"/>
  <c r="J636" i="5"/>
  <c r="J625" i="5"/>
  <c r="J614" i="5"/>
  <c r="J603" i="5"/>
  <c r="J592" i="5"/>
  <c r="J581" i="5"/>
  <c r="J570" i="5"/>
  <c r="J559" i="5"/>
  <c r="J548" i="5"/>
  <c r="J537" i="5"/>
  <c r="J526" i="5"/>
  <c r="J211" i="6"/>
  <c r="J168" i="6"/>
  <c r="J17" i="6"/>
  <c r="J8" i="6"/>
  <c r="J866" i="5"/>
  <c r="J814" i="5"/>
  <c r="J771" i="5"/>
  <c r="J762" i="5"/>
  <c r="J719" i="5"/>
  <c r="J578" i="5"/>
  <c r="J543" i="5"/>
  <c r="J522" i="5"/>
  <c r="J511" i="5"/>
  <c r="J500" i="5"/>
  <c r="J489" i="5"/>
  <c r="J478" i="5"/>
  <c r="J467" i="5"/>
  <c r="J456" i="5"/>
  <c r="J445" i="5"/>
  <c r="J434" i="5"/>
  <c r="J423" i="5"/>
  <c r="J412" i="5"/>
  <c r="J401" i="5"/>
  <c r="J390" i="5"/>
  <c r="J379" i="5"/>
  <c r="J368" i="5"/>
  <c r="J357" i="5"/>
  <c r="J346" i="5"/>
  <c r="J335" i="5"/>
  <c r="J324" i="5"/>
  <c r="J313" i="5"/>
  <c r="J302" i="5"/>
  <c r="J291" i="5"/>
  <c r="J280" i="5"/>
  <c r="J269" i="5"/>
  <c r="J258" i="5"/>
  <c r="J247" i="5"/>
  <c r="J236" i="5"/>
  <c r="J225" i="5"/>
  <c r="J214" i="5"/>
  <c r="J203" i="5"/>
  <c r="J192" i="5"/>
  <c r="J181" i="5"/>
  <c r="J170" i="5"/>
  <c r="J159" i="5"/>
  <c r="J163" i="6"/>
  <c r="J70" i="6"/>
  <c r="J880" i="5"/>
  <c r="J837" i="5"/>
  <c r="J828" i="5"/>
  <c r="J785" i="5"/>
  <c r="J742" i="5"/>
  <c r="J733" i="5"/>
  <c r="J690" i="5"/>
  <c r="J600" i="5"/>
  <c r="J551" i="5"/>
  <c r="J518" i="5"/>
  <c r="J507" i="5"/>
  <c r="J496" i="5"/>
  <c r="J485" i="5"/>
  <c r="J474" i="5"/>
  <c r="J463" i="5"/>
  <c r="J452" i="5"/>
  <c r="J441" i="5"/>
  <c r="J430" i="5"/>
  <c r="J419" i="5"/>
  <c r="J408" i="5"/>
  <c r="J397" i="5"/>
  <c r="J386" i="5"/>
  <c r="J375" i="5"/>
  <c r="J364" i="5"/>
  <c r="J353" i="5"/>
  <c r="J342" i="5"/>
  <c r="J331" i="5"/>
  <c r="J320" i="5"/>
  <c r="J309" i="5"/>
  <c r="J298" i="5"/>
  <c r="J287" i="5"/>
  <c r="J276" i="5"/>
  <c r="J265" i="5"/>
  <c r="J254" i="5"/>
  <c r="J243" i="5"/>
  <c r="J232" i="5"/>
  <c r="J221" i="5"/>
  <c r="J210" i="5"/>
  <c r="J199" i="5"/>
  <c r="J188" i="5"/>
  <c r="J177" i="5"/>
  <c r="J166" i="5"/>
  <c r="J155" i="5"/>
  <c r="J144" i="5"/>
  <c r="J133" i="5"/>
  <c r="J122" i="5"/>
  <c r="J161" i="6"/>
  <c r="J104" i="6"/>
  <c r="J903" i="5"/>
  <c r="J894" i="5"/>
  <c r="J851" i="5"/>
  <c r="J808" i="5"/>
  <c r="J799" i="5"/>
  <c r="J756" i="5"/>
  <c r="J704" i="5"/>
  <c r="J622" i="5"/>
  <c r="J514" i="5"/>
  <c r="J503" i="5"/>
  <c r="J492" i="5"/>
  <c r="J481" i="5"/>
  <c r="J470" i="5"/>
  <c r="J459" i="5"/>
  <c r="J448" i="5"/>
  <c r="J437" i="5"/>
  <c r="J426" i="5"/>
  <c r="J415" i="5"/>
  <c r="J404" i="5"/>
  <c r="J393" i="5"/>
  <c r="J382" i="5"/>
  <c r="J371" i="5"/>
  <c r="J360" i="5"/>
  <c r="J349" i="5"/>
  <c r="J338" i="5"/>
  <c r="J327" i="5"/>
  <c r="J316" i="5"/>
  <c r="J305" i="5"/>
  <c r="J294" i="5"/>
  <c r="J283" i="5"/>
  <c r="J272" i="5"/>
  <c r="J261" i="5"/>
  <c r="J250" i="5"/>
  <c r="J239" i="5"/>
  <c r="J228" i="5"/>
  <c r="J217" i="5"/>
  <c r="J206" i="5"/>
  <c r="J195" i="5"/>
  <c r="J184" i="5"/>
  <c r="J173" i="5"/>
  <c r="J162" i="5"/>
  <c r="J151" i="5"/>
  <c r="J140" i="5"/>
  <c r="J129" i="5"/>
  <c r="J118" i="5"/>
  <c r="J119" i="6"/>
  <c r="J101" i="6"/>
  <c r="J884" i="5"/>
  <c r="J841" i="5"/>
  <c r="J832" i="5"/>
  <c r="J789" i="5"/>
  <c r="J737" i="5"/>
  <c r="J694" i="5"/>
  <c r="J685" i="5"/>
  <c r="J671" i="5"/>
  <c r="J653" i="5"/>
  <c r="J635" i="5"/>
  <c r="J617" i="5"/>
  <c r="J599" i="5"/>
  <c r="J586" i="5"/>
  <c r="J568" i="5"/>
  <c r="J525" i="5"/>
  <c r="J156" i="6"/>
  <c r="J65" i="6"/>
  <c r="J18" i="6"/>
  <c r="J874" i="5"/>
  <c r="J865" i="5"/>
  <c r="J822" i="5"/>
  <c r="J770" i="5"/>
  <c r="J727" i="5"/>
  <c r="J718" i="5"/>
  <c r="J644" i="5"/>
  <c r="J542" i="5"/>
  <c r="J529" i="5"/>
  <c r="J521" i="5"/>
  <c r="J510" i="5"/>
  <c r="J499" i="5"/>
  <c r="J488" i="5"/>
  <c r="J477" i="5"/>
  <c r="J466" i="5"/>
  <c r="J455" i="5"/>
  <c r="J444" i="5"/>
  <c r="J433" i="5"/>
  <c r="J422" i="5"/>
  <c r="J411" i="5"/>
  <c r="J400" i="5"/>
  <c r="J389" i="5"/>
  <c r="J378" i="5"/>
  <c r="J367" i="5"/>
  <c r="J356" i="5"/>
  <c r="J345" i="5"/>
  <c r="J334" i="5"/>
  <c r="J323" i="5"/>
  <c r="J312" i="5"/>
  <c r="J301" i="5"/>
  <c r="J290" i="5"/>
  <c r="J279" i="5"/>
  <c r="J268" i="5"/>
  <c r="J257" i="5"/>
  <c r="J246" i="5"/>
  <c r="J235" i="5"/>
  <c r="J224" i="5"/>
  <c r="J213" i="5"/>
  <c r="J202" i="5"/>
  <c r="J191" i="5"/>
  <c r="J180" i="5"/>
  <c r="J169" i="5"/>
  <c r="J158" i="5"/>
  <c r="J147" i="5"/>
  <c r="J136" i="5"/>
  <c r="J125" i="5"/>
  <c r="J114" i="5"/>
  <c r="J273" i="6"/>
  <c r="J898" i="5"/>
  <c r="J855" i="5"/>
  <c r="J803" i="5"/>
  <c r="J760" i="5"/>
  <c r="J751" i="5"/>
  <c r="J708" i="5"/>
  <c r="J675" i="5"/>
  <c r="J657" i="5"/>
  <c r="J639" i="5"/>
  <c r="J621" i="5"/>
  <c r="J608" i="5"/>
  <c r="J590" i="5"/>
  <c r="J572" i="5"/>
  <c r="J546" i="5"/>
  <c r="J533" i="5"/>
  <c r="J99" i="6"/>
  <c r="J89" i="6"/>
  <c r="J7" i="6"/>
  <c r="J899" i="5"/>
  <c r="J859" i="5"/>
  <c r="J847" i="5"/>
  <c r="J807" i="5"/>
  <c r="J795" i="5"/>
  <c r="J755" i="5"/>
  <c r="J683" i="5"/>
  <c r="J591" i="5"/>
  <c r="J515" i="5"/>
  <c r="J484" i="5"/>
  <c r="J469" i="5"/>
  <c r="J454" i="5"/>
  <c r="J439" i="5"/>
  <c r="J424" i="5"/>
  <c r="J409" i="5"/>
  <c r="J394" i="5"/>
  <c r="J363" i="5"/>
  <c r="J348" i="5"/>
  <c r="J333" i="5"/>
  <c r="J318" i="5"/>
  <c r="J303" i="5"/>
  <c r="J288" i="5"/>
  <c r="J273" i="5"/>
  <c r="J242" i="5"/>
  <c r="J227" i="5"/>
  <c r="J212" i="5"/>
  <c r="J193" i="5"/>
  <c r="J103" i="5"/>
  <c r="J92" i="5"/>
  <c r="J81" i="5"/>
  <c r="J70" i="5"/>
  <c r="J59" i="5"/>
  <c r="J48" i="5"/>
  <c r="J37" i="5"/>
  <c r="J26" i="5"/>
  <c r="J15" i="5"/>
  <c r="J4" i="5"/>
  <c r="J535" i="5"/>
  <c r="J21" i="5"/>
  <c r="J32" i="6"/>
  <c r="J9" i="6"/>
  <c r="J863" i="5"/>
  <c r="J818" i="5"/>
  <c r="J759" i="5"/>
  <c r="J687" i="5"/>
  <c r="J650" i="5"/>
  <c r="J594" i="5"/>
  <c r="J588" i="5"/>
  <c r="J564" i="5"/>
  <c r="J153" i="5"/>
  <c r="J113" i="5"/>
  <c r="J144" i="6"/>
  <c r="J155" i="6"/>
  <c r="J105" i="6"/>
  <c r="J57" i="6"/>
  <c r="J50" i="6"/>
  <c r="J27" i="6"/>
  <c r="J826" i="5"/>
  <c r="J774" i="5"/>
  <c r="J722" i="5"/>
  <c r="J652" i="5"/>
  <c r="J646" i="5"/>
  <c r="J597" i="5"/>
  <c r="J584" i="5"/>
  <c r="J531" i="5"/>
  <c r="J183" i="5"/>
  <c r="J174" i="5"/>
  <c r="J150" i="5"/>
  <c r="J137" i="5"/>
  <c r="J132" i="5"/>
  <c r="J119" i="5"/>
  <c r="J18" i="8"/>
  <c r="J255" i="6"/>
  <c r="J793" i="5"/>
  <c r="J741" i="5"/>
  <c r="J709" i="5"/>
  <c r="J689" i="5"/>
  <c r="J677" i="5"/>
  <c r="J609" i="5"/>
  <c r="J536" i="5"/>
  <c r="J509" i="5"/>
  <c r="J494" i="5"/>
  <c r="J479" i="5"/>
  <c r="J464" i="5"/>
  <c r="J449" i="5"/>
  <c r="J418" i="5"/>
  <c r="J403" i="5"/>
  <c r="J388" i="5"/>
  <c r="J373" i="5"/>
  <c r="J358" i="5"/>
  <c r="J343" i="5"/>
  <c r="J328" i="5"/>
  <c r="J297" i="5"/>
  <c r="J282" i="5"/>
  <c r="J267" i="5"/>
  <c r="J252" i="5"/>
  <c r="J237" i="5"/>
  <c r="J222" i="5"/>
  <c r="J207" i="5"/>
  <c r="J164" i="5"/>
  <c r="J99" i="5"/>
  <c r="J88" i="5"/>
  <c r="J77" i="5"/>
  <c r="J66" i="5"/>
  <c r="J55" i="5"/>
  <c r="J44" i="5"/>
  <c r="J33" i="5"/>
  <c r="J22" i="5"/>
  <c r="J11" i="5"/>
  <c r="J12" i="6"/>
  <c r="J905" i="5"/>
  <c r="J885" i="5"/>
  <c r="J833" i="5"/>
  <c r="J781" i="5"/>
  <c r="J729" i="5"/>
  <c r="J664" i="5"/>
  <c r="J524" i="5"/>
  <c r="J197" i="5"/>
  <c r="J154" i="5"/>
  <c r="J10" i="5"/>
  <c r="J87" i="6"/>
  <c r="J77" i="6"/>
  <c r="J42" i="6"/>
  <c r="J602" i="5"/>
  <c r="J141" i="5"/>
  <c r="J123" i="5"/>
  <c r="J110" i="5"/>
  <c r="J6" i="6"/>
  <c r="J870" i="5"/>
  <c r="J811" i="5"/>
  <c r="J766" i="5"/>
  <c r="J707" i="5"/>
  <c r="J656" i="5"/>
  <c r="J643" i="5"/>
  <c r="J613" i="5"/>
  <c r="J601" i="5"/>
  <c r="J205" i="5"/>
  <c r="J196" i="5"/>
  <c r="J135" i="5"/>
  <c r="J109" i="5"/>
  <c r="J295" i="6"/>
  <c r="J178" i="6"/>
  <c r="J172" i="6"/>
  <c r="J141" i="6"/>
  <c r="J118" i="6"/>
  <c r="J872" i="5"/>
  <c r="J852" i="5"/>
  <c r="J800" i="5"/>
  <c r="J748" i="5"/>
  <c r="J696" i="5"/>
  <c r="J676" i="5"/>
  <c r="J633" i="5"/>
  <c r="J627" i="5"/>
  <c r="J519" i="5"/>
  <c r="J504" i="5"/>
  <c r="J473" i="5"/>
  <c r="J458" i="5"/>
  <c r="J443" i="5"/>
  <c r="J428" i="5"/>
  <c r="J413" i="5"/>
  <c r="J398" i="5"/>
  <c r="J383" i="5"/>
  <c r="J352" i="5"/>
  <c r="J337" i="5"/>
  <c r="J322" i="5"/>
  <c r="J307" i="5"/>
  <c r="J292" i="5"/>
  <c r="J277" i="5"/>
  <c r="J262" i="5"/>
  <c r="J231" i="5"/>
  <c r="J216" i="5"/>
  <c r="J187" i="5"/>
  <c r="J178" i="5"/>
  <c r="J106" i="5"/>
  <c r="J95" i="5"/>
  <c r="J84" i="5"/>
  <c r="J73" i="5"/>
  <c r="J62" i="5"/>
  <c r="J51" i="5"/>
  <c r="J40" i="5"/>
  <c r="J29" i="5"/>
  <c r="J18" i="5"/>
  <c r="J7" i="5"/>
  <c r="J844" i="5"/>
  <c r="J792" i="5"/>
  <c r="J740" i="5"/>
  <c r="J663" i="5"/>
  <c r="J493" i="5"/>
  <c r="J76" i="5"/>
  <c r="J54" i="5"/>
  <c r="J73" i="6"/>
  <c r="J66" i="6"/>
  <c r="J39" i="6"/>
  <c r="J891" i="5"/>
  <c r="J839" i="5"/>
  <c r="J819" i="5"/>
  <c r="J767" i="5"/>
  <c r="J715" i="5"/>
  <c r="J620" i="5"/>
  <c r="J577" i="5"/>
  <c r="J565" i="5"/>
  <c r="J553" i="5"/>
  <c r="J168" i="5"/>
  <c r="J145" i="5"/>
  <c r="J127" i="5"/>
  <c r="J447" i="5"/>
  <c r="J432" i="5"/>
  <c r="J402" i="5"/>
  <c r="J387" i="5"/>
  <c r="J341" i="5"/>
  <c r="J311" i="5"/>
  <c r="J296" i="5"/>
  <c r="J220" i="5"/>
  <c r="J172" i="5"/>
  <c r="J163" i="5"/>
  <c r="J87" i="5"/>
  <c r="J43" i="5"/>
  <c r="J32" i="5"/>
  <c r="J883" i="5"/>
  <c r="J540" i="5"/>
  <c r="J135" i="6"/>
  <c r="J858" i="5"/>
  <c r="J806" i="5"/>
  <c r="J786" i="5"/>
  <c r="J734" i="5"/>
  <c r="J682" i="5"/>
  <c r="J645" i="5"/>
  <c r="J589" i="5"/>
  <c r="J558" i="5"/>
  <c r="J547" i="5"/>
  <c r="J513" i="5"/>
  <c r="J498" i="5"/>
  <c r="J483" i="5"/>
  <c r="J468" i="5"/>
  <c r="J453" i="5"/>
  <c r="J438" i="5"/>
  <c r="J407" i="5"/>
  <c r="J392" i="5"/>
  <c r="J377" i="5"/>
  <c r="J362" i="5"/>
  <c r="J347" i="5"/>
  <c r="J332" i="5"/>
  <c r="J317" i="5"/>
  <c r="J286" i="5"/>
  <c r="J271" i="5"/>
  <c r="J256" i="5"/>
  <c r="J241" i="5"/>
  <c r="J226" i="5"/>
  <c r="J211" i="5"/>
  <c r="J201" i="5"/>
  <c r="J102" i="5"/>
  <c r="J91" i="5"/>
  <c r="J80" i="5"/>
  <c r="J69" i="5"/>
  <c r="J58" i="5"/>
  <c r="J47" i="5"/>
  <c r="J36" i="5"/>
  <c r="J25" i="5"/>
  <c r="J14" i="5"/>
  <c r="J3" i="5"/>
  <c r="J896" i="5"/>
  <c r="J720" i="5"/>
  <c r="J523" i="5"/>
  <c r="J508" i="5"/>
  <c r="J462" i="5"/>
  <c r="J417" i="5"/>
  <c r="J372" i="5"/>
  <c r="J326" i="5"/>
  <c r="J281" i="5"/>
  <c r="J266" i="5"/>
  <c r="J251" i="5"/>
  <c r="J98" i="5"/>
  <c r="J65" i="5"/>
  <c r="J55" i="6"/>
  <c r="J117" i="5"/>
  <c r="J270" i="6"/>
  <c r="J877" i="5"/>
  <c r="J825" i="5"/>
  <c r="J773" i="5"/>
  <c r="J753" i="5"/>
  <c r="J701" i="5"/>
  <c r="J638" i="5"/>
  <c r="J632" i="5"/>
  <c r="J595" i="5"/>
  <c r="J583" i="5"/>
  <c r="J576" i="5"/>
  <c r="J182" i="5"/>
  <c r="J149" i="5"/>
  <c r="J131" i="5"/>
  <c r="J166" i="6"/>
  <c r="J19" i="6"/>
  <c r="J14" i="6"/>
  <c r="J2" i="6"/>
  <c r="J810" i="5"/>
  <c r="J775" i="5"/>
  <c r="J738" i="5"/>
  <c r="J667" i="5"/>
  <c r="J634" i="5"/>
  <c r="J623" i="5"/>
  <c r="J566" i="5"/>
  <c r="J555" i="5"/>
  <c r="J190" i="5"/>
  <c r="J179" i="5"/>
  <c r="J57" i="5"/>
  <c r="J641" i="5"/>
  <c r="J230" i="5"/>
  <c r="J126" i="5"/>
  <c r="J277" i="6"/>
  <c r="J26" i="6"/>
  <c r="J881" i="5"/>
  <c r="J784" i="5"/>
  <c r="J712" i="5"/>
  <c r="J666" i="5"/>
  <c r="J655" i="5"/>
  <c r="J512" i="5"/>
  <c r="J502" i="5"/>
  <c r="J384" i="5"/>
  <c r="J374" i="5"/>
  <c r="J365" i="5"/>
  <c r="J355" i="5"/>
  <c r="J336" i="5"/>
  <c r="J218" i="5"/>
  <c r="J208" i="5"/>
  <c r="J156" i="5"/>
  <c r="J74" i="5"/>
  <c r="J67" i="5"/>
  <c r="J60" i="5"/>
  <c r="J53" i="5"/>
  <c r="J46" i="5"/>
  <c r="J39" i="5"/>
  <c r="J48" i="6"/>
  <c r="J829" i="5"/>
  <c r="J361" i="5"/>
  <c r="J233" i="5"/>
  <c r="J71" i="5"/>
  <c r="J396" i="5"/>
  <c r="J887" i="5"/>
  <c r="J815" i="5"/>
  <c r="J461" i="5"/>
  <c r="J314" i="5"/>
  <c r="J295" i="5"/>
  <c r="J194" i="5"/>
  <c r="J30" i="5"/>
  <c r="J9" i="5"/>
  <c r="J13" i="6"/>
  <c r="J3" i="6"/>
  <c r="J678" i="5"/>
  <c r="J631" i="5"/>
  <c r="J610" i="5"/>
  <c r="J598" i="5"/>
  <c r="J587" i="5"/>
  <c r="J575" i="5"/>
  <c r="J554" i="5"/>
  <c r="J532" i="5"/>
  <c r="J130" i="5"/>
  <c r="J121" i="5"/>
  <c r="J115" i="5"/>
  <c r="J161" i="5"/>
  <c r="J370" i="5"/>
  <c r="J64" i="5"/>
  <c r="J302" i="6"/>
  <c r="J149" i="6"/>
  <c r="J902" i="5"/>
  <c r="J830" i="5"/>
  <c r="J821" i="5"/>
  <c r="J749" i="5"/>
  <c r="J700" i="5"/>
  <c r="J429" i="5"/>
  <c r="J420" i="5"/>
  <c r="J410" i="5"/>
  <c r="J391" i="5"/>
  <c r="J381" i="5"/>
  <c r="J263" i="5"/>
  <c r="J253" i="5"/>
  <c r="J244" i="5"/>
  <c r="J234" i="5"/>
  <c r="J215" i="5"/>
  <c r="J100" i="5"/>
  <c r="J93" i="5"/>
  <c r="J86" i="5"/>
  <c r="J79" i="5"/>
  <c r="J72" i="5"/>
  <c r="J686" i="5"/>
  <c r="J804" i="5"/>
  <c r="J399" i="5"/>
  <c r="J223" i="5"/>
  <c r="J78" i="5"/>
  <c r="J892" i="5"/>
  <c r="J796" i="5"/>
  <c r="J665" i="5"/>
  <c r="J654" i="5"/>
  <c r="J642" i="5"/>
  <c r="J630" i="5"/>
  <c r="J619" i="5"/>
  <c r="J562" i="5"/>
  <c r="J198" i="5"/>
  <c r="J138" i="5"/>
  <c r="J107" i="5"/>
  <c r="J290" i="6"/>
  <c r="J539" i="5"/>
  <c r="J143" i="5"/>
  <c r="J406" i="5"/>
  <c r="J628" i="5"/>
  <c r="J490" i="5"/>
  <c r="J471" i="5"/>
  <c r="J451" i="5"/>
  <c r="J442" i="5"/>
  <c r="J304" i="5"/>
  <c r="J285" i="5"/>
  <c r="J16" i="5"/>
  <c r="J843" i="5"/>
  <c r="J698" i="5"/>
  <c r="J475" i="5"/>
  <c r="J465" i="5"/>
  <c r="J446" i="5"/>
  <c r="J436" i="5"/>
  <c r="J427" i="5"/>
  <c r="J308" i="5"/>
  <c r="J299" i="5"/>
  <c r="J289" i="5"/>
  <c r="J270" i="5"/>
  <c r="J260" i="5"/>
  <c r="J171" i="5"/>
  <c r="J105" i="5"/>
  <c r="J19" i="5"/>
  <c r="J12" i="5"/>
  <c r="J5" i="5"/>
  <c r="J20" i="6"/>
  <c r="J888" i="5"/>
  <c r="J711" i="5"/>
  <c r="J528" i="5"/>
  <c r="J491" i="5"/>
  <c r="J472" i="5"/>
  <c r="J344" i="5"/>
  <c r="J325" i="5"/>
  <c r="J306" i="5"/>
  <c r="J45" i="5"/>
  <c r="J38" i="5"/>
  <c r="J24" i="5"/>
  <c r="J854" i="5"/>
  <c r="J112" i="5"/>
  <c r="J573" i="5"/>
  <c r="J517" i="5"/>
  <c r="J380" i="5"/>
  <c r="J351" i="5"/>
  <c r="J186" i="5"/>
  <c r="J85" i="5"/>
  <c r="J876" i="5"/>
  <c r="J204" i="5"/>
  <c r="J778" i="5"/>
  <c r="J425" i="5"/>
  <c r="J249" i="5"/>
  <c r="J90" i="5"/>
  <c r="J176" i="5"/>
  <c r="J49" i="6"/>
  <c r="J817" i="5"/>
  <c r="J745" i="5"/>
  <c r="J674" i="5"/>
  <c r="J606" i="5"/>
  <c r="J189" i="5"/>
  <c r="J146" i="5"/>
  <c r="J550" i="5"/>
  <c r="J520" i="5"/>
  <c r="J501" i="5"/>
  <c r="J482" i="5"/>
  <c r="J354" i="5"/>
  <c r="J315" i="5"/>
  <c r="J52" i="5"/>
  <c r="J31" i="5"/>
  <c r="J17" i="5"/>
  <c r="J782" i="5"/>
  <c r="J723" i="5"/>
  <c r="J661" i="5"/>
  <c r="J120" i="5"/>
  <c r="J50" i="5"/>
  <c r="J731" i="5"/>
  <c r="J561" i="5"/>
  <c r="J152" i="5"/>
  <c r="J128" i="5"/>
  <c r="J72" i="6"/>
  <c r="J45" i="6"/>
  <c r="J435" i="5"/>
  <c r="J240" i="5"/>
  <c r="J97" i="5"/>
  <c r="J83" i="5"/>
  <c r="J744" i="5"/>
  <c r="J649" i="5"/>
  <c r="J616" i="5"/>
  <c r="J605" i="5"/>
  <c r="J850" i="5"/>
  <c r="J416" i="5"/>
  <c r="J278" i="5"/>
  <c r="J259" i="5"/>
  <c r="J104" i="5"/>
  <c r="J480" i="5"/>
  <c r="J862" i="5"/>
  <c r="J693" i="5"/>
  <c r="J672" i="5"/>
  <c r="J660" i="5"/>
  <c r="J580" i="5"/>
  <c r="J569" i="5"/>
  <c r="J160" i="5"/>
  <c r="J37" i="6"/>
  <c r="J697" i="5"/>
  <c r="J840" i="5"/>
  <c r="J275" i="5"/>
  <c r="J23" i="5"/>
  <c r="J2" i="5"/>
  <c r="J167" i="5"/>
  <c r="J134" i="5"/>
  <c r="J111" i="5"/>
  <c r="J53" i="6"/>
  <c r="J293" i="5"/>
  <c r="J101" i="5"/>
  <c r="J35" i="5"/>
  <c r="J366" i="5"/>
  <c r="J679" i="5"/>
  <c r="J624" i="5"/>
  <c r="J376" i="5"/>
  <c r="J56" i="5"/>
  <c r="J339" i="5"/>
  <c r="J83" i="6"/>
  <c r="J848" i="5"/>
  <c r="J495" i="5"/>
  <c r="J405" i="5"/>
  <c r="J175" i="5"/>
  <c r="J124" i="5"/>
  <c r="J79" i="6"/>
  <c r="J873" i="5"/>
  <c r="J486" i="5"/>
  <c r="J139" i="5"/>
  <c r="J544" i="5"/>
  <c r="J869" i="5"/>
  <c r="J330" i="5"/>
  <c r="J450" i="5"/>
  <c r="J245" i="5"/>
  <c r="J385" i="5"/>
  <c r="J861" i="5"/>
  <c r="J505" i="5"/>
  <c r="J497" i="5"/>
  <c r="J329" i="5"/>
  <c r="J895" i="5"/>
  <c r="J82" i="5"/>
  <c r="J110" i="6"/>
  <c r="J264" i="5"/>
  <c r="J44" i="6"/>
  <c r="J556" i="5"/>
  <c r="J487" i="5"/>
  <c r="J319" i="5"/>
  <c r="J229" i="5"/>
  <c r="J148" i="5"/>
  <c r="J395" i="5"/>
  <c r="J763" i="5"/>
  <c r="J219" i="5"/>
  <c r="J6" i="5"/>
  <c r="J752" i="5"/>
  <c r="J27" i="5"/>
  <c r="J34" i="6"/>
  <c r="J764" i="5"/>
  <c r="J730" i="5"/>
  <c r="J516" i="5"/>
  <c r="J200" i="5"/>
  <c r="J75" i="5"/>
  <c r="J457" i="5"/>
  <c r="J797" i="5"/>
  <c r="J8" i="5"/>
  <c r="J23" i="6"/>
  <c r="J506" i="5"/>
  <c r="J248" i="5"/>
  <c r="J359" i="5"/>
  <c r="J108" i="5"/>
  <c r="J63" i="5"/>
  <c r="J788" i="5"/>
  <c r="J567" i="5"/>
  <c r="J414" i="5"/>
  <c r="J209" i="5"/>
  <c r="J238" i="5"/>
  <c r="J61" i="5"/>
  <c r="J777" i="5"/>
  <c r="J41" i="5"/>
  <c r="J162" i="6"/>
  <c r="J431" i="5"/>
  <c r="J340" i="5"/>
  <c r="J96" i="5"/>
  <c r="J13" i="5"/>
  <c r="J557" i="5"/>
  <c r="J836" i="5"/>
  <c r="J460" i="5"/>
  <c r="J369" i="5"/>
  <c r="J255" i="5"/>
  <c r="J142" i="5"/>
  <c r="J34" i="5"/>
  <c r="J49" i="5"/>
  <c r="J68" i="5"/>
  <c r="J421" i="5"/>
  <c r="J165" i="5"/>
  <c r="J611" i="5"/>
  <c r="J274" i="5"/>
  <c r="J185" i="5"/>
  <c r="J476" i="5"/>
  <c r="J668" i="5"/>
  <c r="J201" i="6"/>
  <c r="J726" i="5"/>
  <c r="J545" i="5"/>
  <c r="J284" i="5"/>
  <c r="J116" i="5"/>
  <c r="J94" i="5"/>
  <c r="J28" i="5"/>
  <c r="J612" i="5"/>
  <c r="J310" i="5"/>
  <c r="J579" i="5"/>
  <c r="J89" i="5"/>
  <c r="J300" i="5"/>
  <c r="J440" i="5"/>
  <c r="J350" i="5"/>
  <c r="J20" i="5"/>
  <c r="J716" i="5"/>
  <c r="J534" i="5"/>
  <c r="J157" i="5"/>
  <c r="J42" i="5"/>
  <c r="J705" i="5"/>
  <c r="J321" i="5"/>
</calcChain>
</file>

<file path=xl/sharedStrings.xml><?xml version="1.0" encoding="utf-8"?>
<sst xmlns="http://schemas.openxmlformats.org/spreadsheetml/2006/main" count="28972" uniqueCount="2797">
  <si>
    <t>NUMBER</t>
  </si>
  <si>
    <t>SUBSTATION NAME</t>
  </si>
  <si>
    <t>Time</t>
  </si>
  <si>
    <t>Date</t>
  </si>
  <si>
    <t>Ambient Temp</t>
  </si>
  <si>
    <t>Humidity</t>
  </si>
  <si>
    <t>Switchgear Manufacturer</t>
  </si>
  <si>
    <t>Switchgear Type</t>
  </si>
  <si>
    <t>Switchgear Rating</t>
  </si>
  <si>
    <t>Switchgear Model</t>
  </si>
  <si>
    <t>TX1 Manufacturer</t>
  </si>
  <si>
    <t>TX1 Model</t>
  </si>
  <si>
    <t>TX1 Rating</t>
  </si>
  <si>
    <t>TX1 Serial Number</t>
  </si>
  <si>
    <t>TX2 Manufacturer</t>
  </si>
  <si>
    <t>TX2 Model</t>
  </si>
  <si>
    <t>TX2 Rating</t>
  </si>
  <si>
    <t>TX2 Serial Number</t>
  </si>
  <si>
    <t>FP1 Manufacturer</t>
  </si>
  <si>
    <t>FP1 Model</t>
  </si>
  <si>
    <t>FP1 Rating</t>
  </si>
  <si>
    <t>FP1 Serial No</t>
  </si>
  <si>
    <t>FP1 Type</t>
  </si>
  <si>
    <t>FP2 Manufacturer</t>
  </si>
  <si>
    <t>FP2 Model</t>
  </si>
  <si>
    <t>FP2 Rating</t>
  </si>
  <si>
    <t>FP2 Serial No</t>
  </si>
  <si>
    <t>FP2 Type</t>
  </si>
  <si>
    <t>Battery Bank 1 Manufactrurer</t>
  </si>
  <si>
    <t>Battery Bank 1 Model</t>
  </si>
  <si>
    <t>Battery Bank 1 Serial Number</t>
  </si>
  <si>
    <t>Battery Bank 2 Manufactrurer</t>
  </si>
  <si>
    <t>Battery Bank 2 Model</t>
  </si>
  <si>
    <t>Battery Bank 2 Serial Number</t>
  </si>
  <si>
    <t>Battery Bank 3 Manufactrurer</t>
  </si>
  <si>
    <t>Battery Bank 3 Model</t>
  </si>
  <si>
    <t>Battery Bank 3 Serial Number</t>
  </si>
  <si>
    <t>Battery Bank 4 Manufactrurer</t>
  </si>
  <si>
    <t>Battery Bank 4 Model</t>
  </si>
  <si>
    <t>Battery Bank 4 Serial Number</t>
  </si>
  <si>
    <t>TAMAN ULAM RAJA</t>
  </si>
  <si>
    <t>07:00 PM</t>
  </si>
  <si>
    <t>14/07/26</t>
  </si>
  <si>
    <t>32.3</t>
  </si>
  <si>
    <t>64</t>
  </si>
  <si>
    <t>EPE</t>
  </si>
  <si>
    <t>MRMU</t>
  </si>
  <si>
    <t>12kV</t>
  </si>
  <si>
    <t>CFC 2S+1F</t>
  </si>
  <si>
    <t>EWT</t>
  </si>
  <si>
    <t>HERMETICALLY SEAL</t>
  </si>
  <si>
    <t>500kVA</t>
  </si>
  <si>
    <t>EWT/91260</t>
  </si>
  <si>
    <t>SSE</t>
  </si>
  <si>
    <t>J-SLOTTED</t>
  </si>
  <si>
    <t>1600A</t>
  </si>
  <si>
    <t>LV974-1999</t>
  </si>
  <si>
    <t>LVDB TX1</t>
  </si>
  <si>
    <t>LVDB TX2</t>
  </si>
  <si>
    <t>SUNPOWER</t>
  </si>
  <si>
    <t>SPS 30-10 L</t>
  </si>
  <si>
    <t>11193-9638</t>
  </si>
  <si>
    <t>BERKAT INSAF</t>
  </si>
  <si>
    <t>SEB100-30-10UL</t>
  </si>
  <si>
    <t>B21219</t>
  </si>
  <si>
    <t>YES</t>
  </si>
  <si>
    <t>SK KG MAJU JAYA</t>
  </si>
  <si>
    <t>07:40 PM</t>
  </si>
  <si>
    <t>32.0</t>
  </si>
  <si>
    <t>63</t>
  </si>
  <si>
    <t>1000kVA</t>
  </si>
  <si>
    <t>EWT/91670</t>
  </si>
  <si>
    <t>TOPRANK</t>
  </si>
  <si>
    <t>652</t>
  </si>
  <si>
    <t>FP TX1</t>
  </si>
  <si>
    <t>SPS 30-10L</t>
  </si>
  <si>
    <t>11193-9636</t>
  </si>
  <si>
    <t>OD KG MAJU JAYA NO.1</t>
  </si>
  <si>
    <t>08:50 PM</t>
  </si>
  <si>
    <t>32.9</t>
  </si>
  <si>
    <t>68</t>
  </si>
  <si>
    <t>INDKOM</t>
  </si>
  <si>
    <t>RMU SF6</t>
  </si>
  <si>
    <t>INS24</t>
  </si>
  <si>
    <t>SGB</t>
  </si>
  <si>
    <t>727812</t>
  </si>
  <si>
    <t>800A</t>
  </si>
  <si>
    <t>N//A</t>
  </si>
  <si>
    <t>PDT KG MAJU JAYA</t>
  </si>
  <si>
    <t>10:00 PM</t>
  </si>
  <si>
    <t>31.9</t>
  </si>
  <si>
    <t>69</t>
  </si>
  <si>
    <t>DIN TYPE</t>
  </si>
  <si>
    <t>LSE240205082</t>
  </si>
  <si>
    <t>SEB100-24-10SD</t>
  </si>
  <si>
    <t>CSU-SCADA-700</t>
  </si>
  <si>
    <t>RMMJ SBP 2 NO.1</t>
  </si>
  <si>
    <t>11:05 PM</t>
  </si>
  <si>
    <t>30.6</t>
  </si>
  <si>
    <t>MTM</t>
  </si>
  <si>
    <t>T1/15/14911</t>
  </si>
  <si>
    <t>T1/15/13989</t>
  </si>
  <si>
    <t>FP1600-1201</t>
  </si>
  <si>
    <t>FP1600-1168</t>
  </si>
  <si>
    <t>FP TX2</t>
  </si>
  <si>
    <t>RIBJ BDO NO.1</t>
  </si>
  <si>
    <t>12:15 AM</t>
  </si>
  <si>
    <t>30.5</t>
  </si>
  <si>
    <t>67</t>
  </si>
  <si>
    <t>TOSHIBA</t>
  </si>
  <si>
    <t>2S2F</t>
  </si>
  <si>
    <t>A03634</t>
  </si>
  <si>
    <t>A03600</t>
  </si>
  <si>
    <t>ITEM</t>
  </si>
  <si>
    <t>D10556</t>
  </si>
  <si>
    <t>FPLR16-0226</t>
  </si>
  <si>
    <t>11193-3749</t>
  </si>
  <si>
    <t>RIBJ BDO NO.2</t>
  </si>
  <si>
    <t>01:10 AM</t>
  </si>
  <si>
    <t>31.8</t>
  </si>
  <si>
    <t>66</t>
  </si>
  <si>
    <t>A03593</t>
  </si>
  <si>
    <t>A03631</t>
  </si>
  <si>
    <t>D10555</t>
  </si>
  <si>
    <t>D10544</t>
  </si>
  <si>
    <t>11193-3750</t>
  </si>
  <si>
    <t>RIBJ BDO NO.3</t>
  </si>
  <si>
    <t>02:30 AM</t>
  </si>
  <si>
    <t>31.5</t>
  </si>
  <si>
    <t>70</t>
  </si>
  <si>
    <t>A03632</t>
  </si>
  <si>
    <t>A03598</t>
  </si>
  <si>
    <t>D10548</t>
  </si>
  <si>
    <t>FPLR16-0225</t>
  </si>
  <si>
    <t>SPS30-10L</t>
  </si>
  <si>
    <t>11193-3752</t>
  </si>
  <si>
    <t>PDT FAIR VISTA NO 7</t>
  </si>
  <si>
    <t>06:55 PM</t>
  </si>
  <si>
    <t>15/07/2026</t>
  </si>
  <si>
    <t>30.0</t>
  </si>
  <si>
    <t>75909</t>
  </si>
  <si>
    <t>75910</t>
  </si>
  <si>
    <t>FP9803-1607</t>
  </si>
  <si>
    <t>FP9803-1645</t>
  </si>
  <si>
    <t>11193-1698</t>
  </si>
  <si>
    <t>PDT FAIR VISTA NO 4</t>
  </si>
  <si>
    <t>07:30 PM</t>
  </si>
  <si>
    <t>30.7</t>
  </si>
  <si>
    <t>SIEMENS</t>
  </si>
  <si>
    <t>8DJH TRRT</t>
  </si>
  <si>
    <t>75872</t>
  </si>
  <si>
    <t>14484</t>
  </si>
  <si>
    <t>FP9803-1641</t>
  </si>
  <si>
    <t>FP9803-1412</t>
  </si>
  <si>
    <t>PDT FAIR VISTA NO 6</t>
  </si>
  <si>
    <t>29.8</t>
  </si>
  <si>
    <t>14075</t>
  </si>
  <si>
    <t>75908</t>
  </si>
  <si>
    <t>FP9803-1614</t>
  </si>
  <si>
    <t>FP9803-1613</t>
  </si>
  <si>
    <t>PDT FAIR VISTA NO 5</t>
  </si>
  <si>
    <t>10:10 PM</t>
  </si>
  <si>
    <t>74906</t>
  </si>
  <si>
    <t>14208</t>
  </si>
  <si>
    <t>SEE</t>
  </si>
  <si>
    <t>FP9803-1615</t>
  </si>
  <si>
    <t>FP9803-1611</t>
  </si>
  <si>
    <t>PDT FAIR VISTA NO 2</t>
  </si>
  <si>
    <t>11:00 PM</t>
  </si>
  <si>
    <t>30.2</t>
  </si>
  <si>
    <t>75871</t>
  </si>
  <si>
    <t>75907</t>
  </si>
  <si>
    <t>FP9803-1410</t>
  </si>
  <si>
    <t>FP9803-1609</t>
  </si>
  <si>
    <t>11193-1706</t>
  </si>
  <si>
    <t>PDT FAIR VISTA NO 3</t>
  </si>
  <si>
    <t>12:05 AM</t>
  </si>
  <si>
    <t>29.5</t>
  </si>
  <si>
    <t>65</t>
  </si>
  <si>
    <t>LA15051010014</t>
  </si>
  <si>
    <t>PDT FAIR VISTA NO 1</t>
  </si>
  <si>
    <t>01:30 AM</t>
  </si>
  <si>
    <t>28.9</t>
  </si>
  <si>
    <t>2l1T</t>
  </si>
  <si>
    <t>4000054</t>
  </si>
  <si>
    <t>DFP LV DH 5</t>
  </si>
  <si>
    <t>PERSIMPANGAN KEMPAS</t>
  </si>
  <si>
    <t>08:45 PM</t>
  </si>
  <si>
    <t>16/07/26</t>
  </si>
  <si>
    <t>8DJH RRT</t>
  </si>
  <si>
    <t>4037794</t>
  </si>
  <si>
    <t>PRONUTEC</t>
  </si>
  <si>
    <t>27417101</t>
  </si>
  <si>
    <t>JUMBOHAN MARKETING</t>
  </si>
  <si>
    <t>JCV-T-24-10/L</t>
  </si>
  <si>
    <t>121233-31</t>
  </si>
  <si>
    <t>PLAZA TOL KEMPAS</t>
  </si>
  <si>
    <t>09:55 PM</t>
  </si>
  <si>
    <t>29.6</t>
  </si>
  <si>
    <t>SCHNEIDER</t>
  </si>
  <si>
    <t>RM6</t>
  </si>
  <si>
    <t>87454</t>
  </si>
  <si>
    <t>LVBCSU4822-1000-11</t>
  </si>
  <si>
    <t>122332-55</t>
  </si>
  <si>
    <t>ASTINAS CONST &amp; DEV</t>
  </si>
  <si>
    <t>10:40 PM</t>
  </si>
  <si>
    <t>71</t>
  </si>
  <si>
    <t>ID2L+2T</t>
  </si>
  <si>
    <t>300</t>
  </si>
  <si>
    <t>296</t>
  </si>
  <si>
    <t>FP9802-0201</t>
  </si>
  <si>
    <t>FP9802-0208</t>
  </si>
  <si>
    <t>KEMPAS UTAMA NO4</t>
  </si>
  <si>
    <t>11:45 PM</t>
  </si>
  <si>
    <t>723012</t>
  </si>
  <si>
    <t>2386</t>
  </si>
  <si>
    <t>FP9709-1001</t>
  </si>
  <si>
    <t>D0173</t>
  </si>
  <si>
    <t>PADAT SHELL TIONG NAM</t>
  </si>
  <si>
    <t>12:35 AM</t>
  </si>
  <si>
    <t>2S1F</t>
  </si>
  <si>
    <t>4035648</t>
  </si>
  <si>
    <t>TN 22 61 0006C</t>
  </si>
  <si>
    <t>171932-100</t>
  </si>
  <si>
    <t>MODERN UNIT NO2</t>
  </si>
  <si>
    <t>01:35 AM</t>
  </si>
  <si>
    <t>17038</t>
  </si>
  <si>
    <t>17036</t>
  </si>
  <si>
    <t>FP 1600-0328</t>
  </si>
  <si>
    <t>FP1600-0297</t>
  </si>
  <si>
    <t>11193-9637</t>
  </si>
  <si>
    <t>PE MODERN UNIT SDN BHD</t>
  </si>
  <si>
    <t>02:35 AM</t>
  </si>
  <si>
    <t>75586</t>
  </si>
  <si>
    <t>297</t>
  </si>
  <si>
    <t>FP9803-0294</t>
  </si>
  <si>
    <t>FP9802-0342</t>
  </si>
  <si>
    <t>11193-0968</t>
  </si>
  <si>
    <t>DRAGON PRIDE NO3</t>
  </si>
  <si>
    <t>17/07/2026</t>
  </si>
  <si>
    <t>SSE LUCY</t>
  </si>
  <si>
    <t>VRN2a</t>
  </si>
  <si>
    <t>15547</t>
  </si>
  <si>
    <t>NO</t>
  </si>
  <si>
    <t>PDT DRAGON PRIDE</t>
  </si>
  <si>
    <t>09:50 PM</t>
  </si>
  <si>
    <t>4046233</t>
  </si>
  <si>
    <t>24DU729_4042</t>
  </si>
  <si>
    <t>SPS 24-10</t>
  </si>
  <si>
    <t>11298-0359</t>
  </si>
  <si>
    <t>PDT PKJ KEMPAS INDAH</t>
  </si>
  <si>
    <t>10:45 PM</t>
  </si>
  <si>
    <t>31.2</t>
  </si>
  <si>
    <t>93996</t>
  </si>
  <si>
    <t>LVBCSU 6197-1000-11</t>
  </si>
  <si>
    <t>SUNPOWER TECHNOLOGIES</t>
  </si>
  <si>
    <t>11298-1315</t>
  </si>
  <si>
    <t>TAMAN KEMPAS INDAH NO.7</t>
  </si>
  <si>
    <t>29.4</t>
  </si>
  <si>
    <t>750kVA</t>
  </si>
  <si>
    <t>179</t>
  </si>
  <si>
    <t>FP9709-0734</t>
  </si>
  <si>
    <t>TAMAN KEMPAS INDAH NO.6</t>
  </si>
  <si>
    <t>12:30 AM</t>
  </si>
  <si>
    <t>30.4</t>
  </si>
  <si>
    <t>TAMCO</t>
  </si>
  <si>
    <t>GR1</t>
  </si>
  <si>
    <t>1251</t>
  </si>
  <si>
    <t>13927</t>
  </si>
  <si>
    <t>FP-16001-2914</t>
  </si>
  <si>
    <t>LV975-0569</t>
  </si>
  <si>
    <t>TMN KEMPAS INDAH NO. 5</t>
  </si>
  <si>
    <t>13904</t>
  </si>
  <si>
    <t>13946</t>
  </si>
  <si>
    <t>LV975-0349</t>
  </si>
  <si>
    <t>TMN KEMPAS INDAH NO. 4</t>
  </si>
  <si>
    <t>29.9</t>
  </si>
  <si>
    <t>13921</t>
  </si>
  <si>
    <t>LV974-1041</t>
  </si>
  <si>
    <t>SEB100-30-10</t>
  </si>
  <si>
    <t>B10006</t>
  </si>
  <si>
    <t>11193-4877</t>
  </si>
  <si>
    <t>PE NUSAJAYA VILLAGE RESORTS</t>
  </si>
  <si>
    <t>10:00 AM</t>
  </si>
  <si>
    <t>18/07/26</t>
  </si>
  <si>
    <t>65832</t>
  </si>
  <si>
    <t>B10322</t>
  </si>
  <si>
    <t>PE PST KOMPLEKS NUSAJAYA</t>
  </si>
  <si>
    <t>10:45 AM</t>
  </si>
  <si>
    <t>32.2</t>
  </si>
  <si>
    <t>1245</t>
  </si>
  <si>
    <t>1244</t>
  </si>
  <si>
    <t>PSB</t>
  </si>
  <si>
    <t>DB9221</t>
  </si>
  <si>
    <t>B9821</t>
  </si>
  <si>
    <t>VELEDROM JOHOR</t>
  </si>
  <si>
    <t>11:30 AM</t>
  </si>
  <si>
    <t>31.4</t>
  </si>
  <si>
    <t>VRN6A</t>
  </si>
  <si>
    <t>A01109</t>
  </si>
  <si>
    <t>11426-0082</t>
  </si>
  <si>
    <t>C-S LAMPU JALAN MEDINI</t>
  </si>
  <si>
    <t>12:30 PM</t>
  </si>
  <si>
    <t>32.5</t>
  </si>
  <si>
    <t>LSR230710031</t>
  </si>
  <si>
    <t>CSU-SCADA-348</t>
  </si>
  <si>
    <t>PE DATARAN MAHKOTA</t>
  </si>
  <si>
    <t>01:20 PM</t>
  </si>
  <si>
    <t>32.4</t>
  </si>
  <si>
    <t>31</t>
  </si>
  <si>
    <t>LVV424</t>
  </si>
  <si>
    <t>7760</t>
  </si>
  <si>
    <t>113A</t>
  </si>
  <si>
    <t>RMU A BGN MB-SUK.docx (SWG 1)</t>
  </si>
  <si>
    <t>02:30 PM</t>
  </si>
  <si>
    <t>30.9</t>
  </si>
  <si>
    <t>B7809</t>
  </si>
  <si>
    <t>113B</t>
  </si>
  <si>
    <t>RMU A BGN MB-SUK.docx (SWG 2)</t>
  </si>
  <si>
    <t>PE BGN DUN</t>
  </si>
  <si>
    <t>03:35 PM</t>
  </si>
  <si>
    <t>B7807</t>
  </si>
  <si>
    <t>PE C2S JSNAC</t>
  </si>
  <si>
    <t>04:30 PM</t>
  </si>
  <si>
    <t>32.7</t>
  </si>
  <si>
    <t>714294</t>
  </si>
  <si>
    <t>714295</t>
  </si>
  <si>
    <t>7791</t>
  </si>
  <si>
    <t>PE C3S JSNAC</t>
  </si>
  <si>
    <t>05:35 PM</t>
  </si>
  <si>
    <t>711891</t>
  </si>
  <si>
    <t>711892</t>
  </si>
  <si>
    <t>B7781</t>
  </si>
  <si>
    <t>PE SERVICES JSNAC</t>
  </si>
  <si>
    <t>06:15 PM</t>
  </si>
  <si>
    <t>32.6</t>
  </si>
  <si>
    <t>714512</t>
  </si>
  <si>
    <t>LVV1178</t>
  </si>
  <si>
    <t>B7765</t>
  </si>
  <si>
    <t>MASJID KOTA ISKANDAR</t>
  </si>
  <si>
    <t>VCB</t>
  </si>
  <si>
    <t>VHIH</t>
  </si>
  <si>
    <t>725187</t>
  </si>
  <si>
    <t>B7711</t>
  </si>
  <si>
    <t>B10290</t>
  </si>
  <si>
    <t>PDT STUDENT HUB</t>
  </si>
  <si>
    <t>10:05 PM</t>
  </si>
  <si>
    <t>4035617</t>
  </si>
  <si>
    <t>TN 21 61 0051C</t>
  </si>
  <si>
    <t>JUMBOHAN</t>
  </si>
  <si>
    <t>121732-65</t>
  </si>
  <si>
    <t>DATARAN MBIP</t>
  </si>
  <si>
    <t>52801C</t>
  </si>
  <si>
    <t>11193-1703</t>
  </si>
  <si>
    <t>PDT CALTEX EDUCITY</t>
  </si>
  <si>
    <t>12:10 AM</t>
  </si>
  <si>
    <t>4031926</t>
  </si>
  <si>
    <t>TN 21 61 0018</t>
  </si>
  <si>
    <t>261731-09</t>
  </si>
  <si>
    <t>SMK KOTA ILMU</t>
  </si>
  <si>
    <t>01:00 AM</t>
  </si>
  <si>
    <t>720916</t>
  </si>
  <si>
    <t>720920</t>
  </si>
  <si>
    <t>ALGEBRA</t>
  </si>
  <si>
    <t>A089-0396</t>
  </si>
  <si>
    <t>11193-689</t>
  </si>
  <si>
    <t>STP EDUCITY NUSAJAYA</t>
  </si>
  <si>
    <t>02:00 AM</t>
  </si>
  <si>
    <t>29.7</t>
  </si>
  <si>
    <t>LSE241110162</t>
  </si>
  <si>
    <t>CSU-SCADA-854</t>
  </si>
  <si>
    <t>WISMA MARIA</t>
  </si>
  <si>
    <t>09:15 AM</t>
  </si>
  <si>
    <t>20/07/2026</t>
  </si>
  <si>
    <t>29.1</t>
  </si>
  <si>
    <t>81</t>
  </si>
  <si>
    <t>4003627</t>
  </si>
  <si>
    <t>TAMCO CUTLER</t>
  </si>
  <si>
    <t>1000A</t>
  </si>
  <si>
    <t>T0163/86-J4544/1-33</t>
  </si>
  <si>
    <t>KEJURUTERAAN PETROL TEKNIK</t>
  </si>
  <si>
    <t>FP952/96</t>
  </si>
  <si>
    <t>WISMA PERSEKUTUAN BLOK B</t>
  </si>
  <si>
    <t>10:05 AM</t>
  </si>
  <si>
    <t>77</t>
  </si>
  <si>
    <t>2S+2F</t>
  </si>
  <si>
    <t>77057</t>
  </si>
  <si>
    <t>77032</t>
  </si>
  <si>
    <t>BONAR LONG</t>
  </si>
  <si>
    <t>9722982</t>
  </si>
  <si>
    <t>WISMA PERSEKUTUAN BLOK A</t>
  </si>
  <si>
    <t>11:00 AM</t>
  </si>
  <si>
    <t>30.3</t>
  </si>
  <si>
    <t>75</t>
  </si>
  <si>
    <t>8784</t>
  </si>
  <si>
    <t>8981</t>
  </si>
  <si>
    <t>B9376</t>
  </si>
  <si>
    <t>TALIKOM</t>
  </si>
  <si>
    <t>11:55 AM</t>
  </si>
  <si>
    <t>74</t>
  </si>
  <si>
    <t>8977</t>
  </si>
  <si>
    <t>8772</t>
  </si>
  <si>
    <t>B1818</t>
  </si>
  <si>
    <t>PE IBU SAWAT TALIKOM</t>
  </si>
  <si>
    <t>12:40 PM</t>
  </si>
  <si>
    <t>33.1</t>
  </si>
  <si>
    <t>14183</t>
  </si>
  <si>
    <t>15155</t>
  </si>
  <si>
    <t>B1820</t>
  </si>
  <si>
    <t>SWISS IN JB JLN DATO DALAM</t>
  </si>
  <si>
    <t>33.5</t>
  </si>
  <si>
    <t>11193-1694</t>
  </si>
  <si>
    <t>11193-6653</t>
  </si>
  <si>
    <t>WISMA LKN</t>
  </si>
  <si>
    <t>03:50 PM</t>
  </si>
  <si>
    <t>ZZTT</t>
  </si>
  <si>
    <t>74822</t>
  </si>
  <si>
    <t>13754</t>
  </si>
  <si>
    <t>CSU WARISAN JOHOR</t>
  </si>
  <si>
    <t>04:40 PM</t>
  </si>
  <si>
    <t>TOSHIBA | TOSHIBA</t>
  </si>
  <si>
    <t>4051266</t>
  </si>
  <si>
    <t>250U729_4156</t>
  </si>
  <si>
    <t>SEK MEN VOKAY NO.1</t>
  </si>
  <si>
    <t>05:30 PM</t>
  </si>
  <si>
    <t>20/7/2026</t>
  </si>
  <si>
    <t>67946</t>
  </si>
  <si>
    <t>67949</t>
  </si>
  <si>
    <t>GEC</t>
  </si>
  <si>
    <t>18522</t>
  </si>
  <si>
    <t>CS CALTEX JLN TAR</t>
  </si>
  <si>
    <t>ZZT</t>
  </si>
  <si>
    <t>13925</t>
  </si>
  <si>
    <t>tan &amp; low electrical</t>
  </si>
  <si>
    <t>TL/PAJ 417/03</t>
  </si>
  <si>
    <t>WISMA TNB</t>
  </si>
  <si>
    <t>08:40 PM</t>
  </si>
  <si>
    <t>28.0</t>
  </si>
  <si>
    <t>73</t>
  </si>
  <si>
    <t>305</t>
  </si>
  <si>
    <t>317</t>
  </si>
  <si>
    <t>ALGEBRA ENGINEERING</t>
  </si>
  <si>
    <t>LV2835</t>
  </si>
  <si>
    <t>135</t>
  </si>
  <si>
    <t>PERPUSTAKAAN PUSAT</t>
  </si>
  <si>
    <t>09:30 PM</t>
  </si>
  <si>
    <t>28.5</t>
  </si>
  <si>
    <t>1317</t>
  </si>
  <si>
    <t>LV5080090</t>
  </si>
  <si>
    <t>11193-8527</t>
  </si>
  <si>
    <t>PADAT QRTS JAB AGAMA</t>
  </si>
  <si>
    <t>10:15 PM</t>
  </si>
  <si>
    <t>8DJ20 10</t>
  </si>
  <si>
    <t>722727</t>
  </si>
  <si>
    <t>ITEM INDUSTRIAL</t>
  </si>
  <si>
    <t>J02/38-013</t>
  </si>
  <si>
    <t>KOMPLEKS ISLAM N0.2</t>
  </si>
  <si>
    <t>29.0</t>
  </si>
  <si>
    <t>1314</t>
  </si>
  <si>
    <t>LV 0092</t>
  </si>
  <si>
    <t>PE ZOO JOHOR</t>
  </si>
  <si>
    <t>94018</t>
  </si>
  <si>
    <t>LVBCSU 6193-1000-11</t>
  </si>
  <si>
    <t>11298-1422</t>
  </si>
  <si>
    <t>BANGUNAN AZIZAH</t>
  </si>
  <si>
    <t>12:40 AM</t>
  </si>
  <si>
    <t>28.4</t>
  </si>
  <si>
    <t>7944</t>
  </si>
  <si>
    <t>FP9802-0083</t>
  </si>
  <si>
    <t>C-S MASJID IPK</t>
  </si>
  <si>
    <t>72</t>
  </si>
  <si>
    <t>727896</t>
  </si>
  <si>
    <t>DFPA BH 16</t>
  </si>
  <si>
    <t>PE KUARTERS FRU JALAN TEBRAU</t>
  </si>
  <si>
    <t>30.1</t>
  </si>
  <si>
    <t>1039</t>
  </si>
  <si>
    <t>B16891</t>
  </si>
  <si>
    <t>C-S FRU NO.2</t>
  </si>
  <si>
    <t>03:30 AM</t>
  </si>
  <si>
    <t>28.3</t>
  </si>
  <si>
    <t>74776</t>
  </si>
  <si>
    <t>LVB-CSU 1590-1000-11</t>
  </si>
  <si>
    <t>PE BUKIT CAGAR</t>
  </si>
  <si>
    <t>04:30 AM</t>
  </si>
  <si>
    <t>29.2</t>
  </si>
  <si>
    <t>2S+1F</t>
  </si>
  <si>
    <t>493</t>
  </si>
  <si>
    <t>TAMCO CUTLER-HAMMER</t>
  </si>
  <si>
    <t>70300101-82</t>
  </si>
  <si>
    <t>FP7030012</t>
  </si>
  <si>
    <t>11193-10144</t>
  </si>
  <si>
    <t>PE TAMAN KEMPAS INDAH NO.3</t>
  </si>
  <si>
    <t>23/07/26</t>
  </si>
  <si>
    <t>T1/283/2012/13931</t>
  </si>
  <si>
    <t>LV974-1042</t>
  </si>
  <si>
    <t>PE TAMAN KEMPAS INDAH NO.2</t>
  </si>
  <si>
    <t>09:35 PM</t>
  </si>
  <si>
    <t>T1/283/2012/13908</t>
  </si>
  <si>
    <t>LV974-1010</t>
  </si>
  <si>
    <t>PE TAMAN KEMPAS INDAH NO.1</t>
  </si>
  <si>
    <t>T1/283/2012/13892</t>
  </si>
  <si>
    <t>T1/283/2012/13864</t>
  </si>
  <si>
    <t>FPX1527</t>
  </si>
  <si>
    <t>LV974-1009</t>
  </si>
  <si>
    <t>BC1- SUNPOWER</t>
  </si>
  <si>
    <t>11193-4878</t>
  </si>
  <si>
    <t>BC2- BERKAT INSAF</t>
  </si>
  <si>
    <t>B7700</t>
  </si>
  <si>
    <t>R KEDAI UTAMA NO1</t>
  </si>
  <si>
    <t>T1/283/2012/51299</t>
  </si>
  <si>
    <t>725095</t>
  </si>
  <si>
    <t>FP9802-1260</t>
  </si>
  <si>
    <t>FP9802-1314</t>
  </si>
  <si>
    <t>R KEDAI UTAMA NO2</t>
  </si>
  <si>
    <t>T1/283/2012/51304</t>
  </si>
  <si>
    <t>T1/283/2012/51306</t>
  </si>
  <si>
    <t>FP9802-1266</t>
  </si>
  <si>
    <t>FP9802-1263</t>
  </si>
  <si>
    <t>STP KEMPAS UTAMA.pdf</t>
  </si>
  <si>
    <t>01:33 AM</t>
  </si>
  <si>
    <t>719699</t>
  </si>
  <si>
    <t>D2178</t>
  </si>
  <si>
    <t>B18995</t>
  </si>
  <si>
    <t>PE PKJ BLOK A</t>
  </si>
  <si>
    <t>EWT/80224</t>
  </si>
  <si>
    <t>PANEL DATA</t>
  </si>
  <si>
    <t>AREA</t>
  </si>
  <si>
    <t>Attribute</t>
  </si>
  <si>
    <t>File Path (Insert Your File Path Here)</t>
  </si>
  <si>
    <t>Current Image File</t>
  </si>
  <si>
    <t>New Image File</t>
  </si>
  <si>
    <t>Paste this on bat file</t>
  </si>
  <si>
    <t>Overview 33</t>
  </si>
  <si>
    <t>OVERVIEW FRONT (LHS)</t>
  </si>
  <si>
    <t>VISUAL IMAGE</t>
  </si>
  <si>
    <t>1.jpg</t>
  </si>
  <si>
    <t>IR IMAGE</t>
  </si>
  <si>
    <t>2.jpg</t>
  </si>
  <si>
    <t>OVERVIEW FRONT (RHS)</t>
  </si>
  <si>
    <t>3.jpg</t>
  </si>
  <si>
    <t>4.jpg</t>
  </si>
  <si>
    <t>OVERVIEW REAR (LHS)</t>
  </si>
  <si>
    <t>5.jpg</t>
  </si>
  <si>
    <t>6.jpg</t>
  </si>
  <si>
    <t>OVERVIEW REAR (RHS)</t>
  </si>
  <si>
    <t>7.jpg</t>
  </si>
  <si>
    <t>8.jpg</t>
  </si>
  <si>
    <t>OVERVIEW TOP (LHS)</t>
  </si>
  <si>
    <t>9.jpg</t>
  </si>
  <si>
    <t>10.jpg</t>
  </si>
  <si>
    <t>OVERVIEW TOP (RHS)</t>
  </si>
  <si>
    <t>11.jpg</t>
  </si>
  <si>
    <t>12.jpg</t>
  </si>
  <si>
    <t>OVERVIEW BUSBAR (LHS)</t>
  </si>
  <si>
    <t>13.jpg</t>
  </si>
  <si>
    <t>14.jpg</t>
  </si>
  <si>
    <t>OVERVIEW BUSBAR (RHS)</t>
  </si>
  <si>
    <t>15.jpg</t>
  </si>
  <si>
    <t>16.jpg</t>
  </si>
  <si>
    <t>17.jpg</t>
  </si>
  <si>
    <t>18.jpg</t>
  </si>
  <si>
    <t>19.jpg</t>
  </si>
  <si>
    <t>20.jpg</t>
  </si>
  <si>
    <t>OVERVIEW CABLE CELLAR (LHS)</t>
  </si>
  <si>
    <t>21.jpg</t>
  </si>
  <si>
    <t>22.jpg</t>
  </si>
  <si>
    <t>OVERVIEW CABLE CELLAR (RHS)</t>
  </si>
  <si>
    <t>23.jpg</t>
  </si>
  <si>
    <t>24.jpg</t>
  </si>
  <si>
    <t>33panel1</t>
  </si>
  <si>
    <t>BREAKER COMPARTMENT</t>
  </si>
  <si>
    <t>51.jpg</t>
  </si>
  <si>
    <t>52.jpg</t>
  </si>
  <si>
    <t>BUSBAR DISCONNECTING SW</t>
  </si>
  <si>
    <t>53.jpg</t>
  </si>
  <si>
    <t>54.jpg</t>
  </si>
  <si>
    <t>CABLE COMPARTMENT</t>
  </si>
  <si>
    <t>55.jpg</t>
  </si>
  <si>
    <t>56.jpg</t>
  </si>
  <si>
    <t>BUSBAR COMPARTMENT</t>
  </si>
  <si>
    <t>57.jpg</t>
  </si>
  <si>
    <t>58.jpg</t>
  </si>
  <si>
    <t>PT COMPARTMENT</t>
  </si>
  <si>
    <t>59.jpg</t>
  </si>
  <si>
    <t>60.jpg</t>
  </si>
  <si>
    <t>CABLE ENTRY</t>
  </si>
  <si>
    <t>61.jpg</t>
  </si>
  <si>
    <t>62.jpg</t>
  </si>
  <si>
    <t>LINK BOX</t>
  </si>
  <si>
    <t>63.jpg</t>
  </si>
  <si>
    <t>64.jpg</t>
  </si>
  <si>
    <t>SECONDARY COMPARTMENT</t>
  </si>
  <si>
    <t>65.jpg</t>
  </si>
  <si>
    <t>66.jpg</t>
  </si>
  <si>
    <t>33panel2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</si>
  <si>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</si>
  <si>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</si>
  <si>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</si>
  <si>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</si>
  <si>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</si>
  <si>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</si>
  <si>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</si>
  <si>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</si>
  <si>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</si>
  <si>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</si>
  <si>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</si>
  <si>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</si>
  <si>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</si>
  <si>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</si>
  <si>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</si>
  <si>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</si>
  <si>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33panel3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</si>
  <si>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</si>
  <si>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</si>
  <si>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</si>
  <si>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</si>
  <si>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</si>
  <si>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</si>
  <si>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</si>
  <si>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</si>
  <si>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</si>
  <si>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</si>
  <si>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</si>
  <si>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</si>
  <si>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</si>
  <si>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</si>
  <si>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</si>
  <si>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</si>
  <si>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33panel4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</si>
  <si>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</si>
  <si>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</si>
  <si>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</si>
  <si>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</si>
  <si>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</si>
  <si>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</si>
  <si>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</si>
  <si>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</si>
  <si>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</si>
  <si>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</si>
  <si>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</si>
  <si>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</si>
  <si>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</si>
  <si>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</si>
  <si>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</si>
  <si>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</si>
  <si>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33panel5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</si>
  <si>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</si>
  <si>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</si>
  <si>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</si>
  <si>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</si>
  <si>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</si>
  <si>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</si>
  <si>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</si>
  <si>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</si>
  <si>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</si>
  <si>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</si>
  <si>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</si>
  <si>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</si>
  <si>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</si>
  <si>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</si>
  <si>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</si>
  <si>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</si>
  <si>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33panel6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</si>
  <si>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</si>
  <si>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</si>
  <si>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</si>
  <si>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</si>
  <si>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</si>
  <si>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</si>
  <si>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</si>
  <si>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</si>
  <si>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</si>
  <si>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</si>
  <si>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</si>
  <si>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</si>
  <si>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</si>
  <si>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</si>
  <si>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</si>
  <si>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</si>
  <si>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33panel7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</si>
  <si>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</si>
  <si>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</si>
  <si>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</si>
  <si>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</si>
  <si>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</si>
  <si>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</si>
  <si>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</si>
  <si>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</si>
  <si>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</si>
  <si>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</si>
  <si>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</si>
  <si>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</si>
  <si>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</si>
  <si>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160.jpg</t>
  </si>
  <si>
    <t>161.jpg</t>
  </si>
  <si>
    <t>162.jpg</t>
  </si>
  <si>
    <t>33panel8</t>
  </si>
  <si>
    <t>163.jpg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</si>
  <si>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</si>
  <si>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</si>
  <si>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</si>
  <si>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</si>
  <si>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</si>
  <si>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</si>
  <si>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</si>
  <si>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</si>
  <si>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</si>
  <si>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</si>
  <si>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</si>
  <si>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</si>
  <si>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</si>
  <si>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</si>
  <si>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</si>
  <si>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33panel9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</si>
  <si>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</si>
  <si>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</si>
  <si>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</si>
  <si>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</si>
  <si>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</si>
  <si>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</si>
  <si>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</si>
  <si>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</si>
  <si>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</si>
  <si>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</si>
  <si>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</si>
  <si>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190.jpg</t>
  </si>
  <si>
    <t>191.jpg</t>
  </si>
  <si>
    <t>192.jpg</t>
  </si>
  <si>
    <t>193.jpg</t>
  </si>
  <si>
    <t>194.jpg</t>
  </si>
  <si>
    <t>33panel10</t>
  </si>
  <si>
    <t>195.jpg</t>
  </si>
  <si>
    <t>196.jpg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</si>
  <si>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</si>
  <si>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</si>
  <si>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</si>
  <si>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</si>
  <si>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</si>
  <si>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</si>
  <si>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</si>
  <si>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</si>
  <si>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</si>
  <si>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</si>
  <si>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</si>
  <si>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</si>
  <si>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209.jpg</t>
  </si>
  <si>
    <t>210.jpg</t>
  </si>
  <si>
    <t>33panel11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</si>
  <si>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</si>
  <si>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</si>
  <si>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</si>
  <si>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</si>
  <si>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</si>
  <si>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</si>
  <si>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</si>
  <si>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</si>
  <si>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219.jpg</t>
  </si>
  <si>
    <t>220.jpg</t>
  </si>
  <si>
    <t>221.jpg</t>
  </si>
  <si>
    <t>222.jpg</t>
  </si>
  <si>
    <t>223.jpg</t>
  </si>
  <si>
    <t>224.jpg</t>
  </si>
  <si>
    <t>225.jpg</t>
  </si>
  <si>
    <t>226.jpg</t>
  </si>
  <si>
    <t>33panel12</t>
  </si>
  <si>
    <t>227.jpg</t>
  </si>
  <si>
    <t>228.jpg</t>
  </si>
  <si>
    <t>229.jpg</t>
  </si>
  <si>
    <t>230.jpg</t>
  </si>
  <si>
    <t>231.jpg</t>
  </si>
  <si>
    <t>232.jpg</t>
  </si>
  <si>
    <t>233.jpg</t>
  </si>
  <si>
    <t>234.jpg</t>
  </si>
  <si>
    <t>235.jpg</t>
  </si>
  <si>
    <t>236.jpg</t>
  </si>
  <si>
    <t>237.jpg</t>
  </si>
  <si>
    <t>238.jpg</t>
  </si>
  <si>
    <t>239.jpg</t>
  </si>
  <si>
    <t>240.jpg</t>
  </si>
  <si>
    <t>241.jpg</t>
  </si>
  <si>
    <t>242.jpg</t>
  </si>
  <si>
    <t>33panel13</t>
  </si>
  <si>
    <t>243.jpg</t>
  </si>
  <si>
    <t>244.jpg</t>
  </si>
  <si>
    <t>245.jpg</t>
  </si>
  <si>
    <t>246.jpg</t>
  </si>
  <si>
    <t>247.jpg</t>
  </si>
  <si>
    <t>248.jpg</t>
  </si>
  <si>
    <t>249.jpg</t>
  </si>
  <si>
    <t>250.jpg</t>
  </si>
  <si>
    <t>251.jpg</t>
  </si>
  <si>
    <t>252.jpg</t>
  </si>
  <si>
    <t>253.jpg</t>
  </si>
  <si>
    <t>254.jpg</t>
  </si>
  <si>
    <t>255.jpg</t>
  </si>
  <si>
    <t>256.jpg</t>
  </si>
  <si>
    <t>257.jpg</t>
  </si>
  <si>
    <t>258.jpg</t>
  </si>
  <si>
    <t>33panel14</t>
  </si>
  <si>
    <t>259.jpg</t>
  </si>
  <si>
    <t>260.jpg</t>
  </si>
  <si>
    <t>261.jpg</t>
  </si>
  <si>
    <t>262.jpg</t>
  </si>
  <si>
    <t>263.jpg</t>
  </si>
  <si>
    <t>264.jpg</t>
  </si>
  <si>
    <t>265.jpg</t>
  </si>
  <si>
    <t>266.jpg</t>
  </si>
  <si>
    <t>267.jpg</t>
  </si>
  <si>
    <t>268.jpg</t>
  </si>
  <si>
    <t>269.jpg</t>
  </si>
  <si>
    <t>270.jpg</t>
  </si>
  <si>
    <t>271.jpg</t>
  </si>
  <si>
    <t>272.jpg</t>
  </si>
  <si>
    <t>273.jpg</t>
  </si>
  <si>
    <t>274.jpg</t>
  </si>
  <si>
    <t>33panel15</t>
  </si>
  <si>
    <t>275.jpg</t>
  </si>
  <si>
    <t>276.jpg</t>
  </si>
  <si>
    <t>277.jpg</t>
  </si>
  <si>
    <t>278.jpg</t>
  </si>
  <si>
    <t>279.jpg</t>
  </si>
  <si>
    <t>280.jpg</t>
  </si>
  <si>
    <t>281.jpg</t>
  </si>
  <si>
    <t>282.jpg</t>
  </si>
  <si>
    <t>283.jpg</t>
  </si>
  <si>
    <t>284.jpg</t>
  </si>
  <si>
    <t>285.jpg</t>
  </si>
  <si>
    <t>286.jpg</t>
  </si>
  <si>
    <t>287.jpg</t>
  </si>
  <si>
    <t>288.jpg</t>
  </si>
  <si>
    <t>289.jpg</t>
  </si>
  <si>
    <t>290.jpg</t>
  </si>
  <si>
    <t>33panel16</t>
  </si>
  <si>
    <t>291.jpg</t>
  </si>
  <si>
    <t>292.jpg</t>
  </si>
  <si>
    <t>293.jpg</t>
  </si>
  <si>
    <t>294.jpg</t>
  </si>
  <si>
    <t>295.jpg</t>
  </si>
  <si>
    <t>296.jpg</t>
  </si>
  <si>
    <t>297.jpg</t>
  </si>
  <si>
    <t>298.jpg</t>
  </si>
  <si>
    <t>299.jpg</t>
  </si>
  <si>
    <t>300.jpg</t>
  </si>
  <si>
    <t>301.jpg</t>
  </si>
  <si>
    <t>302.jpg</t>
  </si>
  <si>
    <t>303.jpg</t>
  </si>
  <si>
    <t>304.jpg</t>
  </si>
  <si>
    <t>305.jpg</t>
  </si>
  <si>
    <t>306.jpg</t>
  </si>
  <si>
    <t>33panel17</t>
  </si>
  <si>
    <t>307.jpg</t>
  </si>
  <si>
    <t>308.jpg</t>
  </si>
  <si>
    <t>309.jpg</t>
  </si>
  <si>
    <t>310.jpg</t>
  </si>
  <si>
    <t>311.jpg</t>
  </si>
  <si>
    <t>312.jpg</t>
  </si>
  <si>
    <t>313.jpg</t>
  </si>
  <si>
    <t>314.jpg</t>
  </si>
  <si>
    <t>315.jpg</t>
  </si>
  <si>
    <t>316.jpg</t>
  </si>
  <si>
    <t>317.jpg</t>
  </si>
  <si>
    <t>318.jpg</t>
  </si>
  <si>
    <t>319.jpg</t>
  </si>
  <si>
    <t>320.jpg</t>
  </si>
  <si>
    <t>321.jpg</t>
  </si>
  <si>
    <t>322.jpg</t>
  </si>
  <si>
    <t>33panel18</t>
  </si>
  <si>
    <t>323.jpg</t>
  </si>
  <si>
    <t>324.jpg</t>
  </si>
  <si>
    <t>325.jpg</t>
  </si>
  <si>
    <t>326.jpg</t>
  </si>
  <si>
    <t>327.jpg</t>
  </si>
  <si>
    <t>328.jpg</t>
  </si>
  <si>
    <t>329.jpg</t>
  </si>
  <si>
    <t>330.jpg</t>
  </si>
  <si>
    <t>331.jpg</t>
  </si>
  <si>
    <t>332.jpg</t>
  </si>
  <si>
    <t>333.jpg</t>
  </si>
  <si>
    <t>334.jpg</t>
  </si>
  <si>
    <t>335.jpg</t>
  </si>
  <si>
    <t>336.jpg</t>
  </si>
  <si>
    <t>337.jpg</t>
  </si>
  <si>
    <t>338.jpg</t>
  </si>
  <si>
    <t>33panel19</t>
  </si>
  <si>
    <t>339.jpg</t>
  </si>
  <si>
    <t>340.jpg</t>
  </si>
  <si>
    <t>341.jpg</t>
  </si>
  <si>
    <t>342.jpg</t>
  </si>
  <si>
    <t>343.jpg</t>
  </si>
  <si>
    <t>344.jpg</t>
  </si>
  <si>
    <t>345.jpg</t>
  </si>
  <si>
    <t>346.jpg</t>
  </si>
  <si>
    <t>347.jpg</t>
  </si>
  <si>
    <t>348.jpg</t>
  </si>
  <si>
    <t>349.jpg</t>
  </si>
  <si>
    <t>350.jpg</t>
  </si>
  <si>
    <t>351.jpg</t>
  </si>
  <si>
    <t>352.jpg</t>
  </si>
  <si>
    <t>353.jpg</t>
  </si>
  <si>
    <t>354.jpg</t>
  </si>
  <si>
    <t>33panel20</t>
  </si>
  <si>
    <t>355.jpg</t>
  </si>
  <si>
    <t>356.jpg</t>
  </si>
  <si>
    <t>357.jpg</t>
  </si>
  <si>
    <t>358.jpg</t>
  </si>
  <si>
    <t>359.jpg</t>
  </si>
  <si>
    <t>360.jpg</t>
  </si>
  <si>
    <t>361.jpg</t>
  </si>
  <si>
    <t>362.jpg</t>
  </si>
  <si>
    <t>363.jpg</t>
  </si>
  <si>
    <t>364.jpg</t>
  </si>
  <si>
    <t>365.jpg</t>
  </si>
  <si>
    <t>366.jpg</t>
  </si>
  <si>
    <t>367.jpg</t>
  </si>
  <si>
    <t>368.jpg</t>
  </si>
  <si>
    <t>369.jpg</t>
  </si>
  <si>
    <t>370.jpg</t>
  </si>
  <si>
    <t>33panel21</t>
  </si>
  <si>
    <t>371.jpg</t>
  </si>
  <si>
    <t>372.jpg</t>
  </si>
  <si>
    <t>373.jpg</t>
  </si>
  <si>
    <t>374.jpg</t>
  </si>
  <si>
    <t>375.jpg</t>
  </si>
  <si>
    <t>376.jpg</t>
  </si>
  <si>
    <t>377.jpg</t>
  </si>
  <si>
    <t>378.jpg</t>
  </si>
  <si>
    <t>379.jpg</t>
  </si>
  <si>
    <t>380.jpg</t>
  </si>
  <si>
    <t>381.jpg</t>
  </si>
  <si>
    <t>382.jpg</t>
  </si>
  <si>
    <t>383.jpg</t>
  </si>
  <si>
    <t>384.jpg</t>
  </si>
  <si>
    <t>385.jpg</t>
  </si>
  <si>
    <t>386.jpg</t>
  </si>
  <si>
    <t>33panel22</t>
  </si>
  <si>
    <t>387.jpg</t>
  </si>
  <si>
    <t>388.jpg</t>
  </si>
  <si>
    <t>389.jpg</t>
  </si>
  <si>
    <t>390.jpg</t>
  </si>
  <si>
    <t>391.jpg</t>
  </si>
  <si>
    <t>392.jpg</t>
  </si>
  <si>
    <t>393.jpg</t>
  </si>
  <si>
    <t>394.jpg</t>
  </si>
  <si>
    <t>395.jpg</t>
  </si>
  <si>
    <t>396.jpg</t>
  </si>
  <si>
    <t>397.jpg</t>
  </si>
  <si>
    <t>398.jpg</t>
  </si>
  <si>
    <t>399.jpg</t>
  </si>
  <si>
    <t>400.jpg</t>
  </si>
  <si>
    <t>501.jpg</t>
  </si>
  <si>
    <t>502.jpg</t>
  </si>
  <si>
    <t>33panel23</t>
  </si>
  <si>
    <t>503.jpg</t>
  </si>
  <si>
    <t>504.jpg</t>
  </si>
  <si>
    <t>505.jpg</t>
  </si>
  <si>
    <t>506.jpg</t>
  </si>
  <si>
    <t>507.jpg</t>
  </si>
  <si>
    <t>508.jpg</t>
  </si>
  <si>
    <t>509.jpg</t>
  </si>
  <si>
    <t>510.jpg</t>
  </si>
  <si>
    <t>511.jpg</t>
  </si>
  <si>
    <t>512.jpg</t>
  </si>
  <si>
    <t>513.jpg</t>
  </si>
  <si>
    <t>514.jpg</t>
  </si>
  <si>
    <t>515.jpg</t>
  </si>
  <si>
    <t>516.jpg</t>
  </si>
  <si>
    <t>517.jpg</t>
  </si>
  <si>
    <t>518.jpg</t>
  </si>
  <si>
    <t>33panel24</t>
  </si>
  <si>
    <t>519.jpg</t>
  </si>
  <si>
    <t>520.jpg</t>
  </si>
  <si>
    <t>521.jpg</t>
  </si>
  <si>
    <t>522.jpg</t>
  </si>
  <si>
    <t>523.jpg</t>
  </si>
  <si>
    <t>524.jpg</t>
  </si>
  <si>
    <t>551.jpg</t>
  </si>
  <si>
    <t>552.jpg</t>
  </si>
  <si>
    <t>553.jpg</t>
  </si>
  <si>
    <t>554.jpg</t>
  </si>
  <si>
    <t>555.jpg</t>
  </si>
  <si>
    <t>556.jpg</t>
  </si>
  <si>
    <t>557.jpg</t>
  </si>
  <si>
    <t>558.jpg</t>
  </si>
  <si>
    <t>559.jpg</t>
  </si>
  <si>
    <t>560.jpg</t>
  </si>
  <si>
    <t>33panel25</t>
  </si>
  <si>
    <t>561.jpg</t>
  </si>
  <si>
    <t>562.jpg</t>
  </si>
  <si>
    <t>563.jpg</t>
  </si>
  <si>
    <t>564.jpg</t>
  </si>
  <si>
    <t>565.jpg</t>
  </si>
  <si>
    <t>566.jpg</t>
  </si>
  <si>
    <t>567.jpg</t>
  </si>
  <si>
    <t>568.jpg</t>
  </si>
  <si>
    <t>569.jpg</t>
  </si>
  <si>
    <t>570.jpg</t>
  </si>
  <si>
    <t>571.jpg</t>
  </si>
  <si>
    <t>572.jpg</t>
  </si>
  <si>
    <t>573.jpg</t>
  </si>
  <si>
    <t>574.jpg</t>
  </si>
  <si>
    <t>575.jpg</t>
  </si>
  <si>
    <t>576.jpg</t>
  </si>
  <si>
    <t>Overview 11</t>
  </si>
  <si>
    <t>751.jpg</t>
  </si>
  <si>
    <t>752.jpg</t>
  </si>
  <si>
    <t>753.jpg</t>
  </si>
  <si>
    <t>754.jpg</t>
  </si>
  <si>
    <t>755.jpg</t>
  </si>
  <si>
    <t>756.jpg</t>
  </si>
  <si>
    <t>757.jpg</t>
  </si>
  <si>
    <t>758.jpg</t>
  </si>
  <si>
    <t>759.jpg</t>
  </si>
  <si>
    <t>760.jpg</t>
  </si>
  <si>
    <t>761.jpg</t>
  </si>
  <si>
    <t>762.jpg</t>
  </si>
  <si>
    <t>763.jpg</t>
  </si>
  <si>
    <t>764.jpg</t>
  </si>
  <si>
    <t>765.jpg</t>
  </si>
  <si>
    <t>766.jpg</t>
  </si>
  <si>
    <t>767.jpg</t>
  </si>
  <si>
    <t>768.jpg</t>
  </si>
  <si>
    <t>769.jpg</t>
  </si>
  <si>
    <t>770.jpg</t>
  </si>
  <si>
    <t>771.jpg</t>
  </si>
  <si>
    <t>772.jpg</t>
  </si>
  <si>
    <t>773.jpg</t>
  </si>
  <si>
    <t>774.jpg</t>
  </si>
  <si>
    <t>11panel1</t>
  </si>
  <si>
    <t>801.jpg</t>
  </si>
  <si>
    <t>802.jpg</t>
  </si>
  <si>
    <t>803.jpg</t>
  </si>
  <si>
    <t>804.jpg</t>
  </si>
  <si>
    <t>805.jpg</t>
  </si>
  <si>
    <t>806.jpg</t>
  </si>
  <si>
    <t>807.jpg</t>
  </si>
  <si>
    <t>808.jpg</t>
  </si>
  <si>
    <t>809.jpg</t>
  </si>
  <si>
    <t>810.jpg</t>
  </si>
  <si>
    <t>811.jpg</t>
  </si>
  <si>
    <t>812.jpg</t>
  </si>
  <si>
    <t>813.jpg</t>
  </si>
  <si>
    <t>814.jpg</t>
  </si>
  <si>
    <t>815.jpg</t>
  </si>
  <si>
    <t>816.jpg</t>
  </si>
  <si>
    <t>11panel2</t>
  </si>
  <si>
    <t>817.jpg</t>
  </si>
  <si>
    <t>818.jpg</t>
  </si>
  <si>
    <t>819.jpg</t>
  </si>
  <si>
    <t>820.jpg</t>
  </si>
  <si>
    <t>821.jpg</t>
  </si>
  <si>
    <t>822.jpg</t>
  </si>
  <si>
    <t>823.jpg</t>
  </si>
  <si>
    <t>824.jpg</t>
  </si>
  <si>
    <t>825.jpg</t>
  </si>
  <si>
    <t>826.jpg</t>
  </si>
  <si>
    <t>827.jpg</t>
  </si>
  <si>
    <t>828.jpg</t>
  </si>
  <si>
    <t>829.jpg</t>
  </si>
  <si>
    <t>830.jpg</t>
  </si>
  <si>
    <t>831.jpg</t>
  </si>
  <si>
    <t>832.jpg</t>
  </si>
  <si>
    <t>11panel3</t>
  </si>
  <si>
    <t>833.jpg</t>
  </si>
  <si>
    <t>834.jpg</t>
  </si>
  <si>
    <t>835.jpg</t>
  </si>
  <si>
    <t>836.jpg</t>
  </si>
  <si>
    <t>837.jpg</t>
  </si>
  <si>
    <t>838.jpg</t>
  </si>
  <si>
    <t>839.jpg</t>
  </si>
  <si>
    <t>840.jpg</t>
  </si>
  <si>
    <t>841.jpg</t>
  </si>
  <si>
    <t>842.jpg</t>
  </si>
  <si>
    <t>843.jpg</t>
  </si>
  <si>
    <t>844.jpg</t>
  </si>
  <si>
    <t>845.jpg</t>
  </si>
  <si>
    <t>846.jpg</t>
  </si>
  <si>
    <t>847.jpg</t>
  </si>
  <si>
    <t>848.jpg</t>
  </si>
  <si>
    <t>11panel4</t>
  </si>
  <si>
    <t>849.jpg</t>
  </si>
  <si>
    <t>850.jpg</t>
  </si>
  <si>
    <t>851.jpg</t>
  </si>
  <si>
    <t>852.jpg</t>
  </si>
  <si>
    <t>853.jpg</t>
  </si>
  <si>
    <t>854.jpg</t>
  </si>
  <si>
    <t>855.jpg</t>
  </si>
  <si>
    <t>856.jpg</t>
  </si>
  <si>
    <t>857.jpg</t>
  </si>
  <si>
    <t>858.jpg</t>
  </si>
  <si>
    <t>859.jpg</t>
  </si>
  <si>
    <t>860.jpg</t>
  </si>
  <si>
    <t>861.jpg</t>
  </si>
  <si>
    <t>862.jpg</t>
  </si>
  <si>
    <t>863.jpg</t>
  </si>
  <si>
    <t>864.jpg</t>
  </si>
  <si>
    <t>11panel5</t>
  </si>
  <si>
    <t>865.jpg</t>
  </si>
  <si>
    <t>866.jpg</t>
  </si>
  <si>
    <t>867.jpg</t>
  </si>
  <si>
    <t>868.jpg</t>
  </si>
  <si>
    <t>869.jpg</t>
  </si>
  <si>
    <t>870.jpg</t>
  </si>
  <si>
    <t>871.jpg</t>
  </si>
  <si>
    <t>872.jpg</t>
  </si>
  <si>
    <t>873.jpg</t>
  </si>
  <si>
    <t>874.jpg</t>
  </si>
  <si>
    <t>875.jpg</t>
  </si>
  <si>
    <t>876.jpg</t>
  </si>
  <si>
    <t>877.jpg</t>
  </si>
  <si>
    <t>878.jpg</t>
  </si>
  <si>
    <t>879.jpg</t>
  </si>
  <si>
    <t>880.jpg</t>
  </si>
  <si>
    <t>11panel6</t>
  </si>
  <si>
    <t>881.jpg</t>
  </si>
  <si>
    <t>882.jpg</t>
  </si>
  <si>
    <t>883.jpg</t>
  </si>
  <si>
    <t>884.jpg</t>
  </si>
  <si>
    <t>885.jpg</t>
  </si>
  <si>
    <t>886.jpg</t>
  </si>
  <si>
    <t>887.jpg</t>
  </si>
  <si>
    <t>888.jpg</t>
  </si>
  <si>
    <t>889.jpg</t>
  </si>
  <si>
    <t>890.jpg</t>
  </si>
  <si>
    <t>891.jpg</t>
  </si>
  <si>
    <t>892.jpg</t>
  </si>
  <si>
    <t>893.jpg</t>
  </si>
  <si>
    <t>894.jpg</t>
  </si>
  <si>
    <t>895.jpg</t>
  </si>
  <si>
    <t>896.jpg</t>
  </si>
  <si>
    <t>11panel7</t>
  </si>
  <si>
    <t>897.jpg</t>
  </si>
  <si>
    <t>898.jpg</t>
  </si>
  <si>
    <t>899.jpg</t>
  </si>
  <si>
    <t>900.jpg</t>
  </si>
  <si>
    <t>901.jpg</t>
  </si>
  <si>
    <t>902.jpg</t>
  </si>
  <si>
    <t>903.jpg</t>
  </si>
  <si>
    <t>904.jpg</t>
  </si>
  <si>
    <t>905.jpg</t>
  </si>
  <si>
    <t>906.jpg</t>
  </si>
  <si>
    <t>907.jpg</t>
  </si>
  <si>
    <t>908.jpg</t>
  </si>
  <si>
    <t>909.jpg</t>
  </si>
  <si>
    <t>910.jpg</t>
  </si>
  <si>
    <t>911.jpg</t>
  </si>
  <si>
    <t>912.jpg</t>
  </si>
  <si>
    <t>11panel8</t>
  </si>
  <si>
    <t>913.jpg</t>
  </si>
  <si>
    <t>914.jpg</t>
  </si>
  <si>
    <t>915.jpg</t>
  </si>
  <si>
    <t>916.jpg</t>
  </si>
  <si>
    <t>917.jpg</t>
  </si>
  <si>
    <t>918.jpg</t>
  </si>
  <si>
    <t>919.jpg</t>
  </si>
  <si>
    <t>920.jpg</t>
  </si>
  <si>
    <t>921.jpg</t>
  </si>
  <si>
    <t>922.jpg</t>
  </si>
  <si>
    <t>923.jpg</t>
  </si>
  <si>
    <t>924.jpg</t>
  </si>
  <si>
    <t>925.jpg</t>
  </si>
  <si>
    <t>926.jpg</t>
  </si>
  <si>
    <t>927.jpg</t>
  </si>
  <si>
    <t>928.jpg</t>
  </si>
  <si>
    <t>11panel9</t>
  </si>
  <si>
    <t>929.jpg</t>
  </si>
  <si>
    <t>930.jpg</t>
  </si>
  <si>
    <t>931.jpg</t>
  </si>
  <si>
    <t>932.jpg</t>
  </si>
  <si>
    <t>933.jpg</t>
  </si>
  <si>
    <t>934.jpg</t>
  </si>
  <si>
    <t>935.jpg</t>
  </si>
  <si>
    <t>936.jpg</t>
  </si>
  <si>
    <t>937.jpg</t>
  </si>
  <si>
    <t>938.jpg</t>
  </si>
  <si>
    <t>939.jpg</t>
  </si>
  <si>
    <t>940.jpg</t>
  </si>
  <si>
    <t>941.jpg</t>
  </si>
  <si>
    <t>942.jpg</t>
  </si>
  <si>
    <t>943.jpg</t>
  </si>
  <si>
    <t>944.jpg</t>
  </si>
  <si>
    <t>11panel10</t>
  </si>
  <si>
    <t>945.jpg</t>
  </si>
  <si>
    <t>946.jpg</t>
  </si>
  <si>
    <t>947.jpg</t>
  </si>
  <si>
    <t>948.jpg</t>
  </si>
  <si>
    <t>949.jpg</t>
  </si>
  <si>
    <t>950.jpg</t>
  </si>
  <si>
    <t>951.jpg</t>
  </si>
  <si>
    <t>952.jpg</t>
  </si>
  <si>
    <t>953.jpg</t>
  </si>
  <si>
    <t>954.jpg</t>
  </si>
  <si>
    <t>955.jpg</t>
  </si>
  <si>
    <t>956.jpg</t>
  </si>
  <si>
    <t>957.jpg</t>
  </si>
  <si>
    <t>958.jpg</t>
  </si>
  <si>
    <t>959.jpg</t>
  </si>
  <si>
    <t>960.jpg</t>
  </si>
  <si>
    <t>11panel11</t>
  </si>
  <si>
    <t>961.jpg</t>
  </si>
  <si>
    <t>962.jpg</t>
  </si>
  <si>
    <t>963.jpg</t>
  </si>
  <si>
    <t>964.jpg</t>
  </si>
  <si>
    <t>965.jpg</t>
  </si>
  <si>
    <t>966.jpg</t>
  </si>
  <si>
    <t>967.jpg</t>
  </si>
  <si>
    <t>968.jpg</t>
  </si>
  <si>
    <t>969.jpg</t>
  </si>
  <si>
    <t>970.jpg</t>
  </si>
  <si>
    <t>971.jpg</t>
  </si>
  <si>
    <t>972.jpg</t>
  </si>
  <si>
    <t>973.jpg</t>
  </si>
  <si>
    <t>974.jpg</t>
  </si>
  <si>
    <t>975.jpg</t>
  </si>
  <si>
    <t>976.jpg</t>
  </si>
  <si>
    <t>11panel12</t>
  </si>
  <si>
    <t>977.jpg</t>
  </si>
  <si>
    <t>978.jpg</t>
  </si>
  <si>
    <t>979.jpg</t>
  </si>
  <si>
    <t>980.jpg</t>
  </si>
  <si>
    <t>981.jpg</t>
  </si>
  <si>
    <t>982.jpg</t>
  </si>
  <si>
    <t>983.jpg</t>
  </si>
  <si>
    <t>984.jpg</t>
  </si>
  <si>
    <t>985.jpg</t>
  </si>
  <si>
    <t>986.jpg</t>
  </si>
  <si>
    <t>987.jpg</t>
  </si>
  <si>
    <t>988.jpg</t>
  </si>
  <si>
    <t>989.jpg</t>
  </si>
  <si>
    <t>990.jpg</t>
  </si>
  <si>
    <t>991.jpg</t>
  </si>
  <si>
    <t>992.jpg</t>
  </si>
  <si>
    <t>11panel13</t>
  </si>
  <si>
    <t>993.jpg</t>
  </si>
  <si>
    <t>994.jpg</t>
  </si>
  <si>
    <t>995.jpg</t>
  </si>
  <si>
    <t>996.jpg</t>
  </si>
  <si>
    <t>997.jpg</t>
  </si>
  <si>
    <t>998.jpg</t>
  </si>
  <si>
    <t>999.jpg</t>
  </si>
  <si>
    <t>1000.jpg</t>
  </si>
  <si>
    <t>1001.jpg</t>
  </si>
  <si>
    <t>1002.jpg</t>
  </si>
  <si>
    <t>1003.jpg</t>
  </si>
  <si>
    <t>1004.jpg</t>
  </si>
  <si>
    <t>1005.jpg</t>
  </si>
  <si>
    <t>1006.jpg</t>
  </si>
  <si>
    <t>1007.jpg</t>
  </si>
  <si>
    <t>1008.jpg</t>
  </si>
  <si>
    <t>11panel14</t>
  </si>
  <si>
    <t>1009.jpg</t>
  </si>
  <si>
    <t>1010.jpg</t>
  </si>
  <si>
    <t>1011.jpg</t>
  </si>
  <si>
    <t>1012.jpg</t>
  </si>
  <si>
    <t>1013.jpg</t>
  </si>
  <si>
    <t>1014.jpg</t>
  </si>
  <si>
    <t>1015.jpg</t>
  </si>
  <si>
    <t>1016.jpg</t>
  </si>
  <si>
    <t>1017.jpg</t>
  </si>
  <si>
    <t>1018.jpg</t>
  </si>
  <si>
    <t>1019.jpg</t>
  </si>
  <si>
    <t>1020.jpg</t>
  </si>
  <si>
    <t>1021.jpg</t>
  </si>
  <si>
    <t>1022.jpg</t>
  </si>
  <si>
    <t>1023.jpg</t>
  </si>
  <si>
    <t>1024.jpg</t>
  </si>
  <si>
    <t>11panel15</t>
  </si>
  <si>
    <t>1025.jpg</t>
  </si>
  <si>
    <t>1026.jpg</t>
  </si>
  <si>
    <t>1027.jpg</t>
  </si>
  <si>
    <t>1028.jpg</t>
  </si>
  <si>
    <t>1029.jpg</t>
  </si>
  <si>
    <t>1030.jpg</t>
  </si>
  <si>
    <t>1031.jpg</t>
  </si>
  <si>
    <t>1032.jpg</t>
  </si>
  <si>
    <t>1033.jpg</t>
  </si>
  <si>
    <t>1034.jpg</t>
  </si>
  <si>
    <t>1035.jpg</t>
  </si>
  <si>
    <t>1036.jpg</t>
  </si>
  <si>
    <t>1037.jpg</t>
  </si>
  <si>
    <t>1038.jpg</t>
  </si>
  <si>
    <t>1039.jpg</t>
  </si>
  <si>
    <t>1040.jpg</t>
  </si>
  <si>
    <t>11panel16</t>
  </si>
  <si>
    <t>1041.jpg</t>
  </si>
  <si>
    <t>1042.jpg</t>
  </si>
  <si>
    <t>1043.jpg</t>
  </si>
  <si>
    <t>1044.jpg</t>
  </si>
  <si>
    <t>1045.jpg</t>
  </si>
  <si>
    <t>1046.jpg</t>
  </si>
  <si>
    <t>1047.jpg</t>
  </si>
  <si>
    <t>1048.jpg</t>
  </si>
  <si>
    <t>1049.jpg</t>
  </si>
  <si>
    <t>1050.jpg</t>
  </si>
  <si>
    <t>1051.jpg</t>
  </si>
  <si>
    <t>1052.jpg</t>
  </si>
  <si>
    <t>1053.jpg</t>
  </si>
  <si>
    <t>1054.jpg</t>
  </si>
  <si>
    <t>1055.jpg</t>
  </si>
  <si>
    <t>1056.jpg</t>
  </si>
  <si>
    <t>11panel17</t>
  </si>
  <si>
    <t>1057.jpg</t>
  </si>
  <si>
    <t>1058.jpg</t>
  </si>
  <si>
    <t>1059.jpg</t>
  </si>
  <si>
    <t>1060.jpg</t>
  </si>
  <si>
    <t>1061.jpg</t>
  </si>
  <si>
    <t>1062.jpg</t>
  </si>
  <si>
    <t>1063.jpg</t>
  </si>
  <si>
    <t>1064.jpg</t>
  </si>
  <si>
    <t>1065.jpg</t>
  </si>
  <si>
    <t>1066.jpg</t>
  </si>
  <si>
    <t>1067.jpg</t>
  </si>
  <si>
    <t>1068.jpg</t>
  </si>
  <si>
    <t>1069.jpg</t>
  </si>
  <si>
    <t>1070.jpg</t>
  </si>
  <si>
    <t>1071.jpg</t>
  </si>
  <si>
    <t>1072.jpg</t>
  </si>
  <si>
    <t>11panel18</t>
  </si>
  <si>
    <t>1073.jpg</t>
  </si>
  <si>
    <t>1074.jpg</t>
  </si>
  <si>
    <t>1075.jpg</t>
  </si>
  <si>
    <t>1076.jpg</t>
  </si>
  <si>
    <t>1077.jpg</t>
  </si>
  <si>
    <t>1078.jpg</t>
  </si>
  <si>
    <t>1079.jpg</t>
  </si>
  <si>
    <t>1080.jpg</t>
  </si>
  <si>
    <t>1081.jpg</t>
  </si>
  <si>
    <t>1082.jpg</t>
  </si>
  <si>
    <t>1083.jpg</t>
  </si>
  <si>
    <t>1084.jpg</t>
  </si>
  <si>
    <t>1085.jpg</t>
  </si>
  <si>
    <t>1086.jpg</t>
  </si>
  <si>
    <t>1087.jpg</t>
  </si>
  <si>
    <t>1088.jpg</t>
  </si>
  <si>
    <t>11panel19</t>
  </si>
  <si>
    <t>1089.jpg</t>
  </si>
  <si>
    <t>1090.jpg</t>
  </si>
  <si>
    <t>1091.jpg</t>
  </si>
  <si>
    <t>1092.jpg</t>
  </si>
  <si>
    <t>1093.jpg</t>
  </si>
  <si>
    <t>1094.jpg</t>
  </si>
  <si>
    <t>1095.jpg</t>
  </si>
  <si>
    <t>1096.jpg</t>
  </si>
  <si>
    <t>1097.jpg</t>
  </si>
  <si>
    <t>1098.jpg</t>
  </si>
  <si>
    <t>1099.jpg</t>
  </si>
  <si>
    <t>1100.jpg</t>
  </si>
  <si>
    <t>1101.jpg</t>
  </si>
  <si>
    <t>1102.jpg</t>
  </si>
  <si>
    <t>1103.jpg</t>
  </si>
  <si>
    <t>1104.jpg</t>
  </si>
  <si>
    <t>11panel20</t>
  </si>
  <si>
    <t>1105.jpg</t>
  </si>
  <si>
    <t>1106.jpg</t>
  </si>
  <si>
    <t>1107.jpg</t>
  </si>
  <si>
    <t>1108.jpg</t>
  </si>
  <si>
    <t>1109.jpg</t>
  </si>
  <si>
    <t>1110.jpg</t>
  </si>
  <si>
    <t>1111.jpg</t>
  </si>
  <si>
    <t>1112.jpg</t>
  </si>
  <si>
    <t>1113.jpg</t>
  </si>
  <si>
    <t>1114.jpg</t>
  </si>
  <si>
    <t>1115.jpg</t>
  </si>
  <si>
    <t>1116.jpg</t>
  </si>
  <si>
    <t>1117.jpg</t>
  </si>
  <si>
    <t>1118.jpg</t>
  </si>
  <si>
    <t>1119.jpg</t>
  </si>
  <si>
    <t>1120.jpg</t>
  </si>
  <si>
    <t>11panel21</t>
  </si>
  <si>
    <t>1121.jpg</t>
  </si>
  <si>
    <t>1122.jpg</t>
  </si>
  <si>
    <t>1123.jpg</t>
  </si>
  <si>
    <t>1124.jpg</t>
  </si>
  <si>
    <t>1125.jpg</t>
  </si>
  <si>
    <t>1126.jpg</t>
  </si>
  <si>
    <t>1127.jpg</t>
  </si>
  <si>
    <t>1128.jpg</t>
  </si>
  <si>
    <t>1129.jpg</t>
  </si>
  <si>
    <t>1130.jpg</t>
  </si>
  <si>
    <t>1131.jpg</t>
  </si>
  <si>
    <t>1132.jpg</t>
  </si>
  <si>
    <t>1133.jpg</t>
  </si>
  <si>
    <t>1134.jpg</t>
  </si>
  <si>
    <t>1135.jpg</t>
  </si>
  <si>
    <t>1136.jpg</t>
  </si>
  <si>
    <t>11panel22</t>
  </si>
  <si>
    <t>1137.jpg</t>
  </si>
  <si>
    <t>1138.jpg</t>
  </si>
  <si>
    <t>1139.jpg</t>
  </si>
  <si>
    <t>1140.jpg</t>
  </si>
  <si>
    <t>1141.jpg</t>
  </si>
  <si>
    <t>1142.jpg</t>
  </si>
  <si>
    <t>1143.jpg</t>
  </si>
  <si>
    <t>1144.jpg</t>
  </si>
  <si>
    <t>1145.jpg</t>
  </si>
  <si>
    <t>1146.jpg</t>
  </si>
  <si>
    <t>1147.jpg</t>
  </si>
  <si>
    <t>1148.jpg</t>
  </si>
  <si>
    <t>1149.jpg</t>
  </si>
  <si>
    <t>1150.jpg</t>
  </si>
  <si>
    <t>1151.jpg</t>
  </si>
  <si>
    <t>1152.jpg</t>
  </si>
  <si>
    <t>11panel23</t>
  </si>
  <si>
    <t>1153.jpg</t>
  </si>
  <si>
    <t>1154.jpg</t>
  </si>
  <si>
    <t>1155.jpg</t>
  </si>
  <si>
    <t>1156.jpg</t>
  </si>
  <si>
    <t>1157.jpg</t>
  </si>
  <si>
    <t>1158.jpg</t>
  </si>
  <si>
    <t>1159.jpg</t>
  </si>
  <si>
    <t>1160.jpg</t>
  </si>
  <si>
    <t>1161.jpg</t>
  </si>
  <si>
    <t>1162.jpg</t>
  </si>
  <si>
    <t>1163.jpg</t>
  </si>
  <si>
    <t>1164.jpg</t>
  </si>
  <si>
    <t>1165.jpg</t>
  </si>
  <si>
    <t>1166.jpg</t>
  </si>
  <si>
    <t>1167.jpg</t>
  </si>
  <si>
    <t>1168.jpg</t>
  </si>
  <si>
    <t>11panel24</t>
  </si>
  <si>
    <t>1169.jpg</t>
  </si>
  <si>
    <t>1170.jpg</t>
  </si>
  <si>
    <t>1171.jpg</t>
  </si>
  <si>
    <t>1172.jpg</t>
  </si>
  <si>
    <t>1173.jpg</t>
  </si>
  <si>
    <t>1174.jpg</t>
  </si>
  <si>
    <t>1175.jpg</t>
  </si>
  <si>
    <t>1176.jpg</t>
  </si>
  <si>
    <t>1177.jpg</t>
  </si>
  <si>
    <t>1178.jpg</t>
  </si>
  <si>
    <t>1179.jpg</t>
  </si>
  <si>
    <t>1180.jpg</t>
  </si>
  <si>
    <t>1181.jpg</t>
  </si>
  <si>
    <t>1182.jpg</t>
  </si>
  <si>
    <t>1183.jpg</t>
  </si>
  <si>
    <t>1184.jpg</t>
  </si>
  <si>
    <t>11panel25</t>
  </si>
  <si>
    <t>1185.jpg</t>
  </si>
  <si>
    <t>1186.jpg</t>
  </si>
  <si>
    <t>1187.jpg</t>
  </si>
  <si>
    <t>1188.jpg</t>
  </si>
  <si>
    <t>1189.jpg</t>
  </si>
  <si>
    <t>1190.jpg</t>
  </si>
  <si>
    <t>1191.jpg</t>
  </si>
  <si>
    <t>1192.jpg</t>
  </si>
  <si>
    <t>1193.jpg</t>
  </si>
  <si>
    <t>1194.jpg</t>
  </si>
  <si>
    <t>1195.jpg</t>
  </si>
  <si>
    <t>1196.jpg</t>
  </si>
  <si>
    <t>1197.jpg</t>
  </si>
  <si>
    <t>1198.jpg</t>
  </si>
  <si>
    <t>1199.jpg</t>
  </si>
  <si>
    <t>1200.jpg</t>
  </si>
  <si>
    <t>POWER TX1</t>
  </si>
  <si>
    <t>OVERVIEW</t>
  </si>
  <si>
    <t>1501.jpg</t>
  </si>
  <si>
    <t>1502.jpg</t>
  </si>
  <si>
    <t>COOLING FIN</t>
  </si>
  <si>
    <t>1503.jpg</t>
  </si>
  <si>
    <t>1504.jpg</t>
  </si>
  <si>
    <t>CONSERVATOR TANK</t>
  </si>
  <si>
    <t>1505.jpg</t>
  </si>
  <si>
    <t>1506.jpg</t>
  </si>
  <si>
    <t>MARSHALLING KIOSK</t>
  </si>
  <si>
    <t>1507.jpg</t>
  </si>
  <si>
    <t>1508.jpg</t>
  </si>
  <si>
    <t>HV CABLE COMP</t>
  </si>
  <si>
    <t>1509.jpg</t>
  </si>
  <si>
    <t>1510.jpg</t>
  </si>
  <si>
    <t>HV CABLE</t>
  </si>
  <si>
    <t>1511.jpg</t>
  </si>
  <si>
    <t>1512.jpg</t>
  </si>
  <si>
    <t>LV CABLE COMP</t>
  </si>
  <si>
    <t>1513.jpg</t>
  </si>
  <si>
    <t>1514.jpg</t>
  </si>
  <si>
    <t>LV CABLE</t>
  </si>
  <si>
    <t>1515.jpg</t>
  </si>
  <si>
    <t>1516.jpg</t>
  </si>
  <si>
    <t>POWER TX2</t>
  </si>
  <si>
    <t>1517.jpg</t>
  </si>
  <si>
    <t>1518.jpg</t>
  </si>
  <si>
    <t>1519.jpg</t>
  </si>
  <si>
    <t>1520.jpg</t>
  </si>
  <si>
    <t>1521.jpg</t>
  </si>
  <si>
    <t>1522.jpg</t>
  </si>
  <si>
    <t>1523.jpg</t>
  </si>
  <si>
    <t>1524.jpg</t>
  </si>
  <si>
    <t>1525.jpg</t>
  </si>
  <si>
    <t>1526.jpg</t>
  </si>
  <si>
    <t>1527.jpg</t>
  </si>
  <si>
    <t>1528.jpg</t>
  </si>
  <si>
    <t>1529.jpg</t>
  </si>
  <si>
    <t>1530.jpg</t>
  </si>
  <si>
    <t>1531.jpg</t>
  </si>
  <si>
    <t>1532.jpg</t>
  </si>
  <si>
    <t>LOCALT TX</t>
  </si>
  <si>
    <t>1533.jpg</t>
  </si>
  <si>
    <t>1534.jpg</t>
  </si>
  <si>
    <t>OVERVIEW TOP</t>
  </si>
  <si>
    <t>1535.jpg</t>
  </si>
  <si>
    <t>1536.jpg</t>
  </si>
  <si>
    <t>HV BUSHING</t>
  </si>
  <si>
    <t>1537.jpg</t>
  </si>
  <si>
    <t>1538.jpg</t>
  </si>
  <si>
    <t>1539.jpg</t>
  </si>
  <si>
    <t>1540.jpg</t>
  </si>
  <si>
    <t>HV CABLE SPLIT</t>
  </si>
  <si>
    <t>1541.jpg</t>
  </si>
  <si>
    <t>1542.jpg</t>
  </si>
  <si>
    <t>LV BUSHING</t>
  </si>
  <si>
    <t>1543.jpg</t>
  </si>
  <si>
    <t>1544.jpg</t>
  </si>
  <si>
    <t>1545.jpg</t>
  </si>
  <si>
    <t>1546.jpg</t>
  </si>
  <si>
    <t>LV CABLE SPLIT</t>
  </si>
  <si>
    <t>1547.jpg</t>
  </si>
  <si>
    <t>1548.jpg</t>
  </si>
  <si>
    <t>FEEDER PILLAR</t>
  </si>
  <si>
    <t>1549.jpg</t>
  </si>
  <si>
    <t>1550.jpg</t>
  </si>
  <si>
    <t>BATTERY BANK 1</t>
  </si>
  <si>
    <t>1551.jpg</t>
  </si>
  <si>
    <t>1552.jpg</t>
  </si>
  <si>
    <t>BATTERY BANK 2</t>
  </si>
  <si>
    <t>1553.jpg</t>
  </si>
  <si>
    <t>1554.jpg</t>
  </si>
  <si>
    <t>N.E.R</t>
  </si>
  <si>
    <t>OVERVIEW (LHS)</t>
  </si>
  <si>
    <t>1555.jpg</t>
  </si>
  <si>
    <t>1556.jpg</t>
  </si>
  <si>
    <t>Overview</t>
  </si>
  <si>
    <t>OVERVIEW BOTTOM</t>
  </si>
  <si>
    <t>OVERVIEW REAR</t>
  </si>
  <si>
    <t>OVERVIEW SIDE (LHS)</t>
  </si>
  <si>
    <t>OVERVIEW SIDE (RHS)</t>
  </si>
  <si>
    <t>Panel1</t>
  </si>
  <si>
    <t>Panel2</t>
  </si>
  <si>
    <t>Panel3</t>
  </si>
  <si>
    <t>Panel4</t>
  </si>
  <si>
    <t>25.jpg</t>
  </si>
  <si>
    <t>26.jpg</t>
  </si>
  <si>
    <t>27.jpg</t>
  </si>
  <si>
    <t>28.jpg</t>
  </si>
  <si>
    <t>Panel5</t>
  </si>
  <si>
    <t>29.jpg</t>
  </si>
  <si>
    <t>30.jpg</t>
  </si>
  <si>
    <t>31.jpg</t>
  </si>
  <si>
    <t>32.jpg</t>
  </si>
  <si>
    <t>Panel6</t>
  </si>
  <si>
    <t>33.jpg</t>
  </si>
  <si>
    <t>34.jpg</t>
  </si>
  <si>
    <t>35.jpg</t>
  </si>
  <si>
    <t>36.jpg</t>
  </si>
  <si>
    <t>Panel7</t>
  </si>
  <si>
    <t>37.jpg</t>
  </si>
  <si>
    <t>38.jpg</t>
  </si>
  <si>
    <t>39.jpg</t>
  </si>
  <si>
    <t>40.jpg</t>
  </si>
  <si>
    <t>Panel8</t>
  </si>
  <si>
    <t>41.jpg</t>
  </si>
  <si>
    <t>42.jpg</t>
  </si>
  <si>
    <t>43.jpg</t>
  </si>
  <si>
    <t>44.jpg</t>
  </si>
  <si>
    <t>Panel9</t>
  </si>
  <si>
    <t>45.jpg</t>
  </si>
  <si>
    <t>46.jpg</t>
  </si>
  <si>
    <t>47.jpg</t>
  </si>
  <si>
    <t>48.jpg</t>
  </si>
  <si>
    <t>Panel10</t>
  </si>
  <si>
    <t>49.jpg</t>
  </si>
  <si>
    <t>50.jpg</t>
  </si>
  <si>
    <t>TX1</t>
  </si>
  <si>
    <t>BUSHING</t>
  </si>
  <si>
    <t>CABLE</t>
  </si>
  <si>
    <t>CABLE SPLIT</t>
  </si>
  <si>
    <t>TX2</t>
  </si>
  <si>
    <t>FP1</t>
  </si>
  <si>
    <t>FP2</t>
  </si>
  <si>
    <t>BLACK BOX 1</t>
  </si>
  <si>
    <t>BLACK BOX 2</t>
  </si>
  <si>
    <t>BATTERY BANK 3</t>
  </si>
  <si>
    <t>BATTERY BANK 4</t>
  </si>
  <si>
    <t>C:\Users\aremi\Desktop\REPORT CBM\PO 42234207 - JOHOR - JBU - 400 PE IR US TEV\03. RAW MATERIAL\118. 18072026 MASJID KOTA ISKANDAR\IR\FLIR0173- photo.jpg</t>
  </si>
  <si>
    <t>C:\Users\aremi\Desktop\REPORT CBM\PO 42234207 - JOHOR - JBU - 400 PE IR US TEV\03. RAW MATERIAL\118. 18072026 MASJID KOTA ISKANDAR\IR\FLIR0173.jpg</t>
  </si>
  <si>
    <t>C:\Users\aremi\Desktop\REPORT CBM\PO 42234207 - JOHOR - JBU - 400 PE IR US TEV\03. RAW MATERIAL\118. 18072026 MASJID KOTA ISKANDAR\IR\FLIR0174- photo.jpg</t>
  </si>
  <si>
    <t>C:\Users\aremi\Desktop\REPORT CBM\PO 42234207 - JOHOR - JBU - 400 PE IR US TEV\03. RAW MATERIAL\118. 18072026 MASJID KOTA ISKANDAR\IR\FLIR0174.jpg</t>
  </si>
  <si>
    <t>C:\Users\aremi\Desktop\REPORT CBM\PO 42234207 - JOHOR - JBU - 400 PE IR US TEV\03. RAW MATERIAL\118. 18072026 MASJID KOTA ISKANDAR\IR\FLIR0175- photo.jpg</t>
  </si>
  <si>
    <t>C:\Users\aremi\Desktop\REPORT CBM\PO 42234207 - JOHOR - JBU - 400 PE IR US TEV\03. RAW MATERIAL\118. 18072026 MASJID KOTA ISKANDAR\IR\FLIR0175.jpg</t>
  </si>
  <si>
    <t>Panel11</t>
  </si>
  <si>
    <t>Panel12</t>
  </si>
  <si>
    <t>Panel13</t>
  </si>
  <si>
    <t>Panel14</t>
  </si>
  <si>
    <t>Panel15</t>
  </si>
  <si>
    <t>C:\Users\aremi\Desktop\REPORT CBM\PO 42234207 - JOHOR - JBU - 400 PE IR US TEV\03. RAW MATERIAL\118. 18072026 MASJID KOTA ISKANDAR\IR\FLIR0181- photo.jpg</t>
  </si>
  <si>
    <t>C:\Users\aremi\Desktop\REPORT CBM\PO 42289580 - Pahang 11kV SECOND CYCLE AZZAD 2026\RAW MATERIAL\001. SSU CHEROH (VI)\RAW DATA\IR\New folder\FLIR_0030- photo.jpg</t>
  </si>
  <si>
    <t>C:\Users\aremi\Desktop\REPORT CBM\PO 42234207 - JOHOR - JBU - 400 PE IR US TEV\03. RAW MATERIAL\118. 18072026 MASJID KOTA ISKANDAR\IR\FLIR0181.jpg</t>
  </si>
  <si>
    <t>C:\Users\aremi\Desktop\REPORT CBM\PO 42289580 - Pahang 11kV SECOND CYCLE AZZAD 2026\RAW MATERIAL\001. SSU CHEROH (VI)\RAW DATA\IR\New folder\FLIR_0030.jpg</t>
  </si>
  <si>
    <t>C:\Users\aremi\Desktop\REPORT CBM\PO 42234207 - JOHOR - JBU - 400 PE IR US TEV\03. RAW MATERIAL\118. 18072026 MASJID KOTA ISKANDAR\IR\FLIR0182- photo.jpg</t>
  </si>
  <si>
    <t>C:\Users\aremi\Desktop\REPORT CBM\PO 42289580 - Pahang 11kV SECOND CYCLE AZZAD 2026\RAW MATERIAL\001. SSU CHEROH (VI)\RAW DATA\IR\New folder\FLIR_0031- photo.jpg</t>
  </si>
  <si>
    <t>C:\Users\aremi\Desktop\REPORT CBM\PO 42234207 - JOHOR - JBU - 400 PE IR US TEV\03. RAW MATERIAL\118. 18072026 MASJID KOTA ISKANDAR\IR\FLIR0182.jpg</t>
  </si>
  <si>
    <t>C:\Users\aremi\Desktop\REPORT CBM\PO 42289580 - Pahang 11kV SECOND CYCLE AZZAD 2026\RAW MATERIAL\001. SSU CHEROH (VI)\RAW DATA\IR\New folder\FLIR_0031.jpg</t>
  </si>
  <si>
    <t>C:\Users\aremi\Desktop\REPORT CBM\PO 42234207 - JOHOR - JBU - 400 PE IR US TEV\03. RAW MATERIAL\118. 18072026 MASJID KOTA ISKANDAR\IR\FLIR0183- photo.jpg</t>
  </si>
  <si>
    <t>C:\Users\aremi\Desktop\REPORT CBM\PO 42289580 - Pahang 11kV SECOND CYCLE AZZAD 2026\RAW MATERIAL\001. SSU CHEROH (VI)\RAW DATA\IR\New folder\FLIR_0032- photo.jpg</t>
  </si>
  <si>
    <t>C:\Users\aremi\Desktop\REPORT CBM\PO 42234207 - JOHOR - JBU - 400 PE IR US TEV\03. RAW MATERIAL\118. 18072026 MASJID KOTA ISKANDAR\IR\FLIR0183.jpg</t>
  </si>
  <si>
    <t>C:\Users\aremi\Desktop\REPORT CBM\PO 42289580 - Pahang 11kV SECOND CYCLE AZZAD 2026\RAW MATERIAL\001. SSU CHEROH (VI)\RAW DATA\IR\New folder\FLIR_0032.jpg</t>
  </si>
  <si>
    <t>C:\Users\aremi\Desktop\REPORT CBM\PO 42289580 - Pahang 11kV SECOND CYCLE AZZAD 2026\RAW MATERIAL\001. SSU CHEROH (VI)\RAW DATA\IR\New folder\FLIR_0033- photo.jpg</t>
  </si>
  <si>
    <t>C:\Users\aremi\Desktop\REPORT CBM\PO 42289580 - Pahang 11kV SECOND CYCLE AZZAD 2026\RAW MATERIAL\001. SSU CHEROH (VI)\RAW DATA\IR\New folder\FLIR_0033.jpg</t>
  </si>
  <si>
    <t>C:\Users\aremi\Desktop\REPORT CBM\PO 42289580 - Pahang 11kV SECOND CYCLE AZZAD 2026\RAW MATERIAL\001. SSU CHEROH (VI)\RAW DATA\IR\New folder\FLIR_0034- photo.jpg</t>
  </si>
  <si>
    <t>C:\Users\aremi\Desktop\REPORT CBM\PO 42289580 - Pahang 11kV SECOND CYCLE AZZAD 2026\RAW MATERIAL\001. SSU CHEROH (VI)\RAW DATA\IR\New folder\FLIR_0034.jpg</t>
  </si>
  <si>
    <t>C:\Users\aremi\Desktop\REPORT CBM\PO 42289580 - Pahang 11kV SECOND CYCLE AZZAD 2026\RAW MATERIAL\001. SSU CHEROH (VI)\RAW DATA\IR\New folder\FLIR_0035- photo.jpg</t>
  </si>
  <si>
    <t>C:\Users\aremi\Desktop\REPORT CBM\PO 42289580 - Pahang 11kV SECOND CYCLE AZZAD 2026\RAW MATERIAL\001. SSU CHEROH (VI)\RAW DATA\IR\New folder\FLIR_0035.jpg</t>
  </si>
  <si>
    <t>C:\Users\aremi\Desktop\REPORT CBM\PO 42289580 - Pahang 11kV SECOND CYCLE AZZAD 2026\RAW MATERIAL\001. SSU CHEROH (VI)\RAW DATA\IR\New folder\FLIR_0036- photo.jpg</t>
  </si>
  <si>
    <t>C:\Users\aremi\Desktop\REPORT CBM\PO 42289580 - Pahang 11kV SECOND CYCLE AZZAD 2026\RAW MATERIAL\001. SSU CHEROH (VI)\RAW DATA\IR\New folder\FLIR_0036.jpg</t>
  </si>
  <si>
    <t>C:\Users\aremi\Desktop\REPORT CBM\PO 42289580 - Pahang 11kV SECOND CYCLE AZZAD 2026\RAW MATERIAL\001. SSU CHEROH (VI)\RAW DATA\IR\FLIR_0037- photo.jpg</t>
  </si>
  <si>
    <t>C:\Users\aremi\Desktop\REPORT CBM\PO 42289580 - Pahang 11kV SECOND CYCLE AZZAD 2026\RAW MATERIAL\001. SSU CHEROH (VI)\RAW DATA\IR\FLIR_0037.jpg</t>
  </si>
  <si>
    <t>C:\Users\aremi\Desktop\REPORT CBM\PO 42234207 - JOHOR - JBU - 400 PE IR US TEV\03. RAW MATERIAL\118. 18072026 MASJID KOTA ISKANDAR\IR\FLIR0166- photo.jpg</t>
  </si>
  <si>
    <t>C:\Users\aremi\Desktop\REPORT CBM\PO 42234207 - JOHOR - JBU - 400 PE IR US TEV\03. RAW MATERIAL\118. 18072026 MASJID KOTA ISKANDAR\IR\FLIR0166.jpg</t>
  </si>
  <si>
    <t>C:\Users\aremi\Desktop\REPORT CBM\PO 42234207 - JOHOR - JBU - 400 PE IR US TEV\03. RAW MATERIAL\118. 18072026 MASJID KOTA ISKANDAR\IR\FLIR0168- photo.jpg</t>
  </si>
  <si>
    <t>C:\Users\aremi\Desktop\REPORT CBM\PO 42234207 - JOHOR - JBU - 400 PE IR US TEV\03. RAW MATERIAL\118. 18072026 MASJID KOTA ISKANDAR\IR\FLIR0168.jpg</t>
  </si>
  <si>
    <t>C:\Users\aremi\Desktop\REPORT CBM\PO 42234207 - JOHOR - JBU - 400 PE IR US TEV\03. RAW MATERIAL\118. 18072026 MASJID KOTA ISKANDAR\IR\FLIR0167- photo.jpg</t>
  </si>
  <si>
    <t>C:\Users\aremi\Desktop\REPORT CBM\PO 42234207 - JOHOR - JBU - 400 PE IR US TEV\03. RAW MATERIAL\118. 18072026 MASJID KOTA ISKANDAR\IR\FLIR0167.jpg</t>
  </si>
  <si>
    <t>C:\Users\aremi\Desktop\REPORT CBM\PO 42234207 - JOHOR - JBU - 400 PE IR US TEV\03. RAW MATERIAL\118. 18072026 MASJID KOTA ISKANDAR\IR\FLIR0169- photo.jpg</t>
  </si>
  <si>
    <t>C:\Users\aremi\Desktop\REPORT CBM\PO 42234207 - JOHOR - JBU - 400 PE IR US TEV\03. RAW MATERIAL\118. 18072026 MASJID KOTA ISKANDAR\IR\FLIR0169.jpg</t>
  </si>
  <si>
    <t>C:\Users\aremi\Desktop\REPORT CBM\PO 42234207 - JOHOR - JBU - 400 PE IR US TEV\03. RAW MATERIAL\118. 18072026 MASJID KOTA ISKANDAR\IR\FLIR0178- photo.jpg</t>
  </si>
  <si>
    <t>C:\Users\aremi\Desktop\REPORT CBM\PO 42289580 - Pahang 11kV SECOND CYCLE AZZAD 2026\RAW MATERIAL\001. SSU CHEROH (VI)\RAW DATA\IR\New folder\FLIR_0038- photo.jpg</t>
  </si>
  <si>
    <t>C:\Users\aremi\Desktop\REPORT CBM\PO 42234207 - JOHOR - JBU - 400 PE IR US TEV\03. RAW MATERIAL\118. 18072026 MASJID KOTA ISKANDAR\IR\FLIR0178.jpg</t>
  </si>
  <si>
    <t>C:\Users\aremi\Desktop\REPORT CBM\PO 42289580 - Pahang 11kV SECOND CYCLE AZZAD 2026\RAW MATERIAL\001. SSU CHEROH (VI)\RAW DATA\IR\New folder\FLIR_0038.jpg</t>
  </si>
  <si>
    <t>C:\Users\aremi\Desktop\REPORT CBM\PO 42234207 - JOHOR - JBU - 400 PE IR US TEV\03. RAW MATERIAL\118. 18072026 MASJID KOTA ISKANDAR\IR\FLIR0179- photo.jpg</t>
  </si>
  <si>
    <t>C:\Users\aremi\Desktop\REPORT CBM\PO 42289580 - Pahang 11kV SECOND CYCLE AZZAD 2026\RAW MATERIAL\001. SSU CHEROH (VI)\RAW DATA\IR\New folder\FLIR_0039- photo.jpg</t>
  </si>
  <si>
    <t>C:\Users\aremi\Desktop\REPORT CBM\PO 42234207 - JOHOR - JBU - 400 PE IR US TEV\03. RAW MATERIAL\118. 18072026 MASJID KOTA ISKANDAR\IR\FLIR0179.jpg</t>
  </si>
  <si>
    <t>C:\Users\aremi\Desktop\REPORT CBM\PO 42289580 - Pahang 11kV SECOND CYCLE AZZAD 2026\RAW MATERIAL\001. SSU CHEROH (VI)\RAW DATA\IR\New folder\FLIR_0039.jpg</t>
  </si>
  <si>
    <t>C:\Users\aremi\Desktop\REPORT CBM\PO 42234207 - JOHOR - JBU - 400 PE IR US TEV\03. RAW MATERIAL\118. 18072026 MASJID KOTA ISKANDAR\IR\FLIR0180- photo.jpg</t>
  </si>
  <si>
    <t>C:\Users\aremi\Desktop\REPORT CBM\PO 42289580 - Pahang 11kV SECOND CYCLE AZZAD 2026\RAW MATERIAL\001. SSU CHEROH (VI)\RAW DATA\IR\New folder\FLIR_0040- photo.jpg</t>
  </si>
  <si>
    <t>C:\Users\aremi\Desktop\REPORT CBM\PO 42234207 - JOHOR - JBU - 400 PE IR US TEV\03. RAW MATERIAL\118. 18072026 MASJID KOTA ISKANDAR\IR\FLIR0180.jpg</t>
  </si>
  <si>
    <t>C:\Users\aremi\Desktop\REPORT CBM\PO 42289580 - Pahang 11kV SECOND CYCLE AZZAD 2026\RAW MATERIAL\001. SSU CHEROH (VI)\RAW DATA\IR\New folder\FLIR_0040.jpg</t>
  </si>
  <si>
    <t>C:\Users\aremi\Desktop\REPORT CBM\PO 42289580 - Pahang 11kV SECOND CYCLE AZZAD 2026\RAW MATERIAL\001. SSU CHEROH (VI)\RAW DATA\IR\New folder\FLIR_0041- photo.jpg</t>
  </si>
  <si>
    <t>C:\Users\aremi\Desktop\REPORT CBM\PO 42289580 - Pahang 11kV SECOND CYCLE AZZAD 2026\RAW MATERIAL\001. SSU CHEROH (VI)\RAW DATA\IR\New folder\FLIR_0041.jpg</t>
  </si>
  <si>
    <t>C:\Users\aremi\Desktop\REPORT CBM\PO 42289580 - Pahang 11kV SECOND CYCLE AZZAD 2026\RAW MATERIAL\001. SSU CHEROH (VI)\RAW DATA\IR\New folder\FLIR_0042- photo.jpg</t>
  </si>
  <si>
    <t>C:\Users\aremi\Desktop\REPORT CBM\PO 42289580 - Pahang 11kV SECOND CYCLE AZZAD 2026\RAW MATERIAL\001. SSU CHEROH (VI)\RAW DATA\IR\New folder\FLIR_0042.jpg</t>
  </si>
  <si>
    <t>C:\Users\aremi\Desktop\REPORT CBM\PO 42289580 - Pahang 11kV SECOND CYCLE AZZAD 2026\RAW MATERIAL\001. SSU CHEROH (VI)\RAW DATA\IR\New folder\FLIR_0043- photo.jpg</t>
  </si>
  <si>
    <t>C:\Users\aremi\Desktop\REPORT CBM\PO 42289580 - Pahang 11kV SECOND CYCLE AZZAD 2026\RAW MATERIAL\001. SSU CHEROH (VI)\RAW DATA\IR\New folder\FLIR_0043.jpg</t>
  </si>
  <si>
    <t>C:\Users\aremi\Desktop\REPORT CBM\PO 42289580 - Pahang 11kV SECOND CYCLE AZZAD 2026\RAW MATERIAL\001. SSU CHEROH (VI)\RAW DATA\IR\New folder\FLIR_0044- photo.jpg</t>
  </si>
  <si>
    <t>C:\Users\aremi\Desktop\REPORT CBM\PO 42289580 - Pahang 11kV SECOND CYCLE AZZAD 2026\RAW MATERIAL\001. SSU CHEROH (VI)\RAW DATA\IR\New folder\FLIR_0044.jpg</t>
  </si>
  <si>
    <t>C:\Users\aremi\Desktop\REPORT CBM\PO 42289580 - Pahang 11kV SECOND CYCLE AZZAD 2026\RAW MATERIAL\001. SSU CHEROH (VI)\RAW DATA\IR\New folder\FLIR_0045- photo.jpg</t>
  </si>
  <si>
    <t>C:\Users\aremi\Desktop\REPORT CBM\PO 42289580 - Pahang 11kV SECOND CYCLE AZZAD 2026\RAW MATERIAL\001. SSU CHEROH (VI)\RAW DATA\IR\New folder\FLIR_0045.jpg</t>
  </si>
  <si>
    <t>C:\Users\aremi\Desktop\REPORT CBM\PO 42234207 - JOHOR - JBU - 400 PE IR US TEV\03. RAW MATERIAL\118. 18072026 MASJID KOTA ISKANDAR\IR\FLIR0164- photo.jpg</t>
  </si>
  <si>
    <t>C:\Users\aremi\Desktop\REPORT CBM\PO 42234207 - JOHOR - JBU - 400 PE IR US TEV\03. RAW MATERIAL\118. 18072026 MASJID KOTA ISKANDAR\IR\FLIR0164.jpg</t>
  </si>
  <si>
    <t>C:\Users\aremi\Desktop\REPORT CBM\PO 42289580 - Pahang 11kV SECOND CYCLE AZZAD 2026\RAW MATERIAL\001. SSU CHEROH (VI)\RAW DATA\IR\FLIR_0027- photo.jpg</t>
  </si>
  <si>
    <t>C:\Users\aremi\Desktop\REPORT CBM\PO 42289580 - Pahang 11kV SECOND CYCLE AZZAD 2026\RAW MATERIAL\001. SSU CHEROH (VI)\RAW DATA\IR\FLIR_0027.jpg</t>
  </si>
  <si>
    <t>C:\Users\aremi\Desktop\REPORT CBM\PO 42234207 - JOHOR - JBU - 400 PE IR US TEV\03. RAW MATERIAL\118. 18072026 MASJID KOTA ISKANDAR\IR\FLIR0189- photo.jpg</t>
  </si>
  <si>
    <t>C:\Users\aremi\Desktop\REPORT CBM\PO 42289580 - Pahang 11kV SECOND CYCLE AZZAD 2026\RAW MATERIAL\001. SSU CHEROH (VI)\RAW DATA\IR\FLIR_0028- photo.jpg</t>
  </si>
  <si>
    <t>C:\Users\aremi\Desktop\REPORT CBM\PO 42234207 - JOHOR - JBU - 400 PE IR US TEV\03. RAW MATERIAL\118. 18072026 MASJID KOTA ISKANDAR\IR\FLIR0189.jpg</t>
  </si>
  <si>
    <t>C:\Users\aremi\Desktop\REPORT CBM\PO 42289580 - Pahang 11kV SECOND CYCLE AZZAD 2026\RAW MATERIAL\001. SSU CHEROH (VI)\RAW DATA\IR\FLIR_0028.jpg</t>
  </si>
  <si>
    <t>C:\Users\aremi\Desktop\REPORT CBM\PO 42234207 - JOHOR - JBU - 400 PE IR US TEV\03. RAW MATERIAL\118. 18072026 MASJID KOTA ISKANDAR\IR\FLIR0190- photo.jpg</t>
  </si>
  <si>
    <t>C:\Users\aremi\Desktop\REPORT CBM\PO 42234207 - JOHOR - JBU - 400 PE IR US TEV\03. RAW MATERIAL\118. 18072026 MASJID KOTA ISKANDAR\IR\FLIR0190.jpg</t>
  </si>
  <si>
    <t>C:\Users\aremi\Desktop\REPORT CBM\PO 42234207 - JOHOR - JBU - 400 PE IR US TEV\03. RAW MATERIAL\118. 18072026 MASJID KOTA ISKANDAR\IR\FLIR0171- photo.jpg</t>
  </si>
  <si>
    <t>C:\Users\aremi\Desktop\REPORT CBM\PO 42234207 - JOHOR - JBU - 400 PE IR US TEV\03. RAW MATERIAL\118. 18072026 MASJID KOTA ISKANDAR\IR\FLIR0171.jpg</t>
  </si>
  <si>
    <t>C:\Users\aremi\Desktop\REPORT CBM\PO 42234207 - JOHOR - JBU - 400 PE IR US TEV\03. RAW MATERIAL\118. 18072026 MASJID KOTA ISKANDAR\IR\FLIR0172- photo.jpg</t>
  </si>
  <si>
    <t>C:\Users\aremi\Desktop\REPORT CBM\PO 42234207 - JOHOR - JBU - 400 PE IR US TEV\03. RAW MATERIAL\118. 18072026 MASJID KOTA ISKANDAR\IR\FLIR0172.jpg</t>
  </si>
  <si>
    <t>C:\Users\aremi\Desktop\REPORT CBM\PO 42234207 - JOHOR - JBU - 400 PE IR US TEV\03. RAW MATERIAL\118. 18072026 MASJID KOTA ISKANDAR\IR\FLIR0170- photo.jpg</t>
  </si>
  <si>
    <t>C:\Users\aremi\Desktop\REPORT CBM\PO 42234207 - JOHOR - JBU - 400 PE IR US TEV\03. RAW MATERIAL\118. 18072026 MASJID KOTA ISKANDAR\IR\FLIR0170.jpg</t>
  </si>
  <si>
    <t>C:\Users\aremi\Desktop\REPORT CBM\PO 42234207 - JOHOR - JBU - 400 PE IR US TEV\03. RAW MATERIAL\118. 18072026 MASJID KOTA ISKANDAR\IR\FLIR0177- photo.jpg</t>
  </si>
  <si>
    <t>C:\Users\aremi\Desktop\REPORT CBM\PO 42234207 - JOHOR - JBU - 400 PE IR US TEV\03. RAW MATERIAL\118. 18072026 MASJID KOTA ISKANDAR\IR\FLIR0177.jpg</t>
  </si>
  <si>
    <t>C:\Users\aremi\Desktop\REPORT CBM\PO 42234207 - JOHOR - JBU - 400 PE IR US TEV\03. RAW MATERIAL\118. 18072026 MASJID KOTA ISKANDAR\IR\FLIR0165- photo.jpg</t>
  </si>
  <si>
    <t>C:\Users\aremi\Desktop\REPORT CBM\PO 42234207 - JOHOR - JBU - 400 PE IR US TEV\03. RAW MATERIAL\118. 18072026 MASJID KOTA ISKANDAR\IR\FLIR0165.jpg</t>
  </si>
  <si>
    <t>C:\Users\aremi\Desktop\REPORT CBM\PO 42234207 - JOHOR - JBU - 400 PE IR US TEV\03. RAW MATERIAL\118. 18072026 MASJID KOTA ISKANDAR\IR\FLIR0176- photo.jpg</t>
  </si>
  <si>
    <t>C:\Users\aremi\Desktop\REPORT CBM\PO 42234207 - JOHOR - JBU - 400 PE IR US TEV\03. RAW MATERIAL\118. 18072026 MASJID KOTA ISKANDAR\IR\FLIR0176.jpg</t>
  </si>
  <si>
    <t>C:\Users\aremi\Desktop\REPORT CBM\PO 42234207 - JOHOR - JBU - 400 PE IR US TEV\03. RAW MATERIAL\118. 18072026 MASJID KOTA ISKANDAR\IR\FLIR0186- photo.jpg</t>
  </si>
  <si>
    <t>C:\Users\aremi\Desktop\REPORT CBM\PO 42289580 - Pahang 11kV SECOND CYCLE AZZAD 2026\RAW MATERIAL\001. SSU CHEROH (VI)\RAW DATA\IR\FLIR_0047- photo.jpg</t>
  </si>
  <si>
    <t>C:\Users\aremi\Desktop\REPORT CBM\PO 42234207 - JOHOR - JBU - 400 PE IR US TEV\03. RAW MATERIAL\118. 18072026 MASJID KOTA ISKANDAR\IR\FLIR0186.jpg</t>
  </si>
  <si>
    <t>C:\Users\aremi\Desktop\REPORT CBM\PO 42289580 - Pahang 11kV SECOND CYCLE AZZAD 2026\RAW MATERIAL\001. SSU CHEROH (VI)\RAW DATA\IR\FLIR_0047.jpg</t>
  </si>
  <si>
    <t>C:\Users\aremi\Desktop\REPORT CBM\PO 42234207 - JOHOR - JBU - 400 PE IR US TEV\03. RAW MATERIAL\118. 18072026 MASJID KOTA ISKANDAR\IR\FLIR0187- photo.jpg</t>
  </si>
  <si>
    <t>C:\Users\aremi\Desktop\REPORT CBM\PO 42289580 - Pahang 11kV SECOND CYCLE AZZAD 2026\RAW MATERIAL\001. SSU CHEROH (VI)\RAW DATA\IR\FLIR_0048- photo.jpg</t>
  </si>
  <si>
    <t>C:\Users\aremi\Desktop\REPORT CBM\PO 42234207 - JOHOR - JBU - 400 PE IR US TEV\03. RAW MATERIAL\118. 18072026 MASJID KOTA ISKANDAR\IR\FLIR0187.jpg</t>
  </si>
  <si>
    <t>C:\Users\aremi\Desktop\REPORT CBM\PO 42289580 - Pahang 11kV SECOND CYCLE AZZAD 2026\RAW MATERIAL\001. SSU CHEROH (VI)\RAW DATA\IR\FLIR_0048.jpg</t>
  </si>
  <si>
    <t>C:\Users\aremi\Desktop\REPORT CBM\PO 42234207 - JOHOR - JBU - 400 PE IR US TEV\03. RAW MATERIAL\118. 18072026 MASJID KOTA ISKANDAR\IR\FLIR0188- photo.jpg</t>
  </si>
  <si>
    <t>C:\Users\aremi\Desktop\REPORT CBM\PO 42289580 - Pahang 11kV SECOND CYCLE AZZAD 2026\RAW MATERIAL\001. SSU CHEROH (VI)\RAW DATA\IR\FLIR_0049- photo.jpg</t>
  </si>
  <si>
    <t>C:\Users\aremi\Desktop\REPORT CBM\PO 42234207 - JOHOR - JBU - 400 PE IR US TEV\03. RAW MATERIAL\118. 18072026 MASJID KOTA ISKANDAR\IR\FLIR0188.jpg</t>
  </si>
  <si>
    <t>C:\Users\aremi\Desktop\REPORT CBM\PO 42289580 - Pahang 11kV SECOND CYCLE AZZAD 2026\RAW MATERIAL\001. SSU CHEROH (VI)\RAW DATA\IR\FLIR_0049.jpg</t>
  </si>
  <si>
    <t>C:\Users\aremi\Desktop\REPORT CBM\PO 42289580 - Pahang 11kV SECOND CYCLE AZZAD 2026\RAW MATERIAL\001. SSU CHEROH (VI)\RAW DATA\IR\FLIR_0050- photo.jpg</t>
  </si>
  <si>
    <t>C:\Users\aremi\Desktop\REPORT CBM\PO 42289580 - Pahang 11kV SECOND CYCLE AZZAD 2026\RAW MATERIAL\001. SSU CHEROH (VI)\RAW DATA\IR\FLIR_0050.jpg</t>
  </si>
  <si>
    <t>C:\Users\aremi\Desktop\REPORT CBM\PO 42289580 - Pahang 11kV SECOND CYCLE AZZAD 2026\RAW MATERIAL\001. SSU CHEROH (VI)\RAW DATA\IR\FLIR_0051- photo.jpg</t>
  </si>
  <si>
    <t>C:\Users\aremi\Desktop\REPORT CBM\PO 42289580 - Pahang 11kV SECOND CYCLE AZZAD 2026\RAW MATERIAL\001. SSU CHEROH (VI)\RAW DATA\IR\FLIR_0051.jpg</t>
  </si>
  <si>
    <t>C:\Users\aremi\Desktop\REPORT CBM\PO 42289580 - Pahang 11kV SECOND CYCLE AZZAD 2026\RAW MATERIAL\001. SSU CHEROH (VI)\RAW DATA\IR\FLIR_0052- photo.jpg</t>
  </si>
  <si>
    <t>C:\Users\aremi\Desktop\REPORT CBM\PO 42289580 - Pahang 11kV SECOND CYCLE AZZAD 2026\RAW MATERIAL\001. SSU CHEROH (VI)\RAW DATA\IR\FLIR_0052.jpg</t>
  </si>
  <si>
    <t>C:\Users\aremi\Desktop\REPORT CBM\PO 42289580 - Pahang 11kV SECOND CYCLE AZZAD 2026\RAW MATERIAL\001. SSU CHEROH (VI)\RAW DATA\IR\FLIR_0053- photo.jpg</t>
  </si>
  <si>
    <t>C:\Users\aremi\Desktop\REPORT CBM\PO 42289580 - Pahang 11kV SECOND CYCLE AZZAD 2026\RAW MATERIAL\001. SSU CHEROH (VI)\RAW DATA\IR\FLIR_0053.jpg</t>
  </si>
  <si>
    <t>No</t>
  </si>
  <si>
    <t>Type</t>
  </si>
  <si>
    <t>Group</t>
  </si>
  <si>
    <t>Word Template</t>
  </si>
  <si>
    <t>Template Page No</t>
  </si>
  <si>
    <t>{{ substation.name_erms }}</t>
  </si>
  <si>
    <t>{{ substation.time }}</t>
  </si>
  <si>
    <t>{{ substation.date }}</t>
  </si>
  <si>
    <t>{{ substation.ambient }}</t>
  </si>
  <si>
    <t>{{ substation.humidity }}</t>
  </si>
  <si>
    <t>{{ swg.area }}</t>
  </si>
  <si>
    <t>{{ panel.linknumber }}</t>
  </si>
  <si>
    <t>{{ panel.name }}</t>
  </si>
  <si>
    <t>{{ panel.cabletype }}</t>
  </si>
  <si>
    <t>{{ panel.breakerstatus }}</t>
  </si>
  <si>
    <t>{{ panel.busbarposition }}</t>
  </si>
  <si>
    <t>{{ panel.loadamp }}</t>
  </si>
  <si>
    <t>{{ panel.heateramp }}</t>
  </si>
  <si>
    <t>{{ swg.serialnumber }}</t>
  </si>
  <si>
    <t>{{ swg.manufacturer }}</t>
  </si>
  <si>
    <t>{{ swg.type }}</t>
  </si>
  <si>
    <t>{{ swg.rating }}</t>
  </si>
  <si>
    <t>{{ swg.model }}</t>
  </si>
  <si>
    <t>{{ tx1.manufacturer }}</t>
  </si>
  <si>
    <t>{{ tx1.model }}</t>
  </si>
  <si>
    <t>{{ tx1.rating }}</t>
  </si>
  <si>
    <t>{{ tx1.serialnumber }}</t>
  </si>
  <si>
    <t>{{ tx2.manufacturer }}</t>
  </si>
  <si>
    <t>{{ tx2.model }}</t>
  </si>
  <si>
    <t>{{ tx2.rating }}</t>
  </si>
  <si>
    <t>{{ tx2.serialnumber }}</t>
  </si>
  <si>
    <t>{{ fp1.manufacturer }}</t>
  </si>
  <si>
    <t>{{ fp1.model }}</t>
  </si>
  <si>
    <t>{{ fp1.rating }}</t>
  </si>
  <si>
    <t>{{ fp1.serialnumber }}</t>
  </si>
  <si>
    <t>{{ fp1.labelsource }}</t>
  </si>
  <si>
    <t>{{ fp2.manufacturer }}</t>
  </si>
  <si>
    <t>{{ fp2.model }}</t>
  </si>
  <si>
    <t>{{ fp2.rating }}</t>
  </si>
  <si>
    <t>{{ fp2.serialnumber }}</t>
  </si>
  <si>
    <t>{{ fp2.labelsource }}</t>
  </si>
  <si>
    <t>{{ batt1.manufacturer }}</t>
  </si>
  <si>
    <t>{{ batt1.model }}</t>
  </si>
  <si>
    <t>{{ batt1.serialnumber }}</t>
  </si>
  <si>
    <t>{{ batt2.manufacturer }}</t>
  </si>
  <si>
    <t>{{ batt2.model }}</t>
  </si>
  <si>
    <t>{{ batt2.serialnumber }}</t>
  </si>
  <si>
    <t>{{ batt3.manufacturer }}</t>
  </si>
  <si>
    <t>{{ batt3.model }}</t>
  </si>
  <si>
    <t>{{ batt3.serialnumber }}</t>
  </si>
  <si>
    <t>{{ batt4.manufacturer }}</t>
  </si>
  <si>
    <t>{{ batt4.model }}</t>
  </si>
  <si>
    <t>{{ batt4.serialnumber }}</t>
  </si>
  <si>
    <t>Field Overrides</t>
  </si>
  <si>
    <t>Output File Name</t>
  </si>
  <si>
    <t>Folder</t>
  </si>
  <si>
    <t>New File Path</t>
  </si>
  <si>
    <t>01. 33OVERVIEW.docx</t>
  </si>
  <si>
    <t>{}</t>
  </si>
  <si>
    <t>page1</t>
  </si>
  <si>
    <t>Visual Image Path</t>
  </si>
  <si>
    <t>C:\Users\aremi\Desktop\REPORT CBM\PO TIANU JB\03. Raw Material\40. 10052026 SSU MEDINI SIGNATURE 33KV (VI)\IR</t>
  </si>
  <si>
    <t>IR Image Path</t>
  </si>
  <si>
    <t>page2</t>
  </si>
  <si>
    <t>page3</t>
  </si>
  <si>
    <t>page4</t>
  </si>
  <si>
    <t>page5</t>
  </si>
  <si>
    <t>page6</t>
  </si>
  <si>
    <t>page7</t>
  </si>
  <si>
    <t>page8</t>
  </si>
  <si>
    <t>page9</t>
  </si>
  <si>
    <t>page10</t>
  </si>
  <si>
    <t>page11</t>
  </si>
  <si>
    <t>page12</t>
  </si>
  <si>
    <t>02. 33PANEL.docx</t>
  </si>
  <si>
    <t>page13</t>
  </si>
  <si>
    <t>page14</t>
  </si>
  <si>
    <t>page15</t>
  </si>
  <si>
    <t>page16</t>
  </si>
  <si>
    <t>page17</t>
  </si>
  <si>
    <t>page18</t>
  </si>
  <si>
    <t>04. 33LINKBOX.docx</t>
  </si>
  <si>
    <t>page19</t>
  </si>
  <si>
    <t>03. 33SECOND COMP.docx</t>
  </si>
  <si>
    <t>page20</t>
  </si>
  <si>
    <t>page21</t>
  </si>
  <si>
    <t>page22</t>
  </si>
  <si>
    <t>page23</t>
  </si>
  <si>
    <t>page24</t>
  </si>
  <si>
    <t>page25</t>
  </si>
  <si>
    <t>page26</t>
  </si>
  <si>
    <t>page27</t>
  </si>
  <si>
    <t>page28</t>
  </si>
  <si>
    <t>page29</t>
  </si>
  <si>
    <t>page30</t>
  </si>
  <si>
    <t>page31</t>
  </si>
  <si>
    <t>page32</t>
  </si>
  <si>
    <t>page33</t>
  </si>
  <si>
    <t>page34</t>
  </si>
  <si>
    <t>page35</t>
  </si>
  <si>
    <t>page36</t>
  </si>
  <si>
    <t>page37</t>
  </si>
  <si>
    <t>page38</t>
  </si>
  <si>
    <t>page39</t>
  </si>
  <si>
    <t>page40</t>
  </si>
  <si>
    <t>page41</t>
  </si>
  <si>
    <t>page42</t>
  </si>
  <si>
    <t>page43</t>
  </si>
  <si>
    <t>page44</t>
  </si>
  <si>
    <t>page45</t>
  </si>
  <si>
    <t>page46</t>
  </si>
  <si>
    <t>page47</t>
  </si>
  <si>
    <t>page48</t>
  </si>
  <si>
    <t>page49</t>
  </si>
  <si>
    <t>page50</t>
  </si>
  <si>
    <t>page51</t>
  </si>
  <si>
    <t>page52</t>
  </si>
  <si>
    <t>page53</t>
  </si>
  <si>
    <t>page54</t>
  </si>
  <si>
    <t>page55</t>
  </si>
  <si>
    <t>page56</t>
  </si>
  <si>
    <t>page57</t>
  </si>
  <si>
    <t>page58</t>
  </si>
  <si>
    <t>page59</t>
  </si>
  <si>
    <t>page60</t>
  </si>
  <si>
    <t>page61</t>
  </si>
  <si>
    <t>page62</t>
  </si>
  <si>
    <t>page63</t>
  </si>
  <si>
    <t>page64</t>
  </si>
  <si>
    <t>page65</t>
  </si>
  <si>
    <t>page66</t>
  </si>
  <si>
    <t>page67</t>
  </si>
  <si>
    <t>page68</t>
  </si>
  <si>
    <t>page69</t>
  </si>
  <si>
    <t>page70</t>
  </si>
  <si>
    <t>page71</t>
  </si>
  <si>
    <t>page72</t>
  </si>
  <si>
    <t>page73</t>
  </si>
  <si>
    <t>page74</t>
  </si>
  <si>
    <t>page75</t>
  </si>
  <si>
    <t>page76</t>
  </si>
  <si>
    <t>page77</t>
  </si>
  <si>
    <t>page78</t>
  </si>
  <si>
    <t>page79</t>
  </si>
  <si>
    <t>page80</t>
  </si>
  <si>
    <t>page81</t>
  </si>
  <si>
    <t>page82</t>
  </si>
  <si>
    <t>page83</t>
  </si>
  <si>
    <t>page84</t>
  </si>
  <si>
    <t>page85</t>
  </si>
  <si>
    <t>page86</t>
  </si>
  <si>
    <t>page87</t>
  </si>
  <si>
    <t>page88</t>
  </si>
  <si>
    <t>page89</t>
  </si>
  <si>
    <t>page90</t>
  </si>
  <si>
    <t>page91</t>
  </si>
  <si>
    <t>page92</t>
  </si>
  <si>
    <t>page93</t>
  </si>
  <si>
    <t>page94</t>
  </si>
  <si>
    <t>page95</t>
  </si>
  <si>
    <t>page96</t>
  </si>
  <si>
    <t>page97</t>
  </si>
  <si>
    <t>page98</t>
  </si>
  <si>
    <t>page99</t>
  </si>
  <si>
    <t>page100</t>
  </si>
  <si>
    <t>page101</t>
  </si>
  <si>
    <t>page102</t>
  </si>
  <si>
    <t>page103</t>
  </si>
  <si>
    <t>page104</t>
  </si>
  <si>
    <t>page105</t>
  </si>
  <si>
    <t>page106</t>
  </si>
  <si>
    <t>page107</t>
  </si>
  <si>
    <t>page108</t>
  </si>
  <si>
    <t>page109</t>
  </si>
  <si>
    <t>page110</t>
  </si>
  <si>
    <t>page111</t>
  </si>
  <si>
    <t>page112</t>
  </si>
  <si>
    <t>page113</t>
  </si>
  <si>
    <t>page114</t>
  </si>
  <si>
    <t>page115</t>
  </si>
  <si>
    <t>page116</t>
  </si>
  <si>
    <t>page117</t>
  </si>
  <si>
    <t>page118</t>
  </si>
  <si>
    <t>page119</t>
  </si>
  <si>
    <t>page120</t>
  </si>
  <si>
    <t>page121</t>
  </si>
  <si>
    <t>page122</t>
  </si>
  <si>
    <t>page123</t>
  </si>
  <si>
    <t>page124</t>
  </si>
  <si>
    <t>page125</t>
  </si>
  <si>
    <t>page126</t>
  </si>
  <si>
    <t>page127</t>
  </si>
  <si>
    <t>page128</t>
  </si>
  <si>
    <t>page129</t>
  </si>
  <si>
    <t>page130</t>
  </si>
  <si>
    <t>page131</t>
  </si>
  <si>
    <t>page132</t>
  </si>
  <si>
    <t>page133</t>
  </si>
  <si>
    <t>page134</t>
  </si>
  <si>
    <t>page135</t>
  </si>
  <si>
    <t>page136</t>
  </si>
  <si>
    <t>page137</t>
  </si>
  <si>
    <t>page138</t>
  </si>
  <si>
    <t>page139</t>
  </si>
  <si>
    <t>page140</t>
  </si>
  <si>
    <t>page141</t>
  </si>
  <si>
    <t>page142</t>
  </si>
  <si>
    <t>page143</t>
  </si>
  <si>
    <t>page144</t>
  </si>
  <si>
    <t>page145</t>
  </si>
  <si>
    <t>page146</t>
  </si>
  <si>
    <t>page147</t>
  </si>
  <si>
    <t>page148</t>
  </si>
  <si>
    <t>page149</t>
  </si>
  <si>
    <t>page150</t>
  </si>
  <si>
    <t>page151</t>
  </si>
  <si>
    <t>page152</t>
  </si>
  <si>
    <t>page153</t>
  </si>
  <si>
    <t>page154</t>
  </si>
  <si>
    <t>page155</t>
  </si>
  <si>
    <t>page156</t>
  </si>
  <si>
    <t>page157</t>
  </si>
  <si>
    <t>page158</t>
  </si>
  <si>
    <t>page159</t>
  </si>
  <si>
    <t>page160</t>
  </si>
  <si>
    <t>page161</t>
  </si>
  <si>
    <t>page162</t>
  </si>
  <si>
    <t>page163</t>
  </si>
  <si>
    <t>page164</t>
  </si>
  <si>
    <t>page165</t>
  </si>
  <si>
    <t>page166</t>
  </si>
  <si>
    <t>page167</t>
  </si>
  <si>
    <t>page168</t>
  </si>
  <si>
    <t>page169</t>
  </si>
  <si>
    <t>page170</t>
  </si>
  <si>
    <t>page171</t>
  </si>
  <si>
    <t>page172</t>
  </si>
  <si>
    <t>page173</t>
  </si>
  <si>
    <t>page174</t>
  </si>
  <si>
    <t>page175</t>
  </si>
  <si>
    <t>page176</t>
  </si>
  <si>
    <t>page177</t>
  </si>
  <si>
    <t>page178</t>
  </si>
  <si>
    <t>page179</t>
  </si>
  <si>
    <t>page180</t>
  </si>
  <si>
    <t>page181</t>
  </si>
  <si>
    <t>page182</t>
  </si>
  <si>
    <t>page183</t>
  </si>
  <si>
    <t>page184</t>
  </si>
  <si>
    <t>page185</t>
  </si>
  <si>
    <t>page186</t>
  </si>
  <si>
    <t>page187</t>
  </si>
  <si>
    <t>page188</t>
  </si>
  <si>
    <t>page189</t>
  </si>
  <si>
    <t>page190</t>
  </si>
  <si>
    <t>page191</t>
  </si>
  <si>
    <t>page192</t>
  </si>
  <si>
    <t>page193</t>
  </si>
  <si>
    <t>page194</t>
  </si>
  <si>
    <t>page195</t>
  </si>
  <si>
    <t>page196</t>
  </si>
  <si>
    <t>page197</t>
  </si>
  <si>
    <t>page198</t>
  </si>
  <si>
    <t>page199</t>
  </si>
  <si>
    <t>page200</t>
  </si>
  <si>
    <t>page201</t>
  </si>
  <si>
    <t>page202</t>
  </si>
  <si>
    <t>page203</t>
  </si>
  <si>
    <t>page204</t>
  </si>
  <si>
    <t>page205</t>
  </si>
  <si>
    <t>page206</t>
  </si>
  <si>
    <t>page207</t>
  </si>
  <si>
    <t>page208</t>
  </si>
  <si>
    <t>page209</t>
  </si>
  <si>
    <t>page210</t>
  </si>
  <si>
    <t>page211</t>
  </si>
  <si>
    <t>page212</t>
  </si>
  <si>
    <t>05. 11OVERVIEW.docx</t>
  </si>
  <si>
    <t>page213</t>
  </si>
  <si>
    <t>page214</t>
  </si>
  <si>
    <t>page215</t>
  </si>
  <si>
    <t>page216</t>
  </si>
  <si>
    <t>page217</t>
  </si>
  <si>
    <t>page218</t>
  </si>
  <si>
    <t>page219</t>
  </si>
  <si>
    <t>page220</t>
  </si>
  <si>
    <t>page221</t>
  </si>
  <si>
    <t>page222</t>
  </si>
  <si>
    <t>page223</t>
  </si>
  <si>
    <t>page224</t>
  </si>
  <si>
    <t>06. 11PANEL.docx</t>
  </si>
  <si>
    <t>page225</t>
  </si>
  <si>
    <t>page226</t>
  </si>
  <si>
    <t>page227</t>
  </si>
  <si>
    <t>page228</t>
  </si>
  <si>
    <t>page229</t>
  </si>
  <si>
    <t>page230</t>
  </si>
  <si>
    <t>08. 11LINKBOX.docx</t>
  </si>
  <si>
    <t>page231</t>
  </si>
  <si>
    <t>07. 11SECOND COMP.docx</t>
  </si>
  <si>
    <t>page232</t>
  </si>
  <si>
    <t>page233</t>
  </si>
  <si>
    <t>page234</t>
  </si>
  <si>
    <t>page235</t>
  </si>
  <si>
    <t>page236</t>
  </si>
  <si>
    <t>page237</t>
  </si>
  <si>
    <t>page238</t>
  </si>
  <si>
    <t>page239</t>
  </si>
  <si>
    <t>page240</t>
  </si>
  <si>
    <t>page241</t>
  </si>
  <si>
    <t>page242</t>
  </si>
  <si>
    <t>page243</t>
  </si>
  <si>
    <t>page244</t>
  </si>
  <si>
    <t>page245</t>
  </si>
  <si>
    <t>page246</t>
  </si>
  <si>
    <t>page247</t>
  </si>
  <si>
    <t>page248</t>
  </si>
  <si>
    <t>page249</t>
  </si>
  <si>
    <t>page250</t>
  </si>
  <si>
    <t>page251</t>
  </si>
  <si>
    <t>page252</t>
  </si>
  <si>
    <t>page253</t>
  </si>
  <si>
    <t>page254</t>
  </si>
  <si>
    <t>page255</t>
  </si>
  <si>
    <t>page256</t>
  </si>
  <si>
    <t>page257</t>
  </si>
  <si>
    <t>page258</t>
  </si>
  <si>
    <t>page259</t>
  </si>
  <si>
    <t>page260</t>
  </si>
  <si>
    <t>page261</t>
  </si>
  <si>
    <t>page262</t>
  </si>
  <si>
    <t>page263</t>
  </si>
  <si>
    <t>page264</t>
  </si>
  <si>
    <t>page265</t>
  </si>
  <si>
    <t>page266</t>
  </si>
  <si>
    <t>page267</t>
  </si>
  <si>
    <t>page268</t>
  </si>
  <si>
    <t>page269</t>
  </si>
  <si>
    <t>page270</t>
  </si>
  <si>
    <t>page271</t>
  </si>
  <si>
    <t>page272</t>
  </si>
  <si>
    <t>page273</t>
  </si>
  <si>
    <t>page274</t>
  </si>
  <si>
    <t>page275</t>
  </si>
  <si>
    <t>page276</t>
  </si>
  <si>
    <t>page277</t>
  </si>
  <si>
    <t>page278</t>
  </si>
  <si>
    <t>page279</t>
  </si>
  <si>
    <t>page280</t>
  </si>
  <si>
    <t>page281</t>
  </si>
  <si>
    <t>page282</t>
  </si>
  <si>
    <t>page283</t>
  </si>
  <si>
    <t>page284</t>
  </si>
  <si>
    <t>page285</t>
  </si>
  <si>
    <t>page286</t>
  </si>
  <si>
    <t>page287</t>
  </si>
  <si>
    <t>page288</t>
  </si>
  <si>
    <t>page289</t>
  </si>
  <si>
    <t>page290</t>
  </si>
  <si>
    <t>page291</t>
  </si>
  <si>
    <t>page292</t>
  </si>
  <si>
    <t>page293</t>
  </si>
  <si>
    <t>page294</t>
  </si>
  <si>
    <t>page295</t>
  </si>
  <si>
    <t>page296</t>
  </si>
  <si>
    <t>page297</t>
  </si>
  <si>
    <t>page298</t>
  </si>
  <si>
    <t>page299</t>
  </si>
  <si>
    <t>page300</t>
  </si>
  <si>
    <t>page301</t>
  </si>
  <si>
    <t>page302</t>
  </si>
  <si>
    <t>page303</t>
  </si>
  <si>
    <t>page304</t>
  </si>
  <si>
    <t>page305</t>
  </si>
  <si>
    <t>page306</t>
  </si>
  <si>
    <t>page307</t>
  </si>
  <si>
    <t>page308</t>
  </si>
  <si>
    <t>page309</t>
  </si>
  <si>
    <t>page310</t>
  </si>
  <si>
    <t>page311</t>
  </si>
  <si>
    <t>page312</t>
  </si>
  <si>
    <t>page313</t>
  </si>
  <si>
    <t>page314</t>
  </si>
  <si>
    <t>page315</t>
  </si>
  <si>
    <t>page316</t>
  </si>
  <si>
    <t>page317</t>
  </si>
  <si>
    <t>page318</t>
  </si>
  <si>
    <t>page319</t>
  </si>
  <si>
    <t>page320</t>
  </si>
  <si>
    <t>page321</t>
  </si>
  <si>
    <t>page322</t>
  </si>
  <si>
    <t>page323</t>
  </si>
  <si>
    <t>page324</t>
  </si>
  <si>
    <t>page325</t>
  </si>
  <si>
    <t>page326</t>
  </si>
  <si>
    <t>page327</t>
  </si>
  <si>
    <t>page328</t>
  </si>
  <si>
    <t>page329</t>
  </si>
  <si>
    <t>page330</t>
  </si>
  <si>
    <t>page331</t>
  </si>
  <si>
    <t>page332</t>
  </si>
  <si>
    <t>page333</t>
  </si>
  <si>
    <t>page334</t>
  </si>
  <si>
    <t>page335</t>
  </si>
  <si>
    <t>page336</t>
  </si>
  <si>
    <t>page337</t>
  </si>
  <si>
    <t>page338</t>
  </si>
  <si>
    <t>page339</t>
  </si>
  <si>
    <t>page340</t>
  </si>
  <si>
    <t>page341</t>
  </si>
  <si>
    <t>page342</t>
  </si>
  <si>
    <t>page343</t>
  </si>
  <si>
    <t>page344</t>
  </si>
  <si>
    <t>page345</t>
  </si>
  <si>
    <t>page346</t>
  </si>
  <si>
    <t>page347</t>
  </si>
  <si>
    <t>page348</t>
  </si>
  <si>
    <t>page349</t>
  </si>
  <si>
    <t>page350</t>
  </si>
  <si>
    <t>page351</t>
  </si>
  <si>
    <t>page352</t>
  </si>
  <si>
    <t>page353</t>
  </si>
  <si>
    <t>page354</t>
  </si>
  <si>
    <t>page355</t>
  </si>
  <si>
    <t>page356</t>
  </si>
  <si>
    <t>page357</t>
  </si>
  <si>
    <t>page358</t>
  </si>
  <si>
    <t>page359</t>
  </si>
  <si>
    <t>page360</t>
  </si>
  <si>
    <t>page361</t>
  </si>
  <si>
    <t>page362</t>
  </si>
  <si>
    <t>page363</t>
  </si>
  <si>
    <t>page364</t>
  </si>
  <si>
    <t>page365</t>
  </si>
  <si>
    <t>page366</t>
  </si>
  <si>
    <t>page367</t>
  </si>
  <si>
    <t>page368</t>
  </si>
  <si>
    <t>page369</t>
  </si>
  <si>
    <t>page370</t>
  </si>
  <si>
    <t>page371</t>
  </si>
  <si>
    <t>page372</t>
  </si>
  <si>
    <t>page373</t>
  </si>
  <si>
    <t>page374</t>
  </si>
  <si>
    <t>page375</t>
  </si>
  <si>
    <t>page376</t>
  </si>
  <si>
    <t>page377</t>
  </si>
  <si>
    <t>page378</t>
  </si>
  <si>
    <t>page379</t>
  </si>
  <si>
    <t>page380</t>
  </si>
  <si>
    <t>page381</t>
  </si>
  <si>
    <t>page382</t>
  </si>
  <si>
    <t>page383</t>
  </si>
  <si>
    <t>page384</t>
  </si>
  <si>
    <t>page385</t>
  </si>
  <si>
    <t>page386</t>
  </si>
  <si>
    <t>page387</t>
  </si>
  <si>
    <t>page388</t>
  </si>
  <si>
    <t>page389</t>
  </si>
  <si>
    <t>page390</t>
  </si>
  <si>
    <t>page391</t>
  </si>
  <si>
    <t>page392</t>
  </si>
  <si>
    <t>page393</t>
  </si>
  <si>
    <t>page394</t>
  </si>
  <si>
    <t>page395</t>
  </si>
  <si>
    <t>page396</t>
  </si>
  <si>
    <t>page397</t>
  </si>
  <si>
    <t>page398</t>
  </si>
  <si>
    <t>page399</t>
  </si>
  <si>
    <t>page400</t>
  </si>
  <si>
    <t>page401</t>
  </si>
  <si>
    <t>page402</t>
  </si>
  <si>
    <t>page403</t>
  </si>
  <si>
    <t>page404</t>
  </si>
  <si>
    <t>page405</t>
  </si>
  <si>
    <t>page406</t>
  </si>
  <si>
    <t>page407</t>
  </si>
  <si>
    <t>page408</t>
  </si>
  <si>
    <t>page409</t>
  </si>
  <si>
    <t>page410</t>
  </si>
  <si>
    <t>page411</t>
  </si>
  <si>
    <t>page412</t>
  </si>
  <si>
    <t>page413</t>
  </si>
  <si>
    <t>page414</t>
  </si>
  <si>
    <t>page415</t>
  </si>
  <si>
    <t>page416</t>
  </si>
  <si>
    <t>page417</t>
  </si>
  <si>
    <t>page418</t>
  </si>
  <si>
    <t>page419</t>
  </si>
  <si>
    <t>page420</t>
  </si>
  <si>
    <t>page421</t>
  </si>
  <si>
    <t>page422</t>
  </si>
  <si>
    <t>page423</t>
  </si>
  <si>
    <t>page424</t>
  </si>
  <si>
    <t>09. PTX1OVERVIEW.docx</t>
  </si>
  <si>
    <t>page425</t>
  </si>
  <si>
    <t>10. PTX1COOLINGFIN.docx</t>
  </si>
  <si>
    <t>page426</t>
  </si>
  <si>
    <t>11. PTX1CONSERVATORTANK.docx</t>
  </si>
  <si>
    <t>page427</t>
  </si>
  <si>
    <t>12. PTX1MARSHALLINGKIOSK.docx</t>
  </si>
  <si>
    <t>page428</t>
  </si>
  <si>
    <t>13. PTX1HVCABLECOMP.docx</t>
  </si>
  <si>
    <t>page429</t>
  </si>
  <si>
    <t>14. PTX1HVCABLE.docx</t>
  </si>
  <si>
    <t>page430</t>
  </si>
  <si>
    <t>15. PTX1LVCABLECOMP.docx</t>
  </si>
  <si>
    <t>page431</t>
  </si>
  <si>
    <t>16. PTX1LVCABLE.docx</t>
  </si>
  <si>
    <t>page432</t>
  </si>
  <si>
    <t>17. PTX2OVERVIEW.docx</t>
  </si>
  <si>
    <t>page433</t>
  </si>
  <si>
    <t>18. PTX2COOLINGFIN.docx</t>
  </si>
  <si>
    <t>page434</t>
  </si>
  <si>
    <t>19. PTX2CONSERVATORTANK.docx</t>
  </si>
  <si>
    <t>page435</t>
  </si>
  <si>
    <t>20. PTX2MARSHALLINGKIOSK.docx</t>
  </si>
  <si>
    <t>page436</t>
  </si>
  <si>
    <t>21. PTX2HVCABLECOMP.docx</t>
  </si>
  <si>
    <t>page437</t>
  </si>
  <si>
    <t>22. PTX2HVCABLE.docx</t>
  </si>
  <si>
    <t>page438</t>
  </si>
  <si>
    <t>23. PTX2LVCABLECOMP.docx</t>
  </si>
  <si>
    <t>page439</t>
  </si>
  <si>
    <t>24. PTX2LVCABLE.docx</t>
  </si>
  <si>
    <t>page440</t>
  </si>
  <si>
    <t>25. LTXOVERVIEW.docx</t>
  </si>
  <si>
    <t>page441</t>
  </si>
  <si>
    <t>26. LTXOVERVIEWTOP.docx</t>
  </si>
  <si>
    <t>page442</t>
  </si>
  <si>
    <t>27. LTXHVBUSHING.docx</t>
  </si>
  <si>
    <t>page443</t>
  </si>
  <si>
    <t>HV BUSHINF</t>
  </si>
  <si>
    <t>28. LTXHVCABLE.docx</t>
  </si>
  <si>
    <t>page444</t>
  </si>
  <si>
    <t>29. LTXHVCABLESPLIT.docx</t>
  </si>
  <si>
    <t>page445</t>
  </si>
  <si>
    <t>30. LTXLVBUSHING.docx</t>
  </si>
  <si>
    <t>page446</t>
  </si>
  <si>
    <t>31. LTXLVCABLE.docx</t>
  </si>
  <si>
    <t>page447</t>
  </si>
  <si>
    <t>32. LTXLVCABLESPLIT.docx</t>
  </si>
  <si>
    <t>page448</t>
  </si>
  <si>
    <t>33. FP.docx</t>
  </si>
  <si>
    <t>page449</t>
  </si>
  <si>
    <t>34. BANK1.docx</t>
  </si>
  <si>
    <t>page450</t>
  </si>
  <si>
    <t>35. BANK2.docx</t>
  </si>
  <si>
    <t>page451</t>
  </si>
  <si>
    <t>36. N.E.R.docx</t>
  </si>
  <si>
    <t>page452</t>
  </si>
  <si>
    <t>{{ panel.db_level }}</t>
  </si>
  <si>
    <t>{{ panel.us.char }}</t>
  </si>
  <si>
    <t>Image File Name</t>
  </si>
  <si>
    <t>01. vcb-overview.docx</t>
  </si>
  <si>
    <t>0dB</t>
  </si>
  <si>
    <t>Normal</t>
  </si>
  <si>
    <t>02. vcb-panel.docx</t>
  </si>
  <si>
    <t>02. vcb-linkbox.docx</t>
  </si>
  <si>
    <t>02. vcb-secondarycomp.docx</t>
  </si>
  <si>
    <t>03. tx1-overview.docx</t>
  </si>
  <si>
    <t>-</t>
  </si>
  <si>
    <t>04. tx1-hv-sides.docx</t>
  </si>
  <si>
    <t>HV SIDE</t>
  </si>
  <si>
    <t>05. tx1-lv-sides.docx</t>
  </si>
  <si>
    <t>LV SIDE</t>
  </si>
  <si>
    <t>06. tx2-overview.docx</t>
  </si>
  <si>
    <t>07. tx2-hv-sides.docx</t>
  </si>
  <si>
    <t>08. tx2-lv-sides.docx</t>
  </si>
  <si>
    <t>09. fp1-overview.docx</t>
  </si>
  <si>
    <t>10. fp2-overview.docx</t>
  </si>
  <si>
    <t>11. blackbox1-overview.docx</t>
  </si>
  <si>
    <t>12. blackbox2-overview.docx</t>
  </si>
  <si>
    <t>13. battery1-overview.docx</t>
  </si>
  <si>
    <t>14. battery2-overview.docx</t>
  </si>
  <si>
    <t>15. battery3-overview.docx</t>
  </si>
  <si>
    <t>16. battery4-overview.docx</t>
  </si>
  <si>
    <t>01. swg-overview.docx</t>
  </si>
  <si>
    <t>02. swg-panel.docx</t>
  </si>
  <si>
    <t>01. hp-overview.docx</t>
  </si>
  <si>
    <t>02. hp-panel.docx</t>
  </si>
  <si>
    <t>DESCRIPTION</t>
  </si>
  <si>
    <t>Subsation Name</t>
  </si>
  <si>
    <t>C:\Users\aremi\Desktop\REPORT CBM\PO 42289580 - Pahang 11kV SECOND CYCLE AZZAD 2026\RAW MATERIAL\047. TNB BARU (IR+VI)\RAW DATA\IR</t>
  </si>
  <si>
    <t>SUBSBTION NAME</t>
  </si>
  <si>
    <t>TYPE</t>
  </si>
  <si>
    <t>TESTSHEET</t>
  </si>
  <si>
    <t>RAW</t>
  </si>
  <si>
    <t>WORD</t>
  </si>
  <si>
    <t>TAGGING</t>
  </si>
  <si>
    <t>SSU CHEROH</t>
  </si>
  <si>
    <t>DONE</t>
  </si>
  <si>
    <t>KG SERAMPANG</t>
  </si>
  <si>
    <t>H-POLE</t>
  </si>
  <si>
    <t>SEMSAS</t>
  </si>
  <si>
    <t>TAS DAGANGAN 1</t>
  </si>
  <si>
    <t>STESEN SUIS UTAMA HABU</t>
  </si>
  <si>
    <t>PPP LEYAR</t>
  </si>
  <si>
    <t>KG ASLI SG.UBI</t>
  </si>
  <si>
    <t>PPP SANTOS</t>
  </si>
  <si>
    <t>LOJI AIR K.MEDANG 33/.4KV</t>
  </si>
  <si>
    <t>KG BADAK 33/.4KV</t>
  </si>
  <si>
    <t>KG SERAU 33/.4KV</t>
  </si>
  <si>
    <t>POS BETAU 2</t>
  </si>
  <si>
    <t>POS BETAU 1</t>
  </si>
  <si>
    <t>POS BETAU SENTOI</t>
  </si>
  <si>
    <t>EVERGREEN BATU 5</t>
  </si>
  <si>
    <t>SSU CENTRUM MALL</t>
  </si>
  <si>
    <t>ARANANDA NOVA</t>
  </si>
  <si>
    <t>RMU SF6 (A)</t>
  </si>
  <si>
    <t>RMU SF6 (B)</t>
  </si>
  <si>
    <t>Start</t>
  </si>
  <si>
    <t>Overall 33</t>
  </si>
  <si>
    <t>33panel</t>
  </si>
  <si>
    <t>overall 11</t>
  </si>
  <si>
    <t>others</t>
  </si>
  <si>
    <t>86059.0</t>
  </si>
  <si>
    <t>PPU JSNAC</t>
  </si>
  <si>
    <t>NOT ACCESSIBLE</t>
  </si>
  <si>
    <t>CLOSE</t>
  </si>
  <si>
    <t>15043014829.0 | G290472</t>
  </si>
  <si>
    <t>86060.0</t>
  </si>
  <si>
    <t>PENGGUNA FDR 2</t>
  </si>
  <si>
    <t>86061.0</t>
  </si>
  <si>
    <t>LOOP RMU B</t>
  </si>
  <si>
    <t>JJB96240</t>
  </si>
  <si>
    <t>XLPE</t>
  </si>
  <si>
    <t>23050047346</t>
  </si>
  <si>
    <t>JJB96241</t>
  </si>
  <si>
    <t>TX 500 KVA</t>
  </si>
  <si>
    <t>JJB96242</t>
  </si>
  <si>
    <t>PPU SETIA TROPIKA CB 06</t>
  </si>
  <si>
    <t>JJB96243</t>
  </si>
  <si>
    <t>ULAM RAJA</t>
  </si>
  <si>
    <t>23050047400</t>
  </si>
  <si>
    <t>JJB96244</t>
  </si>
  <si>
    <t>TX 1000 KVA</t>
  </si>
  <si>
    <t>JJB96245</t>
  </si>
  <si>
    <t>SETIA B/PARK 2 NO 15</t>
  </si>
  <si>
    <t>2854</t>
  </si>
  <si>
    <t>PDT KG.MAJU JAYA</t>
  </si>
  <si>
    <t>15072115279DE</t>
  </si>
  <si>
    <t>2852</t>
  </si>
  <si>
    <t>PAT KG MAJU JAYA NO.2</t>
  </si>
  <si>
    <t>2853</t>
  </si>
  <si>
    <t>TX 1000KVA</t>
  </si>
  <si>
    <t>JJB95885</t>
  </si>
  <si>
    <t>SSU PERMODALAN MELAYU</t>
  </si>
  <si>
    <t>2401213296DE</t>
  </si>
  <si>
    <t>JJB95886</t>
  </si>
  <si>
    <t>KG. MELAYU JAYA</t>
  </si>
  <si>
    <t>JJB9586</t>
  </si>
  <si>
    <t>JJB93228</t>
  </si>
  <si>
    <t>RIBJ BDO NO 3</t>
  </si>
  <si>
    <t>17072220364DE</t>
  </si>
  <si>
    <t>JJB93229</t>
  </si>
  <si>
    <t>SBP 2 NO. 15</t>
  </si>
  <si>
    <t>JJB93230</t>
  </si>
  <si>
    <t>TX1 1000KVA</t>
  </si>
  <si>
    <t>JJB93231</t>
  </si>
  <si>
    <t>JJB94905</t>
  </si>
  <si>
    <t>P/E RIBJ BDO NO.2</t>
  </si>
  <si>
    <t>ID 2S2F JY 191</t>
  </si>
  <si>
    <t>JJB94906</t>
  </si>
  <si>
    <t>TX1 1000 KVA</t>
  </si>
  <si>
    <t>JJB94907</t>
  </si>
  <si>
    <t>SBP 2 NO.2</t>
  </si>
  <si>
    <t>JJB94908</t>
  </si>
  <si>
    <t>TX2 1000 KVA</t>
  </si>
  <si>
    <t>JJB94909</t>
  </si>
  <si>
    <t>P/E RIBJ BDO NO.3</t>
  </si>
  <si>
    <t>ID 2S2F JY 189</t>
  </si>
  <si>
    <t>JJB94910</t>
  </si>
  <si>
    <t>JJB94911</t>
  </si>
  <si>
    <t>P/E RIBJ BDO NO.1</t>
  </si>
  <si>
    <t>JJB94912</t>
  </si>
  <si>
    <t>JJB94913</t>
  </si>
  <si>
    <t>RMMJ SBP 2 NO 1</t>
  </si>
  <si>
    <t>ID 2S2F JY 193</t>
  </si>
  <si>
    <t>JJB94914</t>
  </si>
  <si>
    <t>JJB9915</t>
  </si>
  <si>
    <t>P/E RIBJ BDO NO. 2</t>
  </si>
  <si>
    <t>JJB94916</t>
  </si>
  <si>
    <t>TX2 1000KVA</t>
  </si>
  <si>
    <t>JJB91190</t>
  </si>
  <si>
    <t>P/E FAIR VISTA NO.6</t>
  </si>
  <si>
    <t>19122225848DE</t>
  </si>
  <si>
    <t>JJB91191</t>
  </si>
  <si>
    <t>P/E FAIR VISTA NO.4</t>
  </si>
  <si>
    <t>JJB91189</t>
  </si>
  <si>
    <t>JJB91192</t>
  </si>
  <si>
    <t>JJB91183</t>
  </si>
  <si>
    <t>TBW3002970753-0402000/001</t>
  </si>
  <si>
    <t>JJB91194</t>
  </si>
  <si>
    <t>P/E FAIR VISTA NO.7</t>
  </si>
  <si>
    <t>JJB91195</t>
  </si>
  <si>
    <t>PDT FAIR VISTA NO.3</t>
  </si>
  <si>
    <t>JJB91196</t>
  </si>
  <si>
    <t>JJB91185</t>
  </si>
  <si>
    <t>TBW3002970753-115000/004</t>
  </si>
  <si>
    <t>JJB91186</t>
  </si>
  <si>
    <t>JJB91187</t>
  </si>
  <si>
    <t>JJB91188</t>
  </si>
  <si>
    <t>JJB91181</t>
  </si>
  <si>
    <t>TBW3002970753-07000/002</t>
  </si>
  <si>
    <t>JJB91182</t>
  </si>
  <si>
    <t>P/E FAIR VISTA NO.2</t>
  </si>
  <si>
    <t>JJB91184</t>
  </si>
  <si>
    <t>91178</t>
  </si>
  <si>
    <t>SSD'SECRET GARDEN</t>
  </si>
  <si>
    <t>19122225955DE</t>
  </si>
  <si>
    <t>91179</t>
  </si>
  <si>
    <t>P/E FAIR VISTA NO.5</t>
  </si>
  <si>
    <t>91177</t>
  </si>
  <si>
    <t>TX NO.1 1000 KVA</t>
  </si>
  <si>
    <t>91180</t>
  </si>
  <si>
    <t>TX NO.2 1000 KVA</t>
  </si>
  <si>
    <t>JJB91197</t>
  </si>
  <si>
    <t>15022114425DE</t>
  </si>
  <si>
    <t>JJB91198</t>
  </si>
  <si>
    <t>PDT FAIR VISTA NO.1</t>
  </si>
  <si>
    <t>JJB91199</t>
  </si>
  <si>
    <t>JJB91200</t>
  </si>
  <si>
    <t>ID2L2T BH 5</t>
  </si>
  <si>
    <t>JJB91201</t>
  </si>
  <si>
    <t>JJB91202</t>
  </si>
  <si>
    <t>PPU SETIA TROPIKA CB 05</t>
  </si>
  <si>
    <t>JJB95265</t>
  </si>
  <si>
    <t>PPU SETIA TROPIKA CB 10</t>
  </si>
  <si>
    <t>TBW3007103781-05000/005</t>
  </si>
  <si>
    <t>JJB95266</t>
  </si>
  <si>
    <t>P/E PLAZA TOL KEMPAS</t>
  </si>
  <si>
    <t>JJB95267</t>
  </si>
  <si>
    <t>2818</t>
  </si>
  <si>
    <t>MA-2021-W12-5-0025</t>
  </si>
  <si>
    <t>2820</t>
  </si>
  <si>
    <t>2819</t>
  </si>
  <si>
    <t>ASTINAS</t>
  </si>
  <si>
    <t>JJB88695</t>
  </si>
  <si>
    <t>TMN KEMPAS INDAH NO.7</t>
  </si>
  <si>
    <t>ID2L2T-B1-19</t>
  </si>
  <si>
    <t>JJB88696</t>
  </si>
  <si>
    <t>JJB88697</t>
  </si>
  <si>
    <t>JJB88698</t>
  </si>
  <si>
    <t>S/S TOL KEMPAS</t>
  </si>
  <si>
    <t>87106</t>
  </si>
  <si>
    <t>TBW3003859520-014000/003</t>
  </si>
  <si>
    <t>87108</t>
  </si>
  <si>
    <t>SAKIZA</t>
  </si>
  <si>
    <t>87109</t>
  </si>
  <si>
    <t>R/KEDAI KEMPAS UTAMA NO.1</t>
  </si>
  <si>
    <t>87107</t>
  </si>
  <si>
    <t>JJB95312</t>
  </si>
  <si>
    <t>PPU SETIA TROPIKA CB14</t>
  </si>
  <si>
    <t>TN 22 33 0006C</t>
  </si>
  <si>
    <t>JJB95313</t>
  </si>
  <si>
    <t>PDT JLN GEMILANG</t>
  </si>
  <si>
    <t>JJB95314</t>
  </si>
  <si>
    <t>JJB92603</t>
  </si>
  <si>
    <t>SETIA BUSINESS PARK 2 NO.1</t>
  </si>
  <si>
    <t>19122225908DE</t>
  </si>
  <si>
    <t>JJB92604</t>
  </si>
  <si>
    <t>PDT WIRA NO.2</t>
  </si>
  <si>
    <t>JJB92605</t>
  </si>
  <si>
    <t>JJB92606</t>
  </si>
  <si>
    <t>JJB88630</t>
  </si>
  <si>
    <t>DRAGON PRIDE NO 1</t>
  </si>
  <si>
    <t>18102222732DE</t>
  </si>
  <si>
    <t>JJB88633</t>
  </si>
  <si>
    <t>SU PREX</t>
  </si>
  <si>
    <t>JJB88631</t>
  </si>
  <si>
    <t>JJB88632</t>
  </si>
  <si>
    <t>JJB91895</t>
  </si>
  <si>
    <t>S/S D'SECRET GARDEN</t>
  </si>
  <si>
    <t>SFS0001100</t>
  </si>
  <si>
    <t>JJB91896</t>
  </si>
  <si>
    <t>JJB91897</t>
  </si>
  <si>
    <t>JJB96287</t>
  </si>
  <si>
    <t>DRAGON PRIDE NO 3</t>
  </si>
  <si>
    <t>24DU729-1042</t>
  </si>
  <si>
    <t>JJB96288</t>
  </si>
  <si>
    <t>PDT WIRA NO.1</t>
  </si>
  <si>
    <t>JJB96289</t>
  </si>
  <si>
    <t>JJB97637</t>
  </si>
  <si>
    <t>KHAYA VILLAGE NO.2</t>
  </si>
  <si>
    <t>MA-2024-W37-2-0009</t>
  </si>
  <si>
    <t>JJB97638</t>
  </si>
  <si>
    <t>JJB97639</t>
  </si>
  <si>
    <t>KHAYA VILLAGE NO.4</t>
  </si>
  <si>
    <t>JJB87791</t>
  </si>
  <si>
    <t>SF-2010-W39-6-0015</t>
  </si>
  <si>
    <t>JJB87792</t>
  </si>
  <si>
    <t>ASTIINAL CONS - DEV</t>
  </si>
  <si>
    <t>JJB87793</t>
  </si>
  <si>
    <t>OPEN</t>
  </si>
  <si>
    <t>JJB87794</t>
  </si>
  <si>
    <t>KEMPAS INDAH NO 6</t>
  </si>
  <si>
    <t>JJB86412</t>
  </si>
  <si>
    <t>DESA PALMA NO.15</t>
  </si>
  <si>
    <t>D285757</t>
  </si>
  <si>
    <t>JJB86413</t>
  </si>
  <si>
    <t>JJB86414</t>
  </si>
  <si>
    <t>TF 2 1000KVA 6.6KV</t>
  </si>
  <si>
    <t>JJB86415</t>
  </si>
  <si>
    <t>KEMPAS INDAH NO 7</t>
  </si>
  <si>
    <t>86055</t>
  </si>
  <si>
    <t>KEMPAS INDAH NO 4</t>
  </si>
  <si>
    <t>D274792</t>
  </si>
  <si>
    <t>86056</t>
  </si>
  <si>
    <t>86057</t>
  </si>
  <si>
    <t>86058</t>
  </si>
  <si>
    <t>TMN DESA PALMA NO.11</t>
  </si>
  <si>
    <t>JJB85919</t>
  </si>
  <si>
    <t>KEMPAS INDAH NO.V5</t>
  </si>
  <si>
    <t>22102230114DE</t>
  </si>
  <si>
    <t>JJB85920</t>
  </si>
  <si>
    <t>KEMPAS INDAH NO. 3</t>
  </si>
  <si>
    <t>JJB85917</t>
  </si>
  <si>
    <t>SPARE</t>
  </si>
  <si>
    <t>JJB85918</t>
  </si>
  <si>
    <t>86455</t>
  </si>
  <si>
    <t>APARTMENT UJANA</t>
  </si>
  <si>
    <t>15052214991DE</t>
  </si>
  <si>
    <t>86456</t>
  </si>
  <si>
    <t>PUSAT KOMERSIAL NUSAJAYA</t>
  </si>
  <si>
    <t>86453</t>
  </si>
  <si>
    <t>86454</t>
  </si>
  <si>
    <t>TX 1000KVA 11KV</t>
  </si>
  <si>
    <t>JJBU 86509</t>
  </si>
  <si>
    <t>1808222438DE</t>
  </si>
  <si>
    <t>JJBU 86510</t>
  </si>
  <si>
    <t>N/JAYA VILLAGE RESORT</t>
  </si>
  <si>
    <t>JJBU 86511</t>
  </si>
  <si>
    <t>JJBU 86512</t>
  </si>
  <si>
    <t>JJB94246</t>
  </si>
  <si>
    <t>PUSAT KOMPLEK NUSAJAYA</t>
  </si>
  <si>
    <t>SFM0000185</t>
  </si>
  <si>
    <t>JJB94247</t>
  </si>
  <si>
    <t>JJB94248</t>
  </si>
  <si>
    <t>PDT LAMPU JLN MEDINI</t>
  </si>
  <si>
    <t>JJBU 87366</t>
  </si>
  <si>
    <t>PROLINK HEIGHT</t>
  </si>
  <si>
    <t>23062131526DF</t>
  </si>
  <si>
    <t>JJBU 87368</t>
  </si>
  <si>
    <t>JJBU 87367</t>
  </si>
  <si>
    <t>86062</t>
  </si>
  <si>
    <t>DUN</t>
  </si>
  <si>
    <t>15092115708DE</t>
  </si>
  <si>
    <t>86064</t>
  </si>
  <si>
    <t>MB SUK RMU B</t>
  </si>
  <si>
    <t>86063</t>
  </si>
  <si>
    <t>TX 750</t>
  </si>
  <si>
    <t>86059</t>
  </si>
  <si>
    <t>15043014829</t>
  </si>
  <si>
    <t>86060</t>
  </si>
  <si>
    <t>86061</t>
  </si>
  <si>
    <t>JJBU 86691</t>
  </si>
  <si>
    <t>DATARAN MAHKOTA</t>
  </si>
  <si>
    <t>G290472</t>
  </si>
  <si>
    <t>JJBU 86692</t>
  </si>
  <si>
    <t>PENGGUNA 11KV FDR1</t>
  </si>
  <si>
    <t>JJBU 86693</t>
  </si>
  <si>
    <t>LOOP RMU A</t>
  </si>
  <si>
    <t>86065</t>
  </si>
  <si>
    <t>PENGGUNA</t>
  </si>
  <si>
    <t>15053014928</t>
  </si>
  <si>
    <t>86066</t>
  </si>
  <si>
    <t>PDT HAUTE</t>
  </si>
  <si>
    <t>86067</t>
  </si>
  <si>
    <t>86215</t>
  </si>
  <si>
    <t>15052214998DE</t>
  </si>
  <si>
    <t>86217</t>
  </si>
  <si>
    <t>86214</t>
  </si>
  <si>
    <t>TX1 750KVA</t>
  </si>
  <si>
    <t>86216</t>
  </si>
  <si>
    <t>TX2 750KVA</t>
  </si>
  <si>
    <t>JJB86218</t>
  </si>
  <si>
    <t>PPU JSNAC CB3</t>
  </si>
  <si>
    <t>15052215028DE</t>
  </si>
  <si>
    <t>JJB 86221</t>
  </si>
  <si>
    <t>PE CS2 EAST WING</t>
  </si>
  <si>
    <t>JJB 86219</t>
  </si>
  <si>
    <t>JJB 86220</t>
  </si>
  <si>
    <t>JJB 86211</t>
  </si>
  <si>
    <t>C2S WEST WING</t>
  </si>
  <si>
    <t>15122116186DE</t>
  </si>
  <si>
    <t>JJB 86213</t>
  </si>
  <si>
    <t>C2S EAST WING</t>
  </si>
  <si>
    <t>JJB 86212</t>
  </si>
  <si>
    <t>TX 750KVA</t>
  </si>
  <si>
    <t>JJB 89170</t>
  </si>
  <si>
    <t>PPU JSNAC CB05</t>
  </si>
  <si>
    <t>SERVICE / CLOSE</t>
  </si>
  <si>
    <t>0.0</t>
  </si>
  <si>
    <t>0.6</t>
  </si>
  <si>
    <t>U/2013 1827</t>
  </si>
  <si>
    <t>JJB 89171</t>
  </si>
  <si>
    <t>S/S MAHKAMAH BAHARU JB</t>
  </si>
  <si>
    <t>U/2012 6535</t>
  </si>
  <si>
    <t>JJB 89172</t>
  </si>
  <si>
    <t>U/2013 4996</t>
  </si>
  <si>
    <t>JJB 94134</t>
  </si>
  <si>
    <t>PDT TMN BELIA NO.1</t>
  </si>
  <si>
    <t>TN 21 33 0151C</t>
  </si>
  <si>
    <t>JJB 94136</t>
  </si>
  <si>
    <t>PE EKO BOTANIK 2 NO.6</t>
  </si>
  <si>
    <t>JJB 94135</t>
  </si>
  <si>
    <t>JJB 94270</t>
  </si>
  <si>
    <t>PDT TMN BELIA NO.3</t>
  </si>
  <si>
    <t>19122225926DE</t>
  </si>
  <si>
    <t>JJB 94271</t>
  </si>
  <si>
    <t>JJB 94272</t>
  </si>
  <si>
    <t>JJB 94273</t>
  </si>
  <si>
    <t>TX2 500KVA</t>
  </si>
  <si>
    <t>JJB 95153</t>
  </si>
  <si>
    <t>P/E SMK KOTA ILMU</t>
  </si>
  <si>
    <t>TN 21 33 0031</t>
  </si>
  <si>
    <t>JJB 95154</t>
  </si>
  <si>
    <t>P/E DATARAN MBIP</t>
  </si>
  <si>
    <t>JJB 95155</t>
  </si>
  <si>
    <t>JJB 87384</t>
  </si>
  <si>
    <t>18112223001DE</t>
  </si>
  <si>
    <t>JJB 87385</t>
  </si>
  <si>
    <t>PDT STP EDU CITY N/JAYA</t>
  </si>
  <si>
    <t>JJB 87386</t>
  </si>
  <si>
    <t>JJB 87387</t>
  </si>
  <si>
    <t>JJB 89262</t>
  </si>
  <si>
    <t>24102134650DE</t>
  </si>
  <si>
    <t>JJB 89264</t>
  </si>
  <si>
    <t>KOMP SUKAN EDUCITY NO.1</t>
  </si>
  <si>
    <t>JJB 89263</t>
  </si>
  <si>
    <t>2175</t>
  </si>
  <si>
    <t>NOP BGN AZIZAH</t>
  </si>
  <si>
    <t>16032216884DE</t>
  </si>
  <si>
    <t>2176</t>
  </si>
  <si>
    <t>2177</t>
  </si>
  <si>
    <t>4473</t>
  </si>
  <si>
    <t>447</t>
  </si>
  <si>
    <t>15J0538 (303)</t>
  </si>
  <si>
    <t>448</t>
  </si>
  <si>
    <t>449</t>
  </si>
  <si>
    <t>MENARA TJB</t>
  </si>
  <si>
    <t>450</t>
  </si>
  <si>
    <t>455</t>
  </si>
  <si>
    <t>20032226732DE</t>
  </si>
  <si>
    <t>457</t>
  </si>
  <si>
    <t>SWISS IN JB</t>
  </si>
  <si>
    <t>456</t>
  </si>
  <si>
    <t>91790</t>
  </si>
  <si>
    <t>440</t>
  </si>
  <si>
    <t>IBU SAWAT TELEKOM</t>
  </si>
  <si>
    <t>18122223381DE</t>
  </si>
  <si>
    <t>441</t>
  </si>
  <si>
    <t>PPU GERBANG PERDANA CB13</t>
  </si>
  <si>
    <t>442</t>
  </si>
  <si>
    <t>443</t>
  </si>
  <si>
    <t>91745</t>
  </si>
  <si>
    <t>18122223375DE</t>
  </si>
  <si>
    <t>91747</t>
  </si>
  <si>
    <t>BSN</t>
  </si>
  <si>
    <t>91744</t>
  </si>
  <si>
    <t>TX NO1 1000KVA</t>
  </si>
  <si>
    <t>91746</t>
  </si>
  <si>
    <t>TX NO2 1000KVA</t>
  </si>
  <si>
    <t>JJB 90173</t>
  </si>
  <si>
    <t>WISMA PERSEKUTUAN A</t>
  </si>
  <si>
    <t>41.5</t>
  </si>
  <si>
    <t>U/2014 3778</t>
  </si>
  <si>
    <t>JJB 90174</t>
  </si>
  <si>
    <t>MSB PELANGGAN</t>
  </si>
  <si>
    <t>6.5</t>
  </si>
  <si>
    <t>U/2013 6481</t>
  </si>
  <si>
    <t>JJB 90175</t>
  </si>
  <si>
    <t>P/E PENJARA</t>
  </si>
  <si>
    <t>34.0</t>
  </si>
  <si>
    <t>U/2014 2915</t>
  </si>
  <si>
    <t>2182</t>
  </si>
  <si>
    <t>SSU SUASANA</t>
  </si>
  <si>
    <t>0123J00</t>
  </si>
  <si>
    <t>2183</t>
  </si>
  <si>
    <t>2184</t>
  </si>
  <si>
    <t>1000KVA TF1</t>
  </si>
  <si>
    <t>2185</t>
  </si>
  <si>
    <t>750KVA TF2</t>
  </si>
  <si>
    <t>JJB 87337</t>
  </si>
  <si>
    <t>BUKIT CAGAR</t>
  </si>
  <si>
    <t>25DU729_1156</t>
  </si>
  <si>
    <t>JJB 87339</t>
  </si>
  <si>
    <t>SMK MEN VOKASIONAL NO.1</t>
  </si>
  <si>
    <t>JJB 87338</t>
  </si>
  <si>
    <t>TX</t>
  </si>
  <si>
    <t>2601</t>
  </si>
  <si>
    <t>QTRS FRU</t>
  </si>
  <si>
    <t>11673</t>
  </si>
  <si>
    <t>2602</t>
  </si>
  <si>
    <t>C/S WARISAN JOHOR</t>
  </si>
  <si>
    <t>2603</t>
  </si>
  <si>
    <t>ALATUBAH NO.1 1000KVA 11KV</t>
  </si>
  <si>
    <t>2604</t>
  </si>
  <si>
    <t>ALATUBAH NO.2 1000KVA 11KV</t>
  </si>
  <si>
    <t>JJB 90184</t>
  </si>
  <si>
    <t>PPU GERBANG PERDANA (CB09)</t>
  </si>
  <si>
    <t>0223S072</t>
  </si>
  <si>
    <t>JJB 90185</t>
  </si>
  <si>
    <t>SS MERLIN TOWER</t>
  </si>
  <si>
    <t>JJB 90186</t>
  </si>
  <si>
    <t>JJB 88791</t>
  </si>
  <si>
    <t>TF1 1000KVA 11KV</t>
  </si>
  <si>
    <t>MA-2010-W30-2-0032</t>
  </si>
  <si>
    <t>JJB 88792</t>
  </si>
  <si>
    <t>JJB 88793</t>
  </si>
  <si>
    <t>TF2 1000KVA 11KV</t>
  </si>
  <si>
    <t>JJB 88794</t>
  </si>
  <si>
    <t>C/S ESSO</t>
  </si>
  <si>
    <t>JJB 87616</t>
  </si>
  <si>
    <t>PDT QRTS AGAMA</t>
  </si>
  <si>
    <t>24DU738_1015</t>
  </si>
  <si>
    <t>JJB 87617</t>
  </si>
  <si>
    <t>JJB 87615</t>
  </si>
  <si>
    <t>JJB 876122</t>
  </si>
  <si>
    <t>CV 724325-01002/005</t>
  </si>
  <si>
    <t>JJB 87613</t>
  </si>
  <si>
    <t>KOMPLEKS ISLAM NO.2</t>
  </si>
  <si>
    <t>JJB 87614</t>
  </si>
  <si>
    <t>TF 1000KVA</t>
  </si>
  <si>
    <t>2132</t>
  </si>
  <si>
    <t>PDT ZOO JOHOR</t>
  </si>
  <si>
    <t>1201215850</t>
  </si>
  <si>
    <t>2130</t>
  </si>
  <si>
    <t>C/S QTRS. JAB. AGAMA</t>
  </si>
  <si>
    <t>2131</t>
  </si>
  <si>
    <t>JJB 97136</t>
  </si>
  <si>
    <t>KOMPLEK ISLM NO.2</t>
  </si>
  <si>
    <t>MA-2024-W36-0008</t>
  </si>
  <si>
    <t>JJB 97137</t>
  </si>
  <si>
    <t>JJB 97138</t>
  </si>
  <si>
    <t>PENJARA</t>
  </si>
  <si>
    <t>2179</t>
  </si>
  <si>
    <t>16022116455DE</t>
  </si>
  <si>
    <t>2180</t>
  </si>
  <si>
    <t>PPU GERBANG SELATAN CB11</t>
  </si>
  <si>
    <t>2181</t>
  </si>
  <si>
    <t>JJB 90643</t>
  </si>
  <si>
    <t>PE SUN CITY</t>
  </si>
  <si>
    <t>25092135834DE</t>
  </si>
  <si>
    <t>JJB 90644</t>
  </si>
  <si>
    <t>PE CHIN HAK LIN</t>
  </si>
  <si>
    <t>JJB 90642</t>
  </si>
  <si>
    <t>TX 500KVA</t>
  </si>
  <si>
    <t>JJB 2215</t>
  </si>
  <si>
    <t>SSU IPK JOHOR</t>
  </si>
  <si>
    <t>16072117843DE</t>
  </si>
  <si>
    <t>JJB 2216</t>
  </si>
  <si>
    <t>SEK VOKAY NO1</t>
  </si>
  <si>
    <t>JJB 2214</t>
  </si>
  <si>
    <t>JJB 90459</t>
  </si>
  <si>
    <t>P/E POLIS DEPOH</t>
  </si>
  <si>
    <t>SF-2013-W45-5-0042</t>
  </si>
  <si>
    <t>JJB 90460</t>
  </si>
  <si>
    <t>JJB 90461</t>
  </si>
  <si>
    <t>CHIN HAK LIN</t>
  </si>
  <si>
    <t>JJB 01123</t>
  </si>
  <si>
    <t>SSU MENARA 3 SERANGKAI</t>
  </si>
  <si>
    <t>22070107002</t>
  </si>
  <si>
    <t>JJB 01125</t>
  </si>
  <si>
    <t>JJB 01124</t>
  </si>
  <si>
    <t>89515</t>
  </si>
  <si>
    <t>KEMPAS INDAH NO. 2</t>
  </si>
  <si>
    <t>14082213197De</t>
  </si>
  <si>
    <t>89516</t>
  </si>
  <si>
    <t>KEMPAS INDAH NO. 4</t>
  </si>
  <si>
    <t>89514</t>
  </si>
  <si>
    <t>89513</t>
  </si>
  <si>
    <t>TEMPORARY SUPPLY PDT KSL KEMPAS INDAH</t>
  </si>
  <si>
    <t>85912</t>
  </si>
  <si>
    <t>KEMPAS INDAH NO. 1</t>
  </si>
  <si>
    <t>14082213095DE</t>
  </si>
  <si>
    <t>85911</t>
  </si>
  <si>
    <t>85909</t>
  </si>
  <si>
    <t>85910</t>
  </si>
  <si>
    <t>JJB85907</t>
  </si>
  <si>
    <t>KHAYA VILLAGE NO. 3</t>
  </si>
  <si>
    <t>22102230107DE</t>
  </si>
  <si>
    <t>JJB85908</t>
  </si>
  <si>
    <t>JJB85905</t>
  </si>
  <si>
    <t>JJB85906</t>
  </si>
  <si>
    <t>JJB89235</t>
  </si>
  <si>
    <t>SF-2012-W28-5-0263</t>
  </si>
  <si>
    <t>JJB89236</t>
  </si>
  <si>
    <t>R/KEDAI K/UTAMA NO. 2</t>
  </si>
  <si>
    <t>JJB89237</t>
  </si>
  <si>
    <t>JJB89238</t>
  </si>
  <si>
    <t>KEMPAS UTAMA NO. 4</t>
  </si>
  <si>
    <t>JJB89230</t>
  </si>
  <si>
    <t>SF-2012-W26-3-0011</t>
  </si>
  <si>
    <t>JJB89240</t>
  </si>
  <si>
    <t>R/KEDAI K/UTAMA NO. 1</t>
  </si>
  <si>
    <t>JJB89241</t>
  </si>
  <si>
    <t>JJB89242</t>
  </si>
  <si>
    <t>STP K/UTAMA</t>
  </si>
  <si>
    <t>86766</t>
  </si>
  <si>
    <t>PPU SETIA TROPIKA (CB 09)</t>
  </si>
  <si>
    <t>17102121188DE</t>
  </si>
  <si>
    <t>86768</t>
  </si>
  <si>
    <t>R/KEDAI KEMPAS UTAMA NO. 2</t>
  </si>
  <si>
    <t>86767</t>
  </si>
  <si>
    <t>JJB93752</t>
  </si>
  <si>
    <t>PKJ BLOK B</t>
  </si>
  <si>
    <t>18112123045DE</t>
  </si>
  <si>
    <t>JJB93753</t>
  </si>
  <si>
    <t>D'SUMMIT APT NO. 2</t>
  </si>
  <si>
    <t>JJB93754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</si>
</sst>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hh:mm\ AM/PM;@"/>
    <numFmt numFmtId="165" formatCode="0.0"/>
    <numFmt numFmtId="166" formatCode="[$-1045C]mm/dd/yyyy;@"/>
    <numFmt numFmtId="167" formatCode="&quot;RM&quot;#,##0;[Red]\-&quot;RM&quot;#,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5"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7" displayName="Table137" ref="A1:AQ16" totalsRowShown="0" headerRowDxfId="54" dataDxfId="53">
  <autoFilter ref="A1:AQ16" xr:uid="{00000000-0009-0000-0100-000001000000}"/>
  <tableColumns count="43">
    <tableColumn id="1" xr3:uid="{00000000-0010-0000-0000-000001000000}" name="DESCRIPTION" dataDxfId="52">
      <calculatedColumnFormula>IF(INDIRECT("'" &amp; $AY$1 &amp; "'!A" &amp; ROW())="","",INDIRECT("'" &amp; $AY$1 &amp; "'!A" &amp; ROW()))</calculatedColumnFormula>
    </tableColumn>
    <tableColumn id="2" xr3:uid="{00000000-0010-0000-0000-000002000000}" name="{{ panel.linknumber }}" dataDxfId="51">
      <calculatedColumnFormula>IF(INDIRECT("'" &amp; $AY$1 &amp; "'!B" &amp; ROW())="","",INDIRECT("'" &amp; $AY$1 &amp; "'!B" &amp; ROW()))</calculatedColumnFormula>
    </tableColumn>
    <tableColumn id="3" xr3:uid="{00000000-0010-0000-0000-000003000000}" name="{{ panel.name }}" dataDxfId="50">
      <calculatedColumnFormula>IF(INDIRECT("'" &amp; $AY$1 &amp; "'!C" &amp; ROW())="","",INDIRECT("'" &amp; $AY$1 &amp; "'!c" &amp; ROW()))</calculatedColumnFormula>
    </tableColumn>
    <tableColumn id="4" xr3:uid="{00000000-0010-0000-0000-000004000000}" name="{{ panel.cabletype }}" dataDxfId="49">
      <calculatedColumnFormula>IF(INDIRECT("'" &amp; $AY$1 &amp; "'!D" &amp; ROW())="","",INDIRECT("'" &amp; $AY$1 &amp; "'!D" &amp; ROW()))</calculatedColumnFormula>
    </tableColumn>
    <tableColumn id="10" xr3:uid="{00000000-0010-0000-0000-00000A000000}" name="{{ panel.breakerstatus }}" dataDxfId="48">
      <calculatedColumnFormula>IF(INDIRECT("'" &amp; $AY$1 &amp; "'!E" &amp; ROW())="","",INDIRECT("'" &amp; $AY$1 &amp; "'!e" &amp; ROW()))</calculatedColumnFormula>
    </tableColumn>
    <tableColumn id="9" xr3:uid="{00000000-0010-0000-0000-000009000000}" name="{{ panel.busbarposition }}" dataDxfId="47">
      <calculatedColumnFormula>IF(INDIRECT("'" &amp; $AY$1 &amp; "'!F" &amp; ROW())="","",INDIRECT("'" &amp; $AY$1 &amp; "'!F" &amp; ROW()))</calculatedColumnFormula>
    </tableColumn>
    <tableColumn id="5" xr3:uid="{00000000-0010-0000-0000-000005000000}" name="{{ panel.loadamp }}" dataDxfId="46">
      <calculatedColumnFormula>IF(INDIRECT("'" &amp; $AY$1 &amp; "'!G" &amp; ROW())="","",INDIRECT("'" &amp; $AY$1 &amp; "'!G" &amp; ROW()))</calculatedColumnFormula>
    </tableColumn>
    <tableColumn id="6" xr3:uid="{00000000-0010-0000-0000-000006000000}" name="{{ panel.heateramp }}" dataDxfId="45">
      <calculatedColumnFormula>IF(INDIRECT("'" &amp; $AY$1 &amp; "'!H" &amp; ROW())="","",INDIRECT("'" &amp; $AY$1 &amp; "'!H" &amp; ROW()))</calculatedColumnFormula>
    </tableColumn>
    <tableColumn id="7" xr3:uid="{00000000-0010-0000-0000-000007000000}" name="{{ swg.serialnumber }}" dataDxfId="44">
      <calculatedColumnFormula>IF(INDIRECT("'" &amp; $AY$1 &amp; "'!I" &amp; ROW())="","",INDIRECT("'" &amp; $AY$1 &amp; "'!I" &amp; ROW()))</calculatedColumnFormula>
    </tableColumn>
    <tableColumn id="8" xr3:uid="{00000000-0010-0000-0000-000008000000}" name="{{ swg.manufacturer }}" dataDxfId="43">
      <calculatedColumnFormula>$AW$6</calculatedColumnFormula>
    </tableColumn>
    <tableColumn id="11" xr3:uid="{00000000-0010-0000-0000-00000B000000}" name="{{ swg.type }}" dataDxfId="42">
      <calculatedColumnFormula>$AW$9</calculatedColumnFormula>
    </tableColumn>
    <tableColumn id="12" xr3:uid="{00000000-0010-0000-0000-00000C000000}" name="{{ swg.rating }}" dataDxfId="41">
      <calculatedColumnFormula>$AW$8</calculatedColumnFormula>
    </tableColumn>
    <tableColumn id="19" xr3:uid="{00000000-0010-0000-0000-000013000000}" name="{{ swg.model }}" dataDxfId="40">
      <calculatedColumnFormula>$AW$7</calculatedColumnFormula>
    </tableColumn>
    <tableColumn id="20" xr3:uid="{00000000-0010-0000-0000-000014000000}" name="{{ tx1.manufacturer }}" dataDxfId="39">
      <calculatedColumnFormula>$AW$10</calculatedColumnFormula>
    </tableColumn>
    <tableColumn id="21" xr3:uid="{00000000-0010-0000-0000-000015000000}" name="{{ tx1.model }}" dataDxfId="38">
      <calculatedColumnFormula>$AW$13</calculatedColumnFormula>
    </tableColumn>
    <tableColumn id="22" xr3:uid="{00000000-0010-0000-0000-000016000000}" name="{{ tx1.rating }}" dataDxfId="37">
      <calculatedColumnFormula>$AW$12</calculatedColumnFormula>
    </tableColumn>
    <tableColumn id="23" xr3:uid="{00000000-0010-0000-0000-000017000000}" name="{{ tx1.serialnumber }}" dataDxfId="36">
      <calculatedColumnFormula>$AW$11</calculatedColumnFormula>
    </tableColumn>
    <tableColumn id="24" xr3:uid="{00000000-0010-0000-0000-000018000000}" name="{{ tx2.manufacturer }}" dataDxfId="35">
      <calculatedColumnFormula>$AW$14</calculatedColumnFormula>
    </tableColumn>
    <tableColumn id="13" xr3:uid="{00000000-0010-0000-0000-00000D000000}" name="{{ tx2.model }}" dataDxfId="34">
      <calculatedColumnFormula>$AW$15</calculatedColumnFormula>
    </tableColumn>
    <tableColumn id="14" xr3:uid="{00000000-0010-0000-0000-00000E000000}" name="{{ tx2.rating }}" dataDxfId="33">
      <calculatedColumnFormula>$AW$16</calculatedColumnFormula>
    </tableColumn>
    <tableColumn id="15" xr3:uid="{00000000-0010-0000-0000-00000F000000}" name="{{ tx2.serialnumber }}" dataDxfId="32">
      <calculatedColumnFormula>$AW$17</calculatedColumnFormula>
    </tableColumn>
    <tableColumn id="16" xr3:uid="{00000000-0010-0000-0000-000010000000}" name="{{ fp1.manufacturer }}" dataDxfId="31">
      <calculatedColumnFormula>$AW$18</calculatedColumnFormula>
    </tableColumn>
    <tableColumn id="17" xr3:uid="{00000000-0010-0000-0000-000011000000}" name="{{ fp1.model }}" dataDxfId="30">
      <calculatedColumnFormula>$AW$19</calculatedColumnFormula>
    </tableColumn>
    <tableColumn id="18" xr3:uid="{00000000-0010-0000-0000-000012000000}" name="{{ fp1.rating }}" dataDxfId="29">
      <calculatedColumnFormula>$AW$20</calculatedColumnFormula>
    </tableColumn>
    <tableColumn id="25" xr3:uid="{00000000-0010-0000-0000-000019000000}" name="{{ fp1.serialnumber }}" dataDxfId="28">
      <calculatedColumnFormula>$AW$21</calculatedColumnFormula>
    </tableColumn>
    <tableColumn id="26" xr3:uid="{00000000-0010-0000-0000-00001A000000}" name="{{ fp1.labelsource }}" dataDxfId="27">
      <calculatedColumnFormula>$AW$22</calculatedColumnFormula>
    </tableColumn>
    <tableColumn id="27" xr3:uid="{00000000-0010-0000-0000-00001B000000}" name="{{ fp2.manufacturer }}" dataDxfId="26">
      <calculatedColumnFormula>$AW$23</calculatedColumnFormula>
    </tableColumn>
    <tableColumn id="28" xr3:uid="{00000000-0010-0000-0000-00001C000000}" name="{{ fp2.model }}" dataDxfId="25">
      <calculatedColumnFormula>$AW$24</calculatedColumnFormula>
    </tableColumn>
    <tableColumn id="29" xr3:uid="{00000000-0010-0000-0000-00001D000000}" name="{{ fp2.rating }}" dataDxfId="24">
      <calculatedColumnFormula>$AW$25</calculatedColumnFormula>
    </tableColumn>
    <tableColumn id="30" xr3:uid="{00000000-0010-0000-0000-00001E000000}" name="{{ fp2.serialnumber }}" dataDxfId="23">
      <calculatedColumnFormula>$AW$26</calculatedColumnFormula>
    </tableColumn>
    <tableColumn id="31" xr3:uid="{00000000-0010-0000-0000-00001F000000}" name="{{ fp2.labelsource }}" dataDxfId="22">
      <calculatedColumnFormula>$AW$27</calculatedColumnFormula>
    </tableColumn>
    <tableColumn id="32" xr3:uid="{00000000-0010-0000-0000-000020000000}" name="{{ batt1.manufacturer }}" dataDxfId="21">
      <calculatedColumnFormula>$AW$28</calculatedColumnFormula>
    </tableColumn>
    <tableColumn id="33" xr3:uid="{00000000-0010-0000-0000-000021000000}" name="{{ batt1.model }}" dataDxfId="20">
      <calculatedColumnFormula>$AW$29</calculatedColumnFormula>
    </tableColumn>
    <tableColumn id="34" xr3:uid="{00000000-0010-0000-0000-000022000000}" name="{{ batt1.serialnumber }}" dataDxfId="19">
      <calculatedColumnFormula>$AW$30</calculatedColumnFormula>
    </tableColumn>
    <tableColumn id="35" xr3:uid="{00000000-0010-0000-0000-000023000000}" name="{{ batt2.manufacturer }}" dataDxfId="18">
      <calculatedColumnFormula>$AW$31</calculatedColumnFormula>
    </tableColumn>
    <tableColumn id="36" xr3:uid="{00000000-0010-0000-0000-000024000000}" name="{{ batt2.model }}" dataDxfId="17">
      <calculatedColumnFormula>$AW$32</calculatedColumnFormula>
    </tableColumn>
    <tableColumn id="37" xr3:uid="{00000000-0010-0000-0000-000025000000}" name="{{ batt2.serialnumber }}" dataDxfId="16">
      <calculatedColumnFormula>$AW$33</calculatedColumnFormula>
    </tableColumn>
    <tableColumn id="38" xr3:uid="{00000000-0010-0000-0000-000026000000}" name="{{ batt3.manufacturer }}" dataDxfId="15">
      <calculatedColumnFormula>$AW$34</calculatedColumnFormula>
    </tableColumn>
    <tableColumn id="39" xr3:uid="{00000000-0010-0000-0000-000027000000}" name="{{ batt3.model }}" dataDxfId="14">
      <calculatedColumnFormula>$AW$35</calculatedColumnFormula>
    </tableColumn>
    <tableColumn id="40" xr3:uid="{00000000-0010-0000-0000-000028000000}" name="{{ batt3.serialnumber }}" dataDxfId="13">
      <calculatedColumnFormula>$AW$36</calculatedColumnFormula>
    </tableColumn>
    <tableColumn id="41" xr3:uid="{00000000-0010-0000-0000-000029000000}" name="{{ batt4.manufacturer }}" dataDxfId="12">
      <calculatedColumnFormula>$AW$37</calculatedColumnFormula>
    </tableColumn>
    <tableColumn id="42" xr3:uid="{00000000-0010-0000-0000-00002A000000}" name="{{ batt4.model }}" dataDxfId="11">
      <calculatedColumnFormula>$AW$38</calculatedColumnFormula>
    </tableColumn>
    <tableColumn id="43" xr3:uid="{00000000-0010-0000-0000-00002B000000}" name="{{ batt4.serialnumber }}" dataDxfId="10">
      <calculatedColumnFormula>$AW$39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31343940122273231302031892" displayName="Table1331343940122273231302031892" ref="A1:I11" totalsRowShown="0" dataDxfId="9">
  <autoFilter ref="A1:I11" xr:uid="{00000000-0009-0000-0100-000002000000}"/>
  <tableColumns count="9">
    <tableColumn id="1" xr3:uid="{00000000-0010-0000-0100-000001000000}" name="DESCRIPTION" dataDxfId="8"/>
    <tableColumn id="2" xr3:uid="{00000000-0010-0000-0100-000002000000}" name="{{ panel.linknumber }}" dataDxfId="7"/>
    <tableColumn id="3" xr3:uid="{00000000-0010-0000-0100-000003000000}" name="{{ panel.name }}" dataDxfId="6"/>
    <tableColumn id="4" xr3:uid="{00000000-0010-0000-0100-000004000000}" name="{{ panel.cabletype }}" dataDxfId="5"/>
    <tableColumn id="10" xr3:uid="{00000000-0010-0000-0100-00000A000000}" name="{{ panel.breakerstatus }}" dataDxfId="4"/>
    <tableColumn id="9" xr3:uid="{00000000-0010-0000-0100-000009000000}" name="{{ panel.busbarposition }}" dataDxfId="3"/>
    <tableColumn id="5" xr3:uid="{00000000-0010-0000-0100-000005000000}" name="{{ panel.loadamp }}" dataDxfId="2"/>
    <tableColumn id="6" xr3:uid="{00000000-0010-0000-0100-000006000000}" name="{{ panel.heateramp }}" dataDxfId="1"/>
    <tableColumn id="7" xr3:uid="{00000000-0010-0000-0100-000007000000}" name="{{ swg.serialnumber }}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3_Table1331343940122273231302031892" displayName="Table_113_Table1331343940122273231302031892" ref="A1:I11">
  <autoFilter ref="A1:I11" xr:uid="{00000000-0009-0000-0100-000003000000}"/>
  <tableColumns count="9">
    <tableColumn id="1" xr3:uid="{00000000-0010-0000-0200-000001000000}" name="DESCRIPTION"/>
    <tableColumn id="2" xr3:uid="{00000000-0010-0000-0200-000002000000}" name="{{ panel.linknumber }}"/>
    <tableColumn id="3" xr3:uid="{00000000-0010-0000-0200-000003000000}" name="{{ panel.name }}"/>
    <tableColumn id="4" xr3:uid="{00000000-0010-0000-0200-000004000000}" name="{{ panel.cabletype }}"/>
    <tableColumn id="5" xr3:uid="{00000000-0010-0000-0200-000005000000}" name="{{ panel.breakerstatus }}"/>
    <tableColumn id="6" xr3:uid="{00000000-0010-0000-0200-000006000000}" name="{{ panel.busbarposition }}"/>
    <tableColumn id="7" xr3:uid="{00000000-0010-0000-0200-000007000000}" name="{{ panel.loadamp }}"/>
    <tableColumn id="8" xr3:uid="{00000000-0010-0000-0200-000008000000}" name="{{ panel.heateramp }}"/>
    <tableColumn id="9" xr3:uid="{00000000-0010-0000-0200-000009000000}" name="{{ swg.serialnumber }}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079_Table1331343940122273231302031892" displayName="Table_079_Table1331343940122273231302031892" ref="A1:I11">
  <autoFilter ref="A1:I11" xr:uid="{00000000-0009-0000-0100-000004000000}"/>
  <tableColumns count="9">
    <tableColumn id="1" xr3:uid="{00000000-0010-0000-0300-000001000000}" name="DESCRIPTION"/>
    <tableColumn id="2" xr3:uid="{00000000-0010-0000-0300-000002000000}" name="{{ panel.linknumber }}"/>
    <tableColumn id="3" xr3:uid="{00000000-0010-0000-0300-000003000000}" name="{{ panel.name }}"/>
    <tableColumn id="4" xr3:uid="{00000000-0010-0000-0300-000004000000}" name="{{ panel.cabletype }}"/>
    <tableColumn id="5" xr3:uid="{00000000-0010-0000-0300-000005000000}" name="{{ panel.breakerstatus }}"/>
    <tableColumn id="6" xr3:uid="{00000000-0010-0000-0300-000006000000}" name="{{ panel.busbarposition }}"/>
    <tableColumn id="7" xr3:uid="{00000000-0010-0000-0300-000007000000}" name="{{ panel.loadamp }}"/>
    <tableColumn id="8" xr3:uid="{00000000-0010-0000-0300-000008000000}" name="{{ panel.heateramp }}"/>
    <tableColumn id="9" xr3:uid="{00000000-0010-0000-0300-000009000000}" name="{{ swg.serialnumber }}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080_Table1331343940122273231302031892" displayName="Table_080_Table1331343940122273231302031892" ref="A1:I11">
  <autoFilter ref="A1:I11" xr:uid="{00000000-0009-0000-0100-000005000000}"/>
  <tableColumns count="9">
    <tableColumn id="1" xr3:uid="{00000000-0010-0000-0400-000001000000}" name="DESCRIPTION"/>
    <tableColumn id="2" xr3:uid="{00000000-0010-0000-0400-000002000000}" name="{{ panel.linknumber }}"/>
    <tableColumn id="3" xr3:uid="{00000000-0010-0000-0400-000003000000}" name="{{ panel.name }}"/>
    <tableColumn id="4" xr3:uid="{00000000-0010-0000-0400-000004000000}" name="{{ panel.cabletype }}"/>
    <tableColumn id="5" xr3:uid="{00000000-0010-0000-0400-000005000000}" name="{{ panel.breakerstatus }}"/>
    <tableColumn id="6" xr3:uid="{00000000-0010-0000-0400-000006000000}" name="{{ panel.busbarposition }}"/>
    <tableColumn id="7" xr3:uid="{00000000-0010-0000-0400-000007000000}" name="{{ panel.loadamp }}"/>
    <tableColumn id="8" xr3:uid="{00000000-0010-0000-0400-000008000000}" name="{{ panel.heateramp }}"/>
    <tableColumn id="9" xr3:uid="{00000000-0010-0000-0400-000009000000}" name="{{ swg.serialnumber }}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081_Table1331343940122273231302031892" displayName="Table_081_Table1331343940122273231302031892" ref="A1:I11">
  <autoFilter ref="A1:I11" xr:uid="{00000000-0009-0000-0100-000006000000}"/>
  <tableColumns count="9">
    <tableColumn id="1" xr3:uid="{00000000-0010-0000-0500-000001000000}" name="DESCRIPTION"/>
    <tableColumn id="2" xr3:uid="{00000000-0010-0000-0500-000002000000}" name="{{ panel.linknumber }}"/>
    <tableColumn id="3" xr3:uid="{00000000-0010-0000-0500-000003000000}" name="{{ panel.name }}"/>
    <tableColumn id="4" xr3:uid="{00000000-0010-0000-0500-000004000000}" name="{{ panel.cabletype }}"/>
    <tableColumn id="5" xr3:uid="{00000000-0010-0000-0500-000005000000}" name="{{ panel.breakerstatus }}"/>
    <tableColumn id="6" xr3:uid="{00000000-0010-0000-0500-000006000000}" name="{{ panel.busbarposition }}"/>
    <tableColumn id="7" xr3:uid="{00000000-0010-0000-0500-000007000000}" name="{{ panel.loadamp }}"/>
    <tableColumn id="8" xr3:uid="{00000000-0010-0000-0500-000008000000}" name="{{ panel.heateramp }}"/>
    <tableColumn id="9" xr3:uid="{00000000-0010-0000-0500-000009000000}" name="{{ swg.serialnumber }}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082_Table1331343940122273231302031892" displayName="Table_082_Table1331343940122273231302031892" ref="A1:I11">
  <autoFilter ref="A1:I11" xr:uid="{00000000-0009-0000-0100-000007000000}"/>
  <tableColumns count="9">
    <tableColumn id="1" xr3:uid="{00000000-0010-0000-0600-000001000000}" name="DESCRIPTION"/>
    <tableColumn id="2" xr3:uid="{00000000-0010-0000-0600-000002000000}" name="{{ panel.linknumber }}"/>
    <tableColumn id="3" xr3:uid="{00000000-0010-0000-0600-000003000000}" name="{{ panel.name }}"/>
    <tableColumn id="4" xr3:uid="{00000000-0010-0000-0600-000004000000}" name="{{ panel.cabletype }}"/>
    <tableColumn id="5" xr3:uid="{00000000-0010-0000-0600-000005000000}" name="{{ panel.breakerstatus }}"/>
    <tableColumn id="6" xr3:uid="{00000000-0010-0000-0600-000006000000}" name="{{ panel.busbarposition }}"/>
    <tableColumn id="7" xr3:uid="{00000000-0010-0000-0600-000007000000}" name="{{ panel.loadamp }}"/>
    <tableColumn id="8" xr3:uid="{00000000-0010-0000-0600-000008000000}" name="{{ panel.heateramp }}"/>
    <tableColumn id="9" xr3:uid="{00000000-0010-0000-0600-000009000000}" name="{{ swg.serialnumber }}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083_Table1331343940122273231302031892" displayName="Table_083_Table1331343940122273231302031892" ref="A1:I11">
  <autoFilter ref="A1:I11" xr:uid="{00000000-0009-0000-0100-000008000000}"/>
  <tableColumns count="9">
    <tableColumn id="1" xr3:uid="{00000000-0010-0000-0700-000001000000}" name="DESCRIPTION"/>
    <tableColumn id="2" xr3:uid="{00000000-0010-0000-0700-000002000000}" name="{{ panel.linknumber }}"/>
    <tableColumn id="3" xr3:uid="{00000000-0010-0000-0700-000003000000}" name="{{ panel.name }}"/>
    <tableColumn id="4" xr3:uid="{00000000-0010-0000-0700-000004000000}" name="{{ panel.cabletype }}"/>
    <tableColumn id="5" xr3:uid="{00000000-0010-0000-0700-000005000000}" name="{{ panel.breakerstatus }}"/>
    <tableColumn id="6" xr3:uid="{00000000-0010-0000-0700-000006000000}" name="{{ panel.busbarposition }}"/>
    <tableColumn id="7" xr3:uid="{00000000-0010-0000-0700-000007000000}" name="{{ panel.loadamp }}"/>
    <tableColumn id="8" xr3:uid="{00000000-0010-0000-0700-000008000000}" name="{{ panel.heateramp }}"/>
    <tableColumn id="9" xr3:uid="{00000000-0010-0000-0700-000009000000}" name="{{ swg.serialnumber }}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084_Table1331343940122273231302031892" displayName="Table_084_Table1331343940122273231302031892" ref="A1:I11">
  <autoFilter ref="A1:I11" xr:uid="{00000000-0009-0000-0100-000009000000}"/>
  <tableColumns count="9">
    <tableColumn id="1" xr3:uid="{00000000-0010-0000-0800-000001000000}" name="DESCRIPTION"/>
    <tableColumn id="2" xr3:uid="{00000000-0010-0000-0800-000002000000}" name="{{ panel.linknumber }}"/>
    <tableColumn id="3" xr3:uid="{00000000-0010-0000-0800-000003000000}" name="{{ panel.name }}"/>
    <tableColumn id="4" xr3:uid="{00000000-0010-0000-0800-000004000000}" name="{{ panel.cabletype }}"/>
    <tableColumn id="5" xr3:uid="{00000000-0010-0000-0800-000005000000}" name="{{ panel.breakerstatus }}"/>
    <tableColumn id="6" xr3:uid="{00000000-0010-0000-0800-000006000000}" name="{{ panel.busbarposition }}"/>
    <tableColumn id="7" xr3:uid="{00000000-0010-0000-0800-000007000000}" name="{{ panel.loadamp }}"/>
    <tableColumn id="8" xr3:uid="{00000000-0010-0000-0800-000008000000}" name="{{ panel.heateramp }}"/>
    <tableColumn id="9" xr3:uid="{00000000-0010-0000-0800-000009000000}" name="{{ swg.serialnumber }}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085_Table1331343940122273231302031892" displayName="Table_085_Table1331343940122273231302031892" ref="A1:I11">
  <autoFilter ref="A1:I11" xr:uid="{00000000-0009-0000-0100-00000A000000}"/>
  <tableColumns count="9">
    <tableColumn id="1" xr3:uid="{00000000-0010-0000-0900-000001000000}" name="DESCRIPTION"/>
    <tableColumn id="2" xr3:uid="{00000000-0010-0000-0900-000002000000}" name="{{ panel.linknumber }}"/>
    <tableColumn id="3" xr3:uid="{00000000-0010-0000-0900-000003000000}" name="{{ panel.name }}"/>
    <tableColumn id="4" xr3:uid="{00000000-0010-0000-0900-000004000000}" name="{{ panel.cabletype }}"/>
    <tableColumn id="5" xr3:uid="{00000000-0010-0000-0900-000005000000}" name="{{ panel.breakerstatus }}"/>
    <tableColumn id="6" xr3:uid="{00000000-0010-0000-0900-000006000000}" name="{{ panel.busbarposition }}"/>
    <tableColumn id="7" xr3:uid="{00000000-0010-0000-0900-000007000000}" name="{{ panel.loadamp }}"/>
    <tableColumn id="8" xr3:uid="{00000000-0010-0000-0900-000008000000}" name="{{ panel.heateramp }}"/>
    <tableColumn id="9" xr3:uid="{00000000-0010-0000-0900-000009000000}" name="{{ swg.serialnumber }}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086_Table1331343940122273231302031892" displayName="Table_086_Table1331343940122273231302031892" ref="A1:I11">
  <autoFilter ref="A1:I11" xr:uid="{00000000-0009-0000-0100-00000B000000}"/>
  <tableColumns count="9">
    <tableColumn id="1" xr3:uid="{00000000-0010-0000-0A00-000001000000}" name="DESCRIPTION"/>
    <tableColumn id="2" xr3:uid="{00000000-0010-0000-0A00-000002000000}" name="{{ panel.linknumber }}"/>
    <tableColumn id="3" xr3:uid="{00000000-0010-0000-0A00-000003000000}" name="{{ panel.name }}"/>
    <tableColumn id="4" xr3:uid="{00000000-0010-0000-0A00-000004000000}" name="{{ panel.cabletype }}"/>
    <tableColumn id="5" xr3:uid="{00000000-0010-0000-0A00-000005000000}" name="{{ panel.breakerstatus }}"/>
    <tableColumn id="6" xr3:uid="{00000000-0010-0000-0A00-000006000000}" name="{{ panel.busbarposition }}"/>
    <tableColumn id="7" xr3:uid="{00000000-0010-0000-0A00-000007000000}" name="{{ panel.loadamp }}"/>
    <tableColumn id="8" xr3:uid="{00000000-0010-0000-0A00-000008000000}" name="{{ panel.heateramp }}"/>
    <tableColumn id="9" xr3:uid="{00000000-0010-0000-0A00-000009000000}" name="{{ swg.serialnumber }}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087_Table1331343940122273231302031892" displayName="Table_087_Table1331343940122273231302031892" ref="A1:I11">
  <autoFilter ref="A1:I11" xr:uid="{00000000-0009-0000-0100-00000C000000}"/>
  <tableColumns count="9">
    <tableColumn id="1" xr3:uid="{00000000-0010-0000-0B00-000001000000}" name="DESCRIPTION"/>
    <tableColumn id="2" xr3:uid="{00000000-0010-0000-0B00-000002000000}" name="{{ panel.linknumber }}"/>
    <tableColumn id="3" xr3:uid="{00000000-0010-0000-0B00-000003000000}" name="{{ panel.name }}"/>
    <tableColumn id="4" xr3:uid="{00000000-0010-0000-0B00-000004000000}" name="{{ panel.cabletype }}"/>
    <tableColumn id="5" xr3:uid="{00000000-0010-0000-0B00-000005000000}" name="{{ panel.breakerstatus }}"/>
    <tableColumn id="6" xr3:uid="{00000000-0010-0000-0B00-000006000000}" name="{{ panel.busbarposition }}"/>
    <tableColumn id="7" xr3:uid="{00000000-0010-0000-0B00-000007000000}" name="{{ panel.loadamp }}"/>
    <tableColumn id="8" xr3:uid="{00000000-0010-0000-0B00-000008000000}" name="{{ panel.heateramp }}"/>
    <tableColumn id="9" xr3:uid="{00000000-0010-0000-0B00-000009000000}" name="{{ swg.serialnumber }}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088_Table1331343940122273231302031892" displayName="Table_088_Table1331343940122273231302031892" ref="A1:I11">
  <autoFilter ref="A1:I11" xr:uid="{00000000-0009-0000-0100-00000D000000}"/>
  <tableColumns count="9">
    <tableColumn id="1" xr3:uid="{00000000-0010-0000-0C00-000001000000}" name="DESCRIPTION"/>
    <tableColumn id="2" xr3:uid="{00000000-0010-0000-0C00-000002000000}" name="{{ panel.linknumber }}"/>
    <tableColumn id="3" xr3:uid="{00000000-0010-0000-0C00-000003000000}" name="{{ panel.name }}"/>
    <tableColumn id="4" xr3:uid="{00000000-0010-0000-0C00-000004000000}" name="{{ panel.cabletype }}"/>
    <tableColumn id="5" xr3:uid="{00000000-0010-0000-0C00-000005000000}" name="{{ panel.breakerstatus }}"/>
    <tableColumn id="6" xr3:uid="{00000000-0010-0000-0C00-000006000000}" name="{{ panel.busbarposition }}"/>
    <tableColumn id="7" xr3:uid="{00000000-0010-0000-0C00-000007000000}" name="{{ panel.loadamp }}"/>
    <tableColumn id="8" xr3:uid="{00000000-0010-0000-0C00-000008000000}" name="{{ panel.heateramp }}"/>
    <tableColumn id="9" xr3:uid="{00000000-0010-0000-0C00-000009000000}" name="{{ swg.serialnumber }}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089_Table1331343940122273231302031892" displayName="Table_089_Table1331343940122273231302031892" ref="A1:I11">
  <autoFilter ref="A1:I11" xr:uid="{00000000-0009-0000-0100-00000E000000}"/>
  <tableColumns count="9">
    <tableColumn id="1" xr3:uid="{00000000-0010-0000-0D00-000001000000}" name="DESCRIPTION"/>
    <tableColumn id="2" xr3:uid="{00000000-0010-0000-0D00-000002000000}" name="{{ panel.linknumber }}"/>
    <tableColumn id="3" xr3:uid="{00000000-0010-0000-0D00-000003000000}" name="{{ panel.name }}"/>
    <tableColumn id="4" xr3:uid="{00000000-0010-0000-0D00-000004000000}" name="{{ panel.cabletype }}"/>
    <tableColumn id="5" xr3:uid="{00000000-0010-0000-0D00-000005000000}" name="{{ panel.breakerstatus }}"/>
    <tableColumn id="6" xr3:uid="{00000000-0010-0000-0D00-000006000000}" name="{{ panel.busbarposition }}"/>
    <tableColumn id="7" xr3:uid="{00000000-0010-0000-0D00-000007000000}" name="{{ panel.loadamp }}"/>
    <tableColumn id="8" xr3:uid="{00000000-0010-0000-0D00-000008000000}" name="{{ panel.heateramp }}"/>
    <tableColumn id="9" xr3:uid="{00000000-0010-0000-0D00-000009000000}" name="{{ swg.serialnumber }}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090_Table1331343940122273231302031892" displayName="Table_090_Table1331343940122273231302031892" ref="A1:I11">
  <autoFilter ref="A1:I11" xr:uid="{00000000-0009-0000-0100-00000F000000}"/>
  <tableColumns count="9">
    <tableColumn id="1" xr3:uid="{00000000-0010-0000-0E00-000001000000}" name="DESCRIPTION"/>
    <tableColumn id="2" xr3:uid="{00000000-0010-0000-0E00-000002000000}" name="{{ panel.linknumber }}"/>
    <tableColumn id="3" xr3:uid="{00000000-0010-0000-0E00-000003000000}" name="{{ panel.name }}"/>
    <tableColumn id="4" xr3:uid="{00000000-0010-0000-0E00-000004000000}" name="{{ panel.cabletype }}"/>
    <tableColumn id="5" xr3:uid="{00000000-0010-0000-0E00-000005000000}" name="{{ panel.breakerstatus }}"/>
    <tableColumn id="6" xr3:uid="{00000000-0010-0000-0E00-000006000000}" name="{{ panel.busbarposition }}"/>
    <tableColumn id="7" xr3:uid="{00000000-0010-0000-0E00-000007000000}" name="{{ panel.loadamp }}"/>
    <tableColumn id="8" xr3:uid="{00000000-0010-0000-0E00-000008000000}" name="{{ panel.heateramp }}"/>
    <tableColumn id="9" xr3:uid="{00000000-0010-0000-0E00-000009000000}" name="{{ swg.serialnumber }}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091_Table1331343940122273231302031892" displayName="Table_091_Table1331343940122273231302031892" ref="A1:I11">
  <autoFilter ref="A1:I11" xr:uid="{00000000-0009-0000-0100-000010000000}"/>
  <tableColumns count="9">
    <tableColumn id="1" xr3:uid="{00000000-0010-0000-0F00-000001000000}" name="DESCRIPTION"/>
    <tableColumn id="2" xr3:uid="{00000000-0010-0000-0F00-000002000000}" name="{{ panel.linknumber }}"/>
    <tableColumn id="3" xr3:uid="{00000000-0010-0000-0F00-000003000000}" name="{{ panel.name }}"/>
    <tableColumn id="4" xr3:uid="{00000000-0010-0000-0F00-000004000000}" name="{{ panel.cabletype }}"/>
    <tableColumn id="5" xr3:uid="{00000000-0010-0000-0F00-000005000000}" name="{{ panel.breakerstatus }}"/>
    <tableColumn id="6" xr3:uid="{00000000-0010-0000-0F00-000006000000}" name="{{ panel.busbarposition }}"/>
    <tableColumn id="7" xr3:uid="{00000000-0010-0000-0F00-000007000000}" name="{{ panel.loadamp }}"/>
    <tableColumn id="8" xr3:uid="{00000000-0010-0000-0F00-000008000000}" name="{{ panel.heateramp }}"/>
    <tableColumn id="9" xr3:uid="{00000000-0010-0000-0F00-000009000000}" name="{{ swg.serialnumber }}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092_Table1331343940122273231302031892" displayName="Table_092_Table1331343940122273231302031892" ref="A1:I11">
  <autoFilter ref="A1:I11" xr:uid="{00000000-0009-0000-0100-000011000000}"/>
  <tableColumns count="9">
    <tableColumn id="1" xr3:uid="{00000000-0010-0000-1000-000001000000}" name="DESCRIPTION"/>
    <tableColumn id="2" xr3:uid="{00000000-0010-0000-1000-000002000000}" name="{{ panel.linknumber }}"/>
    <tableColumn id="3" xr3:uid="{00000000-0010-0000-1000-000003000000}" name="{{ panel.name }}"/>
    <tableColumn id="4" xr3:uid="{00000000-0010-0000-1000-000004000000}" name="{{ panel.cabletype }}"/>
    <tableColumn id="5" xr3:uid="{00000000-0010-0000-1000-000005000000}" name="{{ panel.breakerstatus }}"/>
    <tableColumn id="6" xr3:uid="{00000000-0010-0000-1000-000006000000}" name="{{ panel.busbarposition }}"/>
    <tableColumn id="7" xr3:uid="{00000000-0010-0000-1000-000007000000}" name="{{ panel.loadamp }}"/>
    <tableColumn id="8" xr3:uid="{00000000-0010-0000-1000-000008000000}" name="{{ panel.heateramp }}"/>
    <tableColumn id="9" xr3:uid="{00000000-0010-0000-1000-000009000000}" name="{{ swg.serialnumber }}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093_Table1331343940122273231302031892" displayName="Table_093_Table1331343940122273231302031892" ref="A1:I11">
  <autoFilter ref="A1:I11" xr:uid="{00000000-0009-0000-0100-000012000000}"/>
  <tableColumns count="9">
    <tableColumn id="1" xr3:uid="{00000000-0010-0000-1100-000001000000}" name="DESCRIPTION"/>
    <tableColumn id="2" xr3:uid="{00000000-0010-0000-1100-000002000000}" name="{{ panel.linknumber }}"/>
    <tableColumn id="3" xr3:uid="{00000000-0010-0000-1100-000003000000}" name="{{ panel.name }}"/>
    <tableColumn id="4" xr3:uid="{00000000-0010-0000-1100-000004000000}" name="{{ panel.cabletype }}"/>
    <tableColumn id="5" xr3:uid="{00000000-0010-0000-1100-000005000000}" name="{{ panel.breakerstatus }}"/>
    <tableColumn id="6" xr3:uid="{00000000-0010-0000-1100-000006000000}" name="{{ panel.busbarposition }}"/>
    <tableColumn id="7" xr3:uid="{00000000-0010-0000-1100-000007000000}" name="{{ panel.loadamp }}"/>
    <tableColumn id="8" xr3:uid="{00000000-0010-0000-1100-000008000000}" name="{{ panel.heateramp }}"/>
    <tableColumn id="9" xr3:uid="{00000000-0010-0000-1100-000009000000}" name="{{ swg.serialnumber }}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094_Table1331343940122273231302031892" displayName="Table_094_Table1331343940122273231302031892" ref="A1:I11">
  <autoFilter ref="A1:I11" xr:uid="{00000000-0009-0000-0100-000013000000}"/>
  <tableColumns count="9">
    <tableColumn id="1" xr3:uid="{00000000-0010-0000-1200-000001000000}" name="DESCRIPTION"/>
    <tableColumn id="2" xr3:uid="{00000000-0010-0000-1200-000002000000}" name="{{ panel.linknumber }}"/>
    <tableColumn id="3" xr3:uid="{00000000-0010-0000-1200-000003000000}" name="{{ panel.name }}"/>
    <tableColumn id="4" xr3:uid="{00000000-0010-0000-1200-000004000000}" name="{{ panel.cabletype }}"/>
    <tableColumn id="5" xr3:uid="{00000000-0010-0000-1200-000005000000}" name="{{ panel.breakerstatus }}"/>
    <tableColumn id="6" xr3:uid="{00000000-0010-0000-1200-000006000000}" name="{{ panel.busbarposition }}"/>
    <tableColumn id="7" xr3:uid="{00000000-0010-0000-1200-000007000000}" name="{{ panel.loadamp }}"/>
    <tableColumn id="8" xr3:uid="{00000000-0010-0000-1200-000008000000}" name="{{ panel.heateramp }}"/>
    <tableColumn id="9" xr3:uid="{00000000-0010-0000-1200-000009000000}" name="{{ swg.serialnumber }}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095_Table1331343940122273231302031892" displayName="Table_095_Table1331343940122273231302031892" ref="A1:I11">
  <autoFilter ref="A1:I11" xr:uid="{00000000-0009-0000-0100-000014000000}"/>
  <tableColumns count="9">
    <tableColumn id="1" xr3:uid="{00000000-0010-0000-1300-000001000000}" name="DESCRIPTION"/>
    <tableColumn id="2" xr3:uid="{00000000-0010-0000-1300-000002000000}" name="{{ panel.linknumber }}"/>
    <tableColumn id="3" xr3:uid="{00000000-0010-0000-1300-000003000000}" name="{{ panel.name }}"/>
    <tableColumn id="4" xr3:uid="{00000000-0010-0000-1300-000004000000}" name="{{ panel.cabletype }}"/>
    <tableColumn id="5" xr3:uid="{00000000-0010-0000-1300-000005000000}" name="{{ panel.breakerstatus }}"/>
    <tableColumn id="6" xr3:uid="{00000000-0010-0000-1300-000006000000}" name="{{ panel.busbarposition }}"/>
    <tableColumn id="7" xr3:uid="{00000000-0010-0000-1300-000007000000}" name="{{ panel.loadamp }}"/>
    <tableColumn id="8" xr3:uid="{00000000-0010-0000-1300-000008000000}" name="{{ panel.heateramp }}"/>
    <tableColumn id="9" xr3:uid="{00000000-0010-0000-1300-000009000000}" name="{{ swg.serialnumber }}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096_Table1331343940122273231302031892" displayName="Table_096_Table1331343940122273231302031892" ref="A1:I11">
  <autoFilter ref="A1:I11" xr:uid="{00000000-0009-0000-0100-000015000000}"/>
  <tableColumns count="9">
    <tableColumn id="1" xr3:uid="{00000000-0010-0000-1400-000001000000}" name="DESCRIPTION"/>
    <tableColumn id="2" xr3:uid="{00000000-0010-0000-1400-000002000000}" name="{{ panel.linknumber }}"/>
    <tableColumn id="3" xr3:uid="{00000000-0010-0000-1400-000003000000}" name="{{ panel.name }}"/>
    <tableColumn id="4" xr3:uid="{00000000-0010-0000-1400-000004000000}" name="{{ panel.cabletype }}"/>
    <tableColumn id="5" xr3:uid="{00000000-0010-0000-1400-000005000000}" name="{{ panel.breakerstatus }}"/>
    <tableColumn id="6" xr3:uid="{00000000-0010-0000-1400-000006000000}" name="{{ panel.busbarposition }}"/>
    <tableColumn id="7" xr3:uid="{00000000-0010-0000-1400-000007000000}" name="{{ panel.loadamp }}"/>
    <tableColumn id="8" xr3:uid="{00000000-0010-0000-1400-000008000000}" name="{{ panel.heateramp }}"/>
    <tableColumn id="9" xr3:uid="{00000000-0010-0000-1400-000009000000}" name="{{ swg.serialnumber }}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097_Table1331343940122273231302031892" displayName="Table_097_Table1331343940122273231302031892" ref="A1:I11">
  <autoFilter ref="A1:I11" xr:uid="{00000000-0009-0000-0100-000016000000}"/>
  <tableColumns count="9">
    <tableColumn id="1" xr3:uid="{00000000-0010-0000-1500-000001000000}" name="DESCRIPTION"/>
    <tableColumn id="2" xr3:uid="{00000000-0010-0000-1500-000002000000}" name="{{ panel.linknumber }}"/>
    <tableColumn id="3" xr3:uid="{00000000-0010-0000-1500-000003000000}" name="{{ panel.name }}"/>
    <tableColumn id="4" xr3:uid="{00000000-0010-0000-1500-000004000000}" name="{{ panel.cabletype }}"/>
    <tableColumn id="5" xr3:uid="{00000000-0010-0000-1500-000005000000}" name="{{ panel.breakerstatus }}"/>
    <tableColumn id="6" xr3:uid="{00000000-0010-0000-1500-000006000000}" name="{{ panel.busbarposition }}"/>
    <tableColumn id="7" xr3:uid="{00000000-0010-0000-1500-000007000000}" name="{{ panel.loadamp }}"/>
    <tableColumn id="8" xr3:uid="{00000000-0010-0000-1500-000008000000}" name="{{ panel.heateramp }}"/>
    <tableColumn id="9" xr3:uid="{00000000-0010-0000-1500-000009000000}" name="{{ swg.serialnumber }}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098_Table1331343940122273231302031892" displayName="Table_098_Table1331343940122273231302031892" ref="A1:I11">
  <autoFilter ref="A1:I11" xr:uid="{00000000-0009-0000-0100-000017000000}"/>
  <tableColumns count="9">
    <tableColumn id="1" xr3:uid="{00000000-0010-0000-1600-000001000000}" name="DESCRIPTION"/>
    <tableColumn id="2" xr3:uid="{00000000-0010-0000-1600-000002000000}" name="{{ panel.linknumber }}"/>
    <tableColumn id="3" xr3:uid="{00000000-0010-0000-1600-000003000000}" name="{{ panel.name }}"/>
    <tableColumn id="4" xr3:uid="{00000000-0010-0000-1600-000004000000}" name="{{ panel.cabletype }}"/>
    <tableColumn id="5" xr3:uid="{00000000-0010-0000-1600-000005000000}" name="{{ panel.breakerstatus }}"/>
    <tableColumn id="6" xr3:uid="{00000000-0010-0000-1600-000006000000}" name="{{ panel.busbarposition }}"/>
    <tableColumn id="7" xr3:uid="{00000000-0010-0000-1600-000007000000}" name="{{ panel.loadamp }}"/>
    <tableColumn id="8" xr3:uid="{00000000-0010-0000-1600-000008000000}" name="{{ panel.heateramp }}"/>
    <tableColumn id="9" xr3:uid="{00000000-0010-0000-1600-000009000000}" name="{{ swg.serialnumber }}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099_Table1331343940122273231302031892" displayName="Table_099_Table1331343940122273231302031892" ref="A1:I11">
  <autoFilter ref="A1:I11" xr:uid="{00000000-0009-0000-0100-000018000000}"/>
  <tableColumns count="9">
    <tableColumn id="1" xr3:uid="{00000000-0010-0000-1700-000001000000}" name="DESCRIPTION"/>
    <tableColumn id="2" xr3:uid="{00000000-0010-0000-1700-000002000000}" name="{{ panel.linknumber }}"/>
    <tableColumn id="3" xr3:uid="{00000000-0010-0000-1700-000003000000}" name="{{ panel.name }}"/>
    <tableColumn id="4" xr3:uid="{00000000-0010-0000-1700-000004000000}" name="{{ panel.cabletype }}"/>
    <tableColumn id="5" xr3:uid="{00000000-0010-0000-1700-000005000000}" name="{{ panel.breakerstatus }}"/>
    <tableColumn id="6" xr3:uid="{00000000-0010-0000-1700-000006000000}" name="{{ panel.busbarposition }}"/>
    <tableColumn id="7" xr3:uid="{00000000-0010-0000-1700-000007000000}" name="{{ panel.loadamp }}"/>
    <tableColumn id="8" xr3:uid="{00000000-0010-0000-1700-000008000000}" name="{{ panel.heateramp }}"/>
    <tableColumn id="9" xr3:uid="{00000000-0010-0000-1700-000009000000}" name="{{ swg.serialnumber }}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100_Table1331343940122273231302031892" displayName="Table_100_Table1331343940122273231302031892" ref="A1:I11">
  <autoFilter ref="A1:I11" xr:uid="{00000000-0009-0000-0100-000019000000}"/>
  <tableColumns count="9">
    <tableColumn id="1" xr3:uid="{00000000-0010-0000-1800-000001000000}" name="DESCRIPTION"/>
    <tableColumn id="2" xr3:uid="{00000000-0010-0000-1800-000002000000}" name="{{ panel.linknumber }}"/>
    <tableColumn id="3" xr3:uid="{00000000-0010-0000-1800-000003000000}" name="{{ panel.name }}"/>
    <tableColumn id="4" xr3:uid="{00000000-0010-0000-1800-000004000000}" name="{{ panel.cabletype }}"/>
    <tableColumn id="5" xr3:uid="{00000000-0010-0000-1800-000005000000}" name="{{ panel.breakerstatus }}"/>
    <tableColumn id="6" xr3:uid="{00000000-0010-0000-1800-000006000000}" name="{{ panel.busbarposition }}"/>
    <tableColumn id="7" xr3:uid="{00000000-0010-0000-1800-000007000000}" name="{{ panel.loadamp }}"/>
    <tableColumn id="8" xr3:uid="{00000000-0010-0000-1800-000008000000}" name="{{ panel.heateramp }}"/>
    <tableColumn id="9" xr3:uid="{00000000-0010-0000-1800-000009000000}" name="{{ swg.serialnumber }}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101_Table1331343940122273231302031892" displayName="Table_101_Table1331343940122273231302031892" ref="A1:I11">
  <autoFilter ref="A1:I11" xr:uid="{00000000-0009-0000-0100-00001A000000}"/>
  <tableColumns count="9">
    <tableColumn id="1" xr3:uid="{00000000-0010-0000-1900-000001000000}" name="DESCRIPTION"/>
    <tableColumn id="2" xr3:uid="{00000000-0010-0000-1900-000002000000}" name="{{ panel.linknumber }}"/>
    <tableColumn id="3" xr3:uid="{00000000-0010-0000-1900-000003000000}" name="{{ panel.name }}"/>
    <tableColumn id="4" xr3:uid="{00000000-0010-0000-1900-000004000000}" name="{{ panel.cabletype }}"/>
    <tableColumn id="5" xr3:uid="{00000000-0010-0000-1900-000005000000}" name="{{ panel.breakerstatus }}"/>
    <tableColumn id="6" xr3:uid="{00000000-0010-0000-1900-000006000000}" name="{{ panel.busbarposition }}"/>
    <tableColumn id="7" xr3:uid="{00000000-0010-0000-1900-000007000000}" name="{{ panel.loadamp }}"/>
    <tableColumn id="8" xr3:uid="{00000000-0010-0000-1900-000008000000}" name="{{ panel.heateramp }}"/>
    <tableColumn id="9" xr3:uid="{00000000-0010-0000-1900-000009000000}" name="{{ swg.serialnumber }}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102_Table1331343940122273231302031892" displayName="Table_102_Table1331343940122273231302031892" ref="A1:I11">
  <autoFilter ref="A1:I11" xr:uid="{00000000-0009-0000-0100-00001B000000}"/>
  <tableColumns count="9">
    <tableColumn id="1" xr3:uid="{00000000-0010-0000-1A00-000001000000}" name="DESCRIPTION"/>
    <tableColumn id="2" xr3:uid="{00000000-0010-0000-1A00-000002000000}" name="{{ panel.linknumber }}"/>
    <tableColumn id="3" xr3:uid="{00000000-0010-0000-1A00-000003000000}" name="{{ panel.name }}"/>
    <tableColumn id="4" xr3:uid="{00000000-0010-0000-1A00-000004000000}" name="{{ panel.cabletype }}"/>
    <tableColumn id="5" xr3:uid="{00000000-0010-0000-1A00-000005000000}" name="{{ panel.breakerstatus }}"/>
    <tableColumn id="6" xr3:uid="{00000000-0010-0000-1A00-000006000000}" name="{{ panel.busbarposition }}"/>
    <tableColumn id="7" xr3:uid="{00000000-0010-0000-1A00-000007000000}" name="{{ panel.loadamp }}"/>
    <tableColumn id="8" xr3:uid="{00000000-0010-0000-1A00-000008000000}" name="{{ panel.heateramp }}"/>
    <tableColumn id="9" xr3:uid="{00000000-0010-0000-1A00-000009000000}" name="{{ swg.serialnumber }}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103_Table1331343940122273231302031892" displayName="Table_103_Table1331343940122273231302031892" ref="A1:I11">
  <autoFilter ref="A1:I11" xr:uid="{00000000-0009-0000-0100-00001C000000}"/>
  <tableColumns count="9">
    <tableColumn id="1" xr3:uid="{00000000-0010-0000-1B00-000001000000}" name="DESCRIPTION"/>
    <tableColumn id="2" xr3:uid="{00000000-0010-0000-1B00-000002000000}" name="{{ panel.linknumber }}"/>
    <tableColumn id="3" xr3:uid="{00000000-0010-0000-1B00-000003000000}" name="{{ panel.name }}"/>
    <tableColumn id="4" xr3:uid="{00000000-0010-0000-1B00-000004000000}" name="{{ panel.cabletype }}"/>
    <tableColumn id="5" xr3:uid="{00000000-0010-0000-1B00-000005000000}" name="{{ panel.breakerstatus }}"/>
    <tableColumn id="6" xr3:uid="{00000000-0010-0000-1B00-000006000000}" name="{{ panel.busbarposition }}"/>
    <tableColumn id="7" xr3:uid="{00000000-0010-0000-1B00-000007000000}" name="{{ panel.loadamp }}"/>
    <tableColumn id="8" xr3:uid="{00000000-0010-0000-1B00-000008000000}" name="{{ panel.heateramp }}"/>
    <tableColumn id="9" xr3:uid="{00000000-0010-0000-1B00-000009000000}" name="{{ swg.serialnumber }}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104_Table1331343940122273231302031892" displayName="Table_104_Table1331343940122273231302031892" ref="A1:I11">
  <autoFilter ref="A1:I11" xr:uid="{00000000-0009-0000-0100-00001D000000}"/>
  <tableColumns count="9">
    <tableColumn id="1" xr3:uid="{00000000-0010-0000-1C00-000001000000}" name="DESCRIPTION"/>
    <tableColumn id="2" xr3:uid="{00000000-0010-0000-1C00-000002000000}" name="{{ panel.linknumber }}"/>
    <tableColumn id="3" xr3:uid="{00000000-0010-0000-1C00-000003000000}" name="{{ panel.name }}"/>
    <tableColumn id="4" xr3:uid="{00000000-0010-0000-1C00-000004000000}" name="{{ panel.cabletype }}"/>
    <tableColumn id="5" xr3:uid="{00000000-0010-0000-1C00-000005000000}" name="{{ panel.breakerstatus }}"/>
    <tableColumn id="6" xr3:uid="{00000000-0010-0000-1C00-000006000000}" name="{{ panel.busbarposition }}"/>
    <tableColumn id="7" xr3:uid="{00000000-0010-0000-1C00-000007000000}" name="{{ panel.loadamp }}"/>
    <tableColumn id="8" xr3:uid="{00000000-0010-0000-1C00-000008000000}" name="{{ panel.heateramp }}"/>
    <tableColumn id="9" xr3:uid="{00000000-0010-0000-1C00-000009000000}" name="{{ swg.serialnumber }}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105_Table1331343940122273231302031892" displayName="Table_105_Table1331343940122273231302031892" ref="A1:I11">
  <autoFilter ref="A1:I11" xr:uid="{00000000-0009-0000-0100-00001E000000}"/>
  <tableColumns count="9">
    <tableColumn id="1" xr3:uid="{00000000-0010-0000-1D00-000001000000}" name="DESCRIPTION"/>
    <tableColumn id="2" xr3:uid="{00000000-0010-0000-1D00-000002000000}" name="{{ panel.linknumber }}"/>
    <tableColumn id="3" xr3:uid="{00000000-0010-0000-1D00-000003000000}" name="{{ panel.name }}"/>
    <tableColumn id="4" xr3:uid="{00000000-0010-0000-1D00-000004000000}" name="{{ panel.cabletype }}"/>
    <tableColumn id="5" xr3:uid="{00000000-0010-0000-1D00-000005000000}" name="{{ panel.breakerstatus }}"/>
    <tableColumn id="6" xr3:uid="{00000000-0010-0000-1D00-000006000000}" name="{{ panel.busbarposition }}"/>
    <tableColumn id="7" xr3:uid="{00000000-0010-0000-1D00-000007000000}" name="{{ panel.loadamp }}"/>
    <tableColumn id="8" xr3:uid="{00000000-0010-0000-1D00-000008000000}" name="{{ panel.heateramp }}"/>
    <tableColumn id="9" xr3:uid="{00000000-0010-0000-1D00-000009000000}" name="{{ swg.serialnumber }}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106_Table1331343940122273231302031892" displayName="Table_106_Table1331343940122273231302031892" ref="A1:I11">
  <autoFilter ref="A1:I11" xr:uid="{00000000-0009-0000-0100-00001F000000}"/>
  <tableColumns count="9">
    <tableColumn id="1" xr3:uid="{00000000-0010-0000-1E00-000001000000}" name="DESCRIPTION"/>
    <tableColumn id="2" xr3:uid="{00000000-0010-0000-1E00-000002000000}" name="{{ panel.linknumber }}"/>
    <tableColumn id="3" xr3:uid="{00000000-0010-0000-1E00-000003000000}" name="{{ panel.name }}"/>
    <tableColumn id="4" xr3:uid="{00000000-0010-0000-1E00-000004000000}" name="{{ panel.cabletype }}"/>
    <tableColumn id="5" xr3:uid="{00000000-0010-0000-1E00-000005000000}" name="{{ panel.breakerstatus }}"/>
    <tableColumn id="6" xr3:uid="{00000000-0010-0000-1E00-000006000000}" name="{{ panel.busbarposition }}"/>
    <tableColumn id="7" xr3:uid="{00000000-0010-0000-1E00-000007000000}" name="{{ panel.loadamp }}"/>
    <tableColumn id="8" xr3:uid="{00000000-0010-0000-1E00-000008000000}" name="{{ panel.heateramp }}"/>
    <tableColumn id="9" xr3:uid="{00000000-0010-0000-1E00-000009000000}" name="{{ swg.serialnumber }}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107_Table1331343940122273231302031892" displayName="Table_107_Table1331343940122273231302031892" ref="A1:I11">
  <autoFilter ref="A1:I11" xr:uid="{00000000-0009-0000-0100-000020000000}"/>
  <tableColumns count="9">
    <tableColumn id="1" xr3:uid="{00000000-0010-0000-1F00-000001000000}" name="DESCRIPTION"/>
    <tableColumn id="2" xr3:uid="{00000000-0010-0000-1F00-000002000000}" name="{{ panel.linknumber }}"/>
    <tableColumn id="3" xr3:uid="{00000000-0010-0000-1F00-000003000000}" name="{{ panel.name }}"/>
    <tableColumn id="4" xr3:uid="{00000000-0010-0000-1F00-000004000000}" name="{{ panel.cabletype }}"/>
    <tableColumn id="5" xr3:uid="{00000000-0010-0000-1F00-000005000000}" name="{{ panel.breakerstatus }}"/>
    <tableColumn id="6" xr3:uid="{00000000-0010-0000-1F00-000006000000}" name="{{ panel.busbarposition }}"/>
    <tableColumn id="7" xr3:uid="{00000000-0010-0000-1F00-000007000000}" name="{{ panel.loadamp }}"/>
    <tableColumn id="8" xr3:uid="{00000000-0010-0000-1F00-000008000000}" name="{{ panel.heateramp }}"/>
    <tableColumn id="9" xr3:uid="{00000000-0010-0000-1F00-000009000000}" name="{{ swg.serialnumber }}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108_Table1331343940122273231302031892" displayName="Table_108_Table1331343940122273231302031892" ref="A1:I11">
  <autoFilter ref="A1:I11" xr:uid="{00000000-0009-0000-0100-000021000000}"/>
  <tableColumns count="9">
    <tableColumn id="1" xr3:uid="{00000000-0010-0000-2000-000001000000}" name="DESCRIPTION"/>
    <tableColumn id="2" xr3:uid="{00000000-0010-0000-2000-000002000000}" name="{{ panel.linknumber }}"/>
    <tableColumn id="3" xr3:uid="{00000000-0010-0000-2000-000003000000}" name="{{ panel.name }}"/>
    <tableColumn id="4" xr3:uid="{00000000-0010-0000-2000-000004000000}" name="{{ panel.cabletype }}"/>
    <tableColumn id="5" xr3:uid="{00000000-0010-0000-2000-000005000000}" name="{{ panel.breakerstatus }}"/>
    <tableColumn id="6" xr3:uid="{00000000-0010-0000-2000-000006000000}" name="{{ panel.busbarposition }}"/>
    <tableColumn id="7" xr3:uid="{00000000-0010-0000-2000-000007000000}" name="{{ panel.loadamp }}"/>
    <tableColumn id="8" xr3:uid="{00000000-0010-0000-2000-000008000000}" name="{{ panel.heateramp }}"/>
    <tableColumn id="9" xr3:uid="{00000000-0010-0000-2000-000009000000}" name="{{ swg.serialnumber }}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109_Table1331343940122273231302031892" displayName="Table_109_Table1331343940122273231302031892" ref="A1:I11">
  <autoFilter ref="A1:I11" xr:uid="{00000000-0009-0000-0100-000022000000}"/>
  <tableColumns count="9">
    <tableColumn id="1" xr3:uid="{00000000-0010-0000-2100-000001000000}" name="DESCRIPTION"/>
    <tableColumn id="2" xr3:uid="{00000000-0010-0000-2100-000002000000}" name="{{ panel.linknumber }}"/>
    <tableColumn id="3" xr3:uid="{00000000-0010-0000-2100-000003000000}" name="{{ panel.name }}"/>
    <tableColumn id="4" xr3:uid="{00000000-0010-0000-2100-000004000000}" name="{{ panel.cabletype }}"/>
    <tableColumn id="5" xr3:uid="{00000000-0010-0000-2100-000005000000}" name="{{ panel.breakerstatus }}"/>
    <tableColumn id="6" xr3:uid="{00000000-0010-0000-2100-000006000000}" name="{{ panel.busbarposition }}"/>
    <tableColumn id="7" xr3:uid="{00000000-0010-0000-2100-000007000000}" name="{{ panel.loadamp }}"/>
    <tableColumn id="8" xr3:uid="{00000000-0010-0000-2100-000008000000}" name="{{ panel.heateramp }}"/>
    <tableColumn id="9" xr3:uid="{00000000-0010-0000-2100-000009000000}" name="{{ swg.serialnumber }}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110_Table1331343940122273231302031892" displayName="Table_110_Table1331343940122273231302031892" ref="A1:I11">
  <autoFilter ref="A1:I11" xr:uid="{00000000-0009-0000-0100-000023000000}"/>
  <tableColumns count="9">
    <tableColumn id="1" xr3:uid="{00000000-0010-0000-2200-000001000000}" name="DESCRIPTION"/>
    <tableColumn id="2" xr3:uid="{00000000-0010-0000-2200-000002000000}" name="{{ panel.linknumber }}"/>
    <tableColumn id="3" xr3:uid="{00000000-0010-0000-2200-000003000000}" name="{{ panel.name }}"/>
    <tableColumn id="4" xr3:uid="{00000000-0010-0000-2200-000004000000}" name="{{ panel.cabletype }}"/>
    <tableColumn id="5" xr3:uid="{00000000-0010-0000-2200-000005000000}" name="{{ panel.breakerstatus }}"/>
    <tableColumn id="6" xr3:uid="{00000000-0010-0000-2200-000006000000}" name="{{ panel.busbarposition }}"/>
    <tableColumn id="7" xr3:uid="{00000000-0010-0000-2200-000007000000}" name="{{ panel.loadamp }}"/>
    <tableColumn id="8" xr3:uid="{00000000-0010-0000-2200-000008000000}" name="{{ panel.heateramp }}"/>
    <tableColumn id="9" xr3:uid="{00000000-0010-0000-2200-000009000000}" name="{{ swg.serialnumber }}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111_Table1331343940122273231302031892" displayName="Table_111_Table1331343940122273231302031892" ref="A1:I11">
  <autoFilter ref="A1:I11" xr:uid="{00000000-0009-0000-0100-000024000000}"/>
  <tableColumns count="9">
    <tableColumn id="1" xr3:uid="{00000000-0010-0000-2300-000001000000}" name="DESCRIPTION"/>
    <tableColumn id="2" xr3:uid="{00000000-0010-0000-2300-000002000000}" name="{{ panel.linknumber }}"/>
    <tableColumn id="3" xr3:uid="{00000000-0010-0000-2300-000003000000}" name="{{ panel.name }}"/>
    <tableColumn id="4" xr3:uid="{00000000-0010-0000-2300-000004000000}" name="{{ panel.cabletype }}"/>
    <tableColumn id="5" xr3:uid="{00000000-0010-0000-2300-000005000000}" name="{{ panel.breakerstatus }}"/>
    <tableColumn id="6" xr3:uid="{00000000-0010-0000-2300-000006000000}" name="{{ panel.busbarposition }}"/>
    <tableColumn id="7" xr3:uid="{00000000-0010-0000-2300-000007000000}" name="{{ panel.loadamp }}"/>
    <tableColumn id="8" xr3:uid="{00000000-0010-0000-2300-000008000000}" name="{{ panel.heateramp }}"/>
    <tableColumn id="9" xr3:uid="{00000000-0010-0000-2300-000009000000}" name="{{ swg.serialnumber }}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112_Table1331343940122273231302031892" displayName="Table_112_Table1331343940122273231302031892" ref="A1:I11">
  <autoFilter ref="A1:I11" xr:uid="{00000000-0009-0000-0100-000025000000}"/>
  <tableColumns count="9">
    <tableColumn id="1" xr3:uid="{00000000-0010-0000-2400-000001000000}" name="DESCRIPTION"/>
    <tableColumn id="2" xr3:uid="{00000000-0010-0000-2400-000002000000}" name="{{ panel.linknumber }}"/>
    <tableColumn id="3" xr3:uid="{00000000-0010-0000-2400-000003000000}" name="{{ panel.name }}"/>
    <tableColumn id="4" xr3:uid="{00000000-0010-0000-2400-000004000000}" name="{{ panel.cabletype }}"/>
    <tableColumn id="5" xr3:uid="{00000000-0010-0000-2400-000005000000}" name="{{ panel.breakerstatus }}"/>
    <tableColumn id="6" xr3:uid="{00000000-0010-0000-2400-000006000000}" name="{{ panel.busbarposition }}"/>
    <tableColumn id="7" xr3:uid="{00000000-0010-0000-2400-000007000000}" name="{{ panel.loadamp }}"/>
    <tableColumn id="8" xr3:uid="{00000000-0010-0000-2400-000008000000}" name="{{ panel.heateramp }}"/>
    <tableColumn id="9" xr3:uid="{00000000-0010-0000-2400-000009000000}" name="{{ swg.serialnumber }}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113A_Table1331343940122273231302031892" displayName="Table_113A_Table1331343940122273231302031892" ref="A1:I11">
  <autoFilter ref="A1:I11" xr:uid="{00000000-0009-0000-0100-000026000000}"/>
  <tableColumns count="9">
    <tableColumn id="1" xr3:uid="{00000000-0010-0000-2500-000001000000}" name="DESCRIPTION"/>
    <tableColumn id="2" xr3:uid="{00000000-0010-0000-2500-000002000000}" name="{{ panel.linknumber }}"/>
    <tableColumn id="3" xr3:uid="{00000000-0010-0000-2500-000003000000}" name="{{ panel.name }}"/>
    <tableColumn id="4" xr3:uid="{00000000-0010-0000-2500-000004000000}" name="{{ panel.cabletype }}"/>
    <tableColumn id="5" xr3:uid="{00000000-0010-0000-2500-000005000000}" name="{{ panel.breakerstatus }}"/>
    <tableColumn id="6" xr3:uid="{00000000-0010-0000-2500-000006000000}" name="{{ panel.busbarposition }}"/>
    <tableColumn id="7" xr3:uid="{00000000-0010-0000-2500-000007000000}" name="{{ panel.loadamp }}"/>
    <tableColumn id="8" xr3:uid="{00000000-0010-0000-2500-000008000000}" name="{{ panel.heateramp }}"/>
    <tableColumn id="9" xr3:uid="{00000000-0010-0000-2500-000009000000}" name="{{ swg.serialnumber }}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113B_Table1331343940122273231302031892" displayName="Table_113B_Table1331343940122273231302031892" ref="A1:I11">
  <autoFilter ref="A1:I11" xr:uid="{00000000-0009-0000-0100-000027000000}"/>
  <tableColumns count="9">
    <tableColumn id="1" xr3:uid="{00000000-0010-0000-2600-000001000000}" name="DESCRIPTION"/>
    <tableColumn id="2" xr3:uid="{00000000-0010-0000-2600-000002000000}" name="{{ panel.linknumber }}"/>
    <tableColumn id="3" xr3:uid="{00000000-0010-0000-2600-000003000000}" name="{{ panel.name }}"/>
    <tableColumn id="4" xr3:uid="{00000000-0010-0000-2600-000004000000}" name="{{ panel.cabletype }}"/>
    <tableColumn id="5" xr3:uid="{00000000-0010-0000-2600-000005000000}" name="{{ panel.breakerstatus }}"/>
    <tableColumn id="6" xr3:uid="{00000000-0010-0000-2600-000006000000}" name="{{ panel.busbarposition }}"/>
    <tableColumn id="7" xr3:uid="{00000000-0010-0000-2600-000007000000}" name="{{ panel.loadamp }}"/>
    <tableColumn id="8" xr3:uid="{00000000-0010-0000-2600-000008000000}" name="{{ panel.heateramp }}"/>
    <tableColumn id="9" xr3:uid="{00000000-0010-0000-2600-000009000000}" name="{{ swg.serialnumber }}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114_Table1331343940122273231302031892" displayName="Table_114_Table1331343940122273231302031892" ref="A1:I11">
  <autoFilter ref="A1:I11" xr:uid="{00000000-0009-0000-0100-000028000000}"/>
  <tableColumns count="9">
    <tableColumn id="1" xr3:uid="{00000000-0010-0000-2700-000001000000}" name="DESCRIPTION"/>
    <tableColumn id="2" xr3:uid="{00000000-0010-0000-2700-000002000000}" name="{{ panel.linknumber }}"/>
    <tableColumn id="3" xr3:uid="{00000000-0010-0000-2700-000003000000}" name="{{ panel.name }}"/>
    <tableColumn id="4" xr3:uid="{00000000-0010-0000-2700-000004000000}" name="{{ panel.cabletype }}"/>
    <tableColumn id="5" xr3:uid="{00000000-0010-0000-2700-000005000000}" name="{{ panel.breakerstatus }}"/>
    <tableColumn id="6" xr3:uid="{00000000-0010-0000-2700-000006000000}" name="{{ panel.busbarposition }}"/>
    <tableColumn id="7" xr3:uid="{00000000-0010-0000-2700-000007000000}" name="{{ panel.loadamp }}"/>
    <tableColumn id="8" xr3:uid="{00000000-0010-0000-2700-000008000000}" name="{{ panel.heateramp }}"/>
    <tableColumn id="9" xr3:uid="{00000000-0010-0000-2700-000009000000}" name="{{ swg.serialnumber }}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115_Table1331343940122273231302031892" displayName="Table_115_Table1331343940122273231302031892" ref="A1:I11">
  <autoFilter ref="A1:I11" xr:uid="{00000000-0009-0000-0100-000029000000}"/>
  <tableColumns count="9">
    <tableColumn id="1" xr3:uid="{00000000-0010-0000-2800-000001000000}" name="DESCRIPTION"/>
    <tableColumn id="2" xr3:uid="{00000000-0010-0000-2800-000002000000}" name="{{ panel.linknumber }}"/>
    <tableColumn id="3" xr3:uid="{00000000-0010-0000-2800-000003000000}" name="{{ panel.name }}"/>
    <tableColumn id="4" xr3:uid="{00000000-0010-0000-2800-000004000000}" name="{{ panel.cabletype }}"/>
    <tableColumn id="5" xr3:uid="{00000000-0010-0000-2800-000005000000}" name="{{ panel.breakerstatus }}"/>
    <tableColumn id="6" xr3:uid="{00000000-0010-0000-2800-000006000000}" name="{{ panel.busbarposition }}"/>
    <tableColumn id="7" xr3:uid="{00000000-0010-0000-2800-000007000000}" name="{{ panel.loadamp }}"/>
    <tableColumn id="8" xr3:uid="{00000000-0010-0000-2800-000008000000}" name="{{ panel.heateramp }}"/>
    <tableColumn id="9" xr3:uid="{00000000-0010-0000-2800-000009000000}" name="{{ swg.serialnumber }}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116_Table1331343940122273231302031892" displayName="Table_116_Table1331343940122273231302031892" ref="A1:I11">
  <autoFilter ref="A1:I11" xr:uid="{00000000-0009-0000-0100-00002A000000}"/>
  <tableColumns count="9">
    <tableColumn id="1" xr3:uid="{00000000-0010-0000-2900-000001000000}" name="DESCRIPTION"/>
    <tableColumn id="2" xr3:uid="{00000000-0010-0000-2900-000002000000}" name="{{ panel.linknumber }}"/>
    <tableColumn id="3" xr3:uid="{00000000-0010-0000-2900-000003000000}" name="{{ panel.name }}"/>
    <tableColumn id="4" xr3:uid="{00000000-0010-0000-2900-000004000000}" name="{{ panel.cabletype }}"/>
    <tableColumn id="5" xr3:uid="{00000000-0010-0000-2900-000005000000}" name="{{ panel.breakerstatus }}"/>
    <tableColumn id="6" xr3:uid="{00000000-0010-0000-2900-000006000000}" name="{{ panel.busbarposition }}"/>
    <tableColumn id="7" xr3:uid="{00000000-0010-0000-2900-000007000000}" name="{{ panel.loadamp }}"/>
    <tableColumn id="8" xr3:uid="{00000000-0010-0000-2900-000008000000}" name="{{ panel.heateramp }}"/>
    <tableColumn id="9" xr3:uid="{00000000-0010-0000-2900-000009000000}" name="{{ swg.serialnumber }}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117_Table1331343940122273231302031892" displayName="Table_117_Table1331343940122273231302031892" ref="A1:I11">
  <autoFilter ref="A1:I11" xr:uid="{00000000-0009-0000-0100-00002B000000}"/>
  <tableColumns count="9">
    <tableColumn id="1" xr3:uid="{00000000-0010-0000-2A00-000001000000}" name="DESCRIPTION"/>
    <tableColumn id="2" xr3:uid="{00000000-0010-0000-2A00-000002000000}" name="{{ panel.linknumber }}"/>
    <tableColumn id="3" xr3:uid="{00000000-0010-0000-2A00-000003000000}" name="{{ panel.name }}"/>
    <tableColumn id="4" xr3:uid="{00000000-0010-0000-2A00-000004000000}" name="{{ panel.cabletype }}"/>
    <tableColumn id="5" xr3:uid="{00000000-0010-0000-2A00-000005000000}" name="{{ panel.breakerstatus }}"/>
    <tableColumn id="6" xr3:uid="{00000000-0010-0000-2A00-000006000000}" name="{{ panel.busbarposition }}"/>
    <tableColumn id="7" xr3:uid="{00000000-0010-0000-2A00-000007000000}" name="{{ panel.loadamp }}"/>
    <tableColumn id="8" xr3:uid="{00000000-0010-0000-2A00-000008000000}" name="{{ panel.heateramp }}"/>
    <tableColumn id="9" xr3:uid="{00000000-0010-0000-2A00-000009000000}" name="{{ swg.serialnumber }}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118_Table1331343940122273231302031892" displayName="Table_118_Table1331343940122273231302031892" ref="A1:I11">
  <autoFilter ref="A1:I11" xr:uid="{00000000-0009-0000-0100-00002C000000}"/>
  <tableColumns count="9">
    <tableColumn id="1" xr3:uid="{00000000-0010-0000-2B00-000001000000}" name="DESCRIPTION"/>
    <tableColumn id="2" xr3:uid="{00000000-0010-0000-2B00-000002000000}" name="{{ panel.linknumber }}"/>
    <tableColumn id="3" xr3:uid="{00000000-0010-0000-2B00-000003000000}" name="{{ panel.name }}"/>
    <tableColumn id="4" xr3:uid="{00000000-0010-0000-2B00-000004000000}" name="{{ panel.cabletype }}"/>
    <tableColumn id="5" xr3:uid="{00000000-0010-0000-2B00-000005000000}" name="{{ panel.breakerstatus }}"/>
    <tableColumn id="6" xr3:uid="{00000000-0010-0000-2B00-000006000000}" name="{{ panel.busbarposition }}"/>
    <tableColumn id="7" xr3:uid="{00000000-0010-0000-2B00-000007000000}" name="{{ panel.loadamp }}"/>
    <tableColumn id="8" xr3:uid="{00000000-0010-0000-2B00-000008000000}" name="{{ panel.heateramp }}"/>
    <tableColumn id="9" xr3:uid="{00000000-0010-0000-2B00-000009000000}" name="{{ swg.serialnumber }}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119_Table1331343940122273231302031892" displayName="Table_119_Table1331343940122273231302031892" ref="A1:I11">
  <autoFilter ref="A1:I11" xr:uid="{00000000-0009-0000-0100-00002D000000}"/>
  <tableColumns count="9">
    <tableColumn id="1" xr3:uid="{00000000-0010-0000-2C00-000001000000}" name="DESCRIPTION"/>
    <tableColumn id="2" xr3:uid="{00000000-0010-0000-2C00-000002000000}" name="{{ panel.linknumber }}"/>
    <tableColumn id="3" xr3:uid="{00000000-0010-0000-2C00-000003000000}" name="{{ panel.name }}"/>
    <tableColumn id="4" xr3:uid="{00000000-0010-0000-2C00-000004000000}" name="{{ panel.cabletype }}"/>
    <tableColumn id="5" xr3:uid="{00000000-0010-0000-2C00-000005000000}" name="{{ panel.breakerstatus }}"/>
    <tableColumn id="6" xr3:uid="{00000000-0010-0000-2C00-000006000000}" name="{{ panel.busbarposition }}"/>
    <tableColumn id="7" xr3:uid="{00000000-0010-0000-2C00-000007000000}" name="{{ panel.loadamp }}"/>
    <tableColumn id="8" xr3:uid="{00000000-0010-0000-2C00-000008000000}" name="{{ panel.heateramp }}"/>
    <tableColumn id="9" xr3:uid="{00000000-0010-0000-2C00-000009000000}" name="{{ swg.serialnumber }}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120_Table1331343940122273231302031892" displayName="Table_120_Table1331343940122273231302031892" ref="A1:I11">
  <autoFilter ref="A1:I11" xr:uid="{00000000-0009-0000-0100-00002E000000}"/>
  <tableColumns count="9">
    <tableColumn id="1" xr3:uid="{00000000-0010-0000-2D00-000001000000}" name="DESCRIPTION"/>
    <tableColumn id="2" xr3:uid="{00000000-0010-0000-2D00-000002000000}" name="{{ panel.linknumber }}"/>
    <tableColumn id="3" xr3:uid="{00000000-0010-0000-2D00-000003000000}" name="{{ panel.name }}"/>
    <tableColumn id="4" xr3:uid="{00000000-0010-0000-2D00-000004000000}" name="{{ panel.cabletype }}"/>
    <tableColumn id="5" xr3:uid="{00000000-0010-0000-2D00-000005000000}" name="{{ panel.breakerstatus }}"/>
    <tableColumn id="6" xr3:uid="{00000000-0010-0000-2D00-000006000000}" name="{{ panel.busbarposition }}"/>
    <tableColumn id="7" xr3:uid="{00000000-0010-0000-2D00-000007000000}" name="{{ panel.loadamp }}"/>
    <tableColumn id="8" xr3:uid="{00000000-0010-0000-2D00-000008000000}" name="{{ panel.heateramp }}"/>
    <tableColumn id="9" xr3:uid="{00000000-0010-0000-2D00-000009000000}" name="{{ swg.serialnumber }}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121_Table1331343940122273231302031892" displayName="Table_121_Table1331343940122273231302031892" ref="A1:I11">
  <autoFilter ref="A1:I11" xr:uid="{00000000-0009-0000-0100-00002F000000}"/>
  <tableColumns count="9">
    <tableColumn id="1" xr3:uid="{00000000-0010-0000-2E00-000001000000}" name="DESCRIPTION"/>
    <tableColumn id="2" xr3:uid="{00000000-0010-0000-2E00-000002000000}" name="{{ panel.linknumber }}"/>
    <tableColumn id="3" xr3:uid="{00000000-0010-0000-2E00-000003000000}" name="{{ panel.name }}"/>
    <tableColumn id="4" xr3:uid="{00000000-0010-0000-2E00-000004000000}" name="{{ panel.cabletype }}"/>
    <tableColumn id="5" xr3:uid="{00000000-0010-0000-2E00-000005000000}" name="{{ panel.breakerstatus }}"/>
    <tableColumn id="6" xr3:uid="{00000000-0010-0000-2E00-000006000000}" name="{{ panel.busbarposition }}"/>
    <tableColumn id="7" xr3:uid="{00000000-0010-0000-2E00-000007000000}" name="{{ panel.loadamp }}"/>
    <tableColumn id="8" xr3:uid="{00000000-0010-0000-2E00-000008000000}" name="{{ panel.heateramp }}"/>
    <tableColumn id="9" xr3:uid="{00000000-0010-0000-2E00-000009000000}" name="{{ swg.serialnumber }}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122_Table1331343940122273231302031892" displayName="Table_122_Table1331343940122273231302031892" ref="A1:I11">
  <autoFilter ref="A1:I11" xr:uid="{00000000-0009-0000-0100-000030000000}"/>
  <tableColumns count="9">
    <tableColumn id="1" xr3:uid="{00000000-0010-0000-2F00-000001000000}" name="DESCRIPTION"/>
    <tableColumn id="2" xr3:uid="{00000000-0010-0000-2F00-000002000000}" name="{{ panel.linknumber }}"/>
    <tableColumn id="3" xr3:uid="{00000000-0010-0000-2F00-000003000000}" name="{{ panel.name }}"/>
    <tableColumn id="4" xr3:uid="{00000000-0010-0000-2F00-000004000000}" name="{{ panel.cabletype }}"/>
    <tableColumn id="5" xr3:uid="{00000000-0010-0000-2F00-000005000000}" name="{{ panel.breakerstatus }}"/>
    <tableColumn id="6" xr3:uid="{00000000-0010-0000-2F00-000006000000}" name="{{ panel.busbarposition }}"/>
    <tableColumn id="7" xr3:uid="{00000000-0010-0000-2F00-000007000000}" name="{{ panel.loadamp }}"/>
    <tableColumn id="8" xr3:uid="{00000000-0010-0000-2F00-000008000000}" name="{{ panel.heateramp }}"/>
    <tableColumn id="9" xr3:uid="{00000000-0010-0000-2F00-000009000000}" name="{{ swg.serialnumber }}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123_Table1331343940122273231302031892" displayName="Table_123_Table1331343940122273231302031892" ref="A1:I11">
  <autoFilter ref="A1:I11" xr:uid="{00000000-0009-0000-0100-000031000000}"/>
  <tableColumns count="9">
    <tableColumn id="1" xr3:uid="{00000000-0010-0000-3000-000001000000}" name="DESCRIPTION"/>
    <tableColumn id="2" xr3:uid="{00000000-0010-0000-3000-000002000000}" name="{{ panel.linknumber }}"/>
    <tableColumn id="3" xr3:uid="{00000000-0010-0000-3000-000003000000}" name="{{ panel.name }}"/>
    <tableColumn id="4" xr3:uid="{00000000-0010-0000-3000-000004000000}" name="{{ panel.cabletype }}"/>
    <tableColumn id="5" xr3:uid="{00000000-0010-0000-3000-000005000000}" name="{{ panel.breakerstatus }}"/>
    <tableColumn id="6" xr3:uid="{00000000-0010-0000-3000-000006000000}" name="{{ panel.busbarposition }}"/>
    <tableColumn id="7" xr3:uid="{00000000-0010-0000-3000-000007000000}" name="{{ panel.loadamp }}"/>
    <tableColumn id="8" xr3:uid="{00000000-0010-0000-3000-000008000000}" name="{{ panel.heateramp }}"/>
    <tableColumn id="9" xr3:uid="{00000000-0010-0000-3000-000009000000}" name="{{ swg.serialnumber }}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124_Table1331343940122273231302031892" displayName="Table_124_Table1331343940122273231302031892" ref="A1:I11">
  <autoFilter ref="A1:I11" xr:uid="{00000000-0009-0000-0100-000032000000}"/>
  <tableColumns count="9">
    <tableColumn id="1" xr3:uid="{00000000-0010-0000-3100-000001000000}" name="DESCRIPTION"/>
    <tableColumn id="2" xr3:uid="{00000000-0010-0000-3100-000002000000}" name="{{ panel.linknumber }}"/>
    <tableColumn id="3" xr3:uid="{00000000-0010-0000-3100-000003000000}" name="{{ panel.name }}"/>
    <tableColumn id="4" xr3:uid="{00000000-0010-0000-3100-000004000000}" name="{{ panel.cabletype }}"/>
    <tableColumn id="5" xr3:uid="{00000000-0010-0000-3100-000005000000}" name="{{ panel.breakerstatus }}"/>
    <tableColumn id="6" xr3:uid="{00000000-0010-0000-3100-000006000000}" name="{{ panel.busbarposition }}"/>
    <tableColumn id="7" xr3:uid="{00000000-0010-0000-3100-000007000000}" name="{{ panel.loadamp }}"/>
    <tableColumn id="8" xr3:uid="{00000000-0010-0000-3100-000008000000}" name="{{ panel.heateramp }}"/>
    <tableColumn id="9" xr3:uid="{00000000-0010-0000-3100-000009000000}" name="{{ swg.serialnumber }}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125_Table1331343940122273231302031892" displayName="Table_125_Table1331343940122273231302031892" ref="A1:I11">
  <autoFilter ref="A1:I11" xr:uid="{00000000-0009-0000-0100-000033000000}"/>
  <tableColumns count="9">
    <tableColumn id="1" xr3:uid="{00000000-0010-0000-3200-000001000000}" name="DESCRIPTION"/>
    <tableColumn id="2" xr3:uid="{00000000-0010-0000-3200-000002000000}" name="{{ panel.linknumber }}"/>
    <tableColumn id="3" xr3:uid="{00000000-0010-0000-3200-000003000000}" name="{{ panel.name }}"/>
    <tableColumn id="4" xr3:uid="{00000000-0010-0000-3200-000004000000}" name="{{ panel.cabletype }}"/>
    <tableColumn id="5" xr3:uid="{00000000-0010-0000-3200-000005000000}" name="{{ panel.breakerstatus }}"/>
    <tableColumn id="6" xr3:uid="{00000000-0010-0000-3200-000006000000}" name="{{ panel.busbarposition }}"/>
    <tableColumn id="7" xr3:uid="{00000000-0010-0000-3200-000007000000}" name="{{ panel.loadamp }}"/>
    <tableColumn id="8" xr3:uid="{00000000-0010-0000-3200-000008000000}" name="{{ panel.heateramp }}"/>
    <tableColumn id="9" xr3:uid="{00000000-0010-0000-3200-000009000000}" name="{{ swg.serialnumber }}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126_Table1331343940122273231302031892" displayName="Table_126_Table1331343940122273231302031892" ref="A1:I11">
  <autoFilter ref="A1:I11" xr:uid="{00000000-0009-0000-0100-000034000000}"/>
  <tableColumns count="9">
    <tableColumn id="1" xr3:uid="{00000000-0010-0000-3300-000001000000}" name="DESCRIPTION"/>
    <tableColumn id="2" xr3:uid="{00000000-0010-0000-3300-000002000000}" name="{{ panel.linknumber }}"/>
    <tableColumn id="3" xr3:uid="{00000000-0010-0000-3300-000003000000}" name="{{ panel.name }}"/>
    <tableColumn id="4" xr3:uid="{00000000-0010-0000-3300-000004000000}" name="{{ panel.cabletype }}"/>
    <tableColumn id="5" xr3:uid="{00000000-0010-0000-3300-000005000000}" name="{{ panel.breakerstatus }}"/>
    <tableColumn id="6" xr3:uid="{00000000-0010-0000-3300-000006000000}" name="{{ panel.busbarposition }}"/>
    <tableColumn id="7" xr3:uid="{00000000-0010-0000-3300-000007000000}" name="{{ panel.loadamp }}"/>
    <tableColumn id="8" xr3:uid="{00000000-0010-0000-3300-000008000000}" name="{{ panel.heateramp }}"/>
    <tableColumn id="9" xr3:uid="{00000000-0010-0000-3300-000009000000}" name="{{ swg.serialnumber }}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127_Table1331343940122273231302031892" displayName="Table_127_Table1331343940122273231302031892" ref="A1:I11">
  <autoFilter ref="A1:I11" xr:uid="{00000000-0009-0000-0100-000035000000}"/>
  <tableColumns count="9">
    <tableColumn id="1" xr3:uid="{00000000-0010-0000-3400-000001000000}" name="DESCRIPTION"/>
    <tableColumn id="2" xr3:uid="{00000000-0010-0000-3400-000002000000}" name="{{ panel.linknumber }}"/>
    <tableColumn id="3" xr3:uid="{00000000-0010-0000-3400-000003000000}" name="{{ panel.name }}"/>
    <tableColumn id="4" xr3:uid="{00000000-0010-0000-3400-000004000000}" name="{{ panel.cabletype }}"/>
    <tableColumn id="5" xr3:uid="{00000000-0010-0000-3400-000005000000}" name="{{ panel.breakerstatus }}"/>
    <tableColumn id="6" xr3:uid="{00000000-0010-0000-3400-000006000000}" name="{{ panel.busbarposition }}"/>
    <tableColumn id="7" xr3:uid="{00000000-0010-0000-3400-000007000000}" name="{{ panel.loadamp }}"/>
    <tableColumn id="8" xr3:uid="{00000000-0010-0000-3400-000008000000}" name="{{ panel.heateramp }}"/>
    <tableColumn id="9" xr3:uid="{00000000-0010-0000-3400-000009000000}" name="{{ swg.serialnumber }}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128_Table1331343940122273231302031892" displayName="Table_128_Table1331343940122273231302031892" ref="A1:I11">
  <autoFilter ref="A1:I11" xr:uid="{00000000-0009-0000-0100-000036000000}"/>
  <tableColumns count="9">
    <tableColumn id="1" xr3:uid="{00000000-0010-0000-3500-000001000000}" name="DESCRIPTION"/>
    <tableColumn id="2" xr3:uid="{00000000-0010-0000-3500-000002000000}" name="{{ panel.linknumber }}"/>
    <tableColumn id="3" xr3:uid="{00000000-0010-0000-3500-000003000000}" name="{{ panel.name }}"/>
    <tableColumn id="4" xr3:uid="{00000000-0010-0000-3500-000004000000}" name="{{ panel.cabletype }}"/>
    <tableColumn id="5" xr3:uid="{00000000-0010-0000-3500-000005000000}" name="{{ panel.breakerstatus }}"/>
    <tableColumn id="6" xr3:uid="{00000000-0010-0000-3500-000006000000}" name="{{ panel.busbarposition }}"/>
    <tableColumn id="7" xr3:uid="{00000000-0010-0000-3500-000007000000}" name="{{ panel.loadamp }}"/>
    <tableColumn id="8" xr3:uid="{00000000-0010-0000-3500-000008000000}" name="{{ panel.heateramp }}"/>
    <tableColumn id="9" xr3:uid="{00000000-0010-0000-3500-000009000000}" name="{{ swg.serialnumber }}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129_Table1331343940122273231302031892" displayName="Table_129_Table1331343940122273231302031892" ref="A1:I11">
  <autoFilter ref="A1:I11" xr:uid="{00000000-0009-0000-0100-000037000000}"/>
  <tableColumns count="9">
    <tableColumn id="1" xr3:uid="{00000000-0010-0000-3600-000001000000}" name="DESCRIPTION"/>
    <tableColumn id="2" xr3:uid="{00000000-0010-0000-3600-000002000000}" name="{{ panel.linknumber }}"/>
    <tableColumn id="3" xr3:uid="{00000000-0010-0000-3600-000003000000}" name="{{ panel.name }}"/>
    <tableColumn id="4" xr3:uid="{00000000-0010-0000-3600-000004000000}" name="{{ panel.cabletype }}"/>
    <tableColumn id="5" xr3:uid="{00000000-0010-0000-3600-000005000000}" name="{{ panel.breakerstatus }}"/>
    <tableColumn id="6" xr3:uid="{00000000-0010-0000-3600-000006000000}" name="{{ panel.busbarposition }}"/>
    <tableColumn id="7" xr3:uid="{00000000-0010-0000-3600-000007000000}" name="{{ panel.loadamp }}"/>
    <tableColumn id="8" xr3:uid="{00000000-0010-0000-3600-000008000000}" name="{{ panel.heateramp }}"/>
    <tableColumn id="9" xr3:uid="{00000000-0010-0000-3600-000009000000}" name="{{ swg.serialnumber }}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130_Table1331343940122273231302031892" displayName="Table_130_Table1331343940122273231302031892" ref="A1:I11">
  <autoFilter ref="A1:I11" xr:uid="{00000000-0009-0000-0100-000038000000}"/>
  <tableColumns count="9">
    <tableColumn id="1" xr3:uid="{00000000-0010-0000-3700-000001000000}" name="DESCRIPTION"/>
    <tableColumn id="2" xr3:uid="{00000000-0010-0000-3700-000002000000}" name="{{ panel.linknumber }}"/>
    <tableColumn id="3" xr3:uid="{00000000-0010-0000-3700-000003000000}" name="{{ panel.name }}"/>
    <tableColumn id="4" xr3:uid="{00000000-0010-0000-3700-000004000000}" name="{{ panel.cabletype }}"/>
    <tableColumn id="5" xr3:uid="{00000000-0010-0000-3700-000005000000}" name="{{ panel.breakerstatus }}"/>
    <tableColumn id="6" xr3:uid="{00000000-0010-0000-3700-000006000000}" name="{{ panel.busbarposition }}"/>
    <tableColumn id="7" xr3:uid="{00000000-0010-0000-3700-000007000000}" name="{{ panel.loadamp }}"/>
    <tableColumn id="8" xr3:uid="{00000000-0010-0000-3700-000008000000}" name="{{ panel.heateramp }}"/>
    <tableColumn id="9" xr3:uid="{00000000-0010-0000-3700-000009000000}" name="{{ swg.serialnumber }}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131_Table1331343940122273231302031892" displayName="Table_131_Table1331343940122273231302031892" ref="A1:I11">
  <autoFilter ref="A1:I11" xr:uid="{00000000-0009-0000-0100-000039000000}"/>
  <tableColumns count="9">
    <tableColumn id="1" xr3:uid="{00000000-0010-0000-3800-000001000000}" name="DESCRIPTION"/>
    <tableColumn id="2" xr3:uid="{00000000-0010-0000-3800-000002000000}" name="{{ panel.linknumber }}"/>
    <tableColumn id="3" xr3:uid="{00000000-0010-0000-3800-000003000000}" name="{{ panel.name }}"/>
    <tableColumn id="4" xr3:uid="{00000000-0010-0000-3800-000004000000}" name="{{ panel.cabletype }}"/>
    <tableColumn id="5" xr3:uid="{00000000-0010-0000-3800-000005000000}" name="{{ panel.breakerstatus }}"/>
    <tableColumn id="6" xr3:uid="{00000000-0010-0000-3800-000006000000}" name="{{ panel.busbarposition }}"/>
    <tableColumn id="7" xr3:uid="{00000000-0010-0000-3800-000007000000}" name="{{ panel.loadamp }}"/>
    <tableColumn id="8" xr3:uid="{00000000-0010-0000-3800-000008000000}" name="{{ panel.heateramp }}"/>
    <tableColumn id="9" xr3:uid="{00000000-0010-0000-3800-000009000000}" name="{{ swg.serialnumber }}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132_Table1331343940122273231302031892" displayName="Table_132_Table1331343940122273231302031892" ref="A1:I11">
  <autoFilter ref="A1:I11" xr:uid="{00000000-0009-0000-0100-00003A000000}"/>
  <tableColumns count="9">
    <tableColumn id="1" xr3:uid="{00000000-0010-0000-3900-000001000000}" name="DESCRIPTION"/>
    <tableColumn id="2" xr3:uid="{00000000-0010-0000-3900-000002000000}" name="{{ panel.linknumber }}"/>
    <tableColumn id="3" xr3:uid="{00000000-0010-0000-3900-000003000000}" name="{{ panel.name }}"/>
    <tableColumn id="4" xr3:uid="{00000000-0010-0000-3900-000004000000}" name="{{ panel.cabletype }}"/>
    <tableColumn id="5" xr3:uid="{00000000-0010-0000-3900-000005000000}" name="{{ panel.breakerstatus }}"/>
    <tableColumn id="6" xr3:uid="{00000000-0010-0000-3900-000006000000}" name="{{ panel.busbarposition }}"/>
    <tableColumn id="7" xr3:uid="{00000000-0010-0000-3900-000007000000}" name="{{ panel.loadamp }}"/>
    <tableColumn id="8" xr3:uid="{00000000-0010-0000-3900-000008000000}" name="{{ panel.heateramp }}"/>
    <tableColumn id="9" xr3:uid="{00000000-0010-0000-3900-000009000000}" name="{{ swg.serialnumber }}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133_Table1331343940122273231302031892" displayName="Table_133_Table1331343940122273231302031892" ref="A1:I11">
  <autoFilter ref="A1:I11" xr:uid="{00000000-0009-0000-0100-00003B000000}"/>
  <tableColumns count="9">
    <tableColumn id="1" xr3:uid="{00000000-0010-0000-3A00-000001000000}" name="DESCRIPTION"/>
    <tableColumn id="2" xr3:uid="{00000000-0010-0000-3A00-000002000000}" name="{{ panel.linknumber }}"/>
    <tableColumn id="3" xr3:uid="{00000000-0010-0000-3A00-000003000000}" name="{{ panel.name }}"/>
    <tableColumn id="4" xr3:uid="{00000000-0010-0000-3A00-000004000000}" name="{{ panel.cabletype }}"/>
    <tableColumn id="5" xr3:uid="{00000000-0010-0000-3A00-000005000000}" name="{{ panel.breakerstatus }}"/>
    <tableColumn id="6" xr3:uid="{00000000-0010-0000-3A00-000006000000}" name="{{ panel.busbarposition }}"/>
    <tableColumn id="7" xr3:uid="{00000000-0010-0000-3A00-000007000000}" name="{{ panel.loadamp }}"/>
    <tableColumn id="8" xr3:uid="{00000000-0010-0000-3A00-000008000000}" name="{{ panel.heateramp }}"/>
    <tableColumn id="9" xr3:uid="{00000000-0010-0000-3A00-000009000000}" name="{{ swg.serialnumber }}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134_Table1331343940122273231302031892" displayName="Table_134_Table1331343940122273231302031892" ref="A1:I11">
  <autoFilter ref="A1:I11" xr:uid="{00000000-0009-0000-0100-00003C000000}"/>
  <tableColumns count="9">
    <tableColumn id="1" xr3:uid="{00000000-0010-0000-3B00-000001000000}" name="DESCRIPTION"/>
    <tableColumn id="2" xr3:uid="{00000000-0010-0000-3B00-000002000000}" name="{{ panel.linknumber }}"/>
    <tableColumn id="3" xr3:uid="{00000000-0010-0000-3B00-000003000000}" name="{{ panel.name }}"/>
    <tableColumn id="4" xr3:uid="{00000000-0010-0000-3B00-000004000000}" name="{{ panel.cabletype }}"/>
    <tableColumn id="5" xr3:uid="{00000000-0010-0000-3B00-000005000000}" name="{{ panel.breakerstatus }}"/>
    <tableColumn id="6" xr3:uid="{00000000-0010-0000-3B00-000006000000}" name="{{ panel.busbarposition }}"/>
    <tableColumn id="7" xr3:uid="{00000000-0010-0000-3B00-000007000000}" name="{{ panel.loadamp }}"/>
    <tableColumn id="8" xr3:uid="{00000000-0010-0000-3B00-000008000000}" name="{{ panel.heateramp }}"/>
    <tableColumn id="9" xr3:uid="{00000000-0010-0000-3B00-000009000000}" name="{{ swg.serialnumber }}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135_Table1331343940122273231302031892" displayName="Table_135_Table1331343940122273231302031892" ref="A1:I11">
  <autoFilter ref="A1:I11" xr:uid="{00000000-0009-0000-0100-00003D000000}"/>
  <tableColumns count="9">
    <tableColumn id="1" xr3:uid="{00000000-0010-0000-3C00-000001000000}" name="DESCRIPTION"/>
    <tableColumn id="2" xr3:uid="{00000000-0010-0000-3C00-000002000000}" name="{{ panel.linknumber }}"/>
    <tableColumn id="3" xr3:uid="{00000000-0010-0000-3C00-000003000000}" name="{{ panel.name }}"/>
    <tableColumn id="4" xr3:uid="{00000000-0010-0000-3C00-000004000000}" name="{{ panel.cabletype }}"/>
    <tableColumn id="5" xr3:uid="{00000000-0010-0000-3C00-000005000000}" name="{{ panel.breakerstatus }}"/>
    <tableColumn id="6" xr3:uid="{00000000-0010-0000-3C00-000006000000}" name="{{ panel.busbarposition }}"/>
    <tableColumn id="7" xr3:uid="{00000000-0010-0000-3C00-000007000000}" name="{{ panel.loadamp }}"/>
    <tableColumn id="8" xr3:uid="{00000000-0010-0000-3C00-000008000000}" name="{{ panel.heateramp }}"/>
    <tableColumn id="9" xr3:uid="{00000000-0010-0000-3C00-000009000000}" name="{{ swg.serialnumber }}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136_Table1331343940122273231302031892" displayName="Table_136_Table1331343940122273231302031892" ref="A1:I11">
  <autoFilter ref="A1:I11" xr:uid="{00000000-0009-0000-0100-00003E000000}"/>
  <tableColumns count="9">
    <tableColumn id="1" xr3:uid="{00000000-0010-0000-3D00-000001000000}" name="DESCRIPTION"/>
    <tableColumn id="2" xr3:uid="{00000000-0010-0000-3D00-000002000000}" name="{{ panel.linknumber }}"/>
    <tableColumn id="3" xr3:uid="{00000000-0010-0000-3D00-000003000000}" name="{{ panel.name }}"/>
    <tableColumn id="4" xr3:uid="{00000000-0010-0000-3D00-000004000000}" name="{{ panel.cabletype }}"/>
    <tableColumn id="5" xr3:uid="{00000000-0010-0000-3D00-000005000000}" name="{{ panel.breakerstatus }}"/>
    <tableColumn id="6" xr3:uid="{00000000-0010-0000-3D00-000006000000}" name="{{ panel.busbarposition }}"/>
    <tableColumn id="7" xr3:uid="{00000000-0010-0000-3D00-000007000000}" name="{{ panel.loadamp }}"/>
    <tableColumn id="8" xr3:uid="{00000000-0010-0000-3D00-000008000000}" name="{{ panel.heateramp }}"/>
    <tableColumn id="9" xr3:uid="{00000000-0010-0000-3D00-000009000000}" name="{{ swg.serialnumber }}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137_Table1331343940122273231302031892" displayName="Table_137_Table1331343940122273231302031892" ref="A1:I11">
  <autoFilter ref="A1:I11" xr:uid="{00000000-0009-0000-0100-00003F000000}"/>
  <tableColumns count="9">
    <tableColumn id="1" xr3:uid="{00000000-0010-0000-3E00-000001000000}" name="DESCRIPTION"/>
    <tableColumn id="2" xr3:uid="{00000000-0010-0000-3E00-000002000000}" name="{{ panel.linknumber }}"/>
    <tableColumn id="3" xr3:uid="{00000000-0010-0000-3E00-000003000000}" name="{{ panel.name }}"/>
    <tableColumn id="4" xr3:uid="{00000000-0010-0000-3E00-000004000000}" name="{{ panel.cabletype }}"/>
    <tableColumn id="5" xr3:uid="{00000000-0010-0000-3E00-000005000000}" name="{{ panel.breakerstatus }}"/>
    <tableColumn id="6" xr3:uid="{00000000-0010-0000-3E00-000006000000}" name="{{ panel.busbarposition }}"/>
    <tableColumn id="7" xr3:uid="{00000000-0010-0000-3E00-000007000000}" name="{{ panel.loadamp }}"/>
    <tableColumn id="8" xr3:uid="{00000000-0010-0000-3E00-000008000000}" name="{{ panel.heateramp }}"/>
    <tableColumn id="9" xr3:uid="{00000000-0010-0000-3E00-000009000000}" name="{{ swg.serialnumber }}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138_Table1331343940122273231302031892" displayName="Table_138_Table1331343940122273231302031892" ref="A1:I11">
  <autoFilter ref="A1:I11" xr:uid="{00000000-0009-0000-0100-000040000000}"/>
  <tableColumns count="9">
    <tableColumn id="1" xr3:uid="{00000000-0010-0000-3F00-000001000000}" name="DESCRIPTION"/>
    <tableColumn id="2" xr3:uid="{00000000-0010-0000-3F00-000002000000}" name="{{ panel.linknumber }}"/>
    <tableColumn id="3" xr3:uid="{00000000-0010-0000-3F00-000003000000}" name="{{ panel.name }}"/>
    <tableColumn id="4" xr3:uid="{00000000-0010-0000-3F00-000004000000}" name="{{ panel.cabletype }}"/>
    <tableColumn id="5" xr3:uid="{00000000-0010-0000-3F00-000005000000}" name="{{ panel.breakerstatus }}"/>
    <tableColumn id="6" xr3:uid="{00000000-0010-0000-3F00-000006000000}" name="{{ panel.busbarposition }}"/>
    <tableColumn id="7" xr3:uid="{00000000-0010-0000-3F00-000007000000}" name="{{ panel.loadamp }}"/>
    <tableColumn id="8" xr3:uid="{00000000-0010-0000-3F00-000008000000}" name="{{ panel.heateramp }}"/>
    <tableColumn id="9" xr3:uid="{00000000-0010-0000-3F00-000009000000}" name="{{ swg.serialnumber }}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139_Table1331343940122273231302031892" displayName="Table_139_Table1331343940122273231302031892" ref="A1:I11">
  <autoFilter ref="A1:I11" xr:uid="{00000000-0009-0000-0100-000041000000}"/>
  <tableColumns count="9">
    <tableColumn id="1" xr3:uid="{00000000-0010-0000-4000-000001000000}" name="DESCRIPTION"/>
    <tableColumn id="2" xr3:uid="{00000000-0010-0000-4000-000002000000}" name="{{ panel.linknumber }}"/>
    <tableColumn id="3" xr3:uid="{00000000-0010-0000-4000-000003000000}" name="{{ panel.name }}"/>
    <tableColumn id="4" xr3:uid="{00000000-0010-0000-4000-000004000000}" name="{{ panel.cabletype }}"/>
    <tableColumn id="5" xr3:uid="{00000000-0010-0000-4000-000005000000}" name="{{ panel.breakerstatus }}"/>
    <tableColumn id="6" xr3:uid="{00000000-0010-0000-4000-000006000000}" name="{{ panel.busbarposition }}"/>
    <tableColumn id="7" xr3:uid="{00000000-0010-0000-4000-000007000000}" name="{{ panel.loadamp }}"/>
    <tableColumn id="8" xr3:uid="{00000000-0010-0000-4000-000008000000}" name="{{ panel.heateramp }}"/>
    <tableColumn id="9" xr3:uid="{00000000-0010-0000-4000-000009000000}" name="{{ swg.serialnumber }}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140_Table1331343940122273231302031892" displayName="Table_140_Table1331343940122273231302031892" ref="A1:I11">
  <autoFilter ref="A1:I11" xr:uid="{00000000-0009-0000-0100-000042000000}"/>
  <tableColumns count="9">
    <tableColumn id="1" xr3:uid="{00000000-0010-0000-4100-000001000000}" name="DESCRIPTION"/>
    <tableColumn id="2" xr3:uid="{00000000-0010-0000-4100-000002000000}" name="{{ panel.linknumber }}"/>
    <tableColumn id="3" xr3:uid="{00000000-0010-0000-4100-000003000000}" name="{{ panel.name }}"/>
    <tableColumn id="4" xr3:uid="{00000000-0010-0000-4100-000004000000}" name="{{ panel.cabletype }}"/>
    <tableColumn id="5" xr3:uid="{00000000-0010-0000-4100-000005000000}" name="{{ panel.breakerstatus }}"/>
    <tableColumn id="6" xr3:uid="{00000000-0010-0000-4100-000006000000}" name="{{ panel.busbarposition }}"/>
    <tableColumn id="7" xr3:uid="{00000000-0010-0000-4100-000007000000}" name="{{ panel.loadamp }}"/>
    <tableColumn id="8" xr3:uid="{00000000-0010-0000-4100-000008000000}" name="{{ panel.heateramp }}"/>
    <tableColumn id="9" xr3:uid="{00000000-0010-0000-4100-000009000000}" name="{{ swg.serialnumber }}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141_Table1331343940122273231302031892" displayName="Table_141_Table1331343940122273231302031892" ref="A1:I11">
  <autoFilter ref="A1:I11" xr:uid="{00000000-0009-0000-0100-000043000000}"/>
  <tableColumns count="9">
    <tableColumn id="1" xr3:uid="{00000000-0010-0000-4200-000001000000}" name="DESCRIPTION"/>
    <tableColumn id="2" xr3:uid="{00000000-0010-0000-4200-000002000000}" name="{{ panel.linknumber }}"/>
    <tableColumn id="3" xr3:uid="{00000000-0010-0000-4200-000003000000}" name="{{ panel.name }}"/>
    <tableColumn id="4" xr3:uid="{00000000-0010-0000-4200-000004000000}" name="{{ panel.cabletype }}"/>
    <tableColumn id="5" xr3:uid="{00000000-0010-0000-4200-000005000000}" name="{{ panel.breakerstatus }}"/>
    <tableColumn id="6" xr3:uid="{00000000-0010-0000-4200-000006000000}" name="{{ panel.busbarposition }}"/>
    <tableColumn id="7" xr3:uid="{00000000-0010-0000-4200-000007000000}" name="{{ panel.loadamp }}"/>
    <tableColumn id="8" xr3:uid="{00000000-0010-0000-4200-000008000000}" name="{{ panel.heateramp }}"/>
    <tableColumn id="9" xr3:uid="{00000000-0010-0000-4200-000009000000}" name="{{ swg.serialnumber }}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142_Table1331343940122273231302031892" displayName="Table_142_Table1331343940122273231302031892" ref="A1:I11">
  <autoFilter ref="A1:I11" xr:uid="{00000000-0009-0000-0100-000044000000}"/>
  <tableColumns count="9">
    <tableColumn id="1" xr3:uid="{00000000-0010-0000-4300-000001000000}" name="DESCRIPTION"/>
    <tableColumn id="2" xr3:uid="{00000000-0010-0000-4300-000002000000}" name="{{ panel.linknumber }}"/>
    <tableColumn id="3" xr3:uid="{00000000-0010-0000-4300-000003000000}" name="{{ panel.name }}"/>
    <tableColumn id="4" xr3:uid="{00000000-0010-0000-4300-000004000000}" name="{{ panel.cabletype }}"/>
    <tableColumn id="5" xr3:uid="{00000000-0010-0000-4300-000005000000}" name="{{ panel.breakerstatus }}"/>
    <tableColumn id="6" xr3:uid="{00000000-0010-0000-4300-000006000000}" name="{{ panel.busbarposition }}"/>
    <tableColumn id="7" xr3:uid="{00000000-0010-0000-4300-000007000000}" name="{{ panel.loadamp }}"/>
    <tableColumn id="8" xr3:uid="{00000000-0010-0000-4300-000008000000}" name="{{ panel.heateramp }}"/>
    <tableColumn id="9" xr3:uid="{00000000-0010-0000-4300-000009000000}" name="{{ swg.serialnumber }}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143_Table1331343940122273231302031892" displayName="Table_143_Table1331343940122273231302031892" ref="A1:I11">
  <autoFilter ref="A1:I11" xr:uid="{00000000-0009-0000-0100-000045000000}"/>
  <tableColumns count="9">
    <tableColumn id="1" xr3:uid="{00000000-0010-0000-4400-000001000000}" name="DESCRIPTION"/>
    <tableColumn id="2" xr3:uid="{00000000-0010-0000-4400-000002000000}" name="{{ panel.linknumber }}"/>
    <tableColumn id="3" xr3:uid="{00000000-0010-0000-4400-000003000000}" name="{{ panel.name }}"/>
    <tableColumn id="4" xr3:uid="{00000000-0010-0000-4400-000004000000}" name="{{ panel.cabletype }}"/>
    <tableColumn id="5" xr3:uid="{00000000-0010-0000-4400-000005000000}" name="{{ panel.breakerstatus }}"/>
    <tableColumn id="6" xr3:uid="{00000000-0010-0000-4400-000006000000}" name="{{ panel.busbarposition }}"/>
    <tableColumn id="7" xr3:uid="{00000000-0010-0000-4400-000007000000}" name="{{ panel.loadamp }}"/>
    <tableColumn id="8" xr3:uid="{00000000-0010-0000-4400-000008000000}" name="{{ panel.heateramp }}"/>
    <tableColumn id="9" xr3:uid="{00000000-0010-0000-4400-000009000000}" name="{{ swg.serialnumber }}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144_Table1331343940122273231302031892" displayName="Table_144_Table1331343940122273231302031892" ref="A1:I11">
  <autoFilter ref="A1:I11" xr:uid="{00000000-0009-0000-0100-000046000000}"/>
  <tableColumns count="9">
    <tableColumn id="1" xr3:uid="{00000000-0010-0000-4500-000001000000}" name="DESCRIPTION"/>
    <tableColumn id="2" xr3:uid="{00000000-0010-0000-4500-000002000000}" name="{{ panel.linknumber }}"/>
    <tableColumn id="3" xr3:uid="{00000000-0010-0000-4500-000003000000}" name="{{ panel.name }}"/>
    <tableColumn id="4" xr3:uid="{00000000-0010-0000-4500-000004000000}" name="{{ panel.cabletype }}"/>
    <tableColumn id="5" xr3:uid="{00000000-0010-0000-4500-000005000000}" name="{{ panel.breakerstatus }}"/>
    <tableColumn id="6" xr3:uid="{00000000-0010-0000-4500-000006000000}" name="{{ panel.busbarposition }}"/>
    <tableColumn id="7" xr3:uid="{00000000-0010-0000-4500-000007000000}" name="{{ panel.loadamp }}"/>
    <tableColumn id="8" xr3:uid="{00000000-0010-0000-4500-000008000000}" name="{{ panel.heateramp }}"/>
    <tableColumn id="9" xr3:uid="{00000000-0010-0000-4500-000009000000}" name="{{ swg.serialnumber }}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145_Table1331343940122273231302031892" displayName="Table_145_Table1331343940122273231302031892" ref="A1:I11">
  <autoFilter ref="A1:I11" xr:uid="{00000000-0009-0000-0100-000047000000}"/>
  <tableColumns count="9">
    <tableColumn id="1" xr3:uid="{00000000-0010-0000-4600-000001000000}" name="DESCRIPTION"/>
    <tableColumn id="2" xr3:uid="{00000000-0010-0000-4600-000002000000}" name="{{ panel.linknumber }}"/>
    <tableColumn id="3" xr3:uid="{00000000-0010-0000-4600-000003000000}" name="{{ panel.name }}"/>
    <tableColumn id="4" xr3:uid="{00000000-0010-0000-4600-000004000000}" name="{{ panel.cabletype }}"/>
    <tableColumn id="5" xr3:uid="{00000000-0010-0000-4600-000005000000}" name="{{ panel.breakerstatus }}"/>
    <tableColumn id="6" xr3:uid="{00000000-0010-0000-4600-000006000000}" name="{{ panel.busbarposition }}"/>
    <tableColumn id="7" xr3:uid="{00000000-0010-0000-4600-000007000000}" name="{{ panel.loadamp }}"/>
    <tableColumn id="8" xr3:uid="{00000000-0010-0000-4600-000008000000}" name="{{ panel.heateramp }}"/>
    <tableColumn id="9" xr3:uid="{00000000-0010-0000-4600-000009000000}" name="{{ swg.serialnumber }}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146_Table1331343940122273231302031892" displayName="Table_146_Table1331343940122273231302031892" ref="A1:I11">
  <autoFilter ref="A1:I11" xr:uid="{00000000-0009-0000-0100-000048000000}"/>
  <tableColumns count="9">
    <tableColumn id="1" xr3:uid="{00000000-0010-0000-4700-000001000000}" name="DESCRIPTION"/>
    <tableColumn id="2" xr3:uid="{00000000-0010-0000-4700-000002000000}" name="{{ panel.linknumber }}"/>
    <tableColumn id="3" xr3:uid="{00000000-0010-0000-4700-000003000000}" name="{{ panel.name }}"/>
    <tableColumn id="4" xr3:uid="{00000000-0010-0000-4700-000004000000}" name="{{ panel.cabletype }}"/>
    <tableColumn id="5" xr3:uid="{00000000-0010-0000-4700-000005000000}" name="{{ panel.breakerstatus }}"/>
    <tableColumn id="6" xr3:uid="{00000000-0010-0000-4700-000006000000}" name="{{ panel.busbarposition }}"/>
    <tableColumn id="7" xr3:uid="{00000000-0010-0000-4700-000007000000}" name="{{ panel.loadamp }}"/>
    <tableColumn id="8" xr3:uid="{00000000-0010-0000-4700-000008000000}" name="{{ panel.heateramp }}"/>
    <tableColumn id="9" xr3:uid="{00000000-0010-0000-4700-000009000000}" name="{{ swg.serialnumber }}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147_Table1331343940122273231302031892" displayName="Table_147_Table1331343940122273231302031892" ref="A1:I11">
  <autoFilter ref="A1:I11" xr:uid="{00000000-0009-0000-0100-000049000000}"/>
  <tableColumns count="9">
    <tableColumn id="1" xr3:uid="{00000000-0010-0000-4800-000001000000}" name="DESCRIPTION"/>
    <tableColumn id="2" xr3:uid="{00000000-0010-0000-4800-000002000000}" name="{{ panel.linknumber }}"/>
    <tableColumn id="3" xr3:uid="{00000000-0010-0000-4800-000003000000}" name="{{ panel.name }}"/>
    <tableColumn id="4" xr3:uid="{00000000-0010-0000-4800-000004000000}" name="{{ panel.cabletype }}"/>
    <tableColumn id="5" xr3:uid="{00000000-0010-0000-4800-000005000000}" name="{{ panel.breakerstatus }}"/>
    <tableColumn id="6" xr3:uid="{00000000-0010-0000-4800-000006000000}" name="{{ panel.busbarposition }}"/>
    <tableColumn id="7" xr3:uid="{00000000-0010-0000-4800-000007000000}" name="{{ panel.loadamp }}"/>
    <tableColumn id="8" xr3:uid="{00000000-0010-0000-4800-000008000000}" name="{{ panel.heateramp }}"/>
    <tableColumn id="9" xr3:uid="{00000000-0010-0000-4800-000009000000}" name="{{ swg.serialnumber }}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148_Table1331343940122273231302031892" displayName="Table_148_Table1331343940122273231302031892" ref="A1:I11">
  <autoFilter ref="A1:I11" xr:uid="{00000000-0009-0000-0100-00004A000000}"/>
  <tableColumns count="9">
    <tableColumn id="1" xr3:uid="{00000000-0010-0000-4900-000001000000}" name="DESCRIPTION"/>
    <tableColumn id="2" xr3:uid="{00000000-0010-0000-4900-000002000000}" name="{{ panel.linknumber }}"/>
    <tableColumn id="3" xr3:uid="{00000000-0010-0000-4900-000003000000}" name="{{ panel.name }}"/>
    <tableColumn id="4" xr3:uid="{00000000-0010-0000-4900-000004000000}" name="{{ panel.cabletype }}"/>
    <tableColumn id="5" xr3:uid="{00000000-0010-0000-4900-000005000000}" name="{{ panel.breakerstatus }}"/>
    <tableColumn id="6" xr3:uid="{00000000-0010-0000-4900-000006000000}" name="{{ panel.busbarposition }}"/>
    <tableColumn id="7" xr3:uid="{00000000-0010-0000-4900-000007000000}" name="{{ panel.loadamp }}"/>
    <tableColumn id="8" xr3:uid="{00000000-0010-0000-4900-000008000000}" name="{{ panel.heateramp }}"/>
    <tableColumn id="9" xr3:uid="{00000000-0010-0000-4900-000009000000}" name="{{ swg.serialnumber }}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149_Table1331343940122273231302031892" displayName="Table_149_Table1331343940122273231302031892" ref="A1:I11">
  <autoFilter ref="A1:I11" xr:uid="{00000000-0009-0000-0100-00004B000000}"/>
  <tableColumns count="9">
    <tableColumn id="1" xr3:uid="{00000000-0010-0000-4A00-000001000000}" name="DESCRIPTION"/>
    <tableColumn id="2" xr3:uid="{00000000-0010-0000-4A00-000002000000}" name="{{ panel.linknumber }}"/>
    <tableColumn id="3" xr3:uid="{00000000-0010-0000-4A00-000003000000}" name="{{ panel.name }}"/>
    <tableColumn id="4" xr3:uid="{00000000-0010-0000-4A00-000004000000}" name="{{ panel.cabletype }}"/>
    <tableColumn id="5" xr3:uid="{00000000-0010-0000-4A00-000005000000}" name="{{ panel.breakerstatus }}"/>
    <tableColumn id="6" xr3:uid="{00000000-0010-0000-4A00-000006000000}" name="{{ panel.busbarposition }}"/>
    <tableColumn id="7" xr3:uid="{00000000-0010-0000-4A00-000007000000}" name="{{ panel.loadamp }}"/>
    <tableColumn id="8" xr3:uid="{00000000-0010-0000-4A00-000008000000}" name="{{ panel.heateramp }}"/>
    <tableColumn id="9" xr3:uid="{00000000-0010-0000-4A00-000009000000}" name="{{ swg.serialnumber }}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150_Table1331343940122273231302031892" displayName="Table_150_Table1331343940122273231302031892" ref="A1:I11">
  <autoFilter ref="A1:I11" xr:uid="{00000000-0009-0000-0100-00004C000000}"/>
  <tableColumns count="9">
    <tableColumn id="1" xr3:uid="{00000000-0010-0000-4B00-000001000000}" name="DESCRIPTION"/>
    <tableColumn id="2" xr3:uid="{00000000-0010-0000-4B00-000002000000}" name="{{ panel.linknumber }}"/>
    <tableColumn id="3" xr3:uid="{00000000-0010-0000-4B00-000003000000}" name="{{ panel.name }}"/>
    <tableColumn id="4" xr3:uid="{00000000-0010-0000-4B00-000004000000}" name="{{ panel.cabletype }}"/>
    <tableColumn id="5" xr3:uid="{00000000-0010-0000-4B00-000005000000}" name="{{ panel.breakerstatus }}"/>
    <tableColumn id="6" xr3:uid="{00000000-0010-0000-4B00-000006000000}" name="{{ panel.busbarposition }}"/>
    <tableColumn id="7" xr3:uid="{00000000-0010-0000-4B00-000007000000}" name="{{ panel.loadamp }}"/>
    <tableColumn id="8" xr3:uid="{00000000-0010-0000-4B00-000008000000}" name="{{ panel.heateramp }}"/>
    <tableColumn id="9" xr3:uid="{00000000-0010-0000-4B00-000009000000}" name="{{ swg.serialnumber }}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7"/>
  <sheetViews>
    <sheetView zoomScale="70" zoomScaleNormal="7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F66" sqref="F66"/>
    </sheetView>
  </sheetViews>
  <sheetFormatPr defaultRowHeight="15" x14ac:dyDescent="0.25"/>
  <cols>
    <col min="2" max="2" width="15.5703125" bestFit="1" customWidth="1"/>
    <col min="3" max="3" width="29" bestFit="1" customWidth="1"/>
    <col min="4" max="4" width="16.7109375" bestFit="1" customWidth="1"/>
    <col min="5" max="5" width="47" bestFit="1" customWidth="1"/>
    <col min="6" max="6" width="29" bestFit="1" customWidth="1"/>
    <col min="7" max="7" width="14.85546875" bestFit="1" customWidth="1"/>
    <col min="8" max="8" width="22.5703125" bestFit="1" customWidth="1"/>
    <col min="9" max="9" width="29" bestFit="1" customWidth="1"/>
    <col min="10" max="10" width="27.85546875" bestFit="1" customWidth="1"/>
    <col min="11" max="11" width="12.140625" bestFit="1" customWidth="1"/>
    <col min="12" max="12" width="16.85546875" bestFit="1" customWidth="1"/>
    <col min="13" max="13" width="7.7109375" bestFit="1" customWidth="1"/>
    <col min="14" max="14" width="9.7109375" bestFit="1" customWidth="1"/>
    <col min="15" max="15" width="13.7109375" bestFit="1" customWidth="1"/>
    <col min="17" max="17" width="18.42578125" bestFit="1" customWidth="1"/>
    <col min="18" max="18" width="10.7109375" bestFit="1" customWidth="1"/>
    <col min="19" max="19" width="19" bestFit="1" customWidth="1"/>
    <col min="20" max="20" width="12.42578125" bestFit="1" customWidth="1"/>
    <col min="21" max="21" width="11.85546875" bestFit="1" customWidth="1"/>
    <col min="22" max="22" width="9.7109375" bestFit="1" customWidth="1"/>
    <col min="23" max="23" width="8" bestFit="1" customWidth="1"/>
    <col min="24" max="24" width="11.85546875" bestFit="1" customWidth="1"/>
    <col min="25" max="25" width="17.28515625" bestFit="1" customWidth="1"/>
    <col min="26" max="26" width="18.85546875" bestFit="1" customWidth="1"/>
    <col min="27" max="27" width="29" bestFit="1" customWidth="1"/>
    <col min="28" max="28" width="13.7109375" bestFit="1" customWidth="1"/>
    <col min="29" max="29" width="15.42578125" bestFit="1" customWidth="1"/>
    <col min="30" max="30" width="14.85546875" bestFit="1" customWidth="1"/>
    <col min="31" max="32" width="16.85546875" bestFit="1" customWidth="1"/>
    <col min="33" max="33" width="99.7109375" bestFit="1" customWidth="1"/>
  </cols>
  <sheetData>
    <row r="1" spans="1:23" x14ac:dyDescent="0.25">
      <c r="A1" t="s">
        <v>243</v>
      </c>
      <c r="B1" t="s">
        <v>525</v>
      </c>
      <c r="C1" t="s">
        <v>526</v>
      </c>
      <c r="D1" t="s">
        <v>527</v>
      </c>
      <c r="E1" t="s">
        <v>528</v>
      </c>
      <c r="F1" s="4" t="s">
        <v>529</v>
      </c>
      <c r="G1" t="s">
        <v>530</v>
      </c>
      <c r="H1" t="s">
        <v>531</v>
      </c>
    </row>
    <row r="2" spans="1:23" x14ac:dyDescent="0.25">
      <c r="A2">
        <v>1</v>
      </c>
      <c r="B2" t="s">
        <v>532</v>
      </c>
      <c r="C2" t="s">
        <v>533</v>
      </c>
      <c r="D2" t="s">
        <v>534</v>
      </c>
      <c r="F2" t="str">
        <f t="shared" ref="F2:F65" si="0">IF(E2="", "", TRIM(RIGHT(SUBSTITUTE(E2, "\", REPT(" ", LEN(E2))), LEN(E2))))</f>
        <v/>
      </c>
      <c r="G2" t="s">
        <v>535</v>
      </c>
      <c r="H2" t="str">
        <f t="shared" ref="H2:H65" si="1">"ren """ &amp; F2 &amp; """ """ &amp; G2 &amp; """"</f>
        <v>ren "" "1.jpg"</v>
      </c>
    </row>
    <row r="3" spans="1:23" x14ac:dyDescent="0.25">
      <c r="A3">
        <v>2</v>
      </c>
      <c r="B3" t="s">
        <v>532</v>
      </c>
      <c r="C3" t="s">
        <v>533</v>
      </c>
      <c r="D3" t="s">
        <v>536</v>
      </c>
      <c r="F3" t="str">
        <f t="shared" si="0"/>
        <v/>
      </c>
      <c r="G3" t="s">
        <v>537</v>
      </c>
      <c r="H3" t="str">
        <f t="shared" si="1"/>
        <v>ren "" "2.jpg"</v>
      </c>
      <c r="V3" s="1"/>
      <c r="W3" s="2"/>
    </row>
    <row r="4" spans="1:23" x14ac:dyDescent="0.25">
      <c r="A4">
        <v>3</v>
      </c>
      <c r="B4" t="s">
        <v>532</v>
      </c>
      <c r="C4" t="s">
        <v>538</v>
      </c>
      <c r="D4" t="s">
        <v>534</v>
      </c>
      <c r="F4" t="str">
        <f t="shared" si="0"/>
        <v/>
      </c>
      <c r="G4" t="s">
        <v>539</v>
      </c>
      <c r="H4" t="str">
        <f t="shared" si="1"/>
        <v>ren "" "3.jpg"</v>
      </c>
      <c r="V4" s="1"/>
      <c r="W4" s="2"/>
    </row>
    <row r="5" spans="1:23" x14ac:dyDescent="0.25">
      <c r="A5">
        <v>4</v>
      </c>
      <c r="B5" t="s">
        <v>532</v>
      </c>
      <c r="C5" t="s">
        <v>538</v>
      </c>
      <c r="D5" t="s">
        <v>536</v>
      </c>
      <c r="F5" t="str">
        <f t="shared" si="0"/>
        <v/>
      </c>
      <c r="G5" t="s">
        <v>540</v>
      </c>
      <c r="H5" t="str">
        <f t="shared" si="1"/>
        <v>ren "" "4.jpg"</v>
      </c>
      <c r="V5" s="1"/>
      <c r="W5" s="2"/>
    </row>
    <row r="6" spans="1:23" x14ac:dyDescent="0.25">
      <c r="A6">
        <v>5</v>
      </c>
      <c r="B6" t="s">
        <v>532</v>
      </c>
      <c r="C6" t="s">
        <v>541</v>
      </c>
      <c r="D6" t="s">
        <v>534</v>
      </c>
      <c r="F6" t="str">
        <f t="shared" si="0"/>
        <v/>
      </c>
      <c r="G6" t="s">
        <v>542</v>
      </c>
      <c r="H6" t="str">
        <f t="shared" si="1"/>
        <v>ren "" "5.jpg"</v>
      </c>
      <c r="V6" s="1"/>
      <c r="W6" s="2"/>
    </row>
    <row r="7" spans="1:23" x14ac:dyDescent="0.25">
      <c r="A7">
        <v>6</v>
      </c>
      <c r="B7" t="s">
        <v>532</v>
      </c>
      <c r="C7" t="s">
        <v>541</v>
      </c>
      <c r="D7" t="s">
        <v>536</v>
      </c>
      <c r="F7" t="str">
        <f t="shared" si="0"/>
        <v/>
      </c>
      <c r="G7" t="s">
        <v>543</v>
      </c>
      <c r="H7" t="str">
        <f t="shared" si="1"/>
        <v>ren "" "6.jpg"</v>
      </c>
      <c r="V7" s="1"/>
      <c r="W7" s="2"/>
    </row>
    <row r="8" spans="1:23" x14ac:dyDescent="0.25">
      <c r="A8">
        <v>7</v>
      </c>
      <c r="B8" t="s">
        <v>532</v>
      </c>
      <c r="C8" t="s">
        <v>544</v>
      </c>
      <c r="D8" t="s">
        <v>534</v>
      </c>
      <c r="F8" t="str">
        <f t="shared" si="0"/>
        <v/>
      </c>
      <c r="G8" t="s">
        <v>545</v>
      </c>
      <c r="H8" t="str">
        <f t="shared" si="1"/>
        <v>ren "" "7.jpg"</v>
      </c>
      <c r="V8" s="1"/>
      <c r="W8" s="2"/>
    </row>
    <row r="9" spans="1:23" x14ac:dyDescent="0.25">
      <c r="A9">
        <v>8</v>
      </c>
      <c r="B9" t="s">
        <v>532</v>
      </c>
      <c r="C9" t="s">
        <v>544</v>
      </c>
      <c r="D9" t="s">
        <v>536</v>
      </c>
      <c r="F9" t="str">
        <f t="shared" si="0"/>
        <v/>
      </c>
      <c r="G9" t="s">
        <v>546</v>
      </c>
      <c r="H9" t="str">
        <f t="shared" si="1"/>
        <v>ren "" "8.jpg"</v>
      </c>
      <c r="V9" s="1"/>
      <c r="W9" s="2"/>
    </row>
    <row r="10" spans="1:23" x14ac:dyDescent="0.25">
      <c r="A10">
        <v>9</v>
      </c>
      <c r="B10" t="s">
        <v>532</v>
      </c>
      <c r="C10" t="s">
        <v>547</v>
      </c>
      <c r="D10" t="s">
        <v>534</v>
      </c>
      <c r="F10" t="str">
        <f t="shared" si="0"/>
        <v/>
      </c>
      <c r="G10" t="s">
        <v>548</v>
      </c>
      <c r="H10" t="str">
        <f t="shared" si="1"/>
        <v>ren "" "9.jpg"</v>
      </c>
      <c r="V10" s="1"/>
      <c r="W10" s="2"/>
    </row>
    <row r="11" spans="1:23" x14ac:dyDescent="0.25">
      <c r="A11">
        <v>10</v>
      </c>
      <c r="B11" t="s">
        <v>532</v>
      </c>
      <c r="C11" t="s">
        <v>547</v>
      </c>
      <c r="D11" t="s">
        <v>536</v>
      </c>
      <c r="F11" t="str">
        <f t="shared" si="0"/>
        <v/>
      </c>
      <c r="G11" t="s">
        <v>549</v>
      </c>
      <c r="H11" t="str">
        <f t="shared" si="1"/>
        <v>ren "" "10.jpg"</v>
      </c>
      <c r="V11" s="1"/>
      <c r="W11" s="2"/>
    </row>
    <row r="12" spans="1:23" x14ac:dyDescent="0.25">
      <c r="A12">
        <v>11</v>
      </c>
      <c r="B12" t="s">
        <v>532</v>
      </c>
      <c r="C12" t="s">
        <v>550</v>
      </c>
      <c r="D12" t="s">
        <v>534</v>
      </c>
      <c r="F12" t="str">
        <f t="shared" si="0"/>
        <v/>
      </c>
      <c r="G12" t="s">
        <v>551</v>
      </c>
      <c r="H12" t="str">
        <f t="shared" si="1"/>
        <v>ren "" "11.jpg"</v>
      </c>
      <c r="V12" s="1"/>
      <c r="W12" s="2"/>
    </row>
    <row r="13" spans="1:23" x14ac:dyDescent="0.25">
      <c r="A13">
        <v>12</v>
      </c>
      <c r="B13" t="s">
        <v>532</v>
      </c>
      <c r="C13" t="s">
        <v>550</v>
      </c>
      <c r="D13" t="s">
        <v>536</v>
      </c>
      <c r="F13" t="str">
        <f t="shared" si="0"/>
        <v/>
      </c>
      <c r="G13" t="s">
        <v>552</v>
      </c>
      <c r="H13" t="str">
        <f t="shared" si="1"/>
        <v>ren "" "12.jpg"</v>
      </c>
      <c r="V13" s="1"/>
      <c r="W13" s="2"/>
    </row>
    <row r="14" spans="1:23" x14ac:dyDescent="0.25">
      <c r="A14">
        <v>13</v>
      </c>
      <c r="B14" t="s">
        <v>532</v>
      </c>
      <c r="C14" t="s">
        <v>553</v>
      </c>
      <c r="D14" t="s">
        <v>534</v>
      </c>
      <c r="F14" t="str">
        <f t="shared" si="0"/>
        <v/>
      </c>
      <c r="G14" t="s">
        <v>554</v>
      </c>
      <c r="H14" t="str">
        <f t="shared" si="1"/>
        <v>ren "" "13.jpg"</v>
      </c>
      <c r="V14" s="1"/>
      <c r="W14" s="2"/>
    </row>
    <row r="15" spans="1:23" x14ac:dyDescent="0.25">
      <c r="A15">
        <v>14</v>
      </c>
      <c r="B15" t="s">
        <v>532</v>
      </c>
      <c r="C15" t="s">
        <v>553</v>
      </c>
      <c r="D15" t="s">
        <v>536</v>
      </c>
      <c r="F15" t="str">
        <f t="shared" si="0"/>
        <v/>
      </c>
      <c r="G15" t="s">
        <v>555</v>
      </c>
      <c r="H15" t="str">
        <f t="shared" si="1"/>
        <v>ren "" "14.jpg"</v>
      </c>
      <c r="V15" s="1"/>
      <c r="W15" s="2"/>
    </row>
    <row r="16" spans="1:23" x14ac:dyDescent="0.25">
      <c r="A16">
        <v>15</v>
      </c>
      <c r="B16" t="s">
        <v>532</v>
      </c>
      <c r="C16" t="s">
        <v>556</v>
      </c>
      <c r="D16" t="s">
        <v>534</v>
      </c>
      <c r="F16" t="str">
        <f t="shared" si="0"/>
        <v/>
      </c>
      <c r="G16" t="s">
        <v>557</v>
      </c>
      <c r="H16" t="str">
        <f t="shared" si="1"/>
        <v>ren "" "15.jpg"</v>
      </c>
      <c r="V16" s="1"/>
      <c r="W16" s="2"/>
    </row>
    <row r="17" spans="1:23" x14ac:dyDescent="0.25">
      <c r="A17">
        <v>16</v>
      </c>
      <c r="B17" t="s">
        <v>532</v>
      </c>
      <c r="C17" t="s">
        <v>556</v>
      </c>
      <c r="D17" t="s">
        <v>536</v>
      </c>
      <c r="F17" t="str">
        <f t="shared" si="0"/>
        <v/>
      </c>
      <c r="G17" t="s">
        <v>558</v>
      </c>
      <c r="H17" t="str">
        <f t="shared" si="1"/>
        <v>ren "" "16.jpg"</v>
      </c>
      <c r="V17" s="1"/>
      <c r="W17" s="2"/>
    </row>
    <row r="18" spans="1:23" x14ac:dyDescent="0.25">
      <c r="A18">
        <v>17</v>
      </c>
      <c r="B18" t="s">
        <v>532</v>
      </c>
      <c r="C18" t="s">
        <v>553</v>
      </c>
      <c r="D18" t="s">
        <v>534</v>
      </c>
      <c r="F18" t="str">
        <f t="shared" si="0"/>
        <v/>
      </c>
      <c r="G18" t="s">
        <v>559</v>
      </c>
      <c r="H18" t="str">
        <f t="shared" si="1"/>
        <v>ren "" "17.jpg"</v>
      </c>
      <c r="V18" s="1"/>
      <c r="W18" s="2"/>
    </row>
    <row r="19" spans="1:23" x14ac:dyDescent="0.25">
      <c r="A19">
        <v>18</v>
      </c>
      <c r="B19" t="s">
        <v>532</v>
      </c>
      <c r="C19" t="s">
        <v>553</v>
      </c>
      <c r="D19" t="s">
        <v>536</v>
      </c>
      <c r="F19" t="str">
        <f t="shared" si="0"/>
        <v/>
      </c>
      <c r="G19" t="s">
        <v>560</v>
      </c>
      <c r="H19" t="str">
        <f t="shared" si="1"/>
        <v>ren "" "18.jpg"</v>
      </c>
      <c r="V19" s="1"/>
      <c r="W19" s="2"/>
    </row>
    <row r="20" spans="1:23" x14ac:dyDescent="0.25">
      <c r="A20">
        <v>19</v>
      </c>
      <c r="B20" t="s">
        <v>532</v>
      </c>
      <c r="C20" t="s">
        <v>556</v>
      </c>
      <c r="D20" t="s">
        <v>534</v>
      </c>
      <c r="F20" t="str">
        <f t="shared" si="0"/>
        <v/>
      </c>
      <c r="G20" t="s">
        <v>561</v>
      </c>
      <c r="H20" t="str">
        <f t="shared" si="1"/>
        <v>ren "" "19.jpg"</v>
      </c>
      <c r="V20" s="1"/>
      <c r="W20" s="2"/>
    </row>
    <row r="21" spans="1:23" x14ac:dyDescent="0.25">
      <c r="A21">
        <v>20</v>
      </c>
      <c r="B21" t="s">
        <v>532</v>
      </c>
      <c r="C21" t="s">
        <v>556</v>
      </c>
      <c r="D21" t="s">
        <v>536</v>
      </c>
      <c r="F21" t="str">
        <f t="shared" si="0"/>
        <v/>
      </c>
      <c r="G21" t="s">
        <v>562</v>
      </c>
      <c r="H21" t="str">
        <f t="shared" si="1"/>
        <v>ren "" "20.jpg"</v>
      </c>
      <c r="V21" s="1"/>
      <c r="W21" s="2"/>
    </row>
    <row r="22" spans="1:23" x14ac:dyDescent="0.25">
      <c r="A22">
        <v>21</v>
      </c>
      <c r="B22" t="s">
        <v>532</v>
      </c>
      <c r="C22" t="s">
        <v>563</v>
      </c>
      <c r="D22" t="s">
        <v>534</v>
      </c>
      <c r="F22" t="str">
        <f t="shared" si="0"/>
        <v/>
      </c>
      <c r="G22" t="s">
        <v>564</v>
      </c>
      <c r="H22" t="str">
        <f t="shared" si="1"/>
        <v>ren "" "21.jpg"</v>
      </c>
      <c r="V22" s="1"/>
      <c r="W22" s="2"/>
    </row>
    <row r="23" spans="1:23" x14ac:dyDescent="0.25">
      <c r="A23">
        <v>22</v>
      </c>
      <c r="B23" t="s">
        <v>532</v>
      </c>
      <c r="C23" t="s">
        <v>563</v>
      </c>
      <c r="D23" t="s">
        <v>536</v>
      </c>
      <c r="F23" t="str">
        <f t="shared" si="0"/>
        <v/>
      </c>
      <c r="G23" t="s">
        <v>565</v>
      </c>
      <c r="H23" t="str">
        <f t="shared" si="1"/>
        <v>ren "" "22.jpg"</v>
      </c>
      <c r="V23" s="1"/>
      <c r="W23" s="2"/>
    </row>
    <row r="24" spans="1:23" x14ac:dyDescent="0.25">
      <c r="A24">
        <v>23</v>
      </c>
      <c r="B24" t="s">
        <v>532</v>
      </c>
      <c r="C24" t="s">
        <v>566</v>
      </c>
      <c r="D24" t="s">
        <v>534</v>
      </c>
      <c r="F24" t="str">
        <f t="shared" si="0"/>
        <v/>
      </c>
      <c r="G24" t="s">
        <v>567</v>
      </c>
      <c r="H24" t="str">
        <f t="shared" si="1"/>
        <v>ren "" "23.jpg"</v>
      </c>
      <c r="V24" s="1"/>
      <c r="W24" s="2"/>
    </row>
    <row r="25" spans="1:23" x14ac:dyDescent="0.25">
      <c r="A25">
        <v>24</v>
      </c>
      <c r="B25" t="s">
        <v>532</v>
      </c>
      <c r="C25" t="s">
        <v>566</v>
      </c>
      <c r="D25" t="s">
        <v>536</v>
      </c>
      <c r="F25" t="str">
        <f t="shared" si="0"/>
        <v/>
      </c>
      <c r="G25" t="s">
        <v>568</v>
      </c>
      <c r="H25" t="str">
        <f t="shared" si="1"/>
        <v>ren "" "24.jpg"</v>
      </c>
      <c r="V25" s="1"/>
      <c r="W25" s="2"/>
    </row>
    <row r="26" spans="1:23" x14ac:dyDescent="0.25">
      <c r="A26">
        <v>25</v>
      </c>
      <c r="B26" t="s">
        <v>569</v>
      </c>
      <c r="C26" t="s">
        <v>570</v>
      </c>
      <c r="D26" t="s">
        <v>534</v>
      </c>
      <c r="F26" t="str">
        <f t="shared" si="0"/>
        <v/>
      </c>
      <c r="G26" t="s">
        <v>571</v>
      </c>
      <c r="H26" t="str">
        <f t="shared" si="1"/>
        <v>ren "" "51.jpg"</v>
      </c>
      <c r="V26" s="1"/>
      <c r="W26" s="2"/>
    </row>
    <row r="27" spans="1:23" x14ac:dyDescent="0.25">
      <c r="A27">
        <v>26</v>
      </c>
      <c r="B27" t="s">
        <v>569</v>
      </c>
      <c r="C27" t="s">
        <v>570</v>
      </c>
      <c r="D27" t="s">
        <v>536</v>
      </c>
      <c r="F27" t="str">
        <f t="shared" si="0"/>
        <v/>
      </c>
      <c r="G27" t="s">
        <v>572</v>
      </c>
      <c r="H27" t="str">
        <f t="shared" si="1"/>
        <v>ren "" "52.jpg"</v>
      </c>
      <c r="V27" s="1"/>
      <c r="W27" s="2"/>
    </row>
    <row r="28" spans="1:23" x14ac:dyDescent="0.25">
      <c r="A28">
        <v>27</v>
      </c>
      <c r="B28" t="s">
        <v>569</v>
      </c>
      <c r="C28" t="s">
        <v>573</v>
      </c>
      <c r="D28" t="s">
        <v>534</v>
      </c>
      <c r="F28" t="str">
        <f t="shared" si="0"/>
        <v/>
      </c>
      <c r="G28" t="s">
        <v>574</v>
      </c>
      <c r="H28" t="str">
        <f t="shared" si="1"/>
        <v>ren "" "53.jpg"</v>
      </c>
      <c r="V28" s="1"/>
      <c r="W28" s="2"/>
    </row>
    <row r="29" spans="1:23" x14ac:dyDescent="0.25">
      <c r="A29">
        <v>28</v>
      </c>
      <c r="B29" t="s">
        <v>569</v>
      </c>
      <c r="C29" t="s">
        <v>573</v>
      </c>
      <c r="D29" t="s">
        <v>536</v>
      </c>
      <c r="F29" t="str">
        <f t="shared" si="0"/>
        <v/>
      </c>
      <c r="G29" t="s">
        <v>575</v>
      </c>
      <c r="H29" t="str">
        <f t="shared" si="1"/>
        <v>ren "" "54.jpg"</v>
      </c>
      <c r="V29" s="1"/>
      <c r="W29" s="2"/>
    </row>
    <row r="30" spans="1:23" x14ac:dyDescent="0.25">
      <c r="A30">
        <v>29</v>
      </c>
      <c r="B30" t="s">
        <v>569</v>
      </c>
      <c r="C30" t="s">
        <v>576</v>
      </c>
      <c r="D30" t="s">
        <v>534</v>
      </c>
      <c r="F30" t="str">
        <f t="shared" si="0"/>
        <v/>
      </c>
      <c r="G30" t="s">
        <v>577</v>
      </c>
      <c r="H30" t="str">
        <f t="shared" si="1"/>
        <v>ren "" "55.jpg"</v>
      </c>
      <c r="V30" s="1"/>
      <c r="W30" s="2"/>
    </row>
    <row r="31" spans="1:23" x14ac:dyDescent="0.25">
      <c r="A31">
        <v>30</v>
      </c>
      <c r="B31" t="s">
        <v>569</v>
      </c>
      <c r="C31" t="s">
        <v>576</v>
      </c>
      <c r="D31" t="s">
        <v>536</v>
      </c>
      <c r="F31" t="str">
        <f t="shared" si="0"/>
        <v/>
      </c>
      <c r="G31" t="s">
        <v>578</v>
      </c>
      <c r="H31" t="str">
        <f t="shared" si="1"/>
        <v>ren "" "56.jpg"</v>
      </c>
      <c r="V31" s="1"/>
      <c r="W31" s="2"/>
    </row>
    <row r="32" spans="1:23" x14ac:dyDescent="0.25">
      <c r="A32">
        <v>31</v>
      </c>
      <c r="B32" t="s">
        <v>569</v>
      </c>
      <c r="C32" t="s">
        <v>579</v>
      </c>
      <c r="D32" t="s">
        <v>534</v>
      </c>
      <c r="F32" t="str">
        <f t="shared" si="0"/>
        <v/>
      </c>
      <c r="G32" t="s">
        <v>580</v>
      </c>
      <c r="H32" t="str">
        <f t="shared" si="1"/>
        <v>ren "" "57.jpg"</v>
      </c>
      <c r="V32" s="1"/>
      <c r="W32" s="2"/>
    </row>
    <row r="33" spans="1:23" x14ac:dyDescent="0.25">
      <c r="A33">
        <v>32</v>
      </c>
      <c r="B33" t="s">
        <v>569</v>
      </c>
      <c r="C33" t="s">
        <v>579</v>
      </c>
      <c r="D33" t="s">
        <v>536</v>
      </c>
      <c r="F33" t="str">
        <f t="shared" si="0"/>
        <v/>
      </c>
      <c r="G33" t="s">
        <v>581</v>
      </c>
      <c r="H33" t="str">
        <f t="shared" si="1"/>
        <v>ren "" "58.jpg"</v>
      </c>
      <c r="V33" s="1"/>
      <c r="W33" s="2"/>
    </row>
    <row r="34" spans="1:23" x14ac:dyDescent="0.25">
      <c r="A34">
        <v>33</v>
      </c>
      <c r="B34" t="s">
        <v>569</v>
      </c>
      <c r="C34" t="s">
        <v>582</v>
      </c>
      <c r="D34" t="s">
        <v>534</v>
      </c>
      <c r="F34" t="str">
        <f t="shared" si="0"/>
        <v/>
      </c>
      <c r="G34" t="s">
        <v>583</v>
      </c>
      <c r="H34" t="str">
        <f t="shared" si="1"/>
        <v>ren "" "59.jpg"</v>
      </c>
      <c r="V34" s="1"/>
      <c r="W34" s="2"/>
    </row>
    <row r="35" spans="1:23" x14ac:dyDescent="0.25">
      <c r="A35">
        <v>34</v>
      </c>
      <c r="B35" t="s">
        <v>569</v>
      </c>
      <c r="C35" t="s">
        <v>582</v>
      </c>
      <c r="D35" t="s">
        <v>536</v>
      </c>
      <c r="F35" t="str">
        <f t="shared" si="0"/>
        <v/>
      </c>
      <c r="G35" t="s">
        <v>584</v>
      </c>
      <c r="H35" t="str">
        <f t="shared" si="1"/>
        <v>ren "" "60.jpg"</v>
      </c>
      <c r="V35" s="1"/>
      <c r="W35" s="2"/>
    </row>
    <row r="36" spans="1:23" x14ac:dyDescent="0.25">
      <c r="A36">
        <v>35</v>
      </c>
      <c r="B36" t="s">
        <v>569</v>
      </c>
      <c r="C36" t="s">
        <v>585</v>
      </c>
      <c r="D36" t="s">
        <v>534</v>
      </c>
      <c r="F36" t="str">
        <f t="shared" si="0"/>
        <v/>
      </c>
      <c r="G36" t="s">
        <v>586</v>
      </c>
      <c r="H36" t="str">
        <f t="shared" si="1"/>
        <v>ren "" "61.jpg"</v>
      </c>
      <c r="V36" s="1"/>
      <c r="W36" s="2"/>
    </row>
    <row r="37" spans="1:23" x14ac:dyDescent="0.25">
      <c r="A37">
        <v>36</v>
      </c>
      <c r="B37" t="s">
        <v>569</v>
      </c>
      <c r="C37" t="s">
        <v>585</v>
      </c>
      <c r="D37" t="s">
        <v>536</v>
      </c>
      <c r="F37" t="str">
        <f t="shared" si="0"/>
        <v/>
      </c>
      <c r="G37" t="s">
        <v>587</v>
      </c>
      <c r="H37" t="str">
        <f t="shared" si="1"/>
        <v>ren "" "62.jpg"</v>
      </c>
      <c r="V37" s="1"/>
      <c r="W37" s="2"/>
    </row>
    <row r="38" spans="1:23" x14ac:dyDescent="0.25">
      <c r="A38">
        <v>37</v>
      </c>
      <c r="B38" t="s">
        <v>569</v>
      </c>
      <c r="C38" t="s">
        <v>588</v>
      </c>
      <c r="D38" t="s">
        <v>534</v>
      </c>
      <c r="F38" t="str">
        <f t="shared" si="0"/>
        <v/>
      </c>
      <c r="G38" t="s">
        <v>589</v>
      </c>
      <c r="H38" t="str">
        <f t="shared" si="1"/>
        <v>ren "" "63.jpg"</v>
      </c>
      <c r="V38" s="1"/>
      <c r="W38" s="2"/>
    </row>
    <row r="39" spans="1:23" x14ac:dyDescent="0.25">
      <c r="A39">
        <v>38</v>
      </c>
      <c r="B39" t="s">
        <v>569</v>
      </c>
      <c r="C39" t="s">
        <v>588</v>
      </c>
      <c r="D39" t="s">
        <v>536</v>
      </c>
      <c r="F39" t="str">
        <f t="shared" si="0"/>
        <v/>
      </c>
      <c r="G39" t="s">
        <v>590</v>
      </c>
      <c r="H39" t="str">
        <f t="shared" si="1"/>
        <v>ren "" "64.jpg"</v>
      </c>
      <c r="V39" s="1"/>
      <c r="W39" s="2"/>
    </row>
    <row r="40" spans="1:23" x14ac:dyDescent="0.25">
      <c r="A40">
        <v>39</v>
      </c>
      <c r="B40" t="s">
        <v>569</v>
      </c>
      <c r="C40" t="s">
        <v>591</v>
      </c>
      <c r="D40" t="s">
        <v>534</v>
      </c>
      <c r="F40" t="str">
        <f t="shared" si="0"/>
        <v/>
      </c>
      <c r="G40" t="s">
        <v>592</v>
      </c>
      <c r="H40" t="str">
        <f t="shared" si="1"/>
        <v>ren "" "65.jpg"</v>
      </c>
      <c r="V40" s="1"/>
      <c r="W40" s="2"/>
    </row>
    <row r="41" spans="1:23" x14ac:dyDescent="0.25">
      <c r="A41">
        <v>40</v>
      </c>
      <c r="B41" t="s">
        <v>569</v>
      </c>
      <c r="C41" t="s">
        <v>591</v>
      </c>
      <c r="D41" t="s">
        <v>536</v>
      </c>
      <c r="F41" t="str">
        <f t="shared" si="0"/>
        <v/>
      </c>
      <c r="G41" t="s">
        <v>593</v>
      </c>
      <c r="H41" t="str">
        <f t="shared" si="1"/>
        <v>ren "" "66.jpg"</v>
      </c>
      <c r="V41" s="1"/>
      <c r="W41" s="2"/>
    </row>
    <row r="42" spans="1:23" x14ac:dyDescent="0.25">
      <c r="A42">
        <v>41</v>
      </c>
      <c r="B42" t="s">
        <v>594</v>
      </c>
      <c r="C42" t="s">
        <v>570</v>
      </c>
      <c r="D42" t="s">
        <v>534</v>
      </c>
      <c r="F42" t="str">
        <f t="shared" si="0"/>
        <v/>
      </c>
      <c r="G42" t="s">
        <v>595</v>
      </c>
      <c r="H42" t="str">
        <f t="shared" si="1"/>
        <v>ren "" "67.jpg"</v>
      </c>
      <c r="V42" s="1"/>
      <c r="W42" s="2"/>
    </row>
    <row r="43" spans="1:23" x14ac:dyDescent="0.25">
      <c r="A43">
        <v>42</v>
      </c>
      <c r="B43" t="s">
        <v>594</v>
      </c>
      <c r="C43" t="s">
        <v>570</v>
      </c>
      <c r="D43" t="s">
        <v>536</v>
      </c>
      <c r="F43" t="str">
        <f t="shared" si="0"/>
        <v/>
      </c>
      <c r="G43" t="s">
        <v>596</v>
      </c>
      <c r="H43" t="str">
        <f t="shared" si="1"/>
        <v>ren "" "68.jpg"</v>
      </c>
      <c r="V43" s="1"/>
      <c r="W43" s="2"/>
    </row>
    <row r="44" spans="1:23" x14ac:dyDescent="0.25">
      <c r="A44">
        <v>43</v>
      </c>
      <c r="B44" t="s">
        <v>594</v>
      </c>
      <c r="C44" t="s">
        <v>573</v>
      </c>
      <c r="D44" t="s">
        <v>534</v>
      </c>
      <c r="F44" t="str">
        <f t="shared" si="0"/>
        <v/>
      </c>
      <c r="G44" t="s">
        <v>597</v>
      </c>
      <c r="H44" t="str">
        <f t="shared" si="1"/>
        <v>ren "" "69.jpg"</v>
      </c>
      <c r="V44" s="1"/>
      <c r="W44" s="2"/>
    </row>
    <row r="45" spans="1:23" x14ac:dyDescent="0.25">
      <c r="A45">
        <v>44</v>
      </c>
      <c r="B45" t="s">
        <v>594</v>
      </c>
      <c r="C45" t="s">
        <v>573</v>
      </c>
      <c r="D45" t="s">
        <v>536</v>
      </c>
      <c r="F45" t="str">
        <f t="shared" si="0"/>
        <v/>
      </c>
      <c r="G45" t="s">
        <v>598</v>
      </c>
      <c r="H45" t="str">
        <f t="shared" si="1"/>
        <v>ren "" "70.jpg"</v>
      </c>
      <c r="V45" s="1"/>
      <c r="W45" s="2"/>
    </row>
    <row r="46" spans="1:23" x14ac:dyDescent="0.25">
      <c r="A46">
        <v>45</v>
      </c>
      <c r="B46" t="s">
        <v>594</v>
      </c>
      <c r="C46" t="s">
        <v>576</v>
      </c>
      <c r="D46" t="s">
        <v>534</v>
      </c>
      <c r="F46" t="str">
        <f t="shared" si="0"/>
        <v/>
      </c>
      <c r="G46" t="s">
        <v>599</v>
      </c>
      <c r="H46" t="str">
        <f t="shared" si="1"/>
        <v>ren "" "71.jpg"</v>
      </c>
      <c r="V46" s="1"/>
      <c r="W46" s="2"/>
    </row>
    <row r="47" spans="1:23" x14ac:dyDescent="0.25">
      <c r="A47">
        <v>46</v>
      </c>
      <c r="B47" t="s">
        <v>594</v>
      </c>
      <c r="C47" t="s">
        <v>576</v>
      </c>
      <c r="D47" t="s">
        <v>536</v>
      </c>
      <c r="F47" t="str">
        <f t="shared" si="0"/>
        <v/>
      </c>
      <c r="G47" t="s">
        <v>600</v>
      </c>
      <c r="H47" t="str">
        <f t="shared" si="1"/>
        <v>ren "" "72.jpg"</v>
      </c>
      <c r="V47" s="1"/>
      <c r="W47" s="2"/>
    </row>
    <row r="48" spans="1:23" x14ac:dyDescent="0.25">
      <c r="A48">
        <v>47</v>
      </c>
      <c r="B48" t="s">
        <v>594</v>
      </c>
      <c r="C48" t="s">
        <v>579</v>
      </c>
      <c r="D48" t="s">
        <v>534</v>
      </c>
      <c r="F48" t="str">
        <f t="shared" si="0"/>
        <v/>
      </c>
      <c r="G48" t="s">
        <v>601</v>
      </c>
      <c r="H48" t="str">
        <f t="shared" si="1"/>
        <v>ren "" "73.jpg"</v>
      </c>
      <c r="V48" s="1"/>
      <c r="W48" s="2"/>
    </row>
    <row r="49" spans="1:23" x14ac:dyDescent="0.25">
      <c r="A49">
        <v>48</v>
      </c>
      <c r="B49" t="s">
        <v>594</v>
      </c>
      <c r="C49" t="s">
        <v>579</v>
      </c>
      <c r="D49" t="s">
        <v>536</v>
      </c>
      <c r="F49" t="str">
        <f t="shared" si="0"/>
        <v/>
      </c>
      <c r="G49" t="s">
        <v>602</v>
      </c>
      <c r="H49" t="str">
        <f t="shared" si="1"/>
        <v>ren "" "74.jpg"</v>
      </c>
      <c r="V49" s="1"/>
      <c r="W49" s="2"/>
    </row>
    <row r="50" spans="1:23" x14ac:dyDescent="0.25">
      <c r="A50">
        <v>49</v>
      </c>
      <c r="B50" t="s">
        <v>594</v>
      </c>
      <c r="C50" t="s">
        <v>582</v>
      </c>
      <c r="D50" t="s">
        <v>534</v>
      </c>
      <c r="F50" t="str">
        <f t="shared" si="0"/>
        <v/>
      </c>
      <c r="G50" t="s">
        <v>603</v>
      </c>
      <c r="H50" t="str">
        <f t="shared" si="1"/>
        <v>ren "" "75.jpg"</v>
      </c>
      <c r="V50" s="1"/>
      <c r="W50" s="2"/>
    </row>
    <row r="51" spans="1:23" x14ac:dyDescent="0.25">
      <c r="A51">
        <v>50</v>
      </c>
      <c r="B51" t="s">
        <v>594</v>
      </c>
      <c r="C51" t="s">
        <v>582</v>
      </c>
      <c r="D51" t="s">
        <v>536</v>
      </c>
      <c r="F51" t="str">
        <f t="shared" si="0"/>
        <v/>
      </c>
      <c r="G51" t="s">
        <v>604</v>
      </c>
      <c r="H51" t="str">
        <f t="shared" si="1"/>
        <v>ren "" "76.jpg"</v>
      </c>
      <c r="V51" s="1"/>
      <c r="W51" s="2"/>
    </row>
    <row r="52" spans="1:23" x14ac:dyDescent="0.25">
      <c r="A52">
        <v>51</v>
      </c>
      <c r="B52" t="s">
        <v>594</v>
      </c>
      <c r="C52" t="s">
        <v>585</v>
      </c>
      <c r="D52" t="s">
        <v>534</v>
      </c>
      <c r="F52" t="str">
        <f t="shared" si="0"/>
        <v/>
      </c>
      <c r="G52" t="s">
        <v>605</v>
      </c>
      <c r="H52" t="str">
        <f t="shared" si="1"/>
        <v>ren "" "77.jpg"</v>
      </c>
      <c r="V52" s="1"/>
      <c r="W52" s="2"/>
    </row>
    <row r="53" spans="1:23" x14ac:dyDescent="0.25">
      <c r="A53">
        <v>52</v>
      </c>
      <c r="B53" t="s">
        <v>594</v>
      </c>
      <c r="C53" t="s">
        <v>585</v>
      </c>
      <c r="D53" t="s">
        <v>536</v>
      </c>
      <c r="F53" t="str">
        <f t="shared" si="0"/>
        <v/>
      </c>
      <c r="G53" t="s">
        <v>606</v>
      </c>
      <c r="H53" t="str">
        <f t="shared" si="1"/>
        <v>ren "" "78.jpg"</v>
      </c>
      <c r="V53" s="1"/>
      <c r="W53" s="2"/>
    </row>
    <row r="54" spans="1:23" x14ac:dyDescent="0.25">
      <c r="A54">
        <v>53</v>
      </c>
      <c r="B54" t="s">
        <v>594</v>
      </c>
      <c r="C54" t="s">
        <v>588</v>
      </c>
      <c r="D54" t="s">
        <v>534</v>
      </c>
      <c r="F54" t="str">
        <f t="shared" si="0"/>
        <v/>
      </c>
      <c r="G54" t="s">
        <v>607</v>
      </c>
      <c r="H54" t="str">
        <f t="shared" si="1"/>
        <v>ren "" "79.jpg"</v>
      </c>
      <c r="V54" s="1"/>
      <c r="W54" s="2"/>
    </row>
    <row r="55" spans="1:23" x14ac:dyDescent="0.25">
      <c r="A55">
        <v>54</v>
      </c>
      <c r="B55" t="s">
        <v>594</v>
      </c>
      <c r="C55" t="s">
        <v>588</v>
      </c>
      <c r="D55" t="s">
        <v>536</v>
      </c>
      <c r="F55" t="str">
        <f t="shared" si="0"/>
        <v/>
      </c>
      <c r="G55" t="s">
        <v>608</v>
      </c>
      <c r="H55" t="str">
        <f t="shared" si="1"/>
        <v>ren "" "80.jpg"</v>
      </c>
      <c r="V55" s="1"/>
      <c r="W55" s="2"/>
    </row>
    <row r="56" spans="1:23" x14ac:dyDescent="0.25">
      <c r="A56">
        <v>55</v>
      </c>
      <c r="B56" t="s">
        <v>594</v>
      </c>
      <c r="C56" t="s">
        <v>591</v>
      </c>
      <c r="D56" t="s">
        <v>534</v>
      </c>
      <c r="F56" t="str">
        <f t="shared" si="0"/>
        <v/>
      </c>
      <c r="G56" t="s">
        <v>609</v>
      </c>
      <c r="H56" t="str">
        <f t="shared" si="1"/>
        <v>ren "" "81.jpg"</v>
      </c>
      <c r="V56" s="1"/>
      <c r="W56" s="2"/>
    </row>
    <row r="57" spans="1:23" x14ac:dyDescent="0.25">
      <c r="A57">
        <v>56</v>
      </c>
      <c r="B57" t="s">
        <v>594</v>
      </c>
      <c r="C57" t="s">
        <v>591</v>
      </c>
      <c r="D57" t="s">
        <v>536</v>
      </c>
      <c r="F57" t="str">
        <f t="shared" si="0"/>
        <v/>
      </c>
      <c r="G57" t="s">
        <v>610</v>
      </c>
      <c r="H57" t="str">
        <f t="shared" si="1"/>
        <v>ren "" "82.jpg"</v>
      </c>
      <c r="V57" s="1"/>
      <c r="W57" s="2"/>
    </row>
    <row r="58" spans="1:23" x14ac:dyDescent="0.25">
      <c r="A58">
        <v>57</v>
      </c>
      <c r="B58" t="s">
        <v>611</v>
      </c>
      <c r="C58" t="s">
        <v>570</v>
      </c>
      <c r="D58" t="s">
        <v>534</v>
      </c>
      <c r="F58" t="str">
        <f t="shared" si="0"/>
        <v/>
      </c>
      <c r="G58" t="s">
        <v>612</v>
      </c>
      <c r="H58" t="str">
        <f t="shared" si="1"/>
        <v>ren "" "83.jpg"</v>
      </c>
      <c r="V58" s="1"/>
      <c r="W58" s="2"/>
    </row>
    <row r="59" spans="1:23" x14ac:dyDescent="0.25">
      <c r="A59">
        <v>58</v>
      </c>
      <c r="B59" t="s">
        <v>611</v>
      </c>
      <c r="C59" t="s">
        <v>570</v>
      </c>
      <c r="D59" t="s">
        <v>536</v>
      </c>
      <c r="F59" t="str">
        <f t="shared" si="0"/>
        <v/>
      </c>
      <c r="G59" t="s">
        <v>613</v>
      </c>
      <c r="H59" t="str">
        <f t="shared" si="1"/>
        <v>ren "" "84.jpg"</v>
      </c>
      <c r="V59" s="1"/>
      <c r="W59" s="2"/>
    </row>
    <row r="60" spans="1:23" x14ac:dyDescent="0.25">
      <c r="A60">
        <v>59</v>
      </c>
      <c r="B60" t="s">
        <v>611</v>
      </c>
      <c r="C60" t="s">
        <v>573</v>
      </c>
      <c r="D60" t="s">
        <v>534</v>
      </c>
      <c r="F60" t="str">
        <f t="shared" si="0"/>
        <v/>
      </c>
      <c r="G60" t="s">
        <v>614</v>
      </c>
      <c r="H60" t="str">
        <f t="shared" si="1"/>
        <v>ren "" "85.jpg"</v>
      </c>
      <c r="V60" s="1"/>
      <c r="W60" s="2"/>
    </row>
    <row r="61" spans="1:23" x14ac:dyDescent="0.25">
      <c r="A61">
        <v>60</v>
      </c>
      <c r="B61" t="s">
        <v>611</v>
      </c>
      <c r="C61" t="s">
        <v>573</v>
      </c>
      <c r="D61" t="s">
        <v>536</v>
      </c>
      <c r="F61" t="str">
        <f t="shared" si="0"/>
        <v/>
      </c>
      <c r="G61" t="s">
        <v>615</v>
      </c>
      <c r="H61" t="str">
        <f t="shared" si="1"/>
        <v>ren "" "86.jpg"</v>
      </c>
      <c r="V61" s="1"/>
      <c r="W61" s="2"/>
    </row>
    <row r="62" spans="1:23" x14ac:dyDescent="0.25">
      <c r="A62">
        <v>61</v>
      </c>
      <c r="B62" t="s">
        <v>611</v>
      </c>
      <c r="C62" t="s">
        <v>576</v>
      </c>
      <c r="D62" t="s">
        <v>534</v>
      </c>
      <c r="F62" t="str">
        <f t="shared" si="0"/>
        <v/>
      </c>
      <c r="G62" t="s">
        <v>616</v>
      </c>
      <c r="H62" t="str">
        <f t="shared" si="1"/>
        <v>ren "" "87.jpg"</v>
      </c>
      <c r="V62" s="1"/>
      <c r="W62" s="2"/>
    </row>
    <row r="63" spans="1:23" x14ac:dyDescent="0.25">
      <c r="A63">
        <v>62</v>
      </c>
      <c r="B63" t="s">
        <v>611</v>
      </c>
      <c r="C63" t="s">
        <v>576</v>
      </c>
      <c r="D63" t="s">
        <v>536</v>
      </c>
      <c r="F63" t="str">
        <f t="shared" si="0"/>
        <v/>
      </c>
      <c r="G63" t="s">
        <v>617</v>
      </c>
      <c r="H63" t="str">
        <f t="shared" si="1"/>
        <v>ren "" "88.jpg"</v>
      </c>
      <c r="V63" s="1"/>
      <c r="W63" s="2"/>
    </row>
    <row r="64" spans="1:23" x14ac:dyDescent="0.25">
      <c r="A64">
        <v>63</v>
      </c>
      <c r="B64" t="s">
        <v>611</v>
      </c>
      <c r="C64" t="s">
        <v>579</v>
      </c>
      <c r="D64" t="s">
        <v>534</v>
      </c>
      <c r="F64" t="str">
        <f t="shared" si="0"/>
        <v/>
      </c>
      <c r="G64" t="s">
        <v>618</v>
      </c>
      <c r="H64" t="str">
        <f t="shared" si="1"/>
        <v>ren "" "89.jpg"</v>
      </c>
      <c r="V64" s="1"/>
      <c r="W64" s="2"/>
    </row>
    <row r="65" spans="1:23" x14ac:dyDescent="0.25">
      <c r="A65">
        <v>64</v>
      </c>
      <c r="B65" t="s">
        <v>611</v>
      </c>
      <c r="C65" t="s">
        <v>579</v>
      </c>
      <c r="D65" t="s">
        <v>536</v>
      </c>
      <c r="F65" t="str">
        <f t="shared" si="0"/>
        <v/>
      </c>
      <c r="G65" t="s">
        <v>619</v>
      </c>
      <c r="H65" t="str">
        <f t="shared" si="1"/>
        <v>ren "" "90.jpg"</v>
      </c>
      <c r="V65" s="1"/>
      <c r="W65" s="2"/>
    </row>
    <row r="66" spans="1:23" x14ac:dyDescent="0.25">
      <c r="A66">
        <v>65</v>
      </c>
      <c r="B66" t="s">
        <v>611</v>
      </c>
      <c r="C66" t="s">
        <v>582</v>
      </c>
      <c r="D66" t="s">
        <v>534</v>
      </c>
      <c r="F66" t="str">
        <f t="shared" ref="F66:F129" si="2">IF(E66="", "", TRIM(RIGHT(SUBSTITUTE(E66, "\", REPT(" ", LEN(E66))), LEN(E66))))</f>
        <v/>
      </c>
      <c r="G66" t="s">
        <v>620</v>
      </c>
      <c r="H66" t="str">
        <f t="shared" ref="H66:H129" si="3">"ren """ &amp; F66 &amp; """ """ &amp; G66 &amp; """"</f>
        <v>ren "" "91.jpg"</v>
      </c>
      <c r="V66" s="1"/>
      <c r="W66" s="2"/>
    </row>
    <row r="67" spans="1:23" x14ac:dyDescent="0.25">
      <c r="A67">
        <v>66</v>
      </c>
      <c r="B67" t="s">
        <v>611</v>
      </c>
      <c r="C67" t="s">
        <v>582</v>
      </c>
      <c r="D67" t="s">
        <v>536</v>
      </c>
      <c r="F67" t="str">
        <f t="shared" si="2"/>
        <v/>
      </c>
      <c r="G67" t="s">
        <v>621</v>
      </c>
      <c r="H67" t="str">
        <f t="shared" si="3"/>
        <v>ren "" "92.jpg"</v>
      </c>
      <c r="V67" s="1"/>
      <c r="W67" s="2"/>
    </row>
    <row r="68" spans="1:23" x14ac:dyDescent="0.25">
      <c r="A68">
        <v>67</v>
      </c>
      <c r="B68" t="s">
        <v>611</v>
      </c>
      <c r="C68" t="s">
        <v>585</v>
      </c>
      <c r="D68" t="s">
        <v>534</v>
      </c>
      <c r="F68" t="str">
        <f t="shared" si="2"/>
        <v/>
      </c>
      <c r="G68" t="s">
        <v>622</v>
      </c>
      <c r="H68" t="str">
        <f t="shared" si="3"/>
        <v>ren "" "93.jpg"</v>
      </c>
      <c r="V68" s="1"/>
      <c r="W68" s="2"/>
    </row>
    <row r="69" spans="1:23" x14ac:dyDescent="0.25">
      <c r="A69">
        <v>68</v>
      </c>
      <c r="B69" t="s">
        <v>611</v>
      </c>
      <c r="C69" t="s">
        <v>585</v>
      </c>
      <c r="D69" t="s">
        <v>536</v>
      </c>
      <c r="F69" t="str">
        <f t="shared" si="2"/>
        <v/>
      </c>
      <c r="G69" t="s">
        <v>623</v>
      </c>
      <c r="H69" t="str">
        <f t="shared" si="3"/>
        <v>ren "" "94.jpg"</v>
      </c>
      <c r="V69" s="1"/>
      <c r="W69" s="2"/>
    </row>
    <row r="70" spans="1:23" x14ac:dyDescent="0.25">
      <c r="A70">
        <v>69</v>
      </c>
      <c r="B70" t="s">
        <v>611</v>
      </c>
      <c r="C70" t="s">
        <v>588</v>
      </c>
      <c r="D70" t="s">
        <v>534</v>
      </c>
      <c r="F70" t="str">
        <f t="shared" si="2"/>
        <v/>
      </c>
      <c r="G70" t="s">
        <v>624</v>
      </c>
      <c r="H70" t="str">
        <f t="shared" si="3"/>
        <v>ren "" "95.jpg"</v>
      </c>
      <c r="V70" s="1"/>
      <c r="W70" s="2"/>
    </row>
    <row r="71" spans="1:23" x14ac:dyDescent="0.25">
      <c r="A71">
        <v>70</v>
      </c>
      <c r="B71" t="s">
        <v>611</v>
      </c>
      <c r="C71" t="s">
        <v>588</v>
      </c>
      <c r="D71" t="s">
        <v>536</v>
      </c>
      <c r="F71" t="str">
        <f t="shared" si="2"/>
        <v/>
      </c>
      <c r="G71" t="s">
        <v>625</v>
      </c>
      <c r="H71" t="str">
        <f t="shared" si="3"/>
        <v>ren "" "96.jpg"</v>
      </c>
      <c r="V71" s="1"/>
      <c r="W71" s="2"/>
    </row>
    <row r="72" spans="1:23" x14ac:dyDescent="0.25">
      <c r="A72">
        <v>71</v>
      </c>
      <c r="B72" t="s">
        <v>611</v>
      </c>
      <c r="C72" t="s">
        <v>591</v>
      </c>
      <c r="D72" t="s">
        <v>534</v>
      </c>
      <c r="F72" t="str">
        <f t="shared" si="2"/>
        <v/>
      </c>
      <c r="G72" t="s">
        <v>626</v>
      </c>
      <c r="H72" t="str">
        <f t="shared" si="3"/>
        <v>ren "" "97.jpg"</v>
      </c>
      <c r="V72" s="1"/>
      <c r="W72" s="2"/>
    </row>
    <row r="73" spans="1:23" x14ac:dyDescent="0.25">
      <c r="A73">
        <v>72</v>
      </c>
      <c r="B73" t="s">
        <v>611</v>
      </c>
      <c r="C73" t="s">
        <v>591</v>
      </c>
      <c r="D73" t="s">
        <v>536</v>
      </c>
      <c r="F73" t="str">
        <f t="shared" si="2"/>
        <v/>
      </c>
      <c r="G73" t="s">
        <v>627</v>
      </c>
      <c r="H73" t="str">
        <f t="shared" si="3"/>
        <v>ren "" "98.jpg"</v>
      </c>
      <c r="V73" s="1"/>
      <c r="W73" s="2"/>
    </row>
    <row r="74" spans="1:23" x14ac:dyDescent="0.25">
      <c r="A74">
        <v>73</v>
      </c>
      <c r="B74" t="s">
        <v>628</v>
      </c>
      <c r="C74" t="s">
        <v>570</v>
      </c>
      <c r="D74" t="s">
        <v>534</v>
      </c>
      <c r="F74" t="str">
        <f t="shared" si="2"/>
        <v/>
      </c>
      <c r="G74" t="s">
        <v>629</v>
      </c>
      <c r="H74" t="str">
        <f t="shared" si="3"/>
        <v>ren "" "99.jpg"</v>
      </c>
      <c r="V74" s="1"/>
      <c r="W74" s="2"/>
    </row>
    <row r="75" spans="1:23" x14ac:dyDescent="0.25">
      <c r="A75">
        <v>74</v>
      </c>
      <c r="B75" t="s">
        <v>628</v>
      </c>
      <c r="C75" t="s">
        <v>570</v>
      </c>
      <c r="D75" t="s">
        <v>536</v>
      </c>
      <c r="F75" t="str">
        <f t="shared" si="2"/>
        <v/>
      </c>
      <c r="G75" t="s">
        <v>630</v>
      </c>
      <c r="H75" t="str">
        <f t="shared" si="3"/>
        <v>ren "" "100.jpg"</v>
      </c>
      <c r="V75" s="1"/>
      <c r="W75" s="2"/>
    </row>
    <row r="76" spans="1:23" x14ac:dyDescent="0.25">
      <c r="A76">
        <v>75</v>
      </c>
      <c r="B76" t="s">
        <v>628</v>
      </c>
      <c r="C76" t="s">
        <v>573</v>
      </c>
      <c r="D76" t="s">
        <v>534</v>
      </c>
      <c r="F76" t="str">
        <f t="shared" si="2"/>
        <v/>
      </c>
      <c r="G76" t="s">
        <v>631</v>
      </c>
      <c r="H76" t="str">
        <f t="shared" si="3"/>
        <v>ren "" "101.jpg"</v>
      </c>
      <c r="V76" s="1"/>
      <c r="W76" s="2"/>
    </row>
    <row r="77" spans="1:23" x14ac:dyDescent="0.25">
      <c r="A77">
        <v>76</v>
      </c>
      <c r="B77" t="s">
        <v>628</v>
      </c>
      <c r="C77" t="s">
        <v>573</v>
      </c>
      <c r="D77" t="s">
        <v>536</v>
      </c>
      <c r="F77" t="str">
        <f t="shared" si="2"/>
        <v/>
      </c>
      <c r="G77" t="s">
        <v>632</v>
      </c>
      <c r="H77" t="str">
        <f t="shared" si="3"/>
        <v>ren "" "102.jpg"</v>
      </c>
      <c r="V77" s="1"/>
      <c r="W77" s="2"/>
    </row>
    <row r="78" spans="1:23" x14ac:dyDescent="0.25">
      <c r="A78">
        <v>77</v>
      </c>
      <c r="B78" t="s">
        <v>628</v>
      </c>
      <c r="C78" t="s">
        <v>576</v>
      </c>
      <c r="D78" t="s">
        <v>534</v>
      </c>
      <c r="F78" t="str">
        <f t="shared" si="2"/>
        <v/>
      </c>
      <c r="G78" t="s">
        <v>633</v>
      </c>
      <c r="H78" t="str">
        <f t="shared" si="3"/>
        <v>ren "" "103.jpg"</v>
      </c>
      <c r="V78" s="1"/>
      <c r="W78" s="2"/>
    </row>
    <row r="79" spans="1:23" x14ac:dyDescent="0.25">
      <c r="A79">
        <v>78</v>
      </c>
      <c r="B79" t="s">
        <v>628</v>
      </c>
      <c r="C79" t="s">
        <v>576</v>
      </c>
      <c r="D79" t="s">
        <v>536</v>
      </c>
      <c r="F79" t="str">
        <f t="shared" si="2"/>
        <v/>
      </c>
      <c r="G79" t="s">
        <v>634</v>
      </c>
      <c r="H79" t="str">
        <f t="shared" si="3"/>
        <v>ren "" "104.jpg"</v>
      </c>
      <c r="V79" s="1"/>
      <c r="W79" s="2"/>
    </row>
    <row r="80" spans="1:23" x14ac:dyDescent="0.25">
      <c r="A80">
        <v>79</v>
      </c>
      <c r="B80" t="s">
        <v>628</v>
      </c>
      <c r="C80" t="s">
        <v>579</v>
      </c>
      <c r="D80" t="s">
        <v>534</v>
      </c>
      <c r="F80" t="str">
        <f t="shared" si="2"/>
        <v/>
      </c>
      <c r="G80" t="s">
        <v>635</v>
      </c>
      <c r="H80" t="str">
        <f t="shared" si="3"/>
        <v>ren "" "105.jpg"</v>
      </c>
      <c r="V80" s="1"/>
      <c r="W80" s="2"/>
    </row>
    <row r="81" spans="1:23" x14ac:dyDescent="0.25">
      <c r="A81">
        <v>80</v>
      </c>
      <c r="B81" t="s">
        <v>628</v>
      </c>
      <c r="C81" t="s">
        <v>579</v>
      </c>
      <c r="D81" t="s">
        <v>536</v>
      </c>
      <c r="F81" t="str">
        <f t="shared" si="2"/>
        <v/>
      </c>
      <c r="G81" t="s">
        <v>636</v>
      </c>
      <c r="H81" t="str">
        <f t="shared" si="3"/>
        <v>ren "" "106.jpg"</v>
      </c>
      <c r="V81" s="1"/>
      <c r="W81" s="2"/>
    </row>
    <row r="82" spans="1:23" x14ac:dyDescent="0.25">
      <c r="A82">
        <v>81</v>
      </c>
      <c r="B82" t="s">
        <v>628</v>
      </c>
      <c r="C82" t="s">
        <v>582</v>
      </c>
      <c r="D82" t="s">
        <v>534</v>
      </c>
      <c r="F82" t="str">
        <f t="shared" si="2"/>
        <v/>
      </c>
      <c r="G82" t="s">
        <v>637</v>
      </c>
      <c r="H82" t="str">
        <f t="shared" si="3"/>
        <v>ren "" "107.jpg"</v>
      </c>
      <c r="V82" s="1"/>
      <c r="W82" s="2"/>
    </row>
    <row r="83" spans="1:23" x14ac:dyDescent="0.25">
      <c r="A83">
        <v>82</v>
      </c>
      <c r="B83" t="s">
        <v>628</v>
      </c>
      <c r="C83" t="s">
        <v>582</v>
      </c>
      <c r="D83" t="s">
        <v>536</v>
      </c>
      <c r="F83" t="str">
        <f t="shared" si="2"/>
        <v/>
      </c>
      <c r="G83" t="s">
        <v>638</v>
      </c>
      <c r="H83" t="str">
        <f t="shared" si="3"/>
        <v>ren "" "108.jpg"</v>
      </c>
      <c r="V83" s="1"/>
      <c r="W83" s="2"/>
    </row>
    <row r="84" spans="1:23" x14ac:dyDescent="0.25">
      <c r="A84">
        <v>83</v>
      </c>
      <c r="B84" t="s">
        <v>628</v>
      </c>
      <c r="C84" t="s">
        <v>585</v>
      </c>
      <c r="D84" t="s">
        <v>534</v>
      </c>
      <c r="F84" t="str">
        <f t="shared" si="2"/>
        <v/>
      </c>
      <c r="G84" t="s">
        <v>639</v>
      </c>
      <c r="H84" t="str">
        <f t="shared" si="3"/>
        <v>ren "" "109.jpg"</v>
      </c>
      <c r="V84" s="1"/>
      <c r="W84" s="2"/>
    </row>
    <row r="85" spans="1:23" x14ac:dyDescent="0.25">
      <c r="A85">
        <v>84</v>
      </c>
      <c r="B85" t="s">
        <v>628</v>
      </c>
      <c r="C85" t="s">
        <v>585</v>
      </c>
      <c r="D85" t="s">
        <v>536</v>
      </c>
      <c r="F85" t="str">
        <f t="shared" si="2"/>
        <v/>
      </c>
      <c r="G85" t="s">
        <v>640</v>
      </c>
      <c r="H85" t="str">
        <f t="shared" si="3"/>
        <v>ren "" "110.jpg"</v>
      </c>
      <c r="V85" s="1"/>
      <c r="W85" s="2"/>
    </row>
    <row r="86" spans="1:23" x14ac:dyDescent="0.25">
      <c r="A86">
        <v>85</v>
      </c>
      <c r="B86" t="s">
        <v>628</v>
      </c>
      <c r="C86" t="s">
        <v>588</v>
      </c>
      <c r="D86" t="s">
        <v>534</v>
      </c>
      <c r="F86" t="str">
        <f t="shared" si="2"/>
        <v/>
      </c>
      <c r="G86" t="s">
        <v>641</v>
      </c>
      <c r="H86" t="str">
        <f t="shared" si="3"/>
        <v>ren "" "111.jpg"</v>
      </c>
      <c r="V86" s="1"/>
      <c r="W86" s="2"/>
    </row>
    <row r="87" spans="1:23" x14ac:dyDescent="0.25">
      <c r="A87">
        <v>86</v>
      </c>
      <c r="B87" t="s">
        <v>628</v>
      </c>
      <c r="C87" t="s">
        <v>588</v>
      </c>
      <c r="D87" t="s">
        <v>536</v>
      </c>
      <c r="F87" t="str">
        <f t="shared" si="2"/>
        <v/>
      </c>
      <c r="G87" t="s">
        <v>642</v>
      </c>
      <c r="H87" t="str">
        <f t="shared" si="3"/>
        <v>ren "" "112.jpg"</v>
      </c>
      <c r="V87" s="1"/>
      <c r="W87" s="2"/>
    </row>
    <row r="88" spans="1:23" x14ac:dyDescent="0.25">
      <c r="A88">
        <v>87</v>
      </c>
      <c r="B88" t="s">
        <v>628</v>
      </c>
      <c r="C88" t="s">
        <v>591</v>
      </c>
      <c r="D88" t="s">
        <v>534</v>
      </c>
      <c r="F88" t="str">
        <f t="shared" si="2"/>
        <v/>
      </c>
      <c r="G88" t="s">
        <v>643</v>
      </c>
      <c r="H88" t="str">
        <f t="shared" si="3"/>
        <v>ren "" "113.jpg"</v>
      </c>
      <c r="V88" s="1"/>
      <c r="W88" s="2"/>
    </row>
    <row r="89" spans="1:23" x14ac:dyDescent="0.25">
      <c r="A89">
        <v>88</v>
      </c>
      <c r="B89" t="s">
        <v>628</v>
      </c>
      <c r="C89" t="s">
        <v>591</v>
      </c>
      <c r="D89" t="s">
        <v>536</v>
      </c>
      <c r="F89" t="str">
        <f t="shared" si="2"/>
        <v/>
      </c>
      <c r="G89" t="s">
        <v>644</v>
      </c>
      <c r="H89" t="str">
        <f t="shared" si="3"/>
        <v>ren "" "114.jpg"</v>
      </c>
      <c r="V89" s="1"/>
      <c r="W89" s="2"/>
    </row>
    <row r="90" spans="1:23" x14ac:dyDescent="0.25">
      <c r="A90">
        <v>89</v>
      </c>
      <c r="B90" t="s">
        <v>645</v>
      </c>
      <c r="C90" t="s">
        <v>570</v>
      </c>
      <c r="D90" t="s">
        <v>534</v>
      </c>
      <c r="F90" t="str">
        <f t="shared" si="2"/>
        <v/>
      </c>
      <c r="G90" t="s">
        <v>646</v>
      </c>
      <c r="H90" t="str">
        <f t="shared" si="3"/>
        <v>ren "" "115.jpg"</v>
      </c>
      <c r="V90" s="1"/>
      <c r="W90" s="2"/>
    </row>
    <row r="91" spans="1:23" x14ac:dyDescent="0.25">
      <c r="A91">
        <v>90</v>
      </c>
      <c r="B91" t="s">
        <v>645</v>
      </c>
      <c r="C91" t="s">
        <v>570</v>
      </c>
      <c r="D91" t="s">
        <v>536</v>
      </c>
      <c r="F91" t="str">
        <f t="shared" si="2"/>
        <v/>
      </c>
      <c r="G91" t="s">
        <v>647</v>
      </c>
      <c r="H91" t="str">
        <f t="shared" si="3"/>
        <v>ren "" "116.jpg"</v>
      </c>
      <c r="V91" s="1"/>
      <c r="W91" s="2"/>
    </row>
    <row r="92" spans="1:23" x14ac:dyDescent="0.25">
      <c r="A92">
        <v>91</v>
      </c>
      <c r="B92" t="s">
        <v>645</v>
      </c>
      <c r="C92" t="s">
        <v>573</v>
      </c>
      <c r="D92" t="s">
        <v>534</v>
      </c>
      <c r="F92" t="str">
        <f t="shared" si="2"/>
        <v/>
      </c>
      <c r="G92" t="s">
        <v>648</v>
      </c>
      <c r="H92" t="str">
        <f t="shared" si="3"/>
        <v>ren "" "117.jpg"</v>
      </c>
      <c r="V92" s="1"/>
      <c r="W92" s="2"/>
    </row>
    <row r="93" spans="1:23" x14ac:dyDescent="0.25">
      <c r="A93">
        <v>92</v>
      </c>
      <c r="B93" t="s">
        <v>645</v>
      </c>
      <c r="C93" t="s">
        <v>573</v>
      </c>
      <c r="D93" t="s">
        <v>536</v>
      </c>
      <c r="F93" t="str">
        <f t="shared" si="2"/>
        <v/>
      </c>
      <c r="G93" t="s">
        <v>649</v>
      </c>
      <c r="H93" t="str">
        <f t="shared" si="3"/>
        <v>ren "" "118.jpg"</v>
      </c>
      <c r="V93" s="1"/>
      <c r="W93" s="2"/>
    </row>
    <row r="94" spans="1:23" x14ac:dyDescent="0.25">
      <c r="A94">
        <v>93</v>
      </c>
      <c r="B94" t="s">
        <v>645</v>
      </c>
      <c r="C94" t="s">
        <v>576</v>
      </c>
      <c r="D94" t="s">
        <v>534</v>
      </c>
      <c r="F94" t="str">
        <f t="shared" si="2"/>
        <v/>
      </c>
      <c r="G94" t="s">
        <v>650</v>
      </c>
      <c r="H94" t="str">
        <f t="shared" si="3"/>
        <v>ren "" "119.jpg"</v>
      </c>
      <c r="V94" s="1"/>
      <c r="W94" s="2"/>
    </row>
    <row r="95" spans="1:23" x14ac:dyDescent="0.25">
      <c r="A95">
        <v>94</v>
      </c>
      <c r="B95" t="s">
        <v>645</v>
      </c>
      <c r="C95" t="s">
        <v>576</v>
      </c>
      <c r="D95" t="s">
        <v>536</v>
      </c>
      <c r="F95" t="str">
        <f t="shared" si="2"/>
        <v/>
      </c>
      <c r="G95" t="s">
        <v>651</v>
      </c>
      <c r="H95" t="str">
        <f t="shared" si="3"/>
        <v>ren "" "120.jpg"</v>
      </c>
      <c r="V95" s="1"/>
      <c r="W95" s="2"/>
    </row>
    <row r="96" spans="1:23" x14ac:dyDescent="0.25">
      <c r="A96">
        <v>95</v>
      </c>
      <c r="B96" t="s">
        <v>645</v>
      </c>
      <c r="C96" t="s">
        <v>579</v>
      </c>
      <c r="D96" t="s">
        <v>534</v>
      </c>
      <c r="F96" t="str">
        <f t="shared" si="2"/>
        <v/>
      </c>
      <c r="G96" t="s">
        <v>652</v>
      </c>
      <c r="H96" t="str">
        <f t="shared" si="3"/>
        <v>ren "" "121.jpg"</v>
      </c>
      <c r="V96" s="1"/>
      <c r="W96" s="2"/>
    </row>
    <row r="97" spans="1:23" x14ac:dyDescent="0.25">
      <c r="A97">
        <v>96</v>
      </c>
      <c r="B97" t="s">
        <v>645</v>
      </c>
      <c r="C97" t="s">
        <v>579</v>
      </c>
      <c r="D97" t="s">
        <v>536</v>
      </c>
      <c r="F97" t="str">
        <f t="shared" si="2"/>
        <v/>
      </c>
      <c r="G97" t="s">
        <v>653</v>
      </c>
      <c r="H97" t="str">
        <f t="shared" si="3"/>
        <v>ren "" "122.jpg"</v>
      </c>
      <c r="V97" s="1"/>
      <c r="W97" s="2"/>
    </row>
    <row r="98" spans="1:23" x14ac:dyDescent="0.25">
      <c r="A98">
        <v>97</v>
      </c>
      <c r="B98" t="s">
        <v>645</v>
      </c>
      <c r="C98" t="s">
        <v>582</v>
      </c>
      <c r="D98" t="s">
        <v>534</v>
      </c>
      <c r="F98" t="str">
        <f t="shared" si="2"/>
        <v/>
      </c>
      <c r="G98" t="s">
        <v>654</v>
      </c>
      <c r="H98" t="str">
        <f t="shared" si="3"/>
        <v>ren "" "123.jpg"</v>
      </c>
      <c r="V98" s="1"/>
      <c r="W98" s="2"/>
    </row>
    <row r="99" spans="1:23" x14ac:dyDescent="0.25">
      <c r="A99">
        <v>98</v>
      </c>
      <c r="B99" t="s">
        <v>645</v>
      </c>
      <c r="C99" t="s">
        <v>582</v>
      </c>
      <c r="D99" t="s">
        <v>536</v>
      </c>
      <c r="F99" t="str">
        <f t="shared" si="2"/>
        <v/>
      </c>
      <c r="G99" t="s">
        <v>655</v>
      </c>
      <c r="H99" t="str">
        <f t="shared" si="3"/>
        <v>ren "" "124.jpg"</v>
      </c>
      <c r="V99" s="1"/>
      <c r="W99" s="2"/>
    </row>
    <row r="100" spans="1:23" x14ac:dyDescent="0.25">
      <c r="A100">
        <v>99</v>
      </c>
      <c r="B100" t="s">
        <v>645</v>
      </c>
      <c r="C100" t="s">
        <v>585</v>
      </c>
      <c r="D100" t="s">
        <v>534</v>
      </c>
      <c r="F100" t="str">
        <f t="shared" si="2"/>
        <v/>
      </c>
      <c r="G100" t="s">
        <v>656</v>
      </c>
      <c r="H100" t="str">
        <f t="shared" si="3"/>
        <v>ren "" "125.jpg"</v>
      </c>
      <c r="V100" s="1"/>
      <c r="W100" s="2"/>
    </row>
    <row r="101" spans="1:23" x14ac:dyDescent="0.25">
      <c r="A101">
        <v>100</v>
      </c>
      <c r="B101" t="s">
        <v>645</v>
      </c>
      <c r="C101" t="s">
        <v>585</v>
      </c>
      <c r="D101" t="s">
        <v>536</v>
      </c>
      <c r="F101" t="str">
        <f t="shared" si="2"/>
        <v/>
      </c>
      <c r="G101" t="s">
        <v>657</v>
      </c>
      <c r="H101" t="str">
        <f t="shared" si="3"/>
        <v>ren "" "126.jpg"</v>
      </c>
      <c r="V101" s="1"/>
      <c r="W101" s="2"/>
    </row>
    <row r="102" spans="1:23" x14ac:dyDescent="0.25">
      <c r="A102">
        <v>101</v>
      </c>
      <c r="B102" t="s">
        <v>645</v>
      </c>
      <c r="C102" t="s">
        <v>588</v>
      </c>
      <c r="D102" t="s">
        <v>534</v>
      </c>
      <c r="F102" t="str">
        <f t="shared" si="2"/>
        <v/>
      </c>
      <c r="G102" t="s">
        <v>658</v>
      </c>
      <c r="H102" t="str">
        <f t="shared" si="3"/>
        <v>ren "" "127.jpg"</v>
      </c>
      <c r="V102" s="1"/>
      <c r="W102" s="2"/>
    </row>
    <row r="103" spans="1:23" x14ac:dyDescent="0.25">
      <c r="A103">
        <v>102</v>
      </c>
      <c r="B103" t="s">
        <v>645</v>
      </c>
      <c r="C103" t="s">
        <v>588</v>
      </c>
      <c r="D103" t="s">
        <v>536</v>
      </c>
      <c r="F103" t="str">
        <f t="shared" si="2"/>
        <v/>
      </c>
      <c r="G103" t="s">
        <v>659</v>
      </c>
      <c r="H103" t="str">
        <f t="shared" si="3"/>
        <v>ren "" "128.jpg"</v>
      </c>
      <c r="V103" s="1"/>
      <c r="W103" s="2"/>
    </row>
    <row r="104" spans="1:23" x14ac:dyDescent="0.25">
      <c r="A104">
        <v>103</v>
      </c>
      <c r="B104" t="s">
        <v>645</v>
      </c>
      <c r="C104" t="s">
        <v>591</v>
      </c>
      <c r="D104" t="s">
        <v>534</v>
      </c>
      <c r="F104" t="str">
        <f t="shared" si="2"/>
        <v/>
      </c>
      <c r="G104" t="s">
        <v>660</v>
      </c>
      <c r="H104" t="str">
        <f t="shared" si="3"/>
        <v>ren "" "129.jpg"</v>
      </c>
      <c r="V104" s="1"/>
      <c r="W104" s="2"/>
    </row>
    <row r="105" spans="1:23" x14ac:dyDescent="0.25">
      <c r="A105">
        <v>104</v>
      </c>
      <c r="B105" t="s">
        <v>645</v>
      </c>
      <c r="C105" t="s">
        <v>591</v>
      </c>
      <c r="D105" t="s">
        <v>536</v>
      </c>
      <c r="F105" t="str">
        <f t="shared" si="2"/>
        <v/>
      </c>
      <c r="G105" t="s">
        <v>661</v>
      </c>
      <c r="H105" t="str">
        <f t="shared" si="3"/>
        <v>ren "" "130.jpg"</v>
      </c>
      <c r="V105" s="1"/>
      <c r="W105" s="2"/>
    </row>
    <row r="106" spans="1:23" x14ac:dyDescent="0.25">
      <c r="A106">
        <v>105</v>
      </c>
      <c r="B106" t="s">
        <v>662</v>
      </c>
      <c r="C106" t="s">
        <v>570</v>
      </c>
      <c r="D106" t="s">
        <v>534</v>
      </c>
      <c r="F106" t="str">
        <f t="shared" si="2"/>
        <v/>
      </c>
      <c r="G106" t="s">
        <v>663</v>
      </c>
      <c r="H106" t="str">
        <f t="shared" si="3"/>
        <v>ren "" "131.jpg"</v>
      </c>
      <c r="V106" s="1"/>
      <c r="W106" s="2"/>
    </row>
    <row r="107" spans="1:23" x14ac:dyDescent="0.25">
      <c r="A107">
        <v>106</v>
      </c>
      <c r="B107" t="s">
        <v>662</v>
      </c>
      <c r="C107" t="s">
        <v>570</v>
      </c>
      <c r="D107" t="s">
        <v>536</v>
      </c>
      <c r="F107" t="str">
        <f t="shared" si="2"/>
        <v/>
      </c>
      <c r="G107" t="s">
        <v>664</v>
      </c>
      <c r="H107" t="str">
        <f t="shared" si="3"/>
        <v>ren "" "132.jpg"</v>
      </c>
      <c r="V107" s="1"/>
      <c r="W107" s="2"/>
    </row>
    <row r="108" spans="1:23" x14ac:dyDescent="0.25">
      <c r="A108">
        <v>107</v>
      </c>
      <c r="B108" t="s">
        <v>662</v>
      </c>
      <c r="C108" t="s">
        <v>573</v>
      </c>
      <c r="D108" t="s">
        <v>534</v>
      </c>
      <c r="F108" t="str">
        <f t="shared" si="2"/>
        <v/>
      </c>
      <c r="G108" t="s">
        <v>665</v>
      </c>
      <c r="H108" t="str">
        <f t="shared" si="3"/>
        <v>ren "" "133.jpg"</v>
      </c>
      <c r="V108" s="1"/>
      <c r="W108" s="2"/>
    </row>
    <row r="109" spans="1:23" x14ac:dyDescent="0.25">
      <c r="A109">
        <v>108</v>
      </c>
      <c r="B109" t="s">
        <v>662</v>
      </c>
      <c r="C109" t="s">
        <v>573</v>
      </c>
      <c r="D109" t="s">
        <v>536</v>
      </c>
      <c r="F109" t="str">
        <f t="shared" si="2"/>
        <v/>
      </c>
      <c r="G109" t="s">
        <v>666</v>
      </c>
      <c r="H109" t="str">
        <f t="shared" si="3"/>
        <v>ren "" "134.jpg"</v>
      </c>
      <c r="V109" s="1"/>
      <c r="W109" s="2"/>
    </row>
    <row r="110" spans="1:23" x14ac:dyDescent="0.25">
      <c r="A110">
        <v>109</v>
      </c>
      <c r="B110" t="s">
        <v>662</v>
      </c>
      <c r="C110" t="s">
        <v>576</v>
      </c>
      <c r="D110" t="s">
        <v>534</v>
      </c>
      <c r="F110" t="str">
        <f t="shared" si="2"/>
        <v/>
      </c>
      <c r="G110" t="s">
        <v>667</v>
      </c>
      <c r="H110" t="str">
        <f t="shared" si="3"/>
        <v>ren "" "135.jpg"</v>
      </c>
      <c r="V110" s="1"/>
      <c r="W110" s="2"/>
    </row>
    <row r="111" spans="1:23" x14ac:dyDescent="0.25">
      <c r="A111">
        <v>110</v>
      </c>
      <c r="B111" t="s">
        <v>662</v>
      </c>
      <c r="C111" t="s">
        <v>576</v>
      </c>
      <c r="D111" t="s">
        <v>536</v>
      </c>
      <c r="F111" t="str">
        <f t="shared" si="2"/>
        <v/>
      </c>
      <c r="G111" t="s">
        <v>668</v>
      </c>
      <c r="H111" t="str">
        <f t="shared" si="3"/>
        <v>ren "" "136.jpg"</v>
      </c>
      <c r="V111" s="1"/>
      <c r="W111" s="2"/>
    </row>
    <row r="112" spans="1:23" x14ac:dyDescent="0.25">
      <c r="A112">
        <v>111</v>
      </c>
      <c r="B112" t="s">
        <v>662</v>
      </c>
      <c r="C112" t="s">
        <v>579</v>
      </c>
      <c r="D112" t="s">
        <v>534</v>
      </c>
      <c r="F112" t="str">
        <f t="shared" si="2"/>
        <v/>
      </c>
      <c r="G112" t="s">
        <v>669</v>
      </c>
      <c r="H112" t="str">
        <f t="shared" si="3"/>
        <v>ren "" "137.jpg"</v>
      </c>
      <c r="V112" s="1"/>
      <c r="W112" s="2"/>
    </row>
    <row r="113" spans="1:23" x14ac:dyDescent="0.25">
      <c r="A113">
        <v>112</v>
      </c>
      <c r="B113" t="s">
        <v>662</v>
      </c>
      <c r="C113" t="s">
        <v>579</v>
      </c>
      <c r="D113" t="s">
        <v>536</v>
      </c>
      <c r="F113" t="str">
        <f t="shared" si="2"/>
        <v/>
      </c>
      <c r="G113" t="s">
        <v>670</v>
      </c>
      <c r="H113" t="str">
        <f t="shared" si="3"/>
        <v>ren "" "138.jpg"</v>
      </c>
      <c r="V113" s="1"/>
      <c r="W113" s="2"/>
    </row>
    <row r="114" spans="1:23" x14ac:dyDescent="0.25">
      <c r="A114">
        <v>113</v>
      </c>
      <c r="B114" t="s">
        <v>662</v>
      </c>
      <c r="C114" t="s">
        <v>582</v>
      </c>
      <c r="D114" t="s">
        <v>534</v>
      </c>
      <c r="F114" t="str">
        <f t="shared" si="2"/>
        <v/>
      </c>
      <c r="G114" t="s">
        <v>671</v>
      </c>
      <c r="H114" t="str">
        <f t="shared" si="3"/>
        <v>ren "" "139.jpg"</v>
      </c>
      <c r="V114" s="1"/>
      <c r="W114" s="2"/>
    </row>
    <row r="115" spans="1:23" x14ac:dyDescent="0.25">
      <c r="A115">
        <v>114</v>
      </c>
      <c r="B115" t="s">
        <v>662</v>
      </c>
      <c r="C115" t="s">
        <v>582</v>
      </c>
      <c r="D115" t="s">
        <v>536</v>
      </c>
      <c r="F115" t="str">
        <f t="shared" si="2"/>
        <v/>
      </c>
      <c r="G115" t="s">
        <v>672</v>
      </c>
      <c r="H115" t="str">
        <f t="shared" si="3"/>
        <v>ren "" "140.jpg"</v>
      </c>
      <c r="V115" s="1"/>
      <c r="W115" s="2"/>
    </row>
    <row r="116" spans="1:23" x14ac:dyDescent="0.25">
      <c r="A116">
        <v>115</v>
      </c>
      <c r="B116" t="s">
        <v>662</v>
      </c>
      <c r="C116" t="s">
        <v>585</v>
      </c>
      <c r="D116" t="s">
        <v>534</v>
      </c>
      <c r="F116" t="str">
        <f t="shared" si="2"/>
        <v/>
      </c>
      <c r="G116" t="s">
        <v>673</v>
      </c>
      <c r="H116" t="str">
        <f t="shared" si="3"/>
        <v>ren "" "141.jpg"</v>
      </c>
      <c r="V116" s="1"/>
      <c r="W116" s="2"/>
    </row>
    <row r="117" spans="1:23" x14ac:dyDescent="0.25">
      <c r="A117">
        <v>116</v>
      </c>
      <c r="B117" t="s">
        <v>662</v>
      </c>
      <c r="C117" t="s">
        <v>585</v>
      </c>
      <c r="D117" t="s">
        <v>536</v>
      </c>
      <c r="F117" t="str">
        <f t="shared" si="2"/>
        <v/>
      </c>
      <c r="G117" t="s">
        <v>674</v>
      </c>
      <c r="H117" t="str">
        <f t="shared" si="3"/>
        <v>ren "" "142.jpg"</v>
      </c>
      <c r="V117" s="1"/>
      <c r="W117" s="2"/>
    </row>
    <row r="118" spans="1:23" x14ac:dyDescent="0.25">
      <c r="A118">
        <v>117</v>
      </c>
      <c r="B118" t="s">
        <v>662</v>
      </c>
      <c r="C118" t="s">
        <v>588</v>
      </c>
      <c r="D118" t="s">
        <v>534</v>
      </c>
      <c r="F118" t="str">
        <f t="shared" si="2"/>
        <v/>
      </c>
      <c r="G118" t="s">
        <v>675</v>
      </c>
      <c r="H118" t="str">
        <f t="shared" si="3"/>
        <v>ren "" "143.jpg"</v>
      </c>
      <c r="V118" s="1"/>
      <c r="W118" s="2"/>
    </row>
    <row r="119" spans="1:23" x14ac:dyDescent="0.25">
      <c r="A119">
        <v>118</v>
      </c>
      <c r="B119" t="s">
        <v>662</v>
      </c>
      <c r="C119" t="s">
        <v>588</v>
      </c>
      <c r="D119" t="s">
        <v>536</v>
      </c>
      <c r="F119" t="str">
        <f t="shared" si="2"/>
        <v/>
      </c>
      <c r="G119" t="s">
        <v>676</v>
      </c>
      <c r="H119" t="str">
        <f t="shared" si="3"/>
        <v>ren "" "144.jpg"</v>
      </c>
      <c r="V119" s="1"/>
      <c r="W119" s="2"/>
    </row>
    <row r="120" spans="1:23" x14ac:dyDescent="0.25">
      <c r="A120">
        <v>119</v>
      </c>
      <c r="B120" t="s">
        <v>662</v>
      </c>
      <c r="C120" t="s">
        <v>591</v>
      </c>
      <c r="D120" t="s">
        <v>534</v>
      </c>
      <c r="F120" t="str">
        <f t="shared" si="2"/>
        <v/>
      </c>
      <c r="G120" t="s">
        <v>677</v>
      </c>
      <c r="H120" t="str">
        <f t="shared" si="3"/>
        <v>ren "" "145.jpg"</v>
      </c>
      <c r="V120" s="1"/>
      <c r="W120" s="2"/>
    </row>
    <row r="121" spans="1:23" x14ac:dyDescent="0.25">
      <c r="A121">
        <v>120</v>
      </c>
      <c r="B121" t="s">
        <v>662</v>
      </c>
      <c r="C121" t="s">
        <v>591</v>
      </c>
      <c r="D121" t="s">
        <v>536</v>
      </c>
      <c r="F121" t="str">
        <f t="shared" si="2"/>
        <v/>
      </c>
      <c r="G121" t="s">
        <v>678</v>
      </c>
      <c r="H121" t="str">
        <f t="shared" si="3"/>
        <v>ren "" "146.jpg"</v>
      </c>
      <c r="V121" s="1"/>
      <c r="W121" s="2"/>
    </row>
    <row r="122" spans="1:23" x14ac:dyDescent="0.25">
      <c r="A122">
        <v>121</v>
      </c>
      <c r="B122" t="s">
        <v>679</v>
      </c>
      <c r="C122" t="s">
        <v>570</v>
      </c>
      <c r="D122" t="s">
        <v>534</v>
      </c>
      <c r="F122" t="str">
        <f t="shared" si="2"/>
        <v/>
      </c>
      <c r="G122" t="s">
        <v>680</v>
      </c>
      <c r="H122" t="str">
        <f t="shared" si="3"/>
        <v>ren "" "147.jpg"</v>
      </c>
      <c r="V122" s="1"/>
      <c r="W122" s="2"/>
    </row>
    <row r="123" spans="1:23" x14ac:dyDescent="0.25">
      <c r="A123">
        <v>122</v>
      </c>
      <c r="B123" t="s">
        <v>679</v>
      </c>
      <c r="C123" t="s">
        <v>570</v>
      </c>
      <c r="D123" t="s">
        <v>536</v>
      </c>
      <c r="F123" t="str">
        <f t="shared" si="2"/>
        <v/>
      </c>
      <c r="G123" t="s">
        <v>681</v>
      </c>
      <c r="H123" t="str">
        <f t="shared" si="3"/>
        <v>ren "" "148.jpg"</v>
      </c>
      <c r="V123" s="1"/>
      <c r="W123" s="2"/>
    </row>
    <row r="124" spans="1:23" x14ac:dyDescent="0.25">
      <c r="A124">
        <v>123</v>
      </c>
      <c r="B124" t="s">
        <v>679</v>
      </c>
      <c r="C124" t="s">
        <v>573</v>
      </c>
      <c r="D124" t="s">
        <v>534</v>
      </c>
      <c r="F124" t="str">
        <f t="shared" si="2"/>
        <v/>
      </c>
      <c r="G124" t="s">
        <v>682</v>
      </c>
      <c r="H124" t="str">
        <f t="shared" si="3"/>
        <v>ren "" "149.jpg"</v>
      </c>
      <c r="V124" s="1"/>
      <c r="W124" s="2"/>
    </row>
    <row r="125" spans="1:23" x14ac:dyDescent="0.25">
      <c r="A125">
        <v>124</v>
      </c>
      <c r="B125" t="s">
        <v>679</v>
      </c>
      <c r="C125" t="s">
        <v>573</v>
      </c>
      <c r="D125" t="s">
        <v>536</v>
      </c>
      <c r="F125" t="str">
        <f t="shared" si="2"/>
        <v/>
      </c>
      <c r="G125" t="s">
        <v>683</v>
      </c>
      <c r="H125" t="str">
        <f t="shared" si="3"/>
        <v>ren "" "150.jpg"</v>
      </c>
      <c r="V125" s="1"/>
      <c r="W125" s="2"/>
    </row>
    <row r="126" spans="1:23" x14ac:dyDescent="0.25">
      <c r="A126">
        <v>125</v>
      </c>
      <c r="B126" t="s">
        <v>679</v>
      </c>
      <c r="C126" t="s">
        <v>576</v>
      </c>
      <c r="D126" t="s">
        <v>534</v>
      </c>
      <c r="F126" t="str">
        <f t="shared" si="2"/>
        <v/>
      </c>
      <c r="G126" t="s">
        <v>684</v>
      </c>
      <c r="H126" t="str">
        <f t="shared" si="3"/>
        <v>ren "" "151.jpg"</v>
      </c>
      <c r="V126" s="1"/>
      <c r="W126" s="2"/>
    </row>
    <row r="127" spans="1:23" x14ac:dyDescent="0.25">
      <c r="A127">
        <v>126</v>
      </c>
      <c r="B127" t="s">
        <v>679</v>
      </c>
      <c r="C127" t="s">
        <v>576</v>
      </c>
      <c r="D127" t="s">
        <v>536</v>
      </c>
      <c r="F127" t="str">
        <f t="shared" si="2"/>
        <v/>
      </c>
      <c r="G127" t="s">
        <v>685</v>
      </c>
      <c r="H127" t="str">
        <f t="shared" si="3"/>
        <v>ren "" "152.jpg"</v>
      </c>
      <c r="V127" s="1"/>
      <c r="W127" s="2"/>
    </row>
    <row r="128" spans="1:23" x14ac:dyDescent="0.25">
      <c r="A128">
        <v>127</v>
      </c>
      <c r="B128" t="s">
        <v>679</v>
      </c>
      <c r="C128" t="s">
        <v>579</v>
      </c>
      <c r="D128" t="s">
        <v>534</v>
      </c>
      <c r="F128" t="str">
        <f t="shared" si="2"/>
        <v/>
      </c>
      <c r="G128" t="s">
        <v>686</v>
      </c>
      <c r="H128" t="str">
        <f t="shared" si="3"/>
        <v>ren "" "153.jpg"</v>
      </c>
      <c r="V128" s="1"/>
      <c r="W128" s="2"/>
    </row>
    <row r="129" spans="1:23" x14ac:dyDescent="0.25">
      <c r="A129">
        <v>128</v>
      </c>
      <c r="B129" t="s">
        <v>679</v>
      </c>
      <c r="C129" t="s">
        <v>579</v>
      </c>
      <c r="D129" t="s">
        <v>536</v>
      </c>
      <c r="F129" t="str">
        <f t="shared" si="2"/>
        <v/>
      </c>
      <c r="G129" t="s">
        <v>687</v>
      </c>
      <c r="H129" t="str">
        <f t="shared" si="3"/>
        <v>ren "" "154.jpg"</v>
      </c>
      <c r="V129" s="1"/>
      <c r="W129" s="2"/>
    </row>
    <row r="130" spans="1:23" x14ac:dyDescent="0.25">
      <c r="A130">
        <v>129</v>
      </c>
      <c r="B130" t="s">
        <v>679</v>
      </c>
      <c r="C130" t="s">
        <v>582</v>
      </c>
      <c r="D130" t="s">
        <v>534</v>
      </c>
      <c r="F130" t="str">
        <f t="shared" ref="F130:F193" si="4">IF(E130="", "", TRIM(RIGHT(SUBSTITUTE(E130, "\", REPT(" ", LEN(E130))), LEN(E130))))</f>
        <v/>
      </c>
      <c r="G130" t="s">
        <v>688</v>
      </c>
      <c r="H130" t="str">
        <f t="shared" ref="H130:H193" si="5">"ren """ &amp; F130 &amp; """ """ &amp; G130 &amp; """"</f>
        <v>ren "" "155.jpg"</v>
      </c>
      <c r="V130" s="1"/>
      <c r="W130" s="2"/>
    </row>
    <row r="131" spans="1:23" x14ac:dyDescent="0.25">
      <c r="A131">
        <v>130</v>
      </c>
      <c r="B131" t="s">
        <v>679</v>
      </c>
      <c r="C131" t="s">
        <v>582</v>
      </c>
      <c r="D131" t="s">
        <v>536</v>
      </c>
      <c r="F131" t="str">
        <f t="shared" si="4"/>
        <v/>
      </c>
      <c r="G131" t="s">
        <v>689</v>
      </c>
      <c r="H131" t="str">
        <f t="shared" si="5"/>
        <v>ren "" "156.jpg"</v>
      </c>
      <c r="V131" s="1"/>
      <c r="W131" s="2"/>
    </row>
    <row r="132" spans="1:23" x14ac:dyDescent="0.25">
      <c r="A132">
        <v>131</v>
      </c>
      <c r="B132" t="s">
        <v>679</v>
      </c>
      <c r="C132" t="s">
        <v>585</v>
      </c>
      <c r="D132" t="s">
        <v>534</v>
      </c>
      <c r="F132" t="str">
        <f t="shared" si="4"/>
        <v/>
      </c>
      <c r="G132" t="s">
        <v>690</v>
      </c>
      <c r="H132" t="str">
        <f t="shared" si="5"/>
        <v>ren "" "157.jpg"</v>
      </c>
      <c r="V132" s="1"/>
      <c r="W132" s="2"/>
    </row>
    <row r="133" spans="1:23" x14ac:dyDescent="0.25">
      <c r="A133">
        <v>132</v>
      </c>
      <c r="B133" t="s">
        <v>679</v>
      </c>
      <c r="C133" t="s">
        <v>585</v>
      </c>
      <c r="D133" t="s">
        <v>536</v>
      </c>
      <c r="F133" t="str">
        <f t="shared" si="4"/>
        <v/>
      </c>
      <c r="G133" t="s">
        <v>691</v>
      </c>
      <c r="H133" t="str">
        <f t="shared" si="5"/>
        <v>ren "" "158.jpg"</v>
      </c>
      <c r="V133" s="1"/>
      <c r="W133" s="2"/>
    </row>
    <row r="134" spans="1:23" x14ac:dyDescent="0.25">
      <c r="A134">
        <v>133</v>
      </c>
      <c r="B134" t="s">
        <v>679</v>
      </c>
      <c r="C134" t="s">
        <v>588</v>
      </c>
      <c r="D134" t="s">
        <v>534</v>
      </c>
      <c r="F134" t="str">
        <f t="shared" si="4"/>
        <v/>
      </c>
      <c r="G134" t="s">
        <v>692</v>
      </c>
      <c r="H134" t="str">
        <f t="shared" si="5"/>
        <v>ren "" "159.jpg"</v>
      </c>
      <c r="V134" s="1"/>
      <c r="W134" s="2"/>
    </row>
    <row r="135" spans="1:23" x14ac:dyDescent="0.25">
      <c r="A135">
        <v>134</v>
      </c>
      <c r="B135" t="s">
        <v>679</v>
      </c>
      <c r="C135" t="s">
        <v>588</v>
      </c>
      <c r="D135" t="s">
        <v>536</v>
      </c>
      <c r="F135" t="str">
        <f t="shared" si="4"/>
        <v/>
      </c>
      <c r="G135" t="s">
        <v>693</v>
      </c>
      <c r="H135" t="str">
        <f t="shared" si="5"/>
        <v>ren "" "160.jpg"</v>
      </c>
      <c r="V135" s="1"/>
      <c r="W135" s="2"/>
    </row>
    <row r="136" spans="1:23" x14ac:dyDescent="0.25">
      <c r="A136">
        <v>135</v>
      </c>
      <c r="B136" t="s">
        <v>679</v>
      </c>
      <c r="C136" t="s">
        <v>591</v>
      </c>
      <c r="D136" t="s">
        <v>534</v>
      </c>
      <c r="F136" t="str">
        <f t="shared" si="4"/>
        <v/>
      </c>
      <c r="G136" t="s">
        <v>694</v>
      </c>
      <c r="H136" t="str">
        <f t="shared" si="5"/>
        <v>ren "" "161.jpg"</v>
      </c>
      <c r="V136" s="1"/>
      <c r="W136" s="2"/>
    </row>
    <row r="137" spans="1:23" x14ac:dyDescent="0.25">
      <c r="A137">
        <v>136</v>
      </c>
      <c r="B137" t="s">
        <v>679</v>
      </c>
      <c r="C137" t="s">
        <v>591</v>
      </c>
      <c r="D137" t="s">
        <v>536</v>
      </c>
      <c r="F137" t="str">
        <f t="shared" si="4"/>
        <v/>
      </c>
      <c r="G137" t="s">
        <v>695</v>
      </c>
      <c r="H137" t="str">
        <f t="shared" si="5"/>
        <v>ren "" "162.jpg"</v>
      </c>
      <c r="V137" s="1"/>
      <c r="W137" s="2"/>
    </row>
    <row r="138" spans="1:23" x14ac:dyDescent="0.25">
      <c r="A138">
        <v>137</v>
      </c>
      <c r="B138" t="s">
        <v>696</v>
      </c>
      <c r="C138" t="s">
        <v>570</v>
      </c>
      <c r="D138" t="s">
        <v>534</v>
      </c>
      <c r="F138" t="str">
        <f t="shared" si="4"/>
        <v/>
      </c>
      <c r="G138" t="s">
        <v>697</v>
      </c>
      <c r="H138" t="str">
        <f t="shared" si="5"/>
        <v>ren "" "163.jpg"</v>
      </c>
      <c r="V138" s="1"/>
      <c r="W138" s="2"/>
    </row>
    <row r="139" spans="1:23" x14ac:dyDescent="0.25">
      <c r="A139">
        <v>138</v>
      </c>
      <c r="B139" t="s">
        <v>696</v>
      </c>
      <c r="C139" t="s">
        <v>570</v>
      </c>
      <c r="D139" t="s">
        <v>536</v>
      </c>
      <c r="F139" t="str">
        <f t="shared" si="4"/>
        <v/>
      </c>
      <c r="G139" t="s">
        <v>698</v>
      </c>
      <c r="H139" t="str">
        <f t="shared" si="5"/>
        <v>ren "" "164.jpg"</v>
      </c>
      <c r="V139" s="1"/>
      <c r="W139" s="2"/>
    </row>
    <row r="140" spans="1:23" x14ac:dyDescent="0.25">
      <c r="A140">
        <v>139</v>
      </c>
      <c r="B140" t="s">
        <v>696</v>
      </c>
      <c r="C140" t="s">
        <v>573</v>
      </c>
      <c r="D140" t="s">
        <v>534</v>
      </c>
      <c r="F140" t="str">
        <f t="shared" si="4"/>
        <v/>
      </c>
      <c r="G140" t="s">
        <v>699</v>
      </c>
      <c r="H140" t="str">
        <f t="shared" si="5"/>
        <v>ren "" "165.jpg"</v>
      </c>
      <c r="V140" s="1"/>
      <c r="W140" s="2"/>
    </row>
    <row r="141" spans="1:23" x14ac:dyDescent="0.25">
      <c r="A141">
        <v>140</v>
      </c>
      <c r="B141" t="s">
        <v>696</v>
      </c>
      <c r="C141" t="s">
        <v>573</v>
      </c>
      <c r="D141" t="s">
        <v>536</v>
      </c>
      <c r="F141" t="str">
        <f t="shared" si="4"/>
        <v/>
      </c>
      <c r="G141" t="s">
        <v>700</v>
      </c>
      <c r="H141" t="str">
        <f t="shared" si="5"/>
        <v>ren "" "166.jpg"</v>
      </c>
      <c r="V141" s="1"/>
      <c r="W141" s="2"/>
    </row>
    <row r="142" spans="1:23" x14ac:dyDescent="0.25">
      <c r="A142">
        <v>141</v>
      </c>
      <c r="B142" t="s">
        <v>696</v>
      </c>
      <c r="C142" t="s">
        <v>576</v>
      </c>
      <c r="D142" t="s">
        <v>534</v>
      </c>
      <c r="F142" t="str">
        <f t="shared" si="4"/>
        <v/>
      </c>
      <c r="G142" t="s">
        <v>701</v>
      </c>
      <c r="H142" t="str">
        <f t="shared" si="5"/>
        <v>ren "" "167.jpg"</v>
      </c>
      <c r="V142" s="1"/>
      <c r="W142" s="2"/>
    </row>
    <row r="143" spans="1:23" x14ac:dyDescent="0.25">
      <c r="A143">
        <v>142</v>
      </c>
      <c r="B143" t="s">
        <v>696</v>
      </c>
      <c r="C143" t="s">
        <v>576</v>
      </c>
      <c r="D143" t="s">
        <v>536</v>
      </c>
      <c r="F143" t="str">
        <f t="shared" si="4"/>
        <v/>
      </c>
      <c r="G143" t="s">
        <v>702</v>
      </c>
      <c r="H143" t="str">
        <f t="shared" si="5"/>
        <v>ren "" "168.jpg"</v>
      </c>
      <c r="V143" s="1"/>
      <c r="W143" s="2"/>
    </row>
    <row r="144" spans="1:23" x14ac:dyDescent="0.25">
      <c r="A144">
        <v>143</v>
      </c>
      <c r="B144" t="s">
        <v>696</v>
      </c>
      <c r="C144" t="s">
        <v>579</v>
      </c>
      <c r="D144" t="s">
        <v>534</v>
      </c>
      <c r="F144" t="str">
        <f t="shared" si="4"/>
        <v/>
      </c>
      <c r="G144" t="s">
        <v>703</v>
      </c>
      <c r="H144" t="str">
        <f t="shared" si="5"/>
        <v>ren "" "169.jpg"</v>
      </c>
      <c r="V144" s="1"/>
      <c r="W144" s="2"/>
    </row>
    <row r="145" spans="1:23" x14ac:dyDescent="0.25">
      <c r="A145">
        <v>144</v>
      </c>
      <c r="B145" t="s">
        <v>696</v>
      </c>
      <c r="C145" t="s">
        <v>579</v>
      </c>
      <c r="D145" t="s">
        <v>536</v>
      </c>
      <c r="F145" t="str">
        <f t="shared" si="4"/>
        <v/>
      </c>
      <c r="G145" t="s">
        <v>704</v>
      </c>
      <c r="H145" t="str">
        <f t="shared" si="5"/>
        <v>ren "" "170.jpg"</v>
      </c>
      <c r="V145" s="1"/>
      <c r="W145" s="2"/>
    </row>
    <row r="146" spans="1:23" x14ac:dyDescent="0.25">
      <c r="A146">
        <v>145</v>
      </c>
      <c r="B146" t="s">
        <v>696</v>
      </c>
      <c r="C146" t="s">
        <v>582</v>
      </c>
      <c r="D146" t="s">
        <v>534</v>
      </c>
      <c r="F146" t="str">
        <f t="shared" si="4"/>
        <v/>
      </c>
      <c r="G146" t="s">
        <v>705</v>
      </c>
      <c r="H146" t="str">
        <f t="shared" si="5"/>
        <v>ren "" "171.jpg"</v>
      </c>
      <c r="V146" s="1"/>
      <c r="W146" s="2"/>
    </row>
    <row r="147" spans="1:23" x14ac:dyDescent="0.25">
      <c r="A147">
        <v>146</v>
      </c>
      <c r="B147" t="s">
        <v>696</v>
      </c>
      <c r="C147" t="s">
        <v>582</v>
      </c>
      <c r="D147" t="s">
        <v>536</v>
      </c>
      <c r="F147" t="str">
        <f t="shared" si="4"/>
        <v/>
      </c>
      <c r="G147" t="s">
        <v>706</v>
      </c>
      <c r="H147" t="str">
        <f t="shared" si="5"/>
        <v>ren "" "172.jpg"</v>
      </c>
      <c r="V147" s="1"/>
      <c r="W147" s="2"/>
    </row>
    <row r="148" spans="1:23" x14ac:dyDescent="0.25">
      <c r="A148">
        <v>147</v>
      </c>
      <c r="B148" t="s">
        <v>696</v>
      </c>
      <c r="C148" t="s">
        <v>585</v>
      </c>
      <c r="D148" t="s">
        <v>534</v>
      </c>
      <c r="F148" t="str">
        <f t="shared" si="4"/>
        <v/>
      </c>
      <c r="G148" t="s">
        <v>707</v>
      </c>
      <c r="H148" t="str">
        <f t="shared" si="5"/>
        <v>ren "" "173.jpg"</v>
      </c>
      <c r="V148" s="1"/>
      <c r="W148" s="2"/>
    </row>
    <row r="149" spans="1:23" x14ac:dyDescent="0.25">
      <c r="A149">
        <v>148</v>
      </c>
      <c r="B149" t="s">
        <v>696</v>
      </c>
      <c r="C149" t="s">
        <v>585</v>
      </c>
      <c r="D149" t="s">
        <v>536</v>
      </c>
      <c r="F149" t="str">
        <f t="shared" si="4"/>
        <v/>
      </c>
      <c r="G149" t="s">
        <v>708</v>
      </c>
      <c r="H149" t="str">
        <f t="shared" si="5"/>
        <v>ren "" "174.jpg"</v>
      </c>
      <c r="V149" s="1"/>
      <c r="W149" s="2"/>
    </row>
    <row r="150" spans="1:23" x14ac:dyDescent="0.25">
      <c r="A150">
        <v>149</v>
      </c>
      <c r="B150" t="s">
        <v>696</v>
      </c>
      <c r="C150" t="s">
        <v>588</v>
      </c>
      <c r="D150" t="s">
        <v>534</v>
      </c>
      <c r="F150" t="str">
        <f t="shared" si="4"/>
        <v/>
      </c>
      <c r="G150" t="s">
        <v>709</v>
      </c>
      <c r="H150" t="str">
        <f t="shared" si="5"/>
        <v>ren "" "175.jpg"</v>
      </c>
      <c r="V150" s="1"/>
      <c r="W150" s="2"/>
    </row>
    <row r="151" spans="1:23" x14ac:dyDescent="0.25">
      <c r="A151">
        <v>150</v>
      </c>
      <c r="B151" t="s">
        <v>696</v>
      </c>
      <c r="C151" t="s">
        <v>588</v>
      </c>
      <c r="D151" t="s">
        <v>536</v>
      </c>
      <c r="F151" t="str">
        <f t="shared" si="4"/>
        <v/>
      </c>
      <c r="G151" t="s">
        <v>710</v>
      </c>
      <c r="H151" t="str">
        <f t="shared" si="5"/>
        <v>ren "" "176.jpg"</v>
      </c>
      <c r="V151" s="1"/>
      <c r="W151" s="2"/>
    </row>
    <row r="152" spans="1:23" x14ac:dyDescent="0.25">
      <c r="A152">
        <v>151</v>
      </c>
      <c r="B152" t="s">
        <v>696</v>
      </c>
      <c r="C152" t="s">
        <v>591</v>
      </c>
      <c r="D152" t="s">
        <v>534</v>
      </c>
      <c r="F152" t="str">
        <f t="shared" si="4"/>
        <v/>
      </c>
      <c r="G152" t="s">
        <v>711</v>
      </c>
      <c r="H152" t="str">
        <f t="shared" si="5"/>
        <v>ren "" "177.jpg"</v>
      </c>
      <c r="V152" s="1"/>
      <c r="W152" s="2"/>
    </row>
    <row r="153" spans="1:23" x14ac:dyDescent="0.25">
      <c r="A153">
        <v>152</v>
      </c>
      <c r="B153" t="s">
        <v>696</v>
      </c>
      <c r="C153" t="s">
        <v>591</v>
      </c>
      <c r="D153" t="s">
        <v>536</v>
      </c>
      <c r="F153" t="str">
        <f t="shared" si="4"/>
        <v/>
      </c>
      <c r="G153" t="s">
        <v>712</v>
      </c>
      <c r="H153" t="str">
        <f t="shared" si="5"/>
        <v>ren "" "178.jpg"</v>
      </c>
      <c r="V153" s="1"/>
      <c r="W153" s="2"/>
    </row>
    <row r="154" spans="1:23" x14ac:dyDescent="0.25">
      <c r="A154">
        <v>153</v>
      </c>
      <c r="B154" t="s">
        <v>713</v>
      </c>
      <c r="C154" t="s">
        <v>570</v>
      </c>
      <c r="D154" t="s">
        <v>534</v>
      </c>
      <c r="F154" t="str">
        <f t="shared" si="4"/>
        <v/>
      </c>
      <c r="G154" t="s">
        <v>714</v>
      </c>
      <c r="H154" t="str">
        <f t="shared" si="5"/>
        <v>ren "" "179.jpg"</v>
      </c>
      <c r="V154" s="1"/>
      <c r="W154" s="2"/>
    </row>
    <row r="155" spans="1:23" x14ac:dyDescent="0.25">
      <c r="A155">
        <v>154</v>
      </c>
      <c r="B155" t="s">
        <v>713</v>
      </c>
      <c r="C155" t="s">
        <v>570</v>
      </c>
      <c r="D155" t="s">
        <v>536</v>
      </c>
      <c r="F155" t="str">
        <f t="shared" si="4"/>
        <v/>
      </c>
      <c r="G155" t="s">
        <v>715</v>
      </c>
      <c r="H155" t="str">
        <f t="shared" si="5"/>
        <v>ren "" "180.jpg"</v>
      </c>
      <c r="V155" s="1"/>
      <c r="W155" s="2"/>
    </row>
    <row r="156" spans="1:23" x14ac:dyDescent="0.25">
      <c r="A156">
        <v>155</v>
      </c>
      <c r="B156" t="s">
        <v>713</v>
      </c>
      <c r="C156" t="s">
        <v>573</v>
      </c>
      <c r="D156" t="s">
        <v>534</v>
      </c>
      <c r="F156" t="str">
        <f t="shared" si="4"/>
        <v/>
      </c>
      <c r="G156" t="s">
        <v>716</v>
      </c>
      <c r="H156" t="str">
        <f t="shared" si="5"/>
        <v>ren "" "181.jpg"</v>
      </c>
      <c r="V156" s="1"/>
      <c r="W156" s="2"/>
    </row>
    <row r="157" spans="1:23" x14ac:dyDescent="0.25">
      <c r="A157">
        <v>156</v>
      </c>
      <c r="B157" t="s">
        <v>713</v>
      </c>
      <c r="C157" t="s">
        <v>573</v>
      </c>
      <c r="D157" t="s">
        <v>536</v>
      </c>
      <c r="F157" t="str">
        <f t="shared" si="4"/>
        <v/>
      </c>
      <c r="G157" t="s">
        <v>717</v>
      </c>
      <c r="H157" t="str">
        <f t="shared" si="5"/>
        <v>ren "" "182.jpg"</v>
      </c>
      <c r="V157" s="1"/>
      <c r="W157" s="2"/>
    </row>
    <row r="158" spans="1:23" x14ac:dyDescent="0.25">
      <c r="A158">
        <v>157</v>
      </c>
      <c r="B158" t="s">
        <v>713</v>
      </c>
      <c r="C158" t="s">
        <v>576</v>
      </c>
      <c r="D158" t="s">
        <v>534</v>
      </c>
      <c r="F158" t="str">
        <f t="shared" si="4"/>
        <v/>
      </c>
      <c r="G158" t="s">
        <v>718</v>
      </c>
      <c r="H158" t="str">
        <f t="shared" si="5"/>
        <v>ren "" "183.jpg"</v>
      </c>
      <c r="V158" s="1"/>
      <c r="W158" s="2"/>
    </row>
    <row r="159" spans="1:23" x14ac:dyDescent="0.25">
      <c r="A159">
        <v>158</v>
      </c>
      <c r="B159" t="s">
        <v>713</v>
      </c>
      <c r="C159" t="s">
        <v>576</v>
      </c>
      <c r="D159" t="s">
        <v>536</v>
      </c>
      <c r="F159" t="str">
        <f t="shared" si="4"/>
        <v/>
      </c>
      <c r="G159" t="s">
        <v>719</v>
      </c>
      <c r="H159" t="str">
        <f t="shared" si="5"/>
        <v>ren "" "184.jpg"</v>
      </c>
      <c r="V159" s="1"/>
      <c r="W159" s="2"/>
    </row>
    <row r="160" spans="1:23" x14ac:dyDescent="0.25">
      <c r="A160">
        <v>159</v>
      </c>
      <c r="B160" t="s">
        <v>713</v>
      </c>
      <c r="C160" t="s">
        <v>579</v>
      </c>
      <c r="D160" t="s">
        <v>534</v>
      </c>
      <c r="F160" t="str">
        <f t="shared" si="4"/>
        <v/>
      </c>
      <c r="G160" t="s">
        <v>720</v>
      </c>
      <c r="H160" t="str">
        <f t="shared" si="5"/>
        <v>ren "" "185.jpg"</v>
      </c>
      <c r="V160" s="1"/>
      <c r="W160" s="2"/>
    </row>
    <row r="161" spans="1:23" x14ac:dyDescent="0.25">
      <c r="A161">
        <v>160</v>
      </c>
      <c r="B161" t="s">
        <v>713</v>
      </c>
      <c r="C161" t="s">
        <v>579</v>
      </c>
      <c r="D161" t="s">
        <v>536</v>
      </c>
      <c r="F161" t="str">
        <f t="shared" si="4"/>
        <v/>
      </c>
      <c r="G161" t="s">
        <v>721</v>
      </c>
      <c r="H161" t="str">
        <f t="shared" si="5"/>
        <v>ren "" "186.jpg"</v>
      </c>
      <c r="V161" s="1"/>
      <c r="W161" s="2"/>
    </row>
    <row r="162" spans="1:23" x14ac:dyDescent="0.25">
      <c r="A162">
        <v>161</v>
      </c>
      <c r="B162" t="s">
        <v>713</v>
      </c>
      <c r="C162" t="s">
        <v>582</v>
      </c>
      <c r="D162" t="s">
        <v>534</v>
      </c>
      <c r="F162" t="str">
        <f t="shared" si="4"/>
        <v/>
      </c>
      <c r="G162" t="s">
        <v>722</v>
      </c>
      <c r="H162" t="str">
        <f t="shared" si="5"/>
        <v>ren "" "187.jpg"</v>
      </c>
      <c r="V162" s="1"/>
      <c r="W162" s="2"/>
    </row>
    <row r="163" spans="1:23" x14ac:dyDescent="0.25">
      <c r="A163">
        <v>162</v>
      </c>
      <c r="B163" t="s">
        <v>713</v>
      </c>
      <c r="C163" t="s">
        <v>582</v>
      </c>
      <c r="D163" t="s">
        <v>536</v>
      </c>
      <c r="F163" t="str">
        <f t="shared" si="4"/>
        <v/>
      </c>
      <c r="G163" t="s">
        <v>723</v>
      </c>
      <c r="H163" t="str">
        <f t="shared" si="5"/>
        <v>ren "" "188.jpg"</v>
      </c>
      <c r="V163" s="1"/>
      <c r="W163" s="2"/>
    </row>
    <row r="164" spans="1:23" x14ac:dyDescent="0.25">
      <c r="A164">
        <v>163</v>
      </c>
      <c r="B164" t="s">
        <v>713</v>
      </c>
      <c r="C164" t="s">
        <v>585</v>
      </c>
      <c r="D164" t="s">
        <v>534</v>
      </c>
      <c r="F164" t="str">
        <f t="shared" si="4"/>
        <v/>
      </c>
      <c r="G164" t="s">
        <v>724</v>
      </c>
      <c r="H164" t="str">
        <f t="shared" si="5"/>
        <v>ren "" "189.jpg"</v>
      </c>
      <c r="V164" s="1"/>
      <c r="W164" s="2"/>
    </row>
    <row r="165" spans="1:23" x14ac:dyDescent="0.25">
      <c r="A165">
        <v>164</v>
      </c>
      <c r="B165" t="s">
        <v>713</v>
      </c>
      <c r="C165" t="s">
        <v>585</v>
      </c>
      <c r="D165" t="s">
        <v>536</v>
      </c>
      <c r="F165" t="str">
        <f t="shared" si="4"/>
        <v/>
      </c>
      <c r="G165" t="s">
        <v>725</v>
      </c>
      <c r="H165" t="str">
        <f t="shared" si="5"/>
        <v>ren "" "190.jpg"</v>
      </c>
      <c r="V165" s="1"/>
      <c r="W165" s="2"/>
    </row>
    <row r="166" spans="1:23" x14ac:dyDescent="0.25">
      <c r="A166">
        <v>165</v>
      </c>
      <c r="B166" t="s">
        <v>713</v>
      </c>
      <c r="C166" t="s">
        <v>588</v>
      </c>
      <c r="D166" t="s">
        <v>534</v>
      </c>
      <c r="F166" t="str">
        <f t="shared" si="4"/>
        <v/>
      </c>
      <c r="G166" t="s">
        <v>726</v>
      </c>
      <c r="H166" t="str">
        <f t="shared" si="5"/>
        <v>ren "" "191.jpg"</v>
      </c>
      <c r="V166" s="1"/>
      <c r="W166" s="2"/>
    </row>
    <row r="167" spans="1:23" x14ac:dyDescent="0.25">
      <c r="A167">
        <v>166</v>
      </c>
      <c r="B167" t="s">
        <v>713</v>
      </c>
      <c r="C167" t="s">
        <v>588</v>
      </c>
      <c r="D167" t="s">
        <v>536</v>
      </c>
      <c r="F167" t="str">
        <f t="shared" si="4"/>
        <v/>
      </c>
      <c r="G167" t="s">
        <v>727</v>
      </c>
      <c r="H167" t="str">
        <f t="shared" si="5"/>
        <v>ren "" "192.jpg"</v>
      </c>
      <c r="V167" s="1"/>
      <c r="W167" s="2"/>
    </row>
    <row r="168" spans="1:23" x14ac:dyDescent="0.25">
      <c r="A168">
        <v>167</v>
      </c>
      <c r="B168" t="s">
        <v>713</v>
      </c>
      <c r="C168" t="s">
        <v>591</v>
      </c>
      <c r="D168" t="s">
        <v>534</v>
      </c>
      <c r="F168" t="str">
        <f t="shared" si="4"/>
        <v/>
      </c>
      <c r="G168" t="s">
        <v>728</v>
      </c>
      <c r="H168" t="str">
        <f t="shared" si="5"/>
        <v>ren "" "193.jpg"</v>
      </c>
      <c r="V168" s="1"/>
      <c r="W168" s="2"/>
    </row>
    <row r="169" spans="1:23" x14ac:dyDescent="0.25">
      <c r="A169">
        <v>168</v>
      </c>
      <c r="B169" t="s">
        <v>713</v>
      </c>
      <c r="C169" t="s">
        <v>591</v>
      </c>
      <c r="D169" t="s">
        <v>536</v>
      </c>
      <c r="F169" t="str">
        <f t="shared" si="4"/>
        <v/>
      </c>
      <c r="G169" t="s">
        <v>729</v>
      </c>
      <c r="H169" t="str">
        <f t="shared" si="5"/>
        <v>ren "" "194.jpg"</v>
      </c>
      <c r="V169" s="1"/>
      <c r="W169" s="2"/>
    </row>
    <row r="170" spans="1:23" x14ac:dyDescent="0.25">
      <c r="A170">
        <v>169</v>
      </c>
      <c r="B170" t="s">
        <v>730</v>
      </c>
      <c r="C170" t="s">
        <v>570</v>
      </c>
      <c r="D170" t="s">
        <v>534</v>
      </c>
      <c r="F170" t="str">
        <f t="shared" si="4"/>
        <v/>
      </c>
      <c r="G170" t="s">
        <v>731</v>
      </c>
      <c r="H170" t="str">
        <f t="shared" si="5"/>
        <v>ren "" "195.jpg"</v>
      </c>
      <c r="V170" s="1"/>
      <c r="W170" s="2"/>
    </row>
    <row r="171" spans="1:23" x14ac:dyDescent="0.25">
      <c r="A171">
        <v>170</v>
      </c>
      <c r="B171" t="s">
        <v>730</v>
      </c>
      <c r="C171" t="s">
        <v>570</v>
      </c>
      <c r="D171" t="s">
        <v>536</v>
      </c>
      <c r="F171" t="str">
        <f t="shared" si="4"/>
        <v/>
      </c>
      <c r="G171" t="s">
        <v>732</v>
      </c>
      <c r="H171" t="str">
        <f t="shared" si="5"/>
        <v>ren "" "196.jpg"</v>
      </c>
      <c r="V171" s="1"/>
      <c r="W171" s="2"/>
    </row>
    <row r="172" spans="1:23" x14ac:dyDescent="0.25">
      <c r="A172">
        <v>171</v>
      </c>
      <c r="B172" t="s">
        <v>730</v>
      </c>
      <c r="C172" t="s">
        <v>573</v>
      </c>
      <c r="D172" t="s">
        <v>534</v>
      </c>
      <c r="F172" t="str">
        <f t="shared" si="4"/>
        <v/>
      </c>
      <c r="G172" t="s">
        <v>733</v>
      </c>
      <c r="H172" t="str">
        <f t="shared" si="5"/>
        <v>ren "" "197.jpg"</v>
      </c>
      <c r="V172" s="1"/>
      <c r="W172" s="2"/>
    </row>
    <row r="173" spans="1:23" x14ac:dyDescent="0.25">
      <c r="A173">
        <v>172</v>
      </c>
      <c r="B173" t="s">
        <v>730</v>
      </c>
      <c r="C173" t="s">
        <v>573</v>
      </c>
      <c r="D173" t="s">
        <v>536</v>
      </c>
      <c r="F173" t="str">
        <f t="shared" si="4"/>
        <v/>
      </c>
      <c r="G173" t="s">
        <v>734</v>
      </c>
      <c r="H173" t="str">
        <f t="shared" si="5"/>
        <v>ren "" "198.jpg"</v>
      </c>
      <c r="V173" s="1"/>
      <c r="W173" s="2"/>
    </row>
    <row r="174" spans="1:23" x14ac:dyDescent="0.25">
      <c r="A174">
        <v>173</v>
      </c>
      <c r="B174" t="s">
        <v>730</v>
      </c>
      <c r="C174" t="s">
        <v>576</v>
      </c>
      <c r="D174" t="s">
        <v>534</v>
      </c>
      <c r="F174" t="str">
        <f t="shared" si="4"/>
        <v/>
      </c>
      <c r="G174" t="s">
        <v>735</v>
      </c>
      <c r="H174" t="str">
        <f t="shared" si="5"/>
        <v>ren "" "199.jpg"</v>
      </c>
      <c r="V174" s="1"/>
      <c r="W174" s="2"/>
    </row>
    <row r="175" spans="1:23" x14ac:dyDescent="0.25">
      <c r="A175">
        <v>174</v>
      </c>
      <c r="B175" t="s">
        <v>730</v>
      </c>
      <c r="C175" t="s">
        <v>576</v>
      </c>
      <c r="D175" t="s">
        <v>536</v>
      </c>
      <c r="F175" t="str">
        <f t="shared" si="4"/>
        <v/>
      </c>
      <c r="G175" t="s">
        <v>736</v>
      </c>
      <c r="H175" t="str">
        <f t="shared" si="5"/>
        <v>ren "" "200.jpg"</v>
      </c>
      <c r="V175" s="1"/>
      <c r="W175" s="2"/>
    </row>
    <row r="176" spans="1:23" x14ac:dyDescent="0.25">
      <c r="A176">
        <v>175</v>
      </c>
      <c r="B176" t="s">
        <v>730</v>
      </c>
      <c r="C176" t="s">
        <v>579</v>
      </c>
      <c r="D176" t="s">
        <v>534</v>
      </c>
      <c r="F176" t="str">
        <f t="shared" si="4"/>
        <v/>
      </c>
      <c r="G176" t="s">
        <v>737</v>
      </c>
      <c r="H176" t="str">
        <f t="shared" si="5"/>
        <v>ren "" "201.jpg"</v>
      </c>
      <c r="V176" s="1"/>
      <c r="W176" s="2"/>
    </row>
    <row r="177" spans="1:23" x14ac:dyDescent="0.25">
      <c r="A177">
        <v>176</v>
      </c>
      <c r="B177" t="s">
        <v>730</v>
      </c>
      <c r="C177" t="s">
        <v>579</v>
      </c>
      <c r="D177" t="s">
        <v>536</v>
      </c>
      <c r="F177" t="str">
        <f t="shared" si="4"/>
        <v/>
      </c>
      <c r="G177" t="s">
        <v>738</v>
      </c>
      <c r="H177" t="str">
        <f t="shared" si="5"/>
        <v>ren "" "202.jpg"</v>
      </c>
      <c r="V177" s="1"/>
      <c r="W177" s="2"/>
    </row>
    <row r="178" spans="1:23" x14ac:dyDescent="0.25">
      <c r="A178">
        <v>177</v>
      </c>
      <c r="B178" t="s">
        <v>730</v>
      </c>
      <c r="C178" t="s">
        <v>582</v>
      </c>
      <c r="D178" t="s">
        <v>534</v>
      </c>
      <c r="F178" t="str">
        <f t="shared" si="4"/>
        <v/>
      </c>
      <c r="G178" t="s">
        <v>739</v>
      </c>
      <c r="H178" t="str">
        <f t="shared" si="5"/>
        <v>ren "" "203.jpg"</v>
      </c>
      <c r="V178" s="1"/>
      <c r="W178" s="2"/>
    </row>
    <row r="179" spans="1:23" x14ac:dyDescent="0.25">
      <c r="A179">
        <v>178</v>
      </c>
      <c r="B179" t="s">
        <v>730</v>
      </c>
      <c r="C179" t="s">
        <v>582</v>
      </c>
      <c r="D179" t="s">
        <v>536</v>
      </c>
      <c r="F179" t="str">
        <f t="shared" si="4"/>
        <v/>
      </c>
      <c r="G179" t="s">
        <v>740</v>
      </c>
      <c r="H179" t="str">
        <f t="shared" si="5"/>
        <v>ren "" "204.jpg"</v>
      </c>
      <c r="V179" s="1"/>
      <c r="W179" s="2"/>
    </row>
    <row r="180" spans="1:23" x14ac:dyDescent="0.25">
      <c r="A180">
        <v>179</v>
      </c>
      <c r="B180" t="s">
        <v>730</v>
      </c>
      <c r="C180" t="s">
        <v>585</v>
      </c>
      <c r="D180" t="s">
        <v>534</v>
      </c>
      <c r="F180" t="str">
        <f t="shared" si="4"/>
        <v/>
      </c>
      <c r="G180" t="s">
        <v>741</v>
      </c>
      <c r="H180" t="str">
        <f t="shared" si="5"/>
        <v>ren "" "205.jpg"</v>
      </c>
      <c r="V180" s="1"/>
      <c r="W180" s="2"/>
    </row>
    <row r="181" spans="1:23" x14ac:dyDescent="0.25">
      <c r="A181">
        <v>180</v>
      </c>
      <c r="B181" t="s">
        <v>730</v>
      </c>
      <c r="C181" t="s">
        <v>585</v>
      </c>
      <c r="D181" t="s">
        <v>536</v>
      </c>
      <c r="F181" t="str">
        <f t="shared" si="4"/>
        <v/>
      </c>
      <c r="G181" t="s">
        <v>742</v>
      </c>
      <c r="H181" t="str">
        <f t="shared" si="5"/>
        <v>ren "" "206.jpg"</v>
      </c>
      <c r="V181" s="1"/>
      <c r="W181" s="2"/>
    </row>
    <row r="182" spans="1:23" x14ac:dyDescent="0.25">
      <c r="A182">
        <v>181</v>
      </c>
      <c r="B182" t="s">
        <v>730</v>
      </c>
      <c r="C182" t="s">
        <v>588</v>
      </c>
      <c r="D182" t="s">
        <v>534</v>
      </c>
      <c r="F182" t="str">
        <f t="shared" si="4"/>
        <v/>
      </c>
      <c r="G182" t="s">
        <v>743</v>
      </c>
      <c r="H182" t="str">
        <f t="shared" si="5"/>
        <v>ren "" "207.jpg"</v>
      </c>
      <c r="V182" s="1"/>
      <c r="W182" s="2"/>
    </row>
    <row r="183" spans="1:23" x14ac:dyDescent="0.25">
      <c r="A183">
        <v>182</v>
      </c>
      <c r="B183" t="s">
        <v>730</v>
      </c>
      <c r="C183" t="s">
        <v>588</v>
      </c>
      <c r="D183" t="s">
        <v>536</v>
      </c>
      <c r="F183" t="str">
        <f t="shared" si="4"/>
        <v/>
      </c>
      <c r="G183" t="s">
        <v>744</v>
      </c>
      <c r="H183" t="str">
        <f t="shared" si="5"/>
        <v>ren "" "208.jpg"</v>
      </c>
      <c r="V183" s="1"/>
      <c r="W183" s="2"/>
    </row>
    <row r="184" spans="1:23" x14ac:dyDescent="0.25">
      <c r="A184">
        <v>183</v>
      </c>
      <c r="B184" t="s">
        <v>730</v>
      </c>
      <c r="C184" t="s">
        <v>591</v>
      </c>
      <c r="D184" t="s">
        <v>534</v>
      </c>
      <c r="F184" t="str">
        <f t="shared" si="4"/>
        <v/>
      </c>
      <c r="G184" t="s">
        <v>745</v>
      </c>
      <c r="H184" t="str">
        <f t="shared" si="5"/>
        <v>ren "" "209.jpg"</v>
      </c>
      <c r="V184" s="1"/>
      <c r="W184" s="2"/>
    </row>
    <row r="185" spans="1:23" x14ac:dyDescent="0.25">
      <c r="A185">
        <v>184</v>
      </c>
      <c r="B185" t="s">
        <v>730</v>
      </c>
      <c r="C185" t="s">
        <v>591</v>
      </c>
      <c r="D185" t="s">
        <v>536</v>
      </c>
      <c r="F185" t="str">
        <f t="shared" si="4"/>
        <v/>
      </c>
      <c r="G185" t="s">
        <v>746</v>
      </c>
      <c r="H185" t="str">
        <f t="shared" si="5"/>
        <v>ren "" "210.jpg"</v>
      </c>
      <c r="V185" s="1"/>
      <c r="W185" s="2"/>
    </row>
    <row r="186" spans="1:23" x14ac:dyDescent="0.25">
      <c r="A186">
        <v>185</v>
      </c>
      <c r="B186" t="s">
        <v>747</v>
      </c>
      <c r="C186" t="s">
        <v>570</v>
      </c>
      <c r="D186" t="s">
        <v>534</v>
      </c>
      <c r="F186" t="str">
        <f t="shared" si="4"/>
        <v/>
      </c>
      <c r="G186" t="s">
        <v>748</v>
      </c>
      <c r="H186" t="str">
        <f t="shared" si="5"/>
        <v>ren "" "211.jpg"</v>
      </c>
      <c r="V186" s="1"/>
      <c r="W186" s="2"/>
    </row>
    <row r="187" spans="1:23" x14ac:dyDescent="0.25">
      <c r="A187">
        <v>186</v>
      </c>
      <c r="B187" t="s">
        <v>747</v>
      </c>
      <c r="C187" t="s">
        <v>570</v>
      </c>
      <c r="D187" t="s">
        <v>536</v>
      </c>
      <c r="F187" t="str">
        <f t="shared" si="4"/>
        <v/>
      </c>
      <c r="G187" t="s">
        <v>749</v>
      </c>
      <c r="H187" t="str">
        <f t="shared" si="5"/>
        <v>ren "" "212.jpg"</v>
      </c>
      <c r="V187" s="1"/>
      <c r="W187" s="2"/>
    </row>
    <row r="188" spans="1:23" x14ac:dyDescent="0.25">
      <c r="A188">
        <v>187</v>
      </c>
      <c r="B188" t="s">
        <v>747</v>
      </c>
      <c r="C188" t="s">
        <v>573</v>
      </c>
      <c r="D188" t="s">
        <v>534</v>
      </c>
      <c r="F188" t="str">
        <f t="shared" si="4"/>
        <v/>
      </c>
      <c r="G188" t="s">
        <v>750</v>
      </c>
      <c r="H188" t="str">
        <f t="shared" si="5"/>
        <v>ren "" "213.jpg"</v>
      </c>
      <c r="V188" s="1"/>
      <c r="W188" s="2"/>
    </row>
    <row r="189" spans="1:23" x14ac:dyDescent="0.25">
      <c r="A189">
        <v>188</v>
      </c>
      <c r="B189" t="s">
        <v>747</v>
      </c>
      <c r="C189" t="s">
        <v>573</v>
      </c>
      <c r="D189" t="s">
        <v>536</v>
      </c>
      <c r="F189" t="str">
        <f t="shared" si="4"/>
        <v/>
      </c>
      <c r="G189" t="s">
        <v>751</v>
      </c>
      <c r="H189" t="str">
        <f t="shared" si="5"/>
        <v>ren "" "214.jpg"</v>
      </c>
      <c r="V189" s="1"/>
      <c r="W189" s="2"/>
    </row>
    <row r="190" spans="1:23" x14ac:dyDescent="0.25">
      <c r="A190">
        <v>189</v>
      </c>
      <c r="B190" t="s">
        <v>747</v>
      </c>
      <c r="C190" t="s">
        <v>576</v>
      </c>
      <c r="D190" t="s">
        <v>534</v>
      </c>
      <c r="F190" t="str">
        <f t="shared" si="4"/>
        <v/>
      </c>
      <c r="G190" t="s">
        <v>752</v>
      </c>
      <c r="H190" t="str">
        <f t="shared" si="5"/>
        <v>ren "" "215.jpg"</v>
      </c>
      <c r="V190" s="1"/>
      <c r="W190" s="2"/>
    </row>
    <row r="191" spans="1:23" x14ac:dyDescent="0.25">
      <c r="A191">
        <v>190</v>
      </c>
      <c r="B191" t="s">
        <v>747</v>
      </c>
      <c r="C191" t="s">
        <v>576</v>
      </c>
      <c r="D191" t="s">
        <v>536</v>
      </c>
      <c r="F191" t="str">
        <f t="shared" si="4"/>
        <v/>
      </c>
      <c r="G191" t="s">
        <v>753</v>
      </c>
      <c r="H191" t="str">
        <f t="shared" si="5"/>
        <v>ren "" "216.jpg"</v>
      </c>
      <c r="V191" s="1"/>
      <c r="W191" s="2"/>
    </row>
    <row r="192" spans="1:23" x14ac:dyDescent="0.25">
      <c r="A192">
        <v>191</v>
      </c>
      <c r="B192" t="s">
        <v>747</v>
      </c>
      <c r="C192" t="s">
        <v>579</v>
      </c>
      <c r="D192" t="s">
        <v>534</v>
      </c>
      <c r="F192" t="str">
        <f t="shared" si="4"/>
        <v/>
      </c>
      <c r="G192" t="s">
        <v>754</v>
      </c>
      <c r="H192" t="str">
        <f t="shared" si="5"/>
        <v>ren "" "217.jpg"</v>
      </c>
      <c r="V192" s="1"/>
      <c r="W192" s="2"/>
    </row>
    <row r="193" spans="1:23" x14ac:dyDescent="0.25">
      <c r="A193">
        <v>192</v>
      </c>
      <c r="B193" t="s">
        <v>747</v>
      </c>
      <c r="C193" t="s">
        <v>579</v>
      </c>
      <c r="D193" t="s">
        <v>536</v>
      </c>
      <c r="F193" t="str">
        <f t="shared" si="4"/>
        <v/>
      </c>
      <c r="G193" t="s">
        <v>755</v>
      </c>
      <c r="H193" t="str">
        <f t="shared" si="5"/>
        <v>ren "" "218.jpg"</v>
      </c>
      <c r="V193" s="1"/>
      <c r="W193" s="2"/>
    </row>
    <row r="194" spans="1:23" x14ac:dyDescent="0.25">
      <c r="A194">
        <v>193</v>
      </c>
      <c r="B194" t="s">
        <v>747</v>
      </c>
      <c r="C194" t="s">
        <v>582</v>
      </c>
      <c r="D194" t="s">
        <v>534</v>
      </c>
      <c r="F194" t="str">
        <f t="shared" ref="F194:F257" si="6">IF(E194="", "", TRIM(RIGHT(SUBSTITUTE(E194, "\", REPT(" ", LEN(E194))), LEN(E194))))</f>
        <v/>
      </c>
      <c r="G194" t="s">
        <v>756</v>
      </c>
      <c r="H194" t="str">
        <f t="shared" ref="H194:H257" si="7">"ren """ &amp; F194 &amp; """ """ &amp; G194 &amp; """"</f>
        <v>ren "" "219.jpg"</v>
      </c>
      <c r="V194" s="1"/>
      <c r="W194" s="2"/>
    </row>
    <row r="195" spans="1:23" x14ac:dyDescent="0.25">
      <c r="A195">
        <v>194</v>
      </c>
      <c r="B195" t="s">
        <v>747</v>
      </c>
      <c r="C195" t="s">
        <v>582</v>
      </c>
      <c r="D195" t="s">
        <v>536</v>
      </c>
      <c r="F195" t="str">
        <f t="shared" si="6"/>
        <v/>
      </c>
      <c r="G195" t="s">
        <v>757</v>
      </c>
      <c r="H195" t="str">
        <f t="shared" si="7"/>
        <v>ren "" "220.jpg"</v>
      </c>
      <c r="V195" s="1"/>
      <c r="W195" s="2"/>
    </row>
    <row r="196" spans="1:23" x14ac:dyDescent="0.25">
      <c r="A196">
        <v>195</v>
      </c>
      <c r="B196" t="s">
        <v>747</v>
      </c>
      <c r="C196" t="s">
        <v>585</v>
      </c>
      <c r="D196" t="s">
        <v>534</v>
      </c>
      <c r="F196" t="str">
        <f t="shared" si="6"/>
        <v/>
      </c>
      <c r="G196" t="s">
        <v>758</v>
      </c>
      <c r="H196" t="str">
        <f t="shared" si="7"/>
        <v>ren "" "221.jpg"</v>
      </c>
      <c r="V196" s="1"/>
      <c r="W196" s="2"/>
    </row>
    <row r="197" spans="1:23" x14ac:dyDescent="0.25">
      <c r="A197">
        <v>196</v>
      </c>
      <c r="B197" t="s">
        <v>747</v>
      </c>
      <c r="C197" t="s">
        <v>585</v>
      </c>
      <c r="D197" t="s">
        <v>536</v>
      </c>
      <c r="F197" t="str">
        <f t="shared" si="6"/>
        <v/>
      </c>
      <c r="G197" t="s">
        <v>759</v>
      </c>
      <c r="H197" t="str">
        <f t="shared" si="7"/>
        <v>ren "" "222.jpg"</v>
      </c>
      <c r="V197" s="1"/>
      <c r="W197" s="2"/>
    </row>
    <row r="198" spans="1:23" x14ac:dyDescent="0.25">
      <c r="A198">
        <v>197</v>
      </c>
      <c r="B198" t="s">
        <v>747</v>
      </c>
      <c r="C198" t="s">
        <v>588</v>
      </c>
      <c r="D198" t="s">
        <v>534</v>
      </c>
      <c r="F198" t="str">
        <f t="shared" si="6"/>
        <v/>
      </c>
      <c r="G198" t="s">
        <v>760</v>
      </c>
      <c r="H198" t="str">
        <f t="shared" si="7"/>
        <v>ren "" "223.jpg"</v>
      </c>
      <c r="V198" s="1"/>
      <c r="W198" s="2"/>
    </row>
    <row r="199" spans="1:23" x14ac:dyDescent="0.25">
      <c r="A199">
        <v>198</v>
      </c>
      <c r="B199" t="s">
        <v>747</v>
      </c>
      <c r="C199" t="s">
        <v>588</v>
      </c>
      <c r="D199" t="s">
        <v>536</v>
      </c>
      <c r="F199" t="str">
        <f t="shared" si="6"/>
        <v/>
      </c>
      <c r="G199" t="s">
        <v>761</v>
      </c>
      <c r="H199" t="str">
        <f t="shared" si="7"/>
        <v>ren "" "224.jpg"</v>
      </c>
      <c r="V199" s="1"/>
      <c r="W199" s="2"/>
    </row>
    <row r="200" spans="1:23" x14ac:dyDescent="0.25">
      <c r="A200">
        <v>199</v>
      </c>
      <c r="B200" t="s">
        <v>747</v>
      </c>
      <c r="C200" t="s">
        <v>591</v>
      </c>
      <c r="D200" t="s">
        <v>534</v>
      </c>
      <c r="F200" t="str">
        <f t="shared" si="6"/>
        <v/>
      </c>
      <c r="G200" t="s">
        <v>762</v>
      </c>
      <c r="H200" t="str">
        <f t="shared" si="7"/>
        <v>ren "" "225.jpg"</v>
      </c>
      <c r="V200" s="1"/>
      <c r="W200" s="2"/>
    </row>
    <row r="201" spans="1:23" x14ac:dyDescent="0.25">
      <c r="A201">
        <v>200</v>
      </c>
      <c r="B201" t="s">
        <v>747</v>
      </c>
      <c r="C201" t="s">
        <v>591</v>
      </c>
      <c r="D201" t="s">
        <v>536</v>
      </c>
      <c r="F201" t="str">
        <f t="shared" si="6"/>
        <v/>
      </c>
      <c r="G201" t="s">
        <v>763</v>
      </c>
      <c r="H201" t="str">
        <f t="shared" si="7"/>
        <v>ren "" "226.jpg"</v>
      </c>
      <c r="V201" s="1"/>
      <c r="W201" s="2"/>
    </row>
    <row r="202" spans="1:23" x14ac:dyDescent="0.25">
      <c r="A202">
        <v>201</v>
      </c>
      <c r="B202" t="s">
        <v>764</v>
      </c>
      <c r="C202" t="s">
        <v>570</v>
      </c>
      <c r="D202" t="s">
        <v>534</v>
      </c>
      <c r="F202" t="str">
        <f t="shared" si="6"/>
        <v/>
      </c>
      <c r="G202" t="s">
        <v>765</v>
      </c>
      <c r="H202" t="str">
        <f t="shared" si="7"/>
        <v>ren "" "227.jpg"</v>
      </c>
      <c r="V202" s="1"/>
      <c r="W202" s="2"/>
    </row>
    <row r="203" spans="1:23" x14ac:dyDescent="0.25">
      <c r="A203">
        <v>202</v>
      </c>
      <c r="B203" t="s">
        <v>764</v>
      </c>
      <c r="C203" t="s">
        <v>570</v>
      </c>
      <c r="D203" t="s">
        <v>536</v>
      </c>
      <c r="F203" t="str">
        <f t="shared" si="6"/>
        <v/>
      </c>
      <c r="G203" t="s">
        <v>766</v>
      </c>
      <c r="H203" t="str">
        <f t="shared" si="7"/>
        <v>ren "" "228.jpg"</v>
      </c>
      <c r="V203" s="1"/>
      <c r="W203" s="2"/>
    </row>
    <row r="204" spans="1:23" x14ac:dyDescent="0.25">
      <c r="A204">
        <v>203</v>
      </c>
      <c r="B204" t="s">
        <v>764</v>
      </c>
      <c r="C204" t="s">
        <v>573</v>
      </c>
      <c r="D204" t="s">
        <v>534</v>
      </c>
      <c r="F204" t="str">
        <f t="shared" si="6"/>
        <v/>
      </c>
      <c r="G204" t="s">
        <v>767</v>
      </c>
      <c r="H204" t="str">
        <f t="shared" si="7"/>
        <v>ren "" "229.jpg"</v>
      </c>
      <c r="V204" s="1"/>
      <c r="W204" s="2"/>
    </row>
    <row r="205" spans="1:23" x14ac:dyDescent="0.25">
      <c r="A205">
        <v>204</v>
      </c>
      <c r="B205" t="s">
        <v>764</v>
      </c>
      <c r="C205" t="s">
        <v>573</v>
      </c>
      <c r="D205" t="s">
        <v>536</v>
      </c>
      <c r="F205" t="str">
        <f t="shared" si="6"/>
        <v/>
      </c>
      <c r="G205" t="s">
        <v>768</v>
      </c>
      <c r="H205" t="str">
        <f t="shared" si="7"/>
        <v>ren "" "230.jpg"</v>
      </c>
      <c r="V205" s="1"/>
      <c r="W205" s="2"/>
    </row>
    <row r="206" spans="1:23" x14ac:dyDescent="0.25">
      <c r="A206">
        <v>205</v>
      </c>
      <c r="B206" t="s">
        <v>764</v>
      </c>
      <c r="C206" t="s">
        <v>576</v>
      </c>
      <c r="D206" t="s">
        <v>534</v>
      </c>
      <c r="F206" t="str">
        <f t="shared" si="6"/>
        <v/>
      </c>
      <c r="G206" t="s">
        <v>769</v>
      </c>
      <c r="H206" t="str">
        <f t="shared" si="7"/>
        <v>ren "" "231.jpg"</v>
      </c>
      <c r="V206" s="1"/>
      <c r="W206" s="2"/>
    </row>
    <row r="207" spans="1:23" x14ac:dyDescent="0.25">
      <c r="A207">
        <v>206</v>
      </c>
      <c r="B207" t="s">
        <v>764</v>
      </c>
      <c r="C207" t="s">
        <v>576</v>
      </c>
      <c r="D207" t="s">
        <v>536</v>
      </c>
      <c r="F207" t="str">
        <f t="shared" si="6"/>
        <v/>
      </c>
      <c r="G207" t="s">
        <v>770</v>
      </c>
      <c r="H207" t="str">
        <f t="shared" si="7"/>
        <v>ren "" "232.jpg"</v>
      </c>
      <c r="V207" s="1"/>
      <c r="W207" s="2"/>
    </row>
    <row r="208" spans="1:23" x14ac:dyDescent="0.25">
      <c r="A208">
        <v>207</v>
      </c>
      <c r="B208" t="s">
        <v>764</v>
      </c>
      <c r="C208" t="s">
        <v>579</v>
      </c>
      <c r="D208" t="s">
        <v>534</v>
      </c>
      <c r="F208" t="str">
        <f t="shared" si="6"/>
        <v/>
      </c>
      <c r="G208" t="s">
        <v>771</v>
      </c>
      <c r="H208" t="str">
        <f t="shared" si="7"/>
        <v>ren "" "233.jpg"</v>
      </c>
      <c r="V208" s="1"/>
      <c r="W208" s="2"/>
    </row>
    <row r="209" spans="1:23" x14ac:dyDescent="0.25">
      <c r="A209">
        <v>208</v>
      </c>
      <c r="B209" t="s">
        <v>764</v>
      </c>
      <c r="C209" t="s">
        <v>579</v>
      </c>
      <c r="D209" t="s">
        <v>536</v>
      </c>
      <c r="F209" t="str">
        <f t="shared" si="6"/>
        <v/>
      </c>
      <c r="G209" t="s">
        <v>772</v>
      </c>
      <c r="H209" t="str">
        <f t="shared" si="7"/>
        <v>ren "" "234.jpg"</v>
      </c>
      <c r="V209" s="1"/>
      <c r="W209" s="2"/>
    </row>
    <row r="210" spans="1:23" x14ac:dyDescent="0.25">
      <c r="A210">
        <v>209</v>
      </c>
      <c r="B210" t="s">
        <v>764</v>
      </c>
      <c r="C210" t="s">
        <v>582</v>
      </c>
      <c r="D210" t="s">
        <v>534</v>
      </c>
      <c r="F210" t="str">
        <f t="shared" si="6"/>
        <v/>
      </c>
      <c r="G210" t="s">
        <v>773</v>
      </c>
      <c r="H210" t="str">
        <f t="shared" si="7"/>
        <v>ren "" "235.jpg"</v>
      </c>
      <c r="V210" s="1"/>
      <c r="W210" s="2"/>
    </row>
    <row r="211" spans="1:23" x14ac:dyDescent="0.25">
      <c r="A211">
        <v>210</v>
      </c>
      <c r="B211" t="s">
        <v>764</v>
      </c>
      <c r="C211" t="s">
        <v>582</v>
      </c>
      <c r="D211" t="s">
        <v>536</v>
      </c>
      <c r="F211" t="str">
        <f t="shared" si="6"/>
        <v/>
      </c>
      <c r="G211" t="s">
        <v>774</v>
      </c>
      <c r="H211" t="str">
        <f t="shared" si="7"/>
        <v>ren "" "236.jpg"</v>
      </c>
      <c r="V211" s="1"/>
      <c r="W211" s="2"/>
    </row>
    <row r="212" spans="1:23" x14ac:dyDescent="0.25">
      <c r="A212">
        <v>211</v>
      </c>
      <c r="B212" t="s">
        <v>764</v>
      </c>
      <c r="C212" t="s">
        <v>585</v>
      </c>
      <c r="D212" t="s">
        <v>534</v>
      </c>
      <c r="F212" t="str">
        <f t="shared" si="6"/>
        <v/>
      </c>
      <c r="G212" t="s">
        <v>775</v>
      </c>
      <c r="H212" t="str">
        <f t="shared" si="7"/>
        <v>ren "" "237.jpg"</v>
      </c>
      <c r="V212" s="1"/>
      <c r="W212" s="2"/>
    </row>
    <row r="213" spans="1:23" x14ac:dyDescent="0.25">
      <c r="A213">
        <v>212</v>
      </c>
      <c r="B213" t="s">
        <v>764</v>
      </c>
      <c r="C213" t="s">
        <v>585</v>
      </c>
      <c r="D213" t="s">
        <v>536</v>
      </c>
      <c r="F213" t="str">
        <f t="shared" si="6"/>
        <v/>
      </c>
      <c r="G213" t="s">
        <v>776</v>
      </c>
      <c r="H213" t="str">
        <f t="shared" si="7"/>
        <v>ren "" "238.jpg"</v>
      </c>
      <c r="V213" s="1"/>
      <c r="W213" s="2"/>
    </row>
    <row r="214" spans="1:23" x14ac:dyDescent="0.25">
      <c r="A214">
        <v>213</v>
      </c>
      <c r="B214" t="s">
        <v>764</v>
      </c>
      <c r="C214" t="s">
        <v>588</v>
      </c>
      <c r="D214" t="s">
        <v>534</v>
      </c>
      <c r="F214" t="str">
        <f t="shared" si="6"/>
        <v/>
      </c>
      <c r="G214" t="s">
        <v>777</v>
      </c>
      <c r="H214" t="str">
        <f t="shared" si="7"/>
        <v>ren "" "239.jpg"</v>
      </c>
      <c r="V214" s="1"/>
      <c r="W214" s="2"/>
    </row>
    <row r="215" spans="1:23" x14ac:dyDescent="0.25">
      <c r="A215">
        <v>214</v>
      </c>
      <c r="B215" t="s">
        <v>764</v>
      </c>
      <c r="C215" t="s">
        <v>588</v>
      </c>
      <c r="D215" t="s">
        <v>536</v>
      </c>
      <c r="F215" t="str">
        <f t="shared" si="6"/>
        <v/>
      </c>
      <c r="G215" t="s">
        <v>778</v>
      </c>
      <c r="H215" t="str">
        <f t="shared" si="7"/>
        <v>ren "" "240.jpg"</v>
      </c>
      <c r="V215" s="1"/>
      <c r="W215" s="2"/>
    </row>
    <row r="216" spans="1:23" x14ac:dyDescent="0.25">
      <c r="A216">
        <v>215</v>
      </c>
      <c r="B216" t="s">
        <v>764</v>
      </c>
      <c r="C216" t="s">
        <v>591</v>
      </c>
      <c r="D216" t="s">
        <v>534</v>
      </c>
      <c r="F216" t="str">
        <f t="shared" si="6"/>
        <v/>
      </c>
      <c r="G216" t="s">
        <v>779</v>
      </c>
      <c r="H216" t="str">
        <f t="shared" si="7"/>
        <v>ren "" "241.jpg"</v>
      </c>
      <c r="V216" s="1"/>
      <c r="W216" s="2"/>
    </row>
    <row r="217" spans="1:23" x14ac:dyDescent="0.25">
      <c r="A217">
        <v>216</v>
      </c>
      <c r="B217" t="s">
        <v>764</v>
      </c>
      <c r="C217" t="s">
        <v>591</v>
      </c>
      <c r="D217" t="s">
        <v>536</v>
      </c>
      <c r="F217" t="str">
        <f t="shared" si="6"/>
        <v/>
      </c>
      <c r="G217" t="s">
        <v>780</v>
      </c>
      <c r="H217" t="str">
        <f t="shared" si="7"/>
        <v>ren "" "242.jpg"</v>
      </c>
      <c r="V217" s="1"/>
      <c r="W217" s="2"/>
    </row>
    <row r="218" spans="1:23" x14ac:dyDescent="0.25">
      <c r="A218">
        <v>217</v>
      </c>
      <c r="B218" t="s">
        <v>781</v>
      </c>
      <c r="C218" t="s">
        <v>570</v>
      </c>
      <c r="D218" t="s">
        <v>534</v>
      </c>
      <c r="F218" t="str">
        <f t="shared" si="6"/>
        <v/>
      </c>
      <c r="G218" t="s">
        <v>782</v>
      </c>
      <c r="H218" t="str">
        <f t="shared" si="7"/>
        <v>ren "" "243.jpg"</v>
      </c>
      <c r="V218" s="1"/>
      <c r="W218" s="2"/>
    </row>
    <row r="219" spans="1:23" x14ac:dyDescent="0.25">
      <c r="A219">
        <v>218</v>
      </c>
      <c r="B219" t="s">
        <v>781</v>
      </c>
      <c r="C219" t="s">
        <v>570</v>
      </c>
      <c r="D219" t="s">
        <v>536</v>
      </c>
      <c r="F219" t="str">
        <f t="shared" si="6"/>
        <v/>
      </c>
      <c r="G219" t="s">
        <v>783</v>
      </c>
      <c r="H219" t="str">
        <f t="shared" si="7"/>
        <v>ren "" "244.jpg"</v>
      </c>
      <c r="V219" s="1"/>
      <c r="W219" s="2"/>
    </row>
    <row r="220" spans="1:23" x14ac:dyDescent="0.25">
      <c r="A220">
        <v>219</v>
      </c>
      <c r="B220" t="s">
        <v>781</v>
      </c>
      <c r="C220" t="s">
        <v>573</v>
      </c>
      <c r="D220" t="s">
        <v>534</v>
      </c>
      <c r="F220" t="str">
        <f t="shared" si="6"/>
        <v/>
      </c>
      <c r="G220" t="s">
        <v>784</v>
      </c>
      <c r="H220" t="str">
        <f t="shared" si="7"/>
        <v>ren "" "245.jpg"</v>
      </c>
      <c r="V220" s="1"/>
      <c r="W220" s="2"/>
    </row>
    <row r="221" spans="1:23" x14ac:dyDescent="0.25">
      <c r="A221">
        <v>220</v>
      </c>
      <c r="B221" t="s">
        <v>781</v>
      </c>
      <c r="C221" t="s">
        <v>573</v>
      </c>
      <c r="D221" t="s">
        <v>536</v>
      </c>
      <c r="F221" t="str">
        <f t="shared" si="6"/>
        <v/>
      </c>
      <c r="G221" t="s">
        <v>785</v>
      </c>
      <c r="H221" t="str">
        <f t="shared" si="7"/>
        <v>ren "" "246.jpg"</v>
      </c>
      <c r="V221" s="1"/>
      <c r="W221" s="2"/>
    </row>
    <row r="222" spans="1:23" x14ac:dyDescent="0.25">
      <c r="A222">
        <v>221</v>
      </c>
      <c r="B222" t="s">
        <v>781</v>
      </c>
      <c r="C222" t="s">
        <v>576</v>
      </c>
      <c r="D222" t="s">
        <v>534</v>
      </c>
      <c r="F222" t="str">
        <f t="shared" si="6"/>
        <v/>
      </c>
      <c r="G222" t="s">
        <v>786</v>
      </c>
      <c r="H222" t="str">
        <f t="shared" si="7"/>
        <v>ren "" "247.jpg"</v>
      </c>
      <c r="V222" s="1"/>
      <c r="W222" s="2"/>
    </row>
    <row r="223" spans="1:23" x14ac:dyDescent="0.25">
      <c r="A223">
        <v>222</v>
      </c>
      <c r="B223" t="s">
        <v>781</v>
      </c>
      <c r="C223" t="s">
        <v>576</v>
      </c>
      <c r="D223" t="s">
        <v>536</v>
      </c>
      <c r="F223" t="str">
        <f t="shared" si="6"/>
        <v/>
      </c>
      <c r="G223" t="s">
        <v>787</v>
      </c>
      <c r="H223" t="str">
        <f t="shared" si="7"/>
        <v>ren "" "248.jpg"</v>
      </c>
      <c r="V223" s="1"/>
      <c r="W223" s="2"/>
    </row>
    <row r="224" spans="1:23" x14ac:dyDescent="0.25">
      <c r="A224">
        <v>223</v>
      </c>
      <c r="B224" t="s">
        <v>781</v>
      </c>
      <c r="C224" t="s">
        <v>579</v>
      </c>
      <c r="D224" t="s">
        <v>534</v>
      </c>
      <c r="F224" t="str">
        <f t="shared" si="6"/>
        <v/>
      </c>
      <c r="G224" t="s">
        <v>788</v>
      </c>
      <c r="H224" t="str">
        <f t="shared" si="7"/>
        <v>ren "" "249.jpg"</v>
      </c>
      <c r="V224" s="1"/>
      <c r="W224" s="2"/>
    </row>
    <row r="225" spans="1:23" x14ac:dyDescent="0.25">
      <c r="A225">
        <v>224</v>
      </c>
      <c r="B225" t="s">
        <v>781</v>
      </c>
      <c r="C225" t="s">
        <v>579</v>
      </c>
      <c r="D225" t="s">
        <v>536</v>
      </c>
      <c r="F225" t="str">
        <f t="shared" si="6"/>
        <v/>
      </c>
      <c r="G225" t="s">
        <v>789</v>
      </c>
      <c r="H225" t="str">
        <f t="shared" si="7"/>
        <v>ren "" "250.jpg"</v>
      </c>
      <c r="V225" s="1"/>
      <c r="W225" s="2"/>
    </row>
    <row r="226" spans="1:23" x14ac:dyDescent="0.25">
      <c r="A226">
        <v>225</v>
      </c>
      <c r="B226" t="s">
        <v>781</v>
      </c>
      <c r="C226" t="s">
        <v>582</v>
      </c>
      <c r="D226" t="s">
        <v>534</v>
      </c>
      <c r="F226" t="str">
        <f t="shared" si="6"/>
        <v/>
      </c>
      <c r="G226" t="s">
        <v>790</v>
      </c>
      <c r="H226" t="str">
        <f t="shared" si="7"/>
        <v>ren "" "251.jpg"</v>
      </c>
      <c r="V226" s="1"/>
      <c r="W226" s="2"/>
    </row>
    <row r="227" spans="1:23" x14ac:dyDescent="0.25">
      <c r="A227">
        <v>226</v>
      </c>
      <c r="B227" t="s">
        <v>781</v>
      </c>
      <c r="C227" t="s">
        <v>582</v>
      </c>
      <c r="D227" t="s">
        <v>536</v>
      </c>
      <c r="F227" t="str">
        <f t="shared" si="6"/>
        <v/>
      </c>
      <c r="G227" t="s">
        <v>791</v>
      </c>
      <c r="H227" t="str">
        <f t="shared" si="7"/>
        <v>ren "" "252.jpg"</v>
      </c>
      <c r="V227" s="1"/>
      <c r="W227" s="2"/>
    </row>
    <row r="228" spans="1:23" x14ac:dyDescent="0.25">
      <c r="A228">
        <v>227</v>
      </c>
      <c r="B228" t="s">
        <v>781</v>
      </c>
      <c r="C228" t="s">
        <v>585</v>
      </c>
      <c r="D228" t="s">
        <v>534</v>
      </c>
      <c r="F228" t="str">
        <f t="shared" si="6"/>
        <v/>
      </c>
      <c r="G228" t="s">
        <v>792</v>
      </c>
      <c r="H228" t="str">
        <f t="shared" si="7"/>
        <v>ren "" "253.jpg"</v>
      </c>
      <c r="V228" s="1"/>
      <c r="W228" s="2"/>
    </row>
    <row r="229" spans="1:23" x14ac:dyDescent="0.25">
      <c r="A229">
        <v>228</v>
      </c>
      <c r="B229" t="s">
        <v>781</v>
      </c>
      <c r="C229" t="s">
        <v>585</v>
      </c>
      <c r="D229" t="s">
        <v>536</v>
      </c>
      <c r="F229" t="str">
        <f t="shared" si="6"/>
        <v/>
      </c>
      <c r="G229" t="s">
        <v>793</v>
      </c>
      <c r="H229" t="str">
        <f t="shared" si="7"/>
        <v>ren "" "254.jpg"</v>
      </c>
      <c r="V229" s="1"/>
      <c r="W229" s="2"/>
    </row>
    <row r="230" spans="1:23" x14ac:dyDescent="0.25">
      <c r="A230">
        <v>229</v>
      </c>
      <c r="B230" t="s">
        <v>781</v>
      </c>
      <c r="C230" t="s">
        <v>588</v>
      </c>
      <c r="D230" t="s">
        <v>534</v>
      </c>
      <c r="F230" t="str">
        <f t="shared" si="6"/>
        <v/>
      </c>
      <c r="G230" t="s">
        <v>794</v>
      </c>
      <c r="H230" t="str">
        <f t="shared" si="7"/>
        <v>ren "" "255.jpg"</v>
      </c>
      <c r="V230" s="1"/>
      <c r="W230" s="2"/>
    </row>
    <row r="231" spans="1:23" x14ac:dyDescent="0.25">
      <c r="A231">
        <v>230</v>
      </c>
      <c r="B231" t="s">
        <v>781</v>
      </c>
      <c r="C231" t="s">
        <v>588</v>
      </c>
      <c r="D231" t="s">
        <v>536</v>
      </c>
      <c r="F231" t="str">
        <f t="shared" si="6"/>
        <v/>
      </c>
      <c r="G231" t="s">
        <v>795</v>
      </c>
      <c r="H231" t="str">
        <f t="shared" si="7"/>
        <v>ren "" "256.jpg"</v>
      </c>
      <c r="V231" s="1"/>
      <c r="W231" s="2"/>
    </row>
    <row r="232" spans="1:23" x14ac:dyDescent="0.25">
      <c r="A232">
        <v>231</v>
      </c>
      <c r="B232" t="s">
        <v>781</v>
      </c>
      <c r="C232" t="s">
        <v>591</v>
      </c>
      <c r="D232" t="s">
        <v>534</v>
      </c>
      <c r="F232" t="str">
        <f t="shared" si="6"/>
        <v/>
      </c>
      <c r="G232" t="s">
        <v>796</v>
      </c>
      <c r="H232" t="str">
        <f t="shared" si="7"/>
        <v>ren "" "257.jpg"</v>
      </c>
      <c r="V232" s="1"/>
      <c r="W232" s="2"/>
    </row>
    <row r="233" spans="1:23" x14ac:dyDescent="0.25">
      <c r="A233">
        <v>232</v>
      </c>
      <c r="B233" t="s">
        <v>781</v>
      </c>
      <c r="C233" t="s">
        <v>591</v>
      </c>
      <c r="D233" t="s">
        <v>536</v>
      </c>
      <c r="F233" t="str">
        <f t="shared" si="6"/>
        <v/>
      </c>
      <c r="G233" t="s">
        <v>797</v>
      </c>
      <c r="H233" t="str">
        <f t="shared" si="7"/>
        <v>ren "" "258.jpg"</v>
      </c>
      <c r="V233" s="1"/>
      <c r="W233" s="2"/>
    </row>
    <row r="234" spans="1:23" x14ac:dyDescent="0.25">
      <c r="A234">
        <v>233</v>
      </c>
      <c r="B234" t="s">
        <v>798</v>
      </c>
      <c r="C234" t="s">
        <v>570</v>
      </c>
      <c r="D234" t="s">
        <v>534</v>
      </c>
      <c r="F234" t="str">
        <f t="shared" si="6"/>
        <v/>
      </c>
      <c r="G234" t="s">
        <v>799</v>
      </c>
      <c r="H234" t="str">
        <f t="shared" si="7"/>
        <v>ren "" "259.jpg"</v>
      </c>
      <c r="V234" s="1"/>
      <c r="W234" s="2"/>
    </row>
    <row r="235" spans="1:23" x14ac:dyDescent="0.25">
      <c r="A235">
        <v>234</v>
      </c>
      <c r="B235" t="s">
        <v>798</v>
      </c>
      <c r="C235" t="s">
        <v>570</v>
      </c>
      <c r="D235" t="s">
        <v>536</v>
      </c>
      <c r="F235" t="str">
        <f t="shared" si="6"/>
        <v/>
      </c>
      <c r="G235" t="s">
        <v>800</v>
      </c>
      <c r="H235" t="str">
        <f t="shared" si="7"/>
        <v>ren "" "260.jpg"</v>
      </c>
      <c r="V235" s="1"/>
      <c r="W235" s="2"/>
    </row>
    <row r="236" spans="1:23" x14ac:dyDescent="0.25">
      <c r="A236">
        <v>235</v>
      </c>
      <c r="B236" t="s">
        <v>798</v>
      </c>
      <c r="C236" t="s">
        <v>573</v>
      </c>
      <c r="D236" t="s">
        <v>534</v>
      </c>
      <c r="F236" t="str">
        <f t="shared" si="6"/>
        <v/>
      </c>
      <c r="G236" t="s">
        <v>801</v>
      </c>
      <c r="H236" t="str">
        <f t="shared" si="7"/>
        <v>ren "" "261.jpg"</v>
      </c>
      <c r="V236" s="1"/>
      <c r="W236" s="2"/>
    </row>
    <row r="237" spans="1:23" x14ac:dyDescent="0.25">
      <c r="A237">
        <v>236</v>
      </c>
      <c r="B237" t="s">
        <v>798</v>
      </c>
      <c r="C237" t="s">
        <v>573</v>
      </c>
      <c r="D237" t="s">
        <v>536</v>
      </c>
      <c r="F237" t="str">
        <f t="shared" si="6"/>
        <v/>
      </c>
      <c r="G237" t="s">
        <v>802</v>
      </c>
      <c r="H237" t="str">
        <f t="shared" si="7"/>
        <v>ren "" "262.jpg"</v>
      </c>
      <c r="V237" s="1"/>
      <c r="W237" s="2"/>
    </row>
    <row r="238" spans="1:23" x14ac:dyDescent="0.25">
      <c r="A238">
        <v>237</v>
      </c>
      <c r="B238" t="s">
        <v>798</v>
      </c>
      <c r="C238" t="s">
        <v>576</v>
      </c>
      <c r="D238" t="s">
        <v>534</v>
      </c>
      <c r="F238" t="str">
        <f t="shared" si="6"/>
        <v/>
      </c>
      <c r="G238" t="s">
        <v>803</v>
      </c>
      <c r="H238" t="str">
        <f t="shared" si="7"/>
        <v>ren "" "263.jpg"</v>
      </c>
      <c r="V238" s="1"/>
      <c r="W238" s="2"/>
    </row>
    <row r="239" spans="1:23" x14ac:dyDescent="0.25">
      <c r="A239">
        <v>238</v>
      </c>
      <c r="B239" t="s">
        <v>798</v>
      </c>
      <c r="C239" t="s">
        <v>576</v>
      </c>
      <c r="D239" t="s">
        <v>536</v>
      </c>
      <c r="F239" t="str">
        <f t="shared" si="6"/>
        <v/>
      </c>
      <c r="G239" t="s">
        <v>804</v>
      </c>
      <c r="H239" t="str">
        <f t="shared" si="7"/>
        <v>ren "" "264.jpg"</v>
      </c>
      <c r="V239" s="1"/>
      <c r="W239" s="2"/>
    </row>
    <row r="240" spans="1:23" x14ac:dyDescent="0.25">
      <c r="A240">
        <v>239</v>
      </c>
      <c r="B240" t="s">
        <v>798</v>
      </c>
      <c r="C240" t="s">
        <v>579</v>
      </c>
      <c r="D240" t="s">
        <v>534</v>
      </c>
      <c r="F240" t="str">
        <f t="shared" si="6"/>
        <v/>
      </c>
      <c r="G240" t="s">
        <v>805</v>
      </c>
      <c r="H240" t="str">
        <f t="shared" si="7"/>
        <v>ren "" "265.jpg"</v>
      </c>
      <c r="V240" s="1"/>
      <c r="W240" s="2"/>
    </row>
    <row r="241" spans="1:23" x14ac:dyDescent="0.25">
      <c r="A241">
        <v>240</v>
      </c>
      <c r="B241" t="s">
        <v>798</v>
      </c>
      <c r="C241" t="s">
        <v>579</v>
      </c>
      <c r="D241" t="s">
        <v>536</v>
      </c>
      <c r="F241" t="str">
        <f t="shared" si="6"/>
        <v/>
      </c>
      <c r="G241" t="s">
        <v>806</v>
      </c>
      <c r="H241" t="str">
        <f t="shared" si="7"/>
        <v>ren "" "266.jpg"</v>
      </c>
      <c r="V241" s="1"/>
      <c r="W241" s="2"/>
    </row>
    <row r="242" spans="1:23" x14ac:dyDescent="0.25">
      <c r="A242">
        <v>241</v>
      </c>
      <c r="B242" t="s">
        <v>798</v>
      </c>
      <c r="C242" t="s">
        <v>582</v>
      </c>
      <c r="D242" t="s">
        <v>534</v>
      </c>
      <c r="F242" t="str">
        <f t="shared" si="6"/>
        <v/>
      </c>
      <c r="G242" t="s">
        <v>807</v>
      </c>
      <c r="H242" t="str">
        <f t="shared" si="7"/>
        <v>ren "" "267.jpg"</v>
      </c>
      <c r="V242" s="1"/>
      <c r="W242" s="2"/>
    </row>
    <row r="243" spans="1:23" x14ac:dyDescent="0.25">
      <c r="A243">
        <v>242</v>
      </c>
      <c r="B243" t="s">
        <v>798</v>
      </c>
      <c r="C243" t="s">
        <v>582</v>
      </c>
      <c r="D243" t="s">
        <v>536</v>
      </c>
      <c r="F243" t="str">
        <f t="shared" si="6"/>
        <v/>
      </c>
      <c r="G243" t="s">
        <v>808</v>
      </c>
      <c r="H243" t="str">
        <f t="shared" si="7"/>
        <v>ren "" "268.jpg"</v>
      </c>
      <c r="V243" s="1"/>
      <c r="W243" s="2"/>
    </row>
    <row r="244" spans="1:23" x14ac:dyDescent="0.25">
      <c r="A244">
        <v>243</v>
      </c>
      <c r="B244" t="s">
        <v>798</v>
      </c>
      <c r="C244" t="s">
        <v>585</v>
      </c>
      <c r="D244" t="s">
        <v>534</v>
      </c>
      <c r="F244" t="str">
        <f t="shared" si="6"/>
        <v/>
      </c>
      <c r="G244" t="s">
        <v>809</v>
      </c>
      <c r="H244" t="str">
        <f t="shared" si="7"/>
        <v>ren "" "269.jpg"</v>
      </c>
      <c r="V244" s="1"/>
      <c r="W244" s="2"/>
    </row>
    <row r="245" spans="1:23" x14ac:dyDescent="0.25">
      <c r="A245">
        <v>244</v>
      </c>
      <c r="B245" t="s">
        <v>798</v>
      </c>
      <c r="C245" t="s">
        <v>585</v>
      </c>
      <c r="D245" t="s">
        <v>536</v>
      </c>
      <c r="F245" t="str">
        <f t="shared" si="6"/>
        <v/>
      </c>
      <c r="G245" t="s">
        <v>810</v>
      </c>
      <c r="H245" t="str">
        <f t="shared" si="7"/>
        <v>ren "" "270.jpg"</v>
      </c>
      <c r="V245" s="1"/>
      <c r="W245" s="2"/>
    </row>
    <row r="246" spans="1:23" x14ac:dyDescent="0.25">
      <c r="A246">
        <v>245</v>
      </c>
      <c r="B246" t="s">
        <v>798</v>
      </c>
      <c r="C246" t="s">
        <v>588</v>
      </c>
      <c r="D246" t="s">
        <v>534</v>
      </c>
      <c r="F246" t="str">
        <f t="shared" si="6"/>
        <v/>
      </c>
      <c r="G246" t="s">
        <v>811</v>
      </c>
      <c r="H246" t="str">
        <f t="shared" si="7"/>
        <v>ren "" "271.jpg"</v>
      </c>
      <c r="V246" s="1"/>
      <c r="W246" s="2"/>
    </row>
    <row r="247" spans="1:23" x14ac:dyDescent="0.25">
      <c r="A247">
        <v>246</v>
      </c>
      <c r="B247" t="s">
        <v>798</v>
      </c>
      <c r="C247" t="s">
        <v>588</v>
      </c>
      <c r="D247" t="s">
        <v>536</v>
      </c>
      <c r="F247" t="str">
        <f t="shared" si="6"/>
        <v/>
      </c>
      <c r="G247" t="s">
        <v>812</v>
      </c>
      <c r="H247" t="str">
        <f t="shared" si="7"/>
        <v>ren "" "272.jpg"</v>
      </c>
      <c r="V247" s="1"/>
      <c r="W247" s="2"/>
    </row>
    <row r="248" spans="1:23" x14ac:dyDescent="0.25">
      <c r="A248">
        <v>247</v>
      </c>
      <c r="B248" t="s">
        <v>798</v>
      </c>
      <c r="C248" t="s">
        <v>591</v>
      </c>
      <c r="D248" t="s">
        <v>534</v>
      </c>
      <c r="F248" t="str">
        <f t="shared" si="6"/>
        <v/>
      </c>
      <c r="G248" t="s">
        <v>813</v>
      </c>
      <c r="H248" t="str">
        <f t="shared" si="7"/>
        <v>ren "" "273.jpg"</v>
      </c>
      <c r="V248" s="1"/>
      <c r="W248" s="2"/>
    </row>
    <row r="249" spans="1:23" x14ac:dyDescent="0.25">
      <c r="A249">
        <v>248</v>
      </c>
      <c r="B249" t="s">
        <v>798</v>
      </c>
      <c r="C249" t="s">
        <v>591</v>
      </c>
      <c r="D249" t="s">
        <v>536</v>
      </c>
      <c r="F249" t="str">
        <f t="shared" si="6"/>
        <v/>
      </c>
      <c r="G249" t="s">
        <v>814</v>
      </c>
      <c r="H249" t="str">
        <f t="shared" si="7"/>
        <v>ren "" "274.jpg"</v>
      </c>
      <c r="V249" s="1"/>
      <c r="W249" s="2"/>
    </row>
    <row r="250" spans="1:23" x14ac:dyDescent="0.25">
      <c r="A250">
        <v>249</v>
      </c>
      <c r="B250" t="s">
        <v>815</v>
      </c>
      <c r="C250" t="s">
        <v>570</v>
      </c>
      <c r="D250" t="s">
        <v>534</v>
      </c>
      <c r="F250" t="str">
        <f t="shared" si="6"/>
        <v/>
      </c>
      <c r="G250" t="s">
        <v>816</v>
      </c>
      <c r="H250" t="str">
        <f t="shared" si="7"/>
        <v>ren "" "275.jpg"</v>
      </c>
      <c r="V250" s="1"/>
      <c r="W250" s="2"/>
    </row>
    <row r="251" spans="1:23" x14ac:dyDescent="0.25">
      <c r="A251">
        <v>250</v>
      </c>
      <c r="B251" t="s">
        <v>815</v>
      </c>
      <c r="C251" t="s">
        <v>570</v>
      </c>
      <c r="D251" t="s">
        <v>536</v>
      </c>
      <c r="F251" t="str">
        <f t="shared" si="6"/>
        <v/>
      </c>
      <c r="G251" t="s">
        <v>817</v>
      </c>
      <c r="H251" t="str">
        <f t="shared" si="7"/>
        <v>ren "" "276.jpg"</v>
      </c>
      <c r="V251" s="1"/>
      <c r="W251" s="2"/>
    </row>
    <row r="252" spans="1:23" x14ac:dyDescent="0.25">
      <c r="A252">
        <v>251</v>
      </c>
      <c r="B252" t="s">
        <v>815</v>
      </c>
      <c r="C252" t="s">
        <v>573</v>
      </c>
      <c r="D252" t="s">
        <v>534</v>
      </c>
      <c r="F252" t="str">
        <f t="shared" si="6"/>
        <v/>
      </c>
      <c r="G252" t="s">
        <v>818</v>
      </c>
      <c r="H252" t="str">
        <f t="shared" si="7"/>
        <v>ren "" "277.jpg"</v>
      </c>
      <c r="V252" s="1"/>
      <c r="W252" s="2"/>
    </row>
    <row r="253" spans="1:23" x14ac:dyDescent="0.25">
      <c r="A253">
        <v>252</v>
      </c>
      <c r="B253" t="s">
        <v>815</v>
      </c>
      <c r="C253" t="s">
        <v>573</v>
      </c>
      <c r="D253" t="s">
        <v>536</v>
      </c>
      <c r="F253" t="str">
        <f t="shared" si="6"/>
        <v/>
      </c>
      <c r="G253" t="s">
        <v>819</v>
      </c>
      <c r="H253" t="str">
        <f t="shared" si="7"/>
        <v>ren "" "278.jpg"</v>
      </c>
      <c r="V253" s="1"/>
      <c r="W253" s="2"/>
    </row>
    <row r="254" spans="1:23" x14ac:dyDescent="0.25">
      <c r="A254">
        <v>253</v>
      </c>
      <c r="B254" t="s">
        <v>815</v>
      </c>
      <c r="C254" t="s">
        <v>576</v>
      </c>
      <c r="D254" t="s">
        <v>534</v>
      </c>
      <c r="F254" t="str">
        <f t="shared" si="6"/>
        <v/>
      </c>
      <c r="G254" t="s">
        <v>820</v>
      </c>
      <c r="H254" t="str">
        <f t="shared" si="7"/>
        <v>ren "" "279.jpg"</v>
      </c>
      <c r="V254" s="1"/>
      <c r="W254" s="2"/>
    </row>
    <row r="255" spans="1:23" x14ac:dyDescent="0.25">
      <c r="A255">
        <v>254</v>
      </c>
      <c r="B255" t="s">
        <v>815</v>
      </c>
      <c r="C255" t="s">
        <v>576</v>
      </c>
      <c r="D255" t="s">
        <v>536</v>
      </c>
      <c r="F255" t="str">
        <f t="shared" si="6"/>
        <v/>
      </c>
      <c r="G255" t="s">
        <v>821</v>
      </c>
      <c r="H255" t="str">
        <f t="shared" si="7"/>
        <v>ren "" "280.jpg"</v>
      </c>
      <c r="V255" s="1"/>
      <c r="W255" s="2"/>
    </row>
    <row r="256" spans="1:23" x14ac:dyDescent="0.25">
      <c r="A256">
        <v>255</v>
      </c>
      <c r="B256" t="s">
        <v>815</v>
      </c>
      <c r="C256" t="s">
        <v>579</v>
      </c>
      <c r="D256" t="s">
        <v>534</v>
      </c>
      <c r="F256" t="str">
        <f t="shared" si="6"/>
        <v/>
      </c>
      <c r="G256" t="s">
        <v>822</v>
      </c>
      <c r="H256" t="str">
        <f t="shared" si="7"/>
        <v>ren "" "281.jpg"</v>
      </c>
      <c r="V256" s="1"/>
      <c r="W256" s="2"/>
    </row>
    <row r="257" spans="1:23" x14ac:dyDescent="0.25">
      <c r="A257">
        <v>256</v>
      </c>
      <c r="B257" t="s">
        <v>815</v>
      </c>
      <c r="C257" t="s">
        <v>579</v>
      </c>
      <c r="D257" t="s">
        <v>536</v>
      </c>
      <c r="F257" t="str">
        <f t="shared" si="6"/>
        <v/>
      </c>
      <c r="G257" t="s">
        <v>823</v>
      </c>
      <c r="H257" t="str">
        <f t="shared" si="7"/>
        <v>ren "" "282.jpg"</v>
      </c>
      <c r="V257" s="1"/>
      <c r="W257" s="2"/>
    </row>
    <row r="258" spans="1:23" x14ac:dyDescent="0.25">
      <c r="A258">
        <v>257</v>
      </c>
      <c r="B258" t="s">
        <v>815</v>
      </c>
      <c r="C258" t="s">
        <v>582</v>
      </c>
      <c r="D258" t="s">
        <v>534</v>
      </c>
      <c r="F258" t="str">
        <f t="shared" ref="F258:F321" si="8">IF(E258="", "", TRIM(RIGHT(SUBSTITUTE(E258, "\", REPT(" ", LEN(E258))), LEN(E258))))</f>
        <v/>
      </c>
      <c r="G258" t="s">
        <v>824</v>
      </c>
      <c r="H258" t="str">
        <f t="shared" ref="H258:H321" si="9">"ren """ &amp; F258 &amp; """ """ &amp; G258 &amp; """"</f>
        <v>ren "" "283.jpg"</v>
      </c>
      <c r="V258" s="1"/>
      <c r="W258" s="2"/>
    </row>
    <row r="259" spans="1:23" x14ac:dyDescent="0.25">
      <c r="A259">
        <v>258</v>
      </c>
      <c r="B259" t="s">
        <v>815</v>
      </c>
      <c r="C259" t="s">
        <v>582</v>
      </c>
      <c r="D259" t="s">
        <v>536</v>
      </c>
      <c r="F259" t="str">
        <f t="shared" si="8"/>
        <v/>
      </c>
      <c r="G259" t="s">
        <v>825</v>
      </c>
      <c r="H259" t="str">
        <f t="shared" si="9"/>
        <v>ren "" "284.jpg"</v>
      </c>
      <c r="V259" s="1"/>
      <c r="W259" s="2"/>
    </row>
    <row r="260" spans="1:23" x14ac:dyDescent="0.25">
      <c r="A260">
        <v>259</v>
      </c>
      <c r="B260" t="s">
        <v>815</v>
      </c>
      <c r="C260" t="s">
        <v>585</v>
      </c>
      <c r="D260" t="s">
        <v>534</v>
      </c>
      <c r="F260" t="str">
        <f t="shared" si="8"/>
        <v/>
      </c>
      <c r="G260" t="s">
        <v>826</v>
      </c>
      <c r="H260" t="str">
        <f t="shared" si="9"/>
        <v>ren "" "285.jpg"</v>
      </c>
      <c r="V260" s="1"/>
      <c r="W260" s="2"/>
    </row>
    <row r="261" spans="1:23" x14ac:dyDescent="0.25">
      <c r="A261">
        <v>260</v>
      </c>
      <c r="B261" t="s">
        <v>815</v>
      </c>
      <c r="C261" t="s">
        <v>585</v>
      </c>
      <c r="D261" t="s">
        <v>536</v>
      </c>
      <c r="F261" t="str">
        <f t="shared" si="8"/>
        <v/>
      </c>
      <c r="G261" t="s">
        <v>827</v>
      </c>
      <c r="H261" t="str">
        <f t="shared" si="9"/>
        <v>ren "" "286.jpg"</v>
      </c>
      <c r="V261" s="1"/>
      <c r="W261" s="2"/>
    </row>
    <row r="262" spans="1:23" x14ac:dyDescent="0.25">
      <c r="A262">
        <v>261</v>
      </c>
      <c r="B262" t="s">
        <v>815</v>
      </c>
      <c r="C262" t="s">
        <v>588</v>
      </c>
      <c r="D262" t="s">
        <v>534</v>
      </c>
      <c r="F262" t="str">
        <f t="shared" si="8"/>
        <v/>
      </c>
      <c r="G262" t="s">
        <v>828</v>
      </c>
      <c r="H262" t="str">
        <f t="shared" si="9"/>
        <v>ren "" "287.jpg"</v>
      </c>
      <c r="V262" s="1"/>
      <c r="W262" s="2"/>
    </row>
    <row r="263" spans="1:23" x14ac:dyDescent="0.25">
      <c r="A263">
        <v>262</v>
      </c>
      <c r="B263" t="s">
        <v>815</v>
      </c>
      <c r="C263" t="s">
        <v>588</v>
      </c>
      <c r="D263" t="s">
        <v>536</v>
      </c>
      <c r="F263" t="str">
        <f t="shared" si="8"/>
        <v/>
      </c>
      <c r="G263" t="s">
        <v>829</v>
      </c>
      <c r="H263" t="str">
        <f t="shared" si="9"/>
        <v>ren "" "288.jpg"</v>
      </c>
      <c r="V263" s="1"/>
      <c r="W263" s="2"/>
    </row>
    <row r="264" spans="1:23" x14ac:dyDescent="0.25">
      <c r="A264">
        <v>263</v>
      </c>
      <c r="B264" t="s">
        <v>815</v>
      </c>
      <c r="C264" t="s">
        <v>591</v>
      </c>
      <c r="D264" t="s">
        <v>534</v>
      </c>
      <c r="F264" t="str">
        <f t="shared" si="8"/>
        <v/>
      </c>
      <c r="G264" t="s">
        <v>830</v>
      </c>
      <c r="H264" t="str">
        <f t="shared" si="9"/>
        <v>ren "" "289.jpg"</v>
      </c>
      <c r="V264" s="1"/>
      <c r="W264" s="2"/>
    </row>
    <row r="265" spans="1:23" x14ac:dyDescent="0.25">
      <c r="A265">
        <v>264</v>
      </c>
      <c r="B265" t="s">
        <v>815</v>
      </c>
      <c r="C265" t="s">
        <v>591</v>
      </c>
      <c r="D265" t="s">
        <v>536</v>
      </c>
      <c r="F265" t="str">
        <f t="shared" si="8"/>
        <v/>
      </c>
      <c r="G265" t="s">
        <v>831</v>
      </c>
      <c r="H265" t="str">
        <f t="shared" si="9"/>
        <v>ren "" "290.jpg"</v>
      </c>
      <c r="V265" s="1"/>
      <c r="W265" s="2"/>
    </row>
    <row r="266" spans="1:23" x14ac:dyDescent="0.25">
      <c r="A266">
        <v>265</v>
      </c>
      <c r="B266" t="s">
        <v>832</v>
      </c>
      <c r="C266" t="s">
        <v>570</v>
      </c>
      <c r="D266" t="s">
        <v>534</v>
      </c>
      <c r="F266" t="str">
        <f t="shared" si="8"/>
        <v/>
      </c>
      <c r="G266" t="s">
        <v>833</v>
      </c>
      <c r="H266" t="str">
        <f t="shared" si="9"/>
        <v>ren "" "291.jpg"</v>
      </c>
      <c r="V266" s="1"/>
      <c r="W266" s="2"/>
    </row>
    <row r="267" spans="1:23" x14ac:dyDescent="0.25">
      <c r="A267">
        <v>266</v>
      </c>
      <c r="B267" t="s">
        <v>832</v>
      </c>
      <c r="C267" t="s">
        <v>570</v>
      </c>
      <c r="D267" t="s">
        <v>536</v>
      </c>
      <c r="F267" t="str">
        <f t="shared" si="8"/>
        <v/>
      </c>
      <c r="G267" t="s">
        <v>834</v>
      </c>
      <c r="H267" t="str">
        <f t="shared" si="9"/>
        <v>ren "" "292.jpg"</v>
      </c>
      <c r="V267" s="1"/>
      <c r="W267" s="2"/>
    </row>
    <row r="268" spans="1:23" x14ac:dyDescent="0.25">
      <c r="A268">
        <v>267</v>
      </c>
      <c r="B268" t="s">
        <v>832</v>
      </c>
      <c r="C268" t="s">
        <v>573</v>
      </c>
      <c r="D268" t="s">
        <v>534</v>
      </c>
      <c r="F268" t="str">
        <f t="shared" si="8"/>
        <v/>
      </c>
      <c r="G268" t="s">
        <v>835</v>
      </c>
      <c r="H268" t="str">
        <f t="shared" si="9"/>
        <v>ren "" "293.jpg"</v>
      </c>
      <c r="V268" s="1"/>
      <c r="W268" s="2"/>
    </row>
    <row r="269" spans="1:23" x14ac:dyDescent="0.25">
      <c r="A269">
        <v>268</v>
      </c>
      <c r="B269" t="s">
        <v>832</v>
      </c>
      <c r="C269" t="s">
        <v>573</v>
      </c>
      <c r="D269" t="s">
        <v>536</v>
      </c>
      <c r="F269" t="str">
        <f t="shared" si="8"/>
        <v/>
      </c>
      <c r="G269" t="s">
        <v>836</v>
      </c>
      <c r="H269" t="str">
        <f t="shared" si="9"/>
        <v>ren "" "294.jpg"</v>
      </c>
      <c r="V269" s="1"/>
      <c r="W269" s="2"/>
    </row>
    <row r="270" spans="1:23" x14ac:dyDescent="0.25">
      <c r="A270">
        <v>269</v>
      </c>
      <c r="B270" t="s">
        <v>832</v>
      </c>
      <c r="C270" t="s">
        <v>576</v>
      </c>
      <c r="D270" t="s">
        <v>534</v>
      </c>
      <c r="F270" t="str">
        <f t="shared" si="8"/>
        <v/>
      </c>
      <c r="G270" t="s">
        <v>837</v>
      </c>
      <c r="H270" t="str">
        <f t="shared" si="9"/>
        <v>ren "" "295.jpg"</v>
      </c>
      <c r="V270" s="1"/>
      <c r="W270" s="2"/>
    </row>
    <row r="271" spans="1:23" x14ac:dyDescent="0.25">
      <c r="A271">
        <v>270</v>
      </c>
      <c r="B271" t="s">
        <v>832</v>
      </c>
      <c r="C271" t="s">
        <v>576</v>
      </c>
      <c r="D271" t="s">
        <v>536</v>
      </c>
      <c r="F271" t="str">
        <f t="shared" si="8"/>
        <v/>
      </c>
      <c r="G271" t="s">
        <v>838</v>
      </c>
      <c r="H271" t="str">
        <f t="shared" si="9"/>
        <v>ren "" "296.jpg"</v>
      </c>
      <c r="V271" s="1"/>
      <c r="W271" s="2"/>
    </row>
    <row r="272" spans="1:23" x14ac:dyDescent="0.25">
      <c r="A272">
        <v>271</v>
      </c>
      <c r="B272" t="s">
        <v>832</v>
      </c>
      <c r="C272" t="s">
        <v>579</v>
      </c>
      <c r="D272" t="s">
        <v>534</v>
      </c>
      <c r="F272" t="str">
        <f t="shared" si="8"/>
        <v/>
      </c>
      <c r="G272" t="s">
        <v>839</v>
      </c>
      <c r="H272" t="str">
        <f t="shared" si="9"/>
        <v>ren "" "297.jpg"</v>
      </c>
      <c r="V272" s="1"/>
      <c r="W272" s="2"/>
    </row>
    <row r="273" spans="1:23" x14ac:dyDescent="0.25">
      <c r="A273">
        <v>272</v>
      </c>
      <c r="B273" t="s">
        <v>832</v>
      </c>
      <c r="C273" t="s">
        <v>579</v>
      </c>
      <c r="D273" t="s">
        <v>536</v>
      </c>
      <c r="F273" t="str">
        <f t="shared" si="8"/>
        <v/>
      </c>
      <c r="G273" t="s">
        <v>840</v>
      </c>
      <c r="H273" t="str">
        <f t="shared" si="9"/>
        <v>ren "" "298.jpg"</v>
      </c>
      <c r="V273" s="1"/>
      <c r="W273" s="2"/>
    </row>
    <row r="274" spans="1:23" x14ac:dyDescent="0.25">
      <c r="A274">
        <v>273</v>
      </c>
      <c r="B274" t="s">
        <v>832</v>
      </c>
      <c r="C274" t="s">
        <v>582</v>
      </c>
      <c r="D274" t="s">
        <v>534</v>
      </c>
      <c r="F274" t="str">
        <f t="shared" si="8"/>
        <v/>
      </c>
      <c r="G274" t="s">
        <v>841</v>
      </c>
      <c r="H274" t="str">
        <f t="shared" si="9"/>
        <v>ren "" "299.jpg"</v>
      </c>
      <c r="V274" s="1"/>
      <c r="W274" s="2"/>
    </row>
    <row r="275" spans="1:23" x14ac:dyDescent="0.25">
      <c r="A275">
        <v>274</v>
      </c>
      <c r="B275" t="s">
        <v>832</v>
      </c>
      <c r="C275" t="s">
        <v>582</v>
      </c>
      <c r="D275" t="s">
        <v>536</v>
      </c>
      <c r="F275" t="str">
        <f t="shared" si="8"/>
        <v/>
      </c>
      <c r="G275" t="s">
        <v>842</v>
      </c>
      <c r="H275" t="str">
        <f t="shared" si="9"/>
        <v>ren "" "300.jpg"</v>
      </c>
      <c r="V275" s="1"/>
      <c r="W275" s="2"/>
    </row>
    <row r="276" spans="1:23" x14ac:dyDescent="0.25">
      <c r="A276">
        <v>275</v>
      </c>
      <c r="B276" t="s">
        <v>832</v>
      </c>
      <c r="C276" t="s">
        <v>585</v>
      </c>
      <c r="D276" t="s">
        <v>534</v>
      </c>
      <c r="F276" t="str">
        <f t="shared" si="8"/>
        <v/>
      </c>
      <c r="G276" t="s">
        <v>843</v>
      </c>
      <c r="H276" t="str">
        <f t="shared" si="9"/>
        <v>ren "" "301.jpg"</v>
      </c>
      <c r="V276" s="1"/>
      <c r="W276" s="2"/>
    </row>
    <row r="277" spans="1:23" x14ac:dyDescent="0.25">
      <c r="A277">
        <v>276</v>
      </c>
      <c r="B277" t="s">
        <v>832</v>
      </c>
      <c r="C277" t="s">
        <v>585</v>
      </c>
      <c r="D277" t="s">
        <v>536</v>
      </c>
      <c r="F277" t="str">
        <f t="shared" si="8"/>
        <v/>
      </c>
      <c r="G277" t="s">
        <v>844</v>
      </c>
      <c r="H277" t="str">
        <f t="shared" si="9"/>
        <v>ren "" "302.jpg"</v>
      </c>
      <c r="V277" s="1"/>
      <c r="W277" s="2"/>
    </row>
    <row r="278" spans="1:23" x14ac:dyDescent="0.25">
      <c r="A278">
        <v>277</v>
      </c>
      <c r="B278" t="s">
        <v>832</v>
      </c>
      <c r="C278" t="s">
        <v>588</v>
      </c>
      <c r="D278" t="s">
        <v>534</v>
      </c>
      <c r="F278" t="str">
        <f t="shared" si="8"/>
        <v/>
      </c>
      <c r="G278" t="s">
        <v>845</v>
      </c>
      <c r="H278" t="str">
        <f t="shared" si="9"/>
        <v>ren "" "303.jpg"</v>
      </c>
      <c r="V278" s="1"/>
      <c r="W278" s="2"/>
    </row>
    <row r="279" spans="1:23" x14ac:dyDescent="0.25">
      <c r="A279">
        <v>278</v>
      </c>
      <c r="B279" t="s">
        <v>832</v>
      </c>
      <c r="C279" t="s">
        <v>588</v>
      </c>
      <c r="D279" t="s">
        <v>536</v>
      </c>
      <c r="F279" t="str">
        <f t="shared" si="8"/>
        <v/>
      </c>
      <c r="G279" t="s">
        <v>846</v>
      </c>
      <c r="H279" t="str">
        <f t="shared" si="9"/>
        <v>ren "" "304.jpg"</v>
      </c>
      <c r="V279" s="1"/>
      <c r="W279" s="2"/>
    </row>
    <row r="280" spans="1:23" x14ac:dyDescent="0.25">
      <c r="A280">
        <v>279</v>
      </c>
      <c r="B280" t="s">
        <v>832</v>
      </c>
      <c r="C280" t="s">
        <v>591</v>
      </c>
      <c r="D280" t="s">
        <v>534</v>
      </c>
      <c r="F280" t="str">
        <f t="shared" si="8"/>
        <v/>
      </c>
      <c r="G280" t="s">
        <v>847</v>
      </c>
      <c r="H280" t="str">
        <f t="shared" si="9"/>
        <v>ren "" "305.jpg"</v>
      </c>
      <c r="V280" s="1"/>
      <c r="W280" s="2"/>
    </row>
    <row r="281" spans="1:23" x14ac:dyDescent="0.25">
      <c r="A281">
        <v>280</v>
      </c>
      <c r="B281" t="s">
        <v>832</v>
      </c>
      <c r="C281" t="s">
        <v>591</v>
      </c>
      <c r="D281" t="s">
        <v>536</v>
      </c>
      <c r="F281" t="str">
        <f t="shared" si="8"/>
        <v/>
      </c>
      <c r="G281" t="s">
        <v>848</v>
      </c>
      <c r="H281" t="str">
        <f t="shared" si="9"/>
        <v>ren "" "306.jpg"</v>
      </c>
      <c r="V281" s="1"/>
      <c r="W281" s="2"/>
    </row>
    <row r="282" spans="1:23" x14ac:dyDescent="0.25">
      <c r="A282">
        <v>281</v>
      </c>
      <c r="B282" t="s">
        <v>849</v>
      </c>
      <c r="C282" t="s">
        <v>570</v>
      </c>
      <c r="D282" t="s">
        <v>534</v>
      </c>
      <c r="F282" t="str">
        <f t="shared" si="8"/>
        <v/>
      </c>
      <c r="G282" t="s">
        <v>850</v>
      </c>
      <c r="H282" t="str">
        <f t="shared" si="9"/>
        <v>ren "" "307.jpg"</v>
      </c>
      <c r="V282" s="1"/>
      <c r="W282" s="2"/>
    </row>
    <row r="283" spans="1:23" x14ac:dyDescent="0.25">
      <c r="A283">
        <v>282</v>
      </c>
      <c r="B283" t="s">
        <v>849</v>
      </c>
      <c r="C283" t="s">
        <v>570</v>
      </c>
      <c r="D283" t="s">
        <v>536</v>
      </c>
      <c r="F283" t="str">
        <f t="shared" si="8"/>
        <v/>
      </c>
      <c r="G283" t="s">
        <v>851</v>
      </c>
      <c r="H283" t="str">
        <f t="shared" si="9"/>
        <v>ren "" "308.jpg"</v>
      </c>
      <c r="V283" s="1"/>
      <c r="W283" s="2"/>
    </row>
    <row r="284" spans="1:23" x14ac:dyDescent="0.25">
      <c r="A284">
        <v>283</v>
      </c>
      <c r="B284" t="s">
        <v>849</v>
      </c>
      <c r="C284" t="s">
        <v>573</v>
      </c>
      <c r="D284" t="s">
        <v>534</v>
      </c>
      <c r="F284" t="str">
        <f t="shared" si="8"/>
        <v/>
      </c>
      <c r="G284" t="s">
        <v>852</v>
      </c>
      <c r="H284" t="str">
        <f t="shared" si="9"/>
        <v>ren "" "309.jpg"</v>
      </c>
      <c r="V284" s="1"/>
      <c r="W284" s="2"/>
    </row>
    <row r="285" spans="1:23" x14ac:dyDescent="0.25">
      <c r="A285">
        <v>284</v>
      </c>
      <c r="B285" t="s">
        <v>849</v>
      </c>
      <c r="C285" t="s">
        <v>573</v>
      </c>
      <c r="D285" t="s">
        <v>536</v>
      </c>
      <c r="F285" t="str">
        <f t="shared" si="8"/>
        <v/>
      </c>
      <c r="G285" t="s">
        <v>853</v>
      </c>
      <c r="H285" t="str">
        <f t="shared" si="9"/>
        <v>ren "" "310.jpg"</v>
      </c>
      <c r="V285" s="1"/>
      <c r="W285" s="2"/>
    </row>
    <row r="286" spans="1:23" x14ac:dyDescent="0.25">
      <c r="A286">
        <v>285</v>
      </c>
      <c r="B286" t="s">
        <v>849</v>
      </c>
      <c r="C286" t="s">
        <v>576</v>
      </c>
      <c r="D286" t="s">
        <v>534</v>
      </c>
      <c r="F286" t="str">
        <f t="shared" si="8"/>
        <v/>
      </c>
      <c r="G286" t="s">
        <v>854</v>
      </c>
      <c r="H286" t="str">
        <f t="shared" si="9"/>
        <v>ren "" "311.jpg"</v>
      </c>
      <c r="V286" s="1"/>
      <c r="W286" s="2"/>
    </row>
    <row r="287" spans="1:23" x14ac:dyDescent="0.25">
      <c r="A287">
        <v>286</v>
      </c>
      <c r="B287" t="s">
        <v>849</v>
      </c>
      <c r="C287" t="s">
        <v>576</v>
      </c>
      <c r="D287" t="s">
        <v>536</v>
      </c>
      <c r="F287" t="str">
        <f t="shared" si="8"/>
        <v/>
      </c>
      <c r="G287" t="s">
        <v>855</v>
      </c>
      <c r="H287" t="str">
        <f t="shared" si="9"/>
        <v>ren "" "312.jpg"</v>
      </c>
      <c r="V287" s="1"/>
      <c r="W287" s="2"/>
    </row>
    <row r="288" spans="1:23" x14ac:dyDescent="0.25">
      <c r="A288">
        <v>287</v>
      </c>
      <c r="B288" t="s">
        <v>849</v>
      </c>
      <c r="C288" t="s">
        <v>579</v>
      </c>
      <c r="D288" t="s">
        <v>534</v>
      </c>
      <c r="F288" t="str">
        <f t="shared" si="8"/>
        <v/>
      </c>
      <c r="G288" t="s">
        <v>856</v>
      </c>
      <c r="H288" t="str">
        <f t="shared" si="9"/>
        <v>ren "" "313.jpg"</v>
      </c>
      <c r="V288" s="1"/>
      <c r="W288" s="2"/>
    </row>
    <row r="289" spans="1:23" x14ac:dyDescent="0.25">
      <c r="A289">
        <v>288</v>
      </c>
      <c r="B289" t="s">
        <v>849</v>
      </c>
      <c r="C289" t="s">
        <v>579</v>
      </c>
      <c r="D289" t="s">
        <v>536</v>
      </c>
      <c r="F289" t="str">
        <f t="shared" si="8"/>
        <v/>
      </c>
      <c r="G289" t="s">
        <v>857</v>
      </c>
      <c r="H289" t="str">
        <f t="shared" si="9"/>
        <v>ren "" "314.jpg"</v>
      </c>
      <c r="V289" s="1"/>
      <c r="W289" s="2"/>
    </row>
    <row r="290" spans="1:23" x14ac:dyDescent="0.25">
      <c r="A290">
        <v>289</v>
      </c>
      <c r="B290" t="s">
        <v>849</v>
      </c>
      <c r="C290" t="s">
        <v>582</v>
      </c>
      <c r="D290" t="s">
        <v>534</v>
      </c>
      <c r="F290" t="str">
        <f t="shared" si="8"/>
        <v/>
      </c>
      <c r="G290" t="s">
        <v>858</v>
      </c>
      <c r="H290" t="str">
        <f t="shared" si="9"/>
        <v>ren "" "315.jpg"</v>
      </c>
      <c r="V290" s="1"/>
      <c r="W290" s="2"/>
    </row>
    <row r="291" spans="1:23" x14ac:dyDescent="0.25">
      <c r="A291">
        <v>290</v>
      </c>
      <c r="B291" t="s">
        <v>849</v>
      </c>
      <c r="C291" t="s">
        <v>582</v>
      </c>
      <c r="D291" t="s">
        <v>536</v>
      </c>
      <c r="F291" t="str">
        <f t="shared" si="8"/>
        <v/>
      </c>
      <c r="G291" t="s">
        <v>859</v>
      </c>
      <c r="H291" t="str">
        <f t="shared" si="9"/>
        <v>ren "" "316.jpg"</v>
      </c>
      <c r="V291" s="1"/>
      <c r="W291" s="2"/>
    </row>
    <row r="292" spans="1:23" x14ac:dyDescent="0.25">
      <c r="A292">
        <v>291</v>
      </c>
      <c r="B292" t="s">
        <v>849</v>
      </c>
      <c r="C292" t="s">
        <v>585</v>
      </c>
      <c r="D292" t="s">
        <v>534</v>
      </c>
      <c r="F292" t="str">
        <f t="shared" si="8"/>
        <v/>
      </c>
      <c r="G292" t="s">
        <v>860</v>
      </c>
      <c r="H292" t="str">
        <f t="shared" si="9"/>
        <v>ren "" "317.jpg"</v>
      </c>
      <c r="V292" s="1"/>
      <c r="W292" s="2"/>
    </row>
    <row r="293" spans="1:23" x14ac:dyDescent="0.25">
      <c r="A293">
        <v>292</v>
      </c>
      <c r="B293" t="s">
        <v>849</v>
      </c>
      <c r="C293" t="s">
        <v>585</v>
      </c>
      <c r="D293" t="s">
        <v>536</v>
      </c>
      <c r="F293" t="str">
        <f t="shared" si="8"/>
        <v/>
      </c>
      <c r="G293" t="s">
        <v>861</v>
      </c>
      <c r="H293" t="str">
        <f t="shared" si="9"/>
        <v>ren "" "318.jpg"</v>
      </c>
      <c r="V293" s="1"/>
      <c r="W293" s="2"/>
    </row>
    <row r="294" spans="1:23" x14ac:dyDescent="0.25">
      <c r="A294">
        <v>293</v>
      </c>
      <c r="B294" t="s">
        <v>849</v>
      </c>
      <c r="C294" t="s">
        <v>588</v>
      </c>
      <c r="D294" t="s">
        <v>534</v>
      </c>
      <c r="F294" t="str">
        <f t="shared" si="8"/>
        <v/>
      </c>
      <c r="G294" t="s">
        <v>862</v>
      </c>
      <c r="H294" t="str">
        <f t="shared" si="9"/>
        <v>ren "" "319.jpg"</v>
      </c>
      <c r="V294" s="1"/>
      <c r="W294" s="2"/>
    </row>
    <row r="295" spans="1:23" x14ac:dyDescent="0.25">
      <c r="A295">
        <v>294</v>
      </c>
      <c r="B295" t="s">
        <v>849</v>
      </c>
      <c r="C295" t="s">
        <v>588</v>
      </c>
      <c r="D295" t="s">
        <v>536</v>
      </c>
      <c r="F295" t="str">
        <f t="shared" si="8"/>
        <v/>
      </c>
      <c r="G295" t="s">
        <v>863</v>
      </c>
      <c r="H295" t="str">
        <f t="shared" si="9"/>
        <v>ren "" "320.jpg"</v>
      </c>
      <c r="V295" s="1"/>
      <c r="W295" s="2"/>
    </row>
    <row r="296" spans="1:23" x14ac:dyDescent="0.25">
      <c r="A296">
        <v>295</v>
      </c>
      <c r="B296" t="s">
        <v>849</v>
      </c>
      <c r="C296" t="s">
        <v>591</v>
      </c>
      <c r="D296" t="s">
        <v>534</v>
      </c>
      <c r="F296" t="str">
        <f t="shared" si="8"/>
        <v/>
      </c>
      <c r="G296" t="s">
        <v>864</v>
      </c>
      <c r="H296" t="str">
        <f t="shared" si="9"/>
        <v>ren "" "321.jpg"</v>
      </c>
      <c r="V296" s="1"/>
      <c r="W296" s="2"/>
    </row>
    <row r="297" spans="1:23" x14ac:dyDescent="0.25">
      <c r="A297">
        <v>296</v>
      </c>
      <c r="B297" t="s">
        <v>849</v>
      </c>
      <c r="C297" t="s">
        <v>591</v>
      </c>
      <c r="D297" t="s">
        <v>536</v>
      </c>
      <c r="F297" t="str">
        <f t="shared" si="8"/>
        <v/>
      </c>
      <c r="G297" t="s">
        <v>865</v>
      </c>
      <c r="H297" t="str">
        <f t="shared" si="9"/>
        <v>ren "" "322.jpg"</v>
      </c>
      <c r="V297" s="1"/>
      <c r="W297" s="2"/>
    </row>
    <row r="298" spans="1:23" x14ac:dyDescent="0.25">
      <c r="A298">
        <v>297</v>
      </c>
      <c r="B298" t="s">
        <v>866</v>
      </c>
      <c r="C298" t="s">
        <v>570</v>
      </c>
      <c r="D298" t="s">
        <v>534</v>
      </c>
      <c r="F298" t="str">
        <f t="shared" si="8"/>
        <v/>
      </c>
      <c r="G298" t="s">
        <v>867</v>
      </c>
      <c r="H298" t="str">
        <f t="shared" si="9"/>
        <v>ren "" "323.jpg"</v>
      </c>
      <c r="V298" s="1"/>
      <c r="W298" s="2"/>
    </row>
    <row r="299" spans="1:23" x14ac:dyDescent="0.25">
      <c r="A299">
        <v>298</v>
      </c>
      <c r="B299" t="s">
        <v>866</v>
      </c>
      <c r="C299" t="s">
        <v>570</v>
      </c>
      <c r="D299" t="s">
        <v>536</v>
      </c>
      <c r="F299" t="str">
        <f t="shared" si="8"/>
        <v/>
      </c>
      <c r="G299" t="s">
        <v>868</v>
      </c>
      <c r="H299" t="str">
        <f t="shared" si="9"/>
        <v>ren "" "324.jpg"</v>
      </c>
      <c r="V299" s="1"/>
      <c r="W299" s="2"/>
    </row>
    <row r="300" spans="1:23" x14ac:dyDescent="0.25">
      <c r="A300">
        <v>299</v>
      </c>
      <c r="B300" t="s">
        <v>866</v>
      </c>
      <c r="C300" t="s">
        <v>573</v>
      </c>
      <c r="D300" t="s">
        <v>534</v>
      </c>
      <c r="F300" t="str">
        <f t="shared" si="8"/>
        <v/>
      </c>
      <c r="G300" t="s">
        <v>869</v>
      </c>
      <c r="H300" t="str">
        <f t="shared" si="9"/>
        <v>ren "" "325.jpg"</v>
      </c>
      <c r="V300" s="1"/>
      <c r="W300" s="2"/>
    </row>
    <row r="301" spans="1:23" x14ac:dyDescent="0.25">
      <c r="A301">
        <v>300</v>
      </c>
      <c r="B301" t="s">
        <v>866</v>
      </c>
      <c r="C301" t="s">
        <v>573</v>
      </c>
      <c r="D301" t="s">
        <v>536</v>
      </c>
      <c r="F301" t="str">
        <f t="shared" si="8"/>
        <v/>
      </c>
      <c r="G301" t="s">
        <v>870</v>
      </c>
      <c r="H301" t="str">
        <f t="shared" si="9"/>
        <v>ren "" "326.jpg"</v>
      </c>
      <c r="V301" s="1"/>
      <c r="W301" s="2"/>
    </row>
    <row r="302" spans="1:23" x14ac:dyDescent="0.25">
      <c r="A302">
        <v>301</v>
      </c>
      <c r="B302" t="s">
        <v>866</v>
      </c>
      <c r="C302" t="s">
        <v>576</v>
      </c>
      <c r="D302" t="s">
        <v>534</v>
      </c>
      <c r="F302" t="str">
        <f t="shared" si="8"/>
        <v/>
      </c>
      <c r="G302" t="s">
        <v>871</v>
      </c>
      <c r="H302" t="str">
        <f t="shared" si="9"/>
        <v>ren "" "327.jpg"</v>
      </c>
      <c r="V302" s="1"/>
      <c r="W302" s="2"/>
    </row>
    <row r="303" spans="1:23" x14ac:dyDescent="0.25">
      <c r="A303">
        <v>302</v>
      </c>
      <c r="B303" t="s">
        <v>866</v>
      </c>
      <c r="C303" t="s">
        <v>576</v>
      </c>
      <c r="D303" t="s">
        <v>536</v>
      </c>
      <c r="F303" t="str">
        <f t="shared" si="8"/>
        <v/>
      </c>
      <c r="G303" t="s">
        <v>872</v>
      </c>
      <c r="H303" t="str">
        <f t="shared" si="9"/>
        <v>ren "" "328.jpg"</v>
      </c>
      <c r="V303" s="1"/>
      <c r="W303" s="2"/>
    </row>
    <row r="304" spans="1:23" x14ac:dyDescent="0.25">
      <c r="A304">
        <v>303</v>
      </c>
      <c r="B304" t="s">
        <v>866</v>
      </c>
      <c r="C304" t="s">
        <v>579</v>
      </c>
      <c r="D304" t="s">
        <v>534</v>
      </c>
      <c r="F304" t="str">
        <f t="shared" si="8"/>
        <v/>
      </c>
      <c r="G304" t="s">
        <v>873</v>
      </c>
      <c r="H304" t="str">
        <f t="shared" si="9"/>
        <v>ren "" "329.jpg"</v>
      </c>
      <c r="V304" s="1"/>
      <c r="W304" s="2"/>
    </row>
    <row r="305" spans="1:23" x14ac:dyDescent="0.25">
      <c r="A305">
        <v>304</v>
      </c>
      <c r="B305" t="s">
        <v>866</v>
      </c>
      <c r="C305" t="s">
        <v>579</v>
      </c>
      <c r="D305" t="s">
        <v>536</v>
      </c>
      <c r="F305" t="str">
        <f t="shared" si="8"/>
        <v/>
      </c>
      <c r="G305" t="s">
        <v>874</v>
      </c>
      <c r="H305" t="str">
        <f t="shared" si="9"/>
        <v>ren "" "330.jpg"</v>
      </c>
      <c r="V305" s="1"/>
      <c r="W305" s="2"/>
    </row>
    <row r="306" spans="1:23" x14ac:dyDescent="0.25">
      <c r="A306">
        <v>305</v>
      </c>
      <c r="B306" t="s">
        <v>866</v>
      </c>
      <c r="C306" t="s">
        <v>582</v>
      </c>
      <c r="D306" t="s">
        <v>534</v>
      </c>
      <c r="F306" t="str">
        <f t="shared" si="8"/>
        <v/>
      </c>
      <c r="G306" t="s">
        <v>875</v>
      </c>
      <c r="H306" t="str">
        <f t="shared" si="9"/>
        <v>ren "" "331.jpg"</v>
      </c>
      <c r="V306" s="1"/>
      <c r="W306" s="2"/>
    </row>
    <row r="307" spans="1:23" x14ac:dyDescent="0.25">
      <c r="A307">
        <v>306</v>
      </c>
      <c r="B307" t="s">
        <v>866</v>
      </c>
      <c r="C307" t="s">
        <v>582</v>
      </c>
      <c r="D307" t="s">
        <v>536</v>
      </c>
      <c r="F307" t="str">
        <f t="shared" si="8"/>
        <v/>
      </c>
      <c r="G307" t="s">
        <v>876</v>
      </c>
      <c r="H307" t="str">
        <f t="shared" si="9"/>
        <v>ren "" "332.jpg"</v>
      </c>
      <c r="V307" s="1"/>
      <c r="W307" s="2"/>
    </row>
    <row r="308" spans="1:23" x14ac:dyDescent="0.25">
      <c r="A308">
        <v>307</v>
      </c>
      <c r="B308" t="s">
        <v>866</v>
      </c>
      <c r="C308" t="s">
        <v>585</v>
      </c>
      <c r="D308" t="s">
        <v>534</v>
      </c>
      <c r="F308" t="str">
        <f t="shared" si="8"/>
        <v/>
      </c>
      <c r="G308" t="s">
        <v>877</v>
      </c>
      <c r="H308" t="str">
        <f t="shared" si="9"/>
        <v>ren "" "333.jpg"</v>
      </c>
      <c r="V308" s="1"/>
      <c r="W308" s="2"/>
    </row>
    <row r="309" spans="1:23" x14ac:dyDescent="0.25">
      <c r="A309">
        <v>308</v>
      </c>
      <c r="B309" t="s">
        <v>866</v>
      </c>
      <c r="C309" t="s">
        <v>585</v>
      </c>
      <c r="D309" t="s">
        <v>536</v>
      </c>
      <c r="F309" t="str">
        <f t="shared" si="8"/>
        <v/>
      </c>
      <c r="G309" t="s">
        <v>878</v>
      </c>
      <c r="H309" t="str">
        <f t="shared" si="9"/>
        <v>ren "" "334.jpg"</v>
      </c>
      <c r="V309" s="1"/>
      <c r="W309" s="2"/>
    </row>
    <row r="310" spans="1:23" x14ac:dyDescent="0.25">
      <c r="A310">
        <v>309</v>
      </c>
      <c r="B310" t="s">
        <v>866</v>
      </c>
      <c r="C310" t="s">
        <v>588</v>
      </c>
      <c r="D310" t="s">
        <v>534</v>
      </c>
      <c r="F310" t="str">
        <f t="shared" si="8"/>
        <v/>
      </c>
      <c r="G310" t="s">
        <v>879</v>
      </c>
      <c r="H310" t="str">
        <f t="shared" si="9"/>
        <v>ren "" "335.jpg"</v>
      </c>
      <c r="V310" s="1"/>
      <c r="W310" s="2"/>
    </row>
    <row r="311" spans="1:23" x14ac:dyDescent="0.25">
      <c r="A311">
        <v>310</v>
      </c>
      <c r="B311" t="s">
        <v>866</v>
      </c>
      <c r="C311" t="s">
        <v>588</v>
      </c>
      <c r="D311" t="s">
        <v>536</v>
      </c>
      <c r="F311" t="str">
        <f t="shared" si="8"/>
        <v/>
      </c>
      <c r="G311" t="s">
        <v>880</v>
      </c>
      <c r="H311" t="str">
        <f t="shared" si="9"/>
        <v>ren "" "336.jpg"</v>
      </c>
      <c r="V311" s="1"/>
      <c r="W311" s="2"/>
    </row>
    <row r="312" spans="1:23" x14ac:dyDescent="0.25">
      <c r="A312">
        <v>311</v>
      </c>
      <c r="B312" t="s">
        <v>866</v>
      </c>
      <c r="C312" t="s">
        <v>591</v>
      </c>
      <c r="D312" t="s">
        <v>534</v>
      </c>
      <c r="F312" t="str">
        <f t="shared" si="8"/>
        <v/>
      </c>
      <c r="G312" t="s">
        <v>881</v>
      </c>
      <c r="H312" t="str">
        <f t="shared" si="9"/>
        <v>ren "" "337.jpg"</v>
      </c>
      <c r="V312" s="1"/>
      <c r="W312" s="2"/>
    </row>
    <row r="313" spans="1:23" x14ac:dyDescent="0.25">
      <c r="A313">
        <v>312</v>
      </c>
      <c r="B313" t="s">
        <v>866</v>
      </c>
      <c r="C313" t="s">
        <v>591</v>
      </c>
      <c r="D313" t="s">
        <v>536</v>
      </c>
      <c r="F313" t="str">
        <f t="shared" si="8"/>
        <v/>
      </c>
      <c r="G313" t="s">
        <v>882</v>
      </c>
      <c r="H313" t="str">
        <f t="shared" si="9"/>
        <v>ren "" "338.jpg"</v>
      </c>
      <c r="V313" s="1"/>
      <c r="W313" s="2"/>
    </row>
    <row r="314" spans="1:23" x14ac:dyDescent="0.25">
      <c r="A314">
        <v>313</v>
      </c>
      <c r="B314" t="s">
        <v>883</v>
      </c>
      <c r="C314" t="s">
        <v>570</v>
      </c>
      <c r="D314" t="s">
        <v>534</v>
      </c>
      <c r="F314" t="str">
        <f t="shared" si="8"/>
        <v/>
      </c>
      <c r="G314" t="s">
        <v>884</v>
      </c>
      <c r="H314" t="str">
        <f t="shared" si="9"/>
        <v>ren "" "339.jpg"</v>
      </c>
      <c r="V314" s="1"/>
      <c r="W314" s="2"/>
    </row>
    <row r="315" spans="1:23" x14ac:dyDescent="0.25">
      <c r="A315">
        <v>314</v>
      </c>
      <c r="B315" t="s">
        <v>883</v>
      </c>
      <c r="C315" t="s">
        <v>570</v>
      </c>
      <c r="D315" t="s">
        <v>536</v>
      </c>
      <c r="F315" t="str">
        <f t="shared" si="8"/>
        <v/>
      </c>
      <c r="G315" t="s">
        <v>885</v>
      </c>
      <c r="H315" t="str">
        <f t="shared" si="9"/>
        <v>ren "" "340.jpg"</v>
      </c>
      <c r="V315" s="1"/>
      <c r="W315" s="2"/>
    </row>
    <row r="316" spans="1:23" x14ac:dyDescent="0.25">
      <c r="A316">
        <v>315</v>
      </c>
      <c r="B316" t="s">
        <v>883</v>
      </c>
      <c r="C316" t="s">
        <v>573</v>
      </c>
      <c r="D316" t="s">
        <v>534</v>
      </c>
      <c r="F316" t="str">
        <f t="shared" si="8"/>
        <v/>
      </c>
      <c r="G316" t="s">
        <v>886</v>
      </c>
      <c r="H316" t="str">
        <f t="shared" si="9"/>
        <v>ren "" "341.jpg"</v>
      </c>
      <c r="V316" s="1"/>
      <c r="W316" s="2"/>
    </row>
    <row r="317" spans="1:23" x14ac:dyDescent="0.25">
      <c r="A317">
        <v>316</v>
      </c>
      <c r="B317" t="s">
        <v>883</v>
      </c>
      <c r="C317" t="s">
        <v>573</v>
      </c>
      <c r="D317" t="s">
        <v>536</v>
      </c>
      <c r="F317" t="str">
        <f t="shared" si="8"/>
        <v/>
      </c>
      <c r="G317" t="s">
        <v>887</v>
      </c>
      <c r="H317" t="str">
        <f t="shared" si="9"/>
        <v>ren "" "342.jpg"</v>
      </c>
      <c r="V317" s="1"/>
      <c r="W317" s="2"/>
    </row>
    <row r="318" spans="1:23" x14ac:dyDescent="0.25">
      <c r="A318">
        <v>317</v>
      </c>
      <c r="B318" t="s">
        <v>883</v>
      </c>
      <c r="C318" t="s">
        <v>576</v>
      </c>
      <c r="D318" t="s">
        <v>534</v>
      </c>
      <c r="F318" t="str">
        <f t="shared" si="8"/>
        <v/>
      </c>
      <c r="G318" t="s">
        <v>888</v>
      </c>
      <c r="H318" t="str">
        <f t="shared" si="9"/>
        <v>ren "" "343.jpg"</v>
      </c>
      <c r="V318" s="1"/>
      <c r="W318" s="2"/>
    </row>
    <row r="319" spans="1:23" x14ac:dyDescent="0.25">
      <c r="A319">
        <v>318</v>
      </c>
      <c r="B319" t="s">
        <v>883</v>
      </c>
      <c r="C319" t="s">
        <v>576</v>
      </c>
      <c r="D319" t="s">
        <v>536</v>
      </c>
      <c r="F319" t="str">
        <f t="shared" si="8"/>
        <v/>
      </c>
      <c r="G319" t="s">
        <v>889</v>
      </c>
      <c r="H319" t="str">
        <f t="shared" si="9"/>
        <v>ren "" "344.jpg"</v>
      </c>
      <c r="V319" s="1"/>
      <c r="W319" s="2"/>
    </row>
    <row r="320" spans="1:23" x14ac:dyDescent="0.25">
      <c r="A320">
        <v>319</v>
      </c>
      <c r="B320" t="s">
        <v>883</v>
      </c>
      <c r="C320" t="s">
        <v>579</v>
      </c>
      <c r="D320" t="s">
        <v>534</v>
      </c>
      <c r="F320" t="str">
        <f t="shared" si="8"/>
        <v/>
      </c>
      <c r="G320" t="s">
        <v>890</v>
      </c>
      <c r="H320" t="str">
        <f t="shared" si="9"/>
        <v>ren "" "345.jpg"</v>
      </c>
      <c r="V320" s="1"/>
      <c r="W320" s="2"/>
    </row>
    <row r="321" spans="1:23" x14ac:dyDescent="0.25">
      <c r="A321">
        <v>320</v>
      </c>
      <c r="B321" t="s">
        <v>883</v>
      </c>
      <c r="C321" t="s">
        <v>579</v>
      </c>
      <c r="D321" t="s">
        <v>536</v>
      </c>
      <c r="F321" t="str">
        <f t="shared" si="8"/>
        <v/>
      </c>
      <c r="G321" t="s">
        <v>891</v>
      </c>
      <c r="H321" t="str">
        <f t="shared" si="9"/>
        <v>ren "" "346.jpg"</v>
      </c>
      <c r="V321" s="1"/>
      <c r="W321" s="2"/>
    </row>
    <row r="322" spans="1:23" x14ac:dyDescent="0.25">
      <c r="A322">
        <v>321</v>
      </c>
      <c r="B322" t="s">
        <v>883</v>
      </c>
      <c r="C322" t="s">
        <v>582</v>
      </c>
      <c r="D322" t="s">
        <v>534</v>
      </c>
      <c r="F322" t="str">
        <f t="shared" ref="F322:F385" si="10">IF(E322="", "", TRIM(RIGHT(SUBSTITUTE(E322, "\", REPT(" ", LEN(E322))), LEN(E322))))</f>
        <v/>
      </c>
      <c r="G322" t="s">
        <v>892</v>
      </c>
      <c r="H322" t="str">
        <f t="shared" ref="H322:H385" si="11">"ren """ &amp; F322 &amp; """ """ &amp; G322 &amp; """"</f>
        <v>ren "" "347.jpg"</v>
      </c>
      <c r="V322" s="1"/>
      <c r="W322" s="2"/>
    </row>
    <row r="323" spans="1:23" x14ac:dyDescent="0.25">
      <c r="A323">
        <v>322</v>
      </c>
      <c r="B323" t="s">
        <v>883</v>
      </c>
      <c r="C323" t="s">
        <v>582</v>
      </c>
      <c r="D323" t="s">
        <v>536</v>
      </c>
      <c r="F323" t="str">
        <f t="shared" si="10"/>
        <v/>
      </c>
      <c r="G323" t="s">
        <v>893</v>
      </c>
      <c r="H323" t="str">
        <f t="shared" si="11"/>
        <v>ren "" "348.jpg"</v>
      </c>
      <c r="V323" s="1"/>
      <c r="W323" s="2"/>
    </row>
    <row r="324" spans="1:23" x14ac:dyDescent="0.25">
      <c r="A324">
        <v>323</v>
      </c>
      <c r="B324" t="s">
        <v>883</v>
      </c>
      <c r="C324" t="s">
        <v>585</v>
      </c>
      <c r="D324" t="s">
        <v>534</v>
      </c>
      <c r="F324" t="str">
        <f t="shared" si="10"/>
        <v/>
      </c>
      <c r="G324" t="s">
        <v>894</v>
      </c>
      <c r="H324" t="str">
        <f t="shared" si="11"/>
        <v>ren "" "349.jpg"</v>
      </c>
      <c r="V324" s="1"/>
      <c r="W324" s="2"/>
    </row>
    <row r="325" spans="1:23" x14ac:dyDescent="0.25">
      <c r="A325">
        <v>324</v>
      </c>
      <c r="B325" t="s">
        <v>883</v>
      </c>
      <c r="C325" t="s">
        <v>585</v>
      </c>
      <c r="D325" t="s">
        <v>536</v>
      </c>
      <c r="F325" t="str">
        <f t="shared" si="10"/>
        <v/>
      </c>
      <c r="G325" t="s">
        <v>895</v>
      </c>
      <c r="H325" t="str">
        <f t="shared" si="11"/>
        <v>ren "" "350.jpg"</v>
      </c>
      <c r="V325" s="1"/>
      <c r="W325" s="2"/>
    </row>
    <row r="326" spans="1:23" x14ac:dyDescent="0.25">
      <c r="A326">
        <v>325</v>
      </c>
      <c r="B326" t="s">
        <v>883</v>
      </c>
      <c r="C326" t="s">
        <v>588</v>
      </c>
      <c r="D326" t="s">
        <v>534</v>
      </c>
      <c r="F326" t="str">
        <f t="shared" si="10"/>
        <v/>
      </c>
      <c r="G326" t="s">
        <v>896</v>
      </c>
      <c r="H326" t="str">
        <f t="shared" si="11"/>
        <v>ren "" "351.jpg"</v>
      </c>
      <c r="V326" s="1"/>
      <c r="W326" s="2"/>
    </row>
    <row r="327" spans="1:23" x14ac:dyDescent="0.25">
      <c r="A327">
        <v>326</v>
      </c>
      <c r="B327" t="s">
        <v>883</v>
      </c>
      <c r="C327" t="s">
        <v>588</v>
      </c>
      <c r="D327" t="s">
        <v>536</v>
      </c>
      <c r="F327" t="str">
        <f t="shared" si="10"/>
        <v/>
      </c>
      <c r="G327" t="s">
        <v>897</v>
      </c>
      <c r="H327" t="str">
        <f t="shared" si="11"/>
        <v>ren "" "352.jpg"</v>
      </c>
      <c r="V327" s="1"/>
      <c r="W327" s="2"/>
    </row>
    <row r="328" spans="1:23" x14ac:dyDescent="0.25">
      <c r="A328">
        <v>327</v>
      </c>
      <c r="B328" t="s">
        <v>883</v>
      </c>
      <c r="C328" t="s">
        <v>591</v>
      </c>
      <c r="D328" t="s">
        <v>534</v>
      </c>
      <c r="F328" t="str">
        <f t="shared" si="10"/>
        <v/>
      </c>
      <c r="G328" t="s">
        <v>898</v>
      </c>
      <c r="H328" t="str">
        <f t="shared" si="11"/>
        <v>ren "" "353.jpg"</v>
      </c>
      <c r="V328" s="1"/>
      <c r="W328" s="2"/>
    </row>
    <row r="329" spans="1:23" x14ac:dyDescent="0.25">
      <c r="A329">
        <v>328</v>
      </c>
      <c r="B329" t="s">
        <v>883</v>
      </c>
      <c r="C329" t="s">
        <v>591</v>
      </c>
      <c r="D329" t="s">
        <v>536</v>
      </c>
      <c r="F329" t="str">
        <f t="shared" si="10"/>
        <v/>
      </c>
      <c r="G329" t="s">
        <v>899</v>
      </c>
      <c r="H329" t="str">
        <f t="shared" si="11"/>
        <v>ren "" "354.jpg"</v>
      </c>
      <c r="V329" s="1"/>
      <c r="W329" s="2"/>
    </row>
    <row r="330" spans="1:23" x14ac:dyDescent="0.25">
      <c r="A330">
        <v>329</v>
      </c>
      <c r="B330" t="s">
        <v>900</v>
      </c>
      <c r="C330" t="s">
        <v>570</v>
      </c>
      <c r="D330" t="s">
        <v>534</v>
      </c>
      <c r="F330" t="str">
        <f t="shared" si="10"/>
        <v/>
      </c>
      <c r="G330" t="s">
        <v>901</v>
      </c>
      <c r="H330" t="str">
        <f t="shared" si="11"/>
        <v>ren "" "355.jpg"</v>
      </c>
      <c r="V330" s="1"/>
      <c r="W330" s="2"/>
    </row>
    <row r="331" spans="1:23" x14ac:dyDescent="0.25">
      <c r="A331">
        <v>330</v>
      </c>
      <c r="B331" t="s">
        <v>900</v>
      </c>
      <c r="C331" t="s">
        <v>570</v>
      </c>
      <c r="D331" t="s">
        <v>536</v>
      </c>
      <c r="F331" t="str">
        <f t="shared" si="10"/>
        <v/>
      </c>
      <c r="G331" t="s">
        <v>902</v>
      </c>
      <c r="H331" t="str">
        <f t="shared" si="11"/>
        <v>ren "" "356.jpg"</v>
      </c>
      <c r="V331" s="1"/>
      <c r="W331" s="2"/>
    </row>
    <row r="332" spans="1:23" x14ac:dyDescent="0.25">
      <c r="A332">
        <v>331</v>
      </c>
      <c r="B332" t="s">
        <v>900</v>
      </c>
      <c r="C332" t="s">
        <v>573</v>
      </c>
      <c r="D332" t="s">
        <v>534</v>
      </c>
      <c r="F332" t="str">
        <f t="shared" si="10"/>
        <v/>
      </c>
      <c r="G332" t="s">
        <v>903</v>
      </c>
      <c r="H332" t="str">
        <f t="shared" si="11"/>
        <v>ren "" "357.jpg"</v>
      </c>
      <c r="V332" s="1"/>
      <c r="W332" s="2"/>
    </row>
    <row r="333" spans="1:23" x14ac:dyDescent="0.25">
      <c r="A333">
        <v>332</v>
      </c>
      <c r="B333" t="s">
        <v>900</v>
      </c>
      <c r="C333" t="s">
        <v>573</v>
      </c>
      <c r="D333" t="s">
        <v>536</v>
      </c>
      <c r="F333" t="str">
        <f t="shared" si="10"/>
        <v/>
      </c>
      <c r="G333" t="s">
        <v>904</v>
      </c>
      <c r="H333" t="str">
        <f t="shared" si="11"/>
        <v>ren "" "358.jpg"</v>
      </c>
      <c r="V333" s="1"/>
      <c r="W333" s="2"/>
    </row>
    <row r="334" spans="1:23" x14ac:dyDescent="0.25">
      <c r="A334">
        <v>333</v>
      </c>
      <c r="B334" t="s">
        <v>900</v>
      </c>
      <c r="C334" t="s">
        <v>576</v>
      </c>
      <c r="D334" t="s">
        <v>534</v>
      </c>
      <c r="F334" t="str">
        <f t="shared" si="10"/>
        <v/>
      </c>
      <c r="G334" t="s">
        <v>905</v>
      </c>
      <c r="H334" t="str">
        <f t="shared" si="11"/>
        <v>ren "" "359.jpg"</v>
      </c>
      <c r="V334" s="1"/>
      <c r="W334" s="2"/>
    </row>
    <row r="335" spans="1:23" x14ac:dyDescent="0.25">
      <c r="A335">
        <v>334</v>
      </c>
      <c r="B335" t="s">
        <v>900</v>
      </c>
      <c r="C335" t="s">
        <v>576</v>
      </c>
      <c r="D335" t="s">
        <v>536</v>
      </c>
      <c r="F335" t="str">
        <f t="shared" si="10"/>
        <v/>
      </c>
      <c r="G335" t="s">
        <v>906</v>
      </c>
      <c r="H335" t="str">
        <f t="shared" si="11"/>
        <v>ren "" "360.jpg"</v>
      </c>
      <c r="V335" s="1"/>
      <c r="W335" s="2"/>
    </row>
    <row r="336" spans="1:23" x14ac:dyDescent="0.25">
      <c r="A336">
        <v>335</v>
      </c>
      <c r="B336" t="s">
        <v>900</v>
      </c>
      <c r="C336" t="s">
        <v>579</v>
      </c>
      <c r="D336" t="s">
        <v>534</v>
      </c>
      <c r="F336" t="str">
        <f t="shared" si="10"/>
        <v/>
      </c>
      <c r="G336" t="s">
        <v>907</v>
      </c>
      <c r="H336" t="str">
        <f t="shared" si="11"/>
        <v>ren "" "361.jpg"</v>
      </c>
      <c r="V336" s="1"/>
      <c r="W336" s="2"/>
    </row>
    <row r="337" spans="1:23" x14ac:dyDescent="0.25">
      <c r="A337">
        <v>336</v>
      </c>
      <c r="B337" t="s">
        <v>900</v>
      </c>
      <c r="C337" t="s">
        <v>579</v>
      </c>
      <c r="D337" t="s">
        <v>536</v>
      </c>
      <c r="F337" t="str">
        <f t="shared" si="10"/>
        <v/>
      </c>
      <c r="G337" t="s">
        <v>908</v>
      </c>
      <c r="H337" t="str">
        <f t="shared" si="11"/>
        <v>ren "" "362.jpg"</v>
      </c>
      <c r="V337" s="1"/>
      <c r="W337" s="2"/>
    </row>
    <row r="338" spans="1:23" x14ac:dyDescent="0.25">
      <c r="A338">
        <v>337</v>
      </c>
      <c r="B338" t="s">
        <v>900</v>
      </c>
      <c r="C338" t="s">
        <v>582</v>
      </c>
      <c r="D338" t="s">
        <v>534</v>
      </c>
      <c r="F338" t="str">
        <f t="shared" si="10"/>
        <v/>
      </c>
      <c r="G338" t="s">
        <v>909</v>
      </c>
      <c r="H338" t="str">
        <f t="shared" si="11"/>
        <v>ren "" "363.jpg"</v>
      </c>
      <c r="V338" s="1"/>
      <c r="W338" s="2"/>
    </row>
    <row r="339" spans="1:23" x14ac:dyDescent="0.25">
      <c r="A339">
        <v>338</v>
      </c>
      <c r="B339" t="s">
        <v>900</v>
      </c>
      <c r="C339" t="s">
        <v>582</v>
      </c>
      <c r="D339" t="s">
        <v>536</v>
      </c>
      <c r="F339" t="str">
        <f t="shared" si="10"/>
        <v/>
      </c>
      <c r="G339" t="s">
        <v>910</v>
      </c>
      <c r="H339" t="str">
        <f t="shared" si="11"/>
        <v>ren "" "364.jpg"</v>
      </c>
      <c r="V339" s="1"/>
      <c r="W339" s="2"/>
    </row>
    <row r="340" spans="1:23" x14ac:dyDescent="0.25">
      <c r="A340">
        <v>339</v>
      </c>
      <c r="B340" t="s">
        <v>900</v>
      </c>
      <c r="C340" t="s">
        <v>585</v>
      </c>
      <c r="D340" t="s">
        <v>534</v>
      </c>
      <c r="F340" t="str">
        <f t="shared" si="10"/>
        <v/>
      </c>
      <c r="G340" t="s">
        <v>911</v>
      </c>
      <c r="H340" t="str">
        <f t="shared" si="11"/>
        <v>ren "" "365.jpg"</v>
      </c>
      <c r="V340" s="1"/>
      <c r="W340" s="2"/>
    </row>
    <row r="341" spans="1:23" x14ac:dyDescent="0.25">
      <c r="A341">
        <v>340</v>
      </c>
      <c r="B341" t="s">
        <v>900</v>
      </c>
      <c r="C341" t="s">
        <v>585</v>
      </c>
      <c r="D341" t="s">
        <v>536</v>
      </c>
      <c r="F341" t="str">
        <f t="shared" si="10"/>
        <v/>
      </c>
      <c r="G341" t="s">
        <v>912</v>
      </c>
      <c r="H341" t="str">
        <f t="shared" si="11"/>
        <v>ren "" "366.jpg"</v>
      </c>
      <c r="V341" s="1"/>
      <c r="W341" s="2"/>
    </row>
    <row r="342" spans="1:23" x14ac:dyDescent="0.25">
      <c r="A342">
        <v>341</v>
      </c>
      <c r="B342" t="s">
        <v>900</v>
      </c>
      <c r="C342" t="s">
        <v>588</v>
      </c>
      <c r="D342" t="s">
        <v>534</v>
      </c>
      <c r="F342" t="str">
        <f t="shared" si="10"/>
        <v/>
      </c>
      <c r="G342" t="s">
        <v>913</v>
      </c>
      <c r="H342" t="str">
        <f t="shared" si="11"/>
        <v>ren "" "367.jpg"</v>
      </c>
      <c r="V342" s="1"/>
      <c r="W342" s="2"/>
    </row>
    <row r="343" spans="1:23" x14ac:dyDescent="0.25">
      <c r="A343">
        <v>342</v>
      </c>
      <c r="B343" t="s">
        <v>900</v>
      </c>
      <c r="C343" t="s">
        <v>588</v>
      </c>
      <c r="D343" t="s">
        <v>536</v>
      </c>
      <c r="F343" t="str">
        <f t="shared" si="10"/>
        <v/>
      </c>
      <c r="G343" t="s">
        <v>914</v>
      </c>
      <c r="H343" t="str">
        <f t="shared" si="11"/>
        <v>ren "" "368.jpg"</v>
      </c>
      <c r="V343" s="1"/>
      <c r="W343" s="2"/>
    </row>
    <row r="344" spans="1:23" x14ac:dyDescent="0.25">
      <c r="A344">
        <v>343</v>
      </c>
      <c r="B344" t="s">
        <v>900</v>
      </c>
      <c r="C344" t="s">
        <v>591</v>
      </c>
      <c r="D344" t="s">
        <v>534</v>
      </c>
      <c r="F344" t="str">
        <f t="shared" si="10"/>
        <v/>
      </c>
      <c r="G344" t="s">
        <v>915</v>
      </c>
      <c r="H344" t="str">
        <f t="shared" si="11"/>
        <v>ren "" "369.jpg"</v>
      </c>
      <c r="V344" s="1"/>
      <c r="W344" s="2"/>
    </row>
    <row r="345" spans="1:23" x14ac:dyDescent="0.25">
      <c r="A345">
        <v>344</v>
      </c>
      <c r="B345" t="s">
        <v>900</v>
      </c>
      <c r="C345" t="s">
        <v>591</v>
      </c>
      <c r="D345" t="s">
        <v>536</v>
      </c>
      <c r="F345" t="str">
        <f t="shared" si="10"/>
        <v/>
      </c>
      <c r="G345" t="s">
        <v>916</v>
      </c>
      <c r="H345" t="str">
        <f t="shared" si="11"/>
        <v>ren "" "370.jpg"</v>
      </c>
      <c r="V345" s="1"/>
      <c r="W345" s="2"/>
    </row>
    <row r="346" spans="1:23" x14ac:dyDescent="0.25">
      <c r="A346">
        <v>345</v>
      </c>
      <c r="B346" t="s">
        <v>917</v>
      </c>
      <c r="C346" t="s">
        <v>570</v>
      </c>
      <c r="D346" t="s">
        <v>534</v>
      </c>
      <c r="F346" t="str">
        <f t="shared" si="10"/>
        <v/>
      </c>
      <c r="G346" t="s">
        <v>918</v>
      </c>
      <c r="H346" t="str">
        <f t="shared" si="11"/>
        <v>ren "" "371.jpg"</v>
      </c>
      <c r="V346" s="1"/>
      <c r="W346" s="2"/>
    </row>
    <row r="347" spans="1:23" x14ac:dyDescent="0.25">
      <c r="A347">
        <v>346</v>
      </c>
      <c r="B347" t="s">
        <v>917</v>
      </c>
      <c r="C347" t="s">
        <v>570</v>
      </c>
      <c r="D347" t="s">
        <v>536</v>
      </c>
      <c r="F347" t="str">
        <f t="shared" si="10"/>
        <v/>
      </c>
      <c r="G347" t="s">
        <v>919</v>
      </c>
      <c r="H347" t="str">
        <f t="shared" si="11"/>
        <v>ren "" "372.jpg"</v>
      </c>
      <c r="V347" s="1"/>
      <c r="W347" s="2"/>
    </row>
    <row r="348" spans="1:23" x14ac:dyDescent="0.25">
      <c r="A348">
        <v>347</v>
      </c>
      <c r="B348" t="s">
        <v>917</v>
      </c>
      <c r="C348" t="s">
        <v>573</v>
      </c>
      <c r="D348" t="s">
        <v>534</v>
      </c>
      <c r="F348" t="str">
        <f t="shared" si="10"/>
        <v/>
      </c>
      <c r="G348" t="s">
        <v>920</v>
      </c>
      <c r="H348" t="str">
        <f t="shared" si="11"/>
        <v>ren "" "373.jpg"</v>
      </c>
      <c r="V348" s="1"/>
      <c r="W348" s="2"/>
    </row>
    <row r="349" spans="1:23" x14ac:dyDescent="0.25">
      <c r="A349">
        <v>348</v>
      </c>
      <c r="B349" t="s">
        <v>917</v>
      </c>
      <c r="C349" t="s">
        <v>573</v>
      </c>
      <c r="D349" t="s">
        <v>536</v>
      </c>
      <c r="F349" t="str">
        <f t="shared" si="10"/>
        <v/>
      </c>
      <c r="G349" t="s">
        <v>921</v>
      </c>
      <c r="H349" t="str">
        <f t="shared" si="11"/>
        <v>ren "" "374.jpg"</v>
      </c>
      <c r="V349" s="1"/>
      <c r="W349" s="2"/>
    </row>
    <row r="350" spans="1:23" x14ac:dyDescent="0.25">
      <c r="A350">
        <v>349</v>
      </c>
      <c r="B350" t="s">
        <v>917</v>
      </c>
      <c r="C350" t="s">
        <v>576</v>
      </c>
      <c r="D350" t="s">
        <v>534</v>
      </c>
      <c r="F350" t="str">
        <f t="shared" si="10"/>
        <v/>
      </c>
      <c r="G350" t="s">
        <v>922</v>
      </c>
      <c r="H350" t="str">
        <f t="shared" si="11"/>
        <v>ren "" "375.jpg"</v>
      </c>
      <c r="V350" s="1"/>
      <c r="W350" s="2"/>
    </row>
    <row r="351" spans="1:23" x14ac:dyDescent="0.25">
      <c r="A351">
        <v>350</v>
      </c>
      <c r="B351" t="s">
        <v>917</v>
      </c>
      <c r="C351" t="s">
        <v>576</v>
      </c>
      <c r="D351" t="s">
        <v>536</v>
      </c>
      <c r="F351" t="str">
        <f t="shared" si="10"/>
        <v/>
      </c>
      <c r="G351" t="s">
        <v>923</v>
      </c>
      <c r="H351" t="str">
        <f t="shared" si="11"/>
        <v>ren "" "376.jpg"</v>
      </c>
      <c r="V351" s="1"/>
      <c r="W351" s="2"/>
    </row>
    <row r="352" spans="1:23" x14ac:dyDescent="0.25">
      <c r="A352">
        <v>351</v>
      </c>
      <c r="B352" t="s">
        <v>917</v>
      </c>
      <c r="C352" t="s">
        <v>579</v>
      </c>
      <c r="D352" t="s">
        <v>534</v>
      </c>
      <c r="F352" t="str">
        <f t="shared" si="10"/>
        <v/>
      </c>
      <c r="G352" t="s">
        <v>924</v>
      </c>
      <c r="H352" t="str">
        <f t="shared" si="11"/>
        <v>ren "" "377.jpg"</v>
      </c>
      <c r="V352" s="1"/>
      <c r="W352" s="2"/>
    </row>
    <row r="353" spans="1:23" x14ac:dyDescent="0.25">
      <c r="A353">
        <v>352</v>
      </c>
      <c r="B353" t="s">
        <v>917</v>
      </c>
      <c r="C353" t="s">
        <v>579</v>
      </c>
      <c r="D353" t="s">
        <v>536</v>
      </c>
      <c r="F353" t="str">
        <f t="shared" si="10"/>
        <v/>
      </c>
      <c r="G353" t="s">
        <v>925</v>
      </c>
      <c r="H353" t="str">
        <f t="shared" si="11"/>
        <v>ren "" "378.jpg"</v>
      </c>
      <c r="V353" s="1"/>
      <c r="W353" s="2"/>
    </row>
    <row r="354" spans="1:23" x14ac:dyDescent="0.25">
      <c r="A354">
        <v>353</v>
      </c>
      <c r="B354" t="s">
        <v>917</v>
      </c>
      <c r="C354" t="s">
        <v>582</v>
      </c>
      <c r="D354" t="s">
        <v>534</v>
      </c>
      <c r="F354" t="str">
        <f t="shared" si="10"/>
        <v/>
      </c>
      <c r="G354" t="s">
        <v>926</v>
      </c>
      <c r="H354" t="str">
        <f t="shared" si="11"/>
        <v>ren "" "379.jpg"</v>
      </c>
      <c r="V354" s="1"/>
      <c r="W354" s="2"/>
    </row>
    <row r="355" spans="1:23" x14ac:dyDescent="0.25">
      <c r="A355">
        <v>354</v>
      </c>
      <c r="B355" t="s">
        <v>917</v>
      </c>
      <c r="C355" t="s">
        <v>582</v>
      </c>
      <c r="D355" t="s">
        <v>536</v>
      </c>
      <c r="F355" t="str">
        <f t="shared" si="10"/>
        <v/>
      </c>
      <c r="G355" t="s">
        <v>927</v>
      </c>
      <c r="H355" t="str">
        <f t="shared" si="11"/>
        <v>ren "" "380.jpg"</v>
      </c>
      <c r="V355" s="1"/>
      <c r="W355" s="2"/>
    </row>
    <row r="356" spans="1:23" x14ac:dyDescent="0.25">
      <c r="A356">
        <v>355</v>
      </c>
      <c r="B356" t="s">
        <v>917</v>
      </c>
      <c r="C356" t="s">
        <v>585</v>
      </c>
      <c r="D356" t="s">
        <v>534</v>
      </c>
      <c r="F356" t="str">
        <f t="shared" si="10"/>
        <v/>
      </c>
      <c r="G356" t="s">
        <v>928</v>
      </c>
      <c r="H356" t="str">
        <f t="shared" si="11"/>
        <v>ren "" "381.jpg"</v>
      </c>
      <c r="V356" s="1"/>
      <c r="W356" s="2"/>
    </row>
    <row r="357" spans="1:23" x14ac:dyDescent="0.25">
      <c r="A357">
        <v>356</v>
      </c>
      <c r="B357" t="s">
        <v>917</v>
      </c>
      <c r="C357" t="s">
        <v>585</v>
      </c>
      <c r="D357" t="s">
        <v>536</v>
      </c>
      <c r="F357" t="str">
        <f t="shared" si="10"/>
        <v/>
      </c>
      <c r="G357" t="s">
        <v>929</v>
      </c>
      <c r="H357" t="str">
        <f t="shared" si="11"/>
        <v>ren "" "382.jpg"</v>
      </c>
      <c r="V357" s="1"/>
      <c r="W357" s="2"/>
    </row>
    <row r="358" spans="1:23" x14ac:dyDescent="0.25">
      <c r="A358">
        <v>357</v>
      </c>
      <c r="B358" t="s">
        <v>917</v>
      </c>
      <c r="C358" t="s">
        <v>588</v>
      </c>
      <c r="D358" t="s">
        <v>534</v>
      </c>
      <c r="F358" t="str">
        <f t="shared" si="10"/>
        <v/>
      </c>
      <c r="G358" t="s">
        <v>930</v>
      </c>
      <c r="H358" t="str">
        <f t="shared" si="11"/>
        <v>ren "" "383.jpg"</v>
      </c>
      <c r="V358" s="1"/>
      <c r="W358" s="2"/>
    </row>
    <row r="359" spans="1:23" x14ac:dyDescent="0.25">
      <c r="A359">
        <v>358</v>
      </c>
      <c r="B359" t="s">
        <v>917</v>
      </c>
      <c r="C359" t="s">
        <v>588</v>
      </c>
      <c r="D359" t="s">
        <v>536</v>
      </c>
      <c r="F359" t="str">
        <f t="shared" si="10"/>
        <v/>
      </c>
      <c r="G359" t="s">
        <v>931</v>
      </c>
      <c r="H359" t="str">
        <f t="shared" si="11"/>
        <v>ren "" "384.jpg"</v>
      </c>
      <c r="V359" s="1"/>
      <c r="W359" s="2"/>
    </row>
    <row r="360" spans="1:23" x14ac:dyDescent="0.25">
      <c r="A360">
        <v>359</v>
      </c>
      <c r="B360" t="s">
        <v>917</v>
      </c>
      <c r="C360" t="s">
        <v>591</v>
      </c>
      <c r="D360" t="s">
        <v>534</v>
      </c>
      <c r="F360" t="str">
        <f t="shared" si="10"/>
        <v/>
      </c>
      <c r="G360" t="s">
        <v>932</v>
      </c>
      <c r="H360" t="str">
        <f t="shared" si="11"/>
        <v>ren "" "385.jpg"</v>
      </c>
      <c r="V360" s="1"/>
      <c r="W360" s="2"/>
    </row>
    <row r="361" spans="1:23" x14ac:dyDescent="0.25">
      <c r="A361">
        <v>360</v>
      </c>
      <c r="B361" t="s">
        <v>917</v>
      </c>
      <c r="C361" t="s">
        <v>591</v>
      </c>
      <c r="D361" t="s">
        <v>536</v>
      </c>
      <c r="F361" t="str">
        <f t="shared" si="10"/>
        <v/>
      </c>
      <c r="G361" t="s">
        <v>933</v>
      </c>
      <c r="H361" t="str">
        <f t="shared" si="11"/>
        <v>ren "" "386.jpg"</v>
      </c>
      <c r="V361" s="1"/>
      <c r="W361" s="2"/>
    </row>
    <row r="362" spans="1:23" x14ac:dyDescent="0.25">
      <c r="A362">
        <v>361</v>
      </c>
      <c r="B362" t="s">
        <v>934</v>
      </c>
      <c r="C362" t="s">
        <v>570</v>
      </c>
      <c r="D362" t="s">
        <v>534</v>
      </c>
      <c r="F362" t="str">
        <f t="shared" si="10"/>
        <v/>
      </c>
      <c r="G362" t="s">
        <v>935</v>
      </c>
      <c r="H362" t="str">
        <f t="shared" si="11"/>
        <v>ren "" "387.jpg"</v>
      </c>
      <c r="V362" s="1"/>
      <c r="W362" s="2"/>
    </row>
    <row r="363" spans="1:23" x14ac:dyDescent="0.25">
      <c r="A363">
        <v>362</v>
      </c>
      <c r="B363" t="s">
        <v>934</v>
      </c>
      <c r="C363" t="s">
        <v>570</v>
      </c>
      <c r="D363" t="s">
        <v>536</v>
      </c>
      <c r="F363" t="str">
        <f t="shared" si="10"/>
        <v/>
      </c>
      <c r="G363" t="s">
        <v>936</v>
      </c>
      <c r="H363" t="str">
        <f t="shared" si="11"/>
        <v>ren "" "388.jpg"</v>
      </c>
      <c r="V363" s="1"/>
      <c r="W363" s="2"/>
    </row>
    <row r="364" spans="1:23" x14ac:dyDescent="0.25">
      <c r="A364">
        <v>363</v>
      </c>
      <c r="B364" t="s">
        <v>934</v>
      </c>
      <c r="C364" t="s">
        <v>573</v>
      </c>
      <c r="D364" t="s">
        <v>534</v>
      </c>
      <c r="F364" t="str">
        <f t="shared" si="10"/>
        <v/>
      </c>
      <c r="G364" t="s">
        <v>937</v>
      </c>
      <c r="H364" t="str">
        <f t="shared" si="11"/>
        <v>ren "" "389.jpg"</v>
      </c>
      <c r="V364" s="1"/>
      <c r="W364" s="2"/>
    </row>
    <row r="365" spans="1:23" x14ac:dyDescent="0.25">
      <c r="A365">
        <v>364</v>
      </c>
      <c r="B365" t="s">
        <v>934</v>
      </c>
      <c r="C365" t="s">
        <v>573</v>
      </c>
      <c r="D365" t="s">
        <v>536</v>
      </c>
      <c r="F365" t="str">
        <f t="shared" si="10"/>
        <v/>
      </c>
      <c r="G365" t="s">
        <v>938</v>
      </c>
      <c r="H365" t="str">
        <f t="shared" si="11"/>
        <v>ren "" "390.jpg"</v>
      </c>
      <c r="V365" s="1"/>
      <c r="W365" s="2"/>
    </row>
    <row r="366" spans="1:23" x14ac:dyDescent="0.25">
      <c r="A366">
        <v>365</v>
      </c>
      <c r="B366" t="s">
        <v>934</v>
      </c>
      <c r="C366" t="s">
        <v>576</v>
      </c>
      <c r="D366" t="s">
        <v>534</v>
      </c>
      <c r="F366" t="str">
        <f t="shared" si="10"/>
        <v/>
      </c>
      <c r="G366" t="s">
        <v>939</v>
      </c>
      <c r="H366" t="str">
        <f t="shared" si="11"/>
        <v>ren "" "391.jpg"</v>
      </c>
      <c r="V366" s="1"/>
      <c r="W366" s="2"/>
    </row>
    <row r="367" spans="1:23" x14ac:dyDescent="0.25">
      <c r="A367">
        <v>366</v>
      </c>
      <c r="B367" t="s">
        <v>934</v>
      </c>
      <c r="C367" t="s">
        <v>576</v>
      </c>
      <c r="D367" t="s">
        <v>536</v>
      </c>
      <c r="F367" t="str">
        <f t="shared" si="10"/>
        <v/>
      </c>
      <c r="G367" t="s">
        <v>940</v>
      </c>
      <c r="H367" t="str">
        <f t="shared" si="11"/>
        <v>ren "" "392.jpg"</v>
      </c>
      <c r="V367" s="1"/>
      <c r="W367" s="2"/>
    </row>
    <row r="368" spans="1:23" x14ac:dyDescent="0.25">
      <c r="A368">
        <v>367</v>
      </c>
      <c r="B368" t="s">
        <v>934</v>
      </c>
      <c r="C368" t="s">
        <v>579</v>
      </c>
      <c r="D368" t="s">
        <v>534</v>
      </c>
      <c r="F368" t="str">
        <f t="shared" si="10"/>
        <v/>
      </c>
      <c r="G368" t="s">
        <v>941</v>
      </c>
      <c r="H368" t="str">
        <f t="shared" si="11"/>
        <v>ren "" "393.jpg"</v>
      </c>
      <c r="V368" s="1"/>
      <c r="W368" s="2"/>
    </row>
    <row r="369" spans="1:23" x14ac:dyDescent="0.25">
      <c r="A369">
        <v>368</v>
      </c>
      <c r="B369" t="s">
        <v>934</v>
      </c>
      <c r="C369" t="s">
        <v>579</v>
      </c>
      <c r="D369" t="s">
        <v>536</v>
      </c>
      <c r="F369" t="str">
        <f t="shared" si="10"/>
        <v/>
      </c>
      <c r="G369" t="s">
        <v>942</v>
      </c>
      <c r="H369" t="str">
        <f t="shared" si="11"/>
        <v>ren "" "394.jpg"</v>
      </c>
      <c r="V369" s="1"/>
      <c r="W369" s="2"/>
    </row>
    <row r="370" spans="1:23" x14ac:dyDescent="0.25">
      <c r="A370">
        <v>369</v>
      </c>
      <c r="B370" t="s">
        <v>934</v>
      </c>
      <c r="C370" t="s">
        <v>582</v>
      </c>
      <c r="D370" t="s">
        <v>534</v>
      </c>
      <c r="F370" t="str">
        <f t="shared" si="10"/>
        <v/>
      </c>
      <c r="G370" t="s">
        <v>943</v>
      </c>
      <c r="H370" t="str">
        <f t="shared" si="11"/>
        <v>ren "" "395.jpg"</v>
      </c>
      <c r="V370" s="1"/>
      <c r="W370" s="2"/>
    </row>
    <row r="371" spans="1:23" x14ac:dyDescent="0.25">
      <c r="A371">
        <v>370</v>
      </c>
      <c r="B371" t="s">
        <v>934</v>
      </c>
      <c r="C371" t="s">
        <v>582</v>
      </c>
      <c r="D371" t="s">
        <v>536</v>
      </c>
      <c r="F371" t="str">
        <f t="shared" si="10"/>
        <v/>
      </c>
      <c r="G371" t="s">
        <v>944</v>
      </c>
      <c r="H371" t="str">
        <f t="shared" si="11"/>
        <v>ren "" "396.jpg"</v>
      </c>
      <c r="V371" s="1"/>
      <c r="W371" s="2"/>
    </row>
    <row r="372" spans="1:23" x14ac:dyDescent="0.25">
      <c r="A372">
        <v>371</v>
      </c>
      <c r="B372" t="s">
        <v>934</v>
      </c>
      <c r="C372" t="s">
        <v>585</v>
      </c>
      <c r="D372" t="s">
        <v>534</v>
      </c>
      <c r="F372" t="str">
        <f t="shared" si="10"/>
        <v/>
      </c>
      <c r="G372" t="s">
        <v>945</v>
      </c>
      <c r="H372" t="str">
        <f t="shared" si="11"/>
        <v>ren "" "397.jpg"</v>
      </c>
      <c r="V372" s="1"/>
      <c r="W372" s="2"/>
    </row>
    <row r="373" spans="1:23" x14ac:dyDescent="0.25">
      <c r="A373">
        <v>372</v>
      </c>
      <c r="B373" t="s">
        <v>934</v>
      </c>
      <c r="C373" t="s">
        <v>585</v>
      </c>
      <c r="D373" t="s">
        <v>536</v>
      </c>
      <c r="F373" t="str">
        <f t="shared" si="10"/>
        <v/>
      </c>
      <c r="G373" t="s">
        <v>946</v>
      </c>
      <c r="H373" t="str">
        <f t="shared" si="11"/>
        <v>ren "" "398.jpg"</v>
      </c>
      <c r="V373" s="1"/>
      <c r="W373" s="2"/>
    </row>
    <row r="374" spans="1:23" x14ac:dyDescent="0.25">
      <c r="A374">
        <v>373</v>
      </c>
      <c r="B374" t="s">
        <v>934</v>
      </c>
      <c r="C374" t="s">
        <v>588</v>
      </c>
      <c r="D374" t="s">
        <v>534</v>
      </c>
      <c r="F374" t="str">
        <f t="shared" si="10"/>
        <v/>
      </c>
      <c r="G374" t="s">
        <v>947</v>
      </c>
      <c r="H374" t="str">
        <f t="shared" si="11"/>
        <v>ren "" "399.jpg"</v>
      </c>
      <c r="V374" s="1"/>
      <c r="W374" s="2"/>
    </row>
    <row r="375" spans="1:23" x14ac:dyDescent="0.25">
      <c r="A375">
        <v>374</v>
      </c>
      <c r="B375" t="s">
        <v>934</v>
      </c>
      <c r="C375" t="s">
        <v>588</v>
      </c>
      <c r="D375" t="s">
        <v>536</v>
      </c>
      <c r="F375" t="str">
        <f t="shared" si="10"/>
        <v/>
      </c>
      <c r="G375" t="s">
        <v>948</v>
      </c>
      <c r="H375" t="str">
        <f t="shared" si="11"/>
        <v>ren "" "400.jpg"</v>
      </c>
      <c r="V375" s="1"/>
      <c r="W375" s="2"/>
    </row>
    <row r="376" spans="1:23" x14ac:dyDescent="0.25">
      <c r="A376">
        <v>375</v>
      </c>
      <c r="B376" t="s">
        <v>934</v>
      </c>
      <c r="C376" t="s">
        <v>591</v>
      </c>
      <c r="D376" t="s">
        <v>534</v>
      </c>
      <c r="F376" t="str">
        <f t="shared" si="10"/>
        <v/>
      </c>
      <c r="G376" t="s">
        <v>949</v>
      </c>
      <c r="H376" t="str">
        <f t="shared" si="11"/>
        <v>ren "" "501.jpg"</v>
      </c>
      <c r="V376" s="1"/>
      <c r="W376" s="2"/>
    </row>
    <row r="377" spans="1:23" x14ac:dyDescent="0.25">
      <c r="A377">
        <v>376</v>
      </c>
      <c r="B377" t="s">
        <v>934</v>
      </c>
      <c r="C377" t="s">
        <v>591</v>
      </c>
      <c r="D377" t="s">
        <v>536</v>
      </c>
      <c r="F377" t="str">
        <f t="shared" si="10"/>
        <v/>
      </c>
      <c r="G377" t="s">
        <v>950</v>
      </c>
      <c r="H377" t="str">
        <f t="shared" si="11"/>
        <v>ren "" "502.jpg"</v>
      </c>
      <c r="V377" s="1"/>
      <c r="W377" s="2"/>
    </row>
    <row r="378" spans="1:23" x14ac:dyDescent="0.25">
      <c r="A378">
        <v>377</v>
      </c>
      <c r="B378" t="s">
        <v>951</v>
      </c>
      <c r="C378" t="s">
        <v>570</v>
      </c>
      <c r="D378" t="s">
        <v>534</v>
      </c>
      <c r="F378" t="str">
        <f t="shared" si="10"/>
        <v/>
      </c>
      <c r="G378" t="s">
        <v>952</v>
      </c>
      <c r="H378" t="str">
        <f t="shared" si="11"/>
        <v>ren "" "503.jpg"</v>
      </c>
      <c r="V378" s="1"/>
      <c r="W378" s="2"/>
    </row>
    <row r="379" spans="1:23" x14ac:dyDescent="0.25">
      <c r="A379">
        <v>378</v>
      </c>
      <c r="B379" t="s">
        <v>951</v>
      </c>
      <c r="C379" t="s">
        <v>570</v>
      </c>
      <c r="D379" t="s">
        <v>536</v>
      </c>
      <c r="F379" t="str">
        <f t="shared" si="10"/>
        <v/>
      </c>
      <c r="G379" t="s">
        <v>953</v>
      </c>
      <c r="H379" t="str">
        <f t="shared" si="11"/>
        <v>ren "" "504.jpg"</v>
      </c>
      <c r="V379" s="1"/>
      <c r="W379" s="2"/>
    </row>
    <row r="380" spans="1:23" x14ac:dyDescent="0.25">
      <c r="A380">
        <v>379</v>
      </c>
      <c r="B380" t="s">
        <v>951</v>
      </c>
      <c r="C380" t="s">
        <v>573</v>
      </c>
      <c r="D380" t="s">
        <v>534</v>
      </c>
      <c r="F380" t="str">
        <f t="shared" si="10"/>
        <v/>
      </c>
      <c r="G380" t="s">
        <v>954</v>
      </c>
      <c r="H380" t="str">
        <f t="shared" si="11"/>
        <v>ren "" "505.jpg"</v>
      </c>
      <c r="V380" s="1"/>
      <c r="W380" s="2"/>
    </row>
    <row r="381" spans="1:23" x14ac:dyDescent="0.25">
      <c r="A381">
        <v>380</v>
      </c>
      <c r="B381" t="s">
        <v>951</v>
      </c>
      <c r="C381" t="s">
        <v>573</v>
      </c>
      <c r="D381" t="s">
        <v>536</v>
      </c>
      <c r="F381" t="str">
        <f t="shared" si="10"/>
        <v/>
      </c>
      <c r="G381" t="s">
        <v>955</v>
      </c>
      <c r="H381" t="str">
        <f t="shared" si="11"/>
        <v>ren "" "506.jpg"</v>
      </c>
      <c r="V381" s="1"/>
      <c r="W381" s="2"/>
    </row>
    <row r="382" spans="1:23" x14ac:dyDescent="0.25">
      <c r="A382">
        <v>381</v>
      </c>
      <c r="B382" t="s">
        <v>951</v>
      </c>
      <c r="C382" t="s">
        <v>576</v>
      </c>
      <c r="D382" t="s">
        <v>534</v>
      </c>
      <c r="F382" t="str">
        <f t="shared" si="10"/>
        <v/>
      </c>
      <c r="G382" t="s">
        <v>956</v>
      </c>
      <c r="H382" t="str">
        <f t="shared" si="11"/>
        <v>ren "" "507.jpg"</v>
      </c>
      <c r="V382" s="1"/>
      <c r="W382" s="2"/>
    </row>
    <row r="383" spans="1:23" x14ac:dyDescent="0.25">
      <c r="A383">
        <v>382</v>
      </c>
      <c r="B383" t="s">
        <v>951</v>
      </c>
      <c r="C383" t="s">
        <v>576</v>
      </c>
      <c r="D383" t="s">
        <v>536</v>
      </c>
      <c r="F383" t="str">
        <f t="shared" si="10"/>
        <v/>
      </c>
      <c r="G383" t="s">
        <v>957</v>
      </c>
      <c r="H383" t="str">
        <f t="shared" si="11"/>
        <v>ren "" "508.jpg"</v>
      </c>
      <c r="V383" s="1"/>
      <c r="W383" s="2"/>
    </row>
    <row r="384" spans="1:23" x14ac:dyDescent="0.25">
      <c r="A384">
        <v>383</v>
      </c>
      <c r="B384" t="s">
        <v>951</v>
      </c>
      <c r="C384" t="s">
        <v>579</v>
      </c>
      <c r="D384" t="s">
        <v>534</v>
      </c>
      <c r="F384" t="str">
        <f t="shared" si="10"/>
        <v/>
      </c>
      <c r="G384" t="s">
        <v>958</v>
      </c>
      <c r="H384" t="str">
        <f t="shared" si="11"/>
        <v>ren "" "509.jpg"</v>
      </c>
      <c r="V384" s="1"/>
      <c r="W384" s="2"/>
    </row>
    <row r="385" spans="1:23" x14ac:dyDescent="0.25">
      <c r="A385">
        <v>384</v>
      </c>
      <c r="B385" t="s">
        <v>951</v>
      </c>
      <c r="C385" t="s">
        <v>579</v>
      </c>
      <c r="D385" t="s">
        <v>536</v>
      </c>
      <c r="F385" t="str">
        <f t="shared" si="10"/>
        <v/>
      </c>
      <c r="G385" t="s">
        <v>959</v>
      </c>
      <c r="H385" t="str">
        <f t="shared" si="11"/>
        <v>ren "" "510.jpg"</v>
      </c>
      <c r="V385" s="1"/>
      <c r="W385" s="2"/>
    </row>
    <row r="386" spans="1:23" x14ac:dyDescent="0.25">
      <c r="A386">
        <v>385</v>
      </c>
      <c r="B386" t="s">
        <v>951</v>
      </c>
      <c r="C386" t="s">
        <v>582</v>
      </c>
      <c r="D386" t="s">
        <v>534</v>
      </c>
      <c r="F386" t="str">
        <f t="shared" ref="F386:F449" si="12">IF(E386="", "", TRIM(RIGHT(SUBSTITUTE(E386, "\", REPT(" ", LEN(E386))), LEN(E386))))</f>
        <v/>
      </c>
      <c r="G386" t="s">
        <v>960</v>
      </c>
      <c r="H386" t="str">
        <f t="shared" ref="H386:H449" si="13">"ren """ &amp; F386 &amp; """ """ &amp; G386 &amp; """"</f>
        <v>ren "" "511.jpg"</v>
      </c>
      <c r="V386" s="1"/>
      <c r="W386" s="2"/>
    </row>
    <row r="387" spans="1:23" x14ac:dyDescent="0.25">
      <c r="A387">
        <v>386</v>
      </c>
      <c r="B387" t="s">
        <v>951</v>
      </c>
      <c r="C387" t="s">
        <v>582</v>
      </c>
      <c r="D387" t="s">
        <v>536</v>
      </c>
      <c r="F387" t="str">
        <f t="shared" si="12"/>
        <v/>
      </c>
      <c r="G387" t="s">
        <v>961</v>
      </c>
      <c r="H387" t="str">
        <f t="shared" si="13"/>
        <v>ren "" "512.jpg"</v>
      </c>
      <c r="V387" s="1"/>
      <c r="W387" s="2"/>
    </row>
    <row r="388" spans="1:23" x14ac:dyDescent="0.25">
      <c r="A388">
        <v>387</v>
      </c>
      <c r="B388" t="s">
        <v>951</v>
      </c>
      <c r="C388" t="s">
        <v>585</v>
      </c>
      <c r="D388" t="s">
        <v>534</v>
      </c>
      <c r="F388" t="str">
        <f t="shared" si="12"/>
        <v/>
      </c>
      <c r="G388" t="s">
        <v>962</v>
      </c>
      <c r="H388" t="str">
        <f t="shared" si="13"/>
        <v>ren "" "513.jpg"</v>
      </c>
      <c r="V388" s="1"/>
      <c r="W388" s="2"/>
    </row>
    <row r="389" spans="1:23" x14ac:dyDescent="0.25">
      <c r="A389">
        <v>388</v>
      </c>
      <c r="B389" t="s">
        <v>951</v>
      </c>
      <c r="C389" t="s">
        <v>585</v>
      </c>
      <c r="D389" t="s">
        <v>536</v>
      </c>
      <c r="F389" t="str">
        <f t="shared" si="12"/>
        <v/>
      </c>
      <c r="G389" t="s">
        <v>963</v>
      </c>
      <c r="H389" t="str">
        <f t="shared" si="13"/>
        <v>ren "" "514.jpg"</v>
      </c>
      <c r="V389" s="1"/>
      <c r="W389" s="2"/>
    </row>
    <row r="390" spans="1:23" x14ac:dyDescent="0.25">
      <c r="A390">
        <v>389</v>
      </c>
      <c r="B390" t="s">
        <v>951</v>
      </c>
      <c r="C390" t="s">
        <v>588</v>
      </c>
      <c r="D390" t="s">
        <v>534</v>
      </c>
      <c r="F390" t="str">
        <f t="shared" si="12"/>
        <v/>
      </c>
      <c r="G390" t="s">
        <v>964</v>
      </c>
      <c r="H390" t="str">
        <f t="shared" si="13"/>
        <v>ren "" "515.jpg"</v>
      </c>
      <c r="V390" s="1"/>
      <c r="W390" s="2"/>
    </row>
    <row r="391" spans="1:23" x14ac:dyDescent="0.25">
      <c r="A391">
        <v>390</v>
      </c>
      <c r="B391" t="s">
        <v>951</v>
      </c>
      <c r="C391" t="s">
        <v>588</v>
      </c>
      <c r="D391" t="s">
        <v>536</v>
      </c>
      <c r="F391" t="str">
        <f t="shared" si="12"/>
        <v/>
      </c>
      <c r="G391" t="s">
        <v>965</v>
      </c>
      <c r="H391" t="str">
        <f t="shared" si="13"/>
        <v>ren "" "516.jpg"</v>
      </c>
      <c r="V391" s="1"/>
      <c r="W391" s="2"/>
    </row>
    <row r="392" spans="1:23" x14ac:dyDescent="0.25">
      <c r="A392">
        <v>391</v>
      </c>
      <c r="B392" t="s">
        <v>951</v>
      </c>
      <c r="C392" t="s">
        <v>591</v>
      </c>
      <c r="D392" t="s">
        <v>534</v>
      </c>
      <c r="F392" t="str">
        <f t="shared" si="12"/>
        <v/>
      </c>
      <c r="G392" t="s">
        <v>966</v>
      </c>
      <c r="H392" t="str">
        <f t="shared" si="13"/>
        <v>ren "" "517.jpg"</v>
      </c>
      <c r="V392" s="1"/>
      <c r="W392" s="2"/>
    </row>
    <row r="393" spans="1:23" x14ac:dyDescent="0.25">
      <c r="A393">
        <v>392</v>
      </c>
      <c r="B393" t="s">
        <v>951</v>
      </c>
      <c r="C393" t="s">
        <v>591</v>
      </c>
      <c r="D393" t="s">
        <v>536</v>
      </c>
      <c r="F393" t="str">
        <f t="shared" si="12"/>
        <v/>
      </c>
      <c r="G393" t="s">
        <v>967</v>
      </c>
      <c r="H393" t="str">
        <f t="shared" si="13"/>
        <v>ren "" "518.jpg"</v>
      </c>
      <c r="V393" s="1"/>
      <c r="W393" s="2"/>
    </row>
    <row r="394" spans="1:23" x14ac:dyDescent="0.25">
      <c r="A394">
        <v>393</v>
      </c>
      <c r="B394" t="s">
        <v>968</v>
      </c>
      <c r="C394" t="s">
        <v>570</v>
      </c>
      <c r="D394" t="s">
        <v>534</v>
      </c>
      <c r="F394" t="str">
        <f t="shared" si="12"/>
        <v/>
      </c>
      <c r="G394" t="s">
        <v>969</v>
      </c>
      <c r="H394" t="str">
        <f t="shared" si="13"/>
        <v>ren "" "519.jpg"</v>
      </c>
      <c r="V394" s="1"/>
      <c r="W394" s="2"/>
    </row>
    <row r="395" spans="1:23" x14ac:dyDescent="0.25">
      <c r="A395">
        <v>394</v>
      </c>
      <c r="B395" t="s">
        <v>968</v>
      </c>
      <c r="C395" t="s">
        <v>570</v>
      </c>
      <c r="D395" t="s">
        <v>536</v>
      </c>
      <c r="F395" t="str">
        <f t="shared" si="12"/>
        <v/>
      </c>
      <c r="G395" t="s">
        <v>970</v>
      </c>
      <c r="H395" t="str">
        <f t="shared" si="13"/>
        <v>ren "" "520.jpg"</v>
      </c>
      <c r="V395" s="1"/>
      <c r="W395" s="2"/>
    </row>
    <row r="396" spans="1:23" x14ac:dyDescent="0.25">
      <c r="A396">
        <v>395</v>
      </c>
      <c r="B396" t="s">
        <v>968</v>
      </c>
      <c r="C396" t="s">
        <v>573</v>
      </c>
      <c r="D396" t="s">
        <v>534</v>
      </c>
      <c r="F396" t="str">
        <f t="shared" si="12"/>
        <v/>
      </c>
      <c r="G396" t="s">
        <v>971</v>
      </c>
      <c r="H396" t="str">
        <f t="shared" si="13"/>
        <v>ren "" "521.jpg"</v>
      </c>
      <c r="V396" s="1"/>
      <c r="W396" s="2"/>
    </row>
    <row r="397" spans="1:23" x14ac:dyDescent="0.25">
      <c r="A397">
        <v>396</v>
      </c>
      <c r="B397" t="s">
        <v>968</v>
      </c>
      <c r="C397" t="s">
        <v>573</v>
      </c>
      <c r="D397" t="s">
        <v>536</v>
      </c>
      <c r="F397" t="str">
        <f t="shared" si="12"/>
        <v/>
      </c>
      <c r="G397" t="s">
        <v>972</v>
      </c>
      <c r="H397" t="str">
        <f t="shared" si="13"/>
        <v>ren "" "522.jpg"</v>
      </c>
      <c r="V397" s="1"/>
      <c r="W397" s="2"/>
    </row>
    <row r="398" spans="1:23" x14ac:dyDescent="0.25">
      <c r="A398">
        <v>397</v>
      </c>
      <c r="B398" t="s">
        <v>968</v>
      </c>
      <c r="C398" t="s">
        <v>576</v>
      </c>
      <c r="D398" t="s">
        <v>534</v>
      </c>
      <c r="F398" t="str">
        <f t="shared" si="12"/>
        <v/>
      </c>
      <c r="G398" t="s">
        <v>973</v>
      </c>
      <c r="H398" t="str">
        <f t="shared" si="13"/>
        <v>ren "" "523.jpg"</v>
      </c>
      <c r="V398" s="1"/>
      <c r="W398" s="2"/>
    </row>
    <row r="399" spans="1:23" x14ac:dyDescent="0.25">
      <c r="A399">
        <v>398</v>
      </c>
      <c r="B399" t="s">
        <v>968</v>
      </c>
      <c r="C399" t="s">
        <v>576</v>
      </c>
      <c r="D399" t="s">
        <v>536</v>
      </c>
      <c r="F399" t="str">
        <f t="shared" si="12"/>
        <v/>
      </c>
      <c r="G399" t="s">
        <v>974</v>
      </c>
      <c r="H399" t="str">
        <f t="shared" si="13"/>
        <v>ren "" "524.jpg"</v>
      </c>
      <c r="V399" s="1"/>
      <c r="W399" s="2"/>
    </row>
    <row r="400" spans="1:23" x14ac:dyDescent="0.25">
      <c r="A400">
        <v>399</v>
      </c>
      <c r="B400" t="s">
        <v>968</v>
      </c>
      <c r="C400" t="s">
        <v>579</v>
      </c>
      <c r="D400" t="s">
        <v>534</v>
      </c>
      <c r="F400" t="str">
        <f t="shared" si="12"/>
        <v/>
      </c>
      <c r="G400" t="s">
        <v>975</v>
      </c>
      <c r="H400" t="str">
        <f t="shared" si="13"/>
        <v>ren "" "551.jpg"</v>
      </c>
      <c r="V400" s="1"/>
      <c r="W400" s="2"/>
    </row>
    <row r="401" spans="1:23" x14ac:dyDescent="0.25">
      <c r="A401">
        <v>400</v>
      </c>
      <c r="B401" t="s">
        <v>968</v>
      </c>
      <c r="C401" t="s">
        <v>579</v>
      </c>
      <c r="D401" t="s">
        <v>536</v>
      </c>
      <c r="F401" t="str">
        <f t="shared" si="12"/>
        <v/>
      </c>
      <c r="G401" t="s">
        <v>976</v>
      </c>
      <c r="H401" t="str">
        <f t="shared" si="13"/>
        <v>ren "" "552.jpg"</v>
      </c>
      <c r="V401" s="1"/>
      <c r="W401" s="2"/>
    </row>
    <row r="402" spans="1:23" x14ac:dyDescent="0.25">
      <c r="A402">
        <v>401</v>
      </c>
      <c r="B402" t="s">
        <v>968</v>
      </c>
      <c r="C402" t="s">
        <v>582</v>
      </c>
      <c r="D402" t="s">
        <v>534</v>
      </c>
      <c r="F402" t="str">
        <f t="shared" si="12"/>
        <v/>
      </c>
      <c r="G402" t="s">
        <v>977</v>
      </c>
      <c r="H402" t="str">
        <f t="shared" si="13"/>
        <v>ren "" "553.jpg"</v>
      </c>
      <c r="V402" s="1"/>
      <c r="W402" s="2"/>
    </row>
    <row r="403" spans="1:23" x14ac:dyDescent="0.25">
      <c r="A403">
        <v>402</v>
      </c>
      <c r="B403" t="s">
        <v>968</v>
      </c>
      <c r="C403" t="s">
        <v>582</v>
      </c>
      <c r="D403" t="s">
        <v>536</v>
      </c>
      <c r="F403" t="str">
        <f t="shared" si="12"/>
        <v/>
      </c>
      <c r="G403" t="s">
        <v>978</v>
      </c>
      <c r="H403" t="str">
        <f t="shared" si="13"/>
        <v>ren "" "554.jpg"</v>
      </c>
      <c r="V403" s="1"/>
      <c r="W403" s="2"/>
    </row>
    <row r="404" spans="1:23" x14ac:dyDescent="0.25">
      <c r="A404">
        <v>403</v>
      </c>
      <c r="B404" t="s">
        <v>968</v>
      </c>
      <c r="C404" t="s">
        <v>585</v>
      </c>
      <c r="D404" t="s">
        <v>534</v>
      </c>
      <c r="F404" t="str">
        <f t="shared" si="12"/>
        <v/>
      </c>
      <c r="G404" t="s">
        <v>979</v>
      </c>
      <c r="H404" t="str">
        <f t="shared" si="13"/>
        <v>ren "" "555.jpg"</v>
      </c>
      <c r="V404" s="1"/>
      <c r="W404" s="2"/>
    </row>
    <row r="405" spans="1:23" x14ac:dyDescent="0.25">
      <c r="A405">
        <v>404</v>
      </c>
      <c r="B405" t="s">
        <v>968</v>
      </c>
      <c r="C405" t="s">
        <v>585</v>
      </c>
      <c r="D405" t="s">
        <v>536</v>
      </c>
      <c r="F405" t="str">
        <f t="shared" si="12"/>
        <v/>
      </c>
      <c r="G405" t="s">
        <v>980</v>
      </c>
      <c r="H405" t="str">
        <f t="shared" si="13"/>
        <v>ren "" "556.jpg"</v>
      </c>
      <c r="V405" s="1"/>
      <c r="W405" s="2"/>
    </row>
    <row r="406" spans="1:23" x14ac:dyDescent="0.25">
      <c r="A406">
        <v>405</v>
      </c>
      <c r="B406" t="s">
        <v>968</v>
      </c>
      <c r="C406" t="s">
        <v>588</v>
      </c>
      <c r="D406" t="s">
        <v>534</v>
      </c>
      <c r="F406" t="str">
        <f t="shared" si="12"/>
        <v/>
      </c>
      <c r="G406" t="s">
        <v>981</v>
      </c>
      <c r="H406" t="str">
        <f t="shared" si="13"/>
        <v>ren "" "557.jpg"</v>
      </c>
      <c r="V406" s="1"/>
      <c r="W406" s="2"/>
    </row>
    <row r="407" spans="1:23" x14ac:dyDescent="0.25">
      <c r="A407">
        <v>406</v>
      </c>
      <c r="B407" t="s">
        <v>968</v>
      </c>
      <c r="C407" t="s">
        <v>588</v>
      </c>
      <c r="D407" t="s">
        <v>536</v>
      </c>
      <c r="F407" t="str">
        <f t="shared" si="12"/>
        <v/>
      </c>
      <c r="G407" t="s">
        <v>982</v>
      </c>
      <c r="H407" t="str">
        <f t="shared" si="13"/>
        <v>ren "" "558.jpg"</v>
      </c>
      <c r="V407" s="1"/>
      <c r="W407" s="2"/>
    </row>
    <row r="408" spans="1:23" x14ac:dyDescent="0.25">
      <c r="A408">
        <v>407</v>
      </c>
      <c r="B408" t="s">
        <v>968</v>
      </c>
      <c r="C408" t="s">
        <v>591</v>
      </c>
      <c r="D408" t="s">
        <v>534</v>
      </c>
      <c r="F408" t="str">
        <f t="shared" si="12"/>
        <v/>
      </c>
      <c r="G408" t="s">
        <v>983</v>
      </c>
      <c r="H408" t="str">
        <f t="shared" si="13"/>
        <v>ren "" "559.jpg"</v>
      </c>
      <c r="V408" s="1"/>
      <c r="W408" s="2"/>
    </row>
    <row r="409" spans="1:23" x14ac:dyDescent="0.25">
      <c r="A409">
        <v>408</v>
      </c>
      <c r="B409" t="s">
        <v>968</v>
      </c>
      <c r="C409" t="s">
        <v>591</v>
      </c>
      <c r="D409" t="s">
        <v>536</v>
      </c>
      <c r="F409" t="str">
        <f t="shared" si="12"/>
        <v/>
      </c>
      <c r="G409" t="s">
        <v>984</v>
      </c>
      <c r="H409" t="str">
        <f t="shared" si="13"/>
        <v>ren "" "560.jpg"</v>
      </c>
      <c r="V409" s="1"/>
      <c r="W409" s="2"/>
    </row>
    <row r="410" spans="1:23" x14ac:dyDescent="0.25">
      <c r="A410">
        <v>409</v>
      </c>
      <c r="B410" t="s">
        <v>985</v>
      </c>
      <c r="C410" t="s">
        <v>570</v>
      </c>
      <c r="D410" t="s">
        <v>534</v>
      </c>
      <c r="F410" t="str">
        <f t="shared" si="12"/>
        <v/>
      </c>
      <c r="G410" t="s">
        <v>986</v>
      </c>
      <c r="H410" t="str">
        <f t="shared" si="13"/>
        <v>ren "" "561.jpg"</v>
      </c>
      <c r="V410" s="1"/>
      <c r="W410" s="2"/>
    </row>
    <row r="411" spans="1:23" x14ac:dyDescent="0.25">
      <c r="A411">
        <v>410</v>
      </c>
      <c r="B411" t="s">
        <v>985</v>
      </c>
      <c r="C411" t="s">
        <v>570</v>
      </c>
      <c r="D411" t="s">
        <v>536</v>
      </c>
      <c r="F411" t="str">
        <f t="shared" si="12"/>
        <v/>
      </c>
      <c r="G411" t="s">
        <v>987</v>
      </c>
      <c r="H411" t="str">
        <f t="shared" si="13"/>
        <v>ren "" "562.jpg"</v>
      </c>
      <c r="V411" s="1"/>
      <c r="W411" s="2"/>
    </row>
    <row r="412" spans="1:23" x14ac:dyDescent="0.25">
      <c r="A412">
        <v>411</v>
      </c>
      <c r="B412" t="s">
        <v>985</v>
      </c>
      <c r="C412" t="s">
        <v>573</v>
      </c>
      <c r="D412" t="s">
        <v>534</v>
      </c>
      <c r="F412" t="str">
        <f t="shared" si="12"/>
        <v/>
      </c>
      <c r="G412" t="s">
        <v>988</v>
      </c>
      <c r="H412" t="str">
        <f t="shared" si="13"/>
        <v>ren "" "563.jpg"</v>
      </c>
      <c r="V412" s="1"/>
      <c r="W412" s="2"/>
    </row>
    <row r="413" spans="1:23" x14ac:dyDescent="0.25">
      <c r="A413">
        <v>412</v>
      </c>
      <c r="B413" t="s">
        <v>985</v>
      </c>
      <c r="C413" t="s">
        <v>573</v>
      </c>
      <c r="D413" t="s">
        <v>536</v>
      </c>
      <c r="F413" t="str">
        <f t="shared" si="12"/>
        <v/>
      </c>
      <c r="G413" t="s">
        <v>989</v>
      </c>
      <c r="H413" t="str">
        <f t="shared" si="13"/>
        <v>ren "" "564.jpg"</v>
      </c>
      <c r="V413" s="1"/>
      <c r="W413" s="2"/>
    </row>
    <row r="414" spans="1:23" x14ac:dyDescent="0.25">
      <c r="A414">
        <v>413</v>
      </c>
      <c r="B414" t="s">
        <v>985</v>
      </c>
      <c r="C414" t="s">
        <v>576</v>
      </c>
      <c r="D414" t="s">
        <v>534</v>
      </c>
      <c r="F414" t="str">
        <f t="shared" si="12"/>
        <v/>
      </c>
      <c r="G414" t="s">
        <v>990</v>
      </c>
      <c r="H414" t="str">
        <f t="shared" si="13"/>
        <v>ren "" "565.jpg"</v>
      </c>
      <c r="V414" s="1"/>
      <c r="W414" s="2"/>
    </row>
    <row r="415" spans="1:23" x14ac:dyDescent="0.25">
      <c r="A415">
        <v>414</v>
      </c>
      <c r="B415" t="s">
        <v>985</v>
      </c>
      <c r="C415" t="s">
        <v>576</v>
      </c>
      <c r="D415" t="s">
        <v>536</v>
      </c>
      <c r="F415" t="str">
        <f t="shared" si="12"/>
        <v/>
      </c>
      <c r="G415" t="s">
        <v>991</v>
      </c>
      <c r="H415" t="str">
        <f t="shared" si="13"/>
        <v>ren "" "566.jpg"</v>
      </c>
      <c r="V415" s="1"/>
      <c r="W415" s="2"/>
    </row>
    <row r="416" spans="1:23" x14ac:dyDescent="0.25">
      <c r="A416">
        <v>415</v>
      </c>
      <c r="B416" t="s">
        <v>985</v>
      </c>
      <c r="C416" t="s">
        <v>579</v>
      </c>
      <c r="D416" t="s">
        <v>534</v>
      </c>
      <c r="F416" t="str">
        <f t="shared" si="12"/>
        <v/>
      </c>
      <c r="G416" t="s">
        <v>992</v>
      </c>
      <c r="H416" t="str">
        <f t="shared" si="13"/>
        <v>ren "" "567.jpg"</v>
      </c>
      <c r="V416" s="1"/>
      <c r="W416" s="2"/>
    </row>
    <row r="417" spans="1:23" x14ac:dyDescent="0.25">
      <c r="A417">
        <v>416</v>
      </c>
      <c r="B417" t="s">
        <v>985</v>
      </c>
      <c r="C417" t="s">
        <v>579</v>
      </c>
      <c r="D417" t="s">
        <v>536</v>
      </c>
      <c r="F417" t="str">
        <f t="shared" si="12"/>
        <v/>
      </c>
      <c r="G417" t="s">
        <v>993</v>
      </c>
      <c r="H417" t="str">
        <f t="shared" si="13"/>
        <v>ren "" "568.jpg"</v>
      </c>
      <c r="V417" s="1"/>
      <c r="W417" s="2"/>
    </row>
    <row r="418" spans="1:23" x14ac:dyDescent="0.25">
      <c r="A418">
        <v>417</v>
      </c>
      <c r="B418" t="s">
        <v>985</v>
      </c>
      <c r="C418" t="s">
        <v>582</v>
      </c>
      <c r="D418" t="s">
        <v>534</v>
      </c>
      <c r="F418" t="str">
        <f t="shared" si="12"/>
        <v/>
      </c>
      <c r="G418" t="s">
        <v>994</v>
      </c>
      <c r="H418" t="str">
        <f t="shared" si="13"/>
        <v>ren "" "569.jpg"</v>
      </c>
      <c r="V418" s="1"/>
      <c r="W418" s="2"/>
    </row>
    <row r="419" spans="1:23" x14ac:dyDescent="0.25">
      <c r="A419">
        <v>418</v>
      </c>
      <c r="B419" t="s">
        <v>985</v>
      </c>
      <c r="C419" t="s">
        <v>582</v>
      </c>
      <c r="D419" t="s">
        <v>536</v>
      </c>
      <c r="F419" t="str">
        <f t="shared" si="12"/>
        <v/>
      </c>
      <c r="G419" t="s">
        <v>995</v>
      </c>
      <c r="H419" t="str">
        <f t="shared" si="13"/>
        <v>ren "" "570.jpg"</v>
      </c>
      <c r="V419" s="1"/>
      <c r="W419" s="2"/>
    </row>
    <row r="420" spans="1:23" x14ac:dyDescent="0.25">
      <c r="A420">
        <v>419</v>
      </c>
      <c r="B420" t="s">
        <v>985</v>
      </c>
      <c r="C420" t="s">
        <v>585</v>
      </c>
      <c r="D420" t="s">
        <v>534</v>
      </c>
      <c r="F420" t="str">
        <f t="shared" si="12"/>
        <v/>
      </c>
      <c r="G420" t="s">
        <v>996</v>
      </c>
      <c r="H420" t="str">
        <f t="shared" si="13"/>
        <v>ren "" "571.jpg"</v>
      </c>
      <c r="V420" s="1"/>
      <c r="W420" s="2"/>
    </row>
    <row r="421" spans="1:23" x14ac:dyDescent="0.25">
      <c r="A421">
        <v>420</v>
      </c>
      <c r="B421" t="s">
        <v>985</v>
      </c>
      <c r="C421" t="s">
        <v>585</v>
      </c>
      <c r="D421" t="s">
        <v>536</v>
      </c>
      <c r="F421" t="str">
        <f t="shared" si="12"/>
        <v/>
      </c>
      <c r="G421" t="s">
        <v>997</v>
      </c>
      <c r="H421" t="str">
        <f t="shared" si="13"/>
        <v>ren "" "572.jpg"</v>
      </c>
      <c r="V421" s="1"/>
      <c r="W421" s="2"/>
    </row>
    <row r="422" spans="1:23" x14ac:dyDescent="0.25">
      <c r="A422">
        <v>421</v>
      </c>
      <c r="B422" t="s">
        <v>985</v>
      </c>
      <c r="C422" t="s">
        <v>588</v>
      </c>
      <c r="D422" t="s">
        <v>534</v>
      </c>
      <c r="F422" t="str">
        <f t="shared" si="12"/>
        <v/>
      </c>
      <c r="G422" t="s">
        <v>998</v>
      </c>
      <c r="H422" t="str">
        <f t="shared" si="13"/>
        <v>ren "" "573.jpg"</v>
      </c>
      <c r="V422" s="1"/>
      <c r="W422" s="2"/>
    </row>
    <row r="423" spans="1:23" x14ac:dyDescent="0.25">
      <c r="A423">
        <v>422</v>
      </c>
      <c r="B423" t="s">
        <v>985</v>
      </c>
      <c r="C423" t="s">
        <v>588</v>
      </c>
      <c r="D423" t="s">
        <v>536</v>
      </c>
      <c r="F423" t="str">
        <f t="shared" si="12"/>
        <v/>
      </c>
      <c r="G423" t="s">
        <v>999</v>
      </c>
      <c r="H423" t="str">
        <f t="shared" si="13"/>
        <v>ren "" "574.jpg"</v>
      </c>
      <c r="V423" s="1"/>
      <c r="W423" s="2"/>
    </row>
    <row r="424" spans="1:23" x14ac:dyDescent="0.25">
      <c r="A424">
        <v>423</v>
      </c>
      <c r="B424" t="s">
        <v>985</v>
      </c>
      <c r="C424" t="s">
        <v>591</v>
      </c>
      <c r="D424" t="s">
        <v>534</v>
      </c>
      <c r="F424" t="str">
        <f t="shared" si="12"/>
        <v/>
      </c>
      <c r="G424" t="s">
        <v>1000</v>
      </c>
      <c r="H424" t="str">
        <f t="shared" si="13"/>
        <v>ren "" "575.jpg"</v>
      </c>
      <c r="V424" s="1"/>
      <c r="W424" s="2"/>
    </row>
    <row r="425" spans="1:23" x14ac:dyDescent="0.25">
      <c r="A425">
        <v>424</v>
      </c>
      <c r="B425" t="s">
        <v>985</v>
      </c>
      <c r="C425" t="s">
        <v>591</v>
      </c>
      <c r="D425" t="s">
        <v>536</v>
      </c>
      <c r="F425" t="str">
        <f t="shared" si="12"/>
        <v/>
      </c>
      <c r="G425" t="s">
        <v>1001</v>
      </c>
      <c r="H425" t="str">
        <f t="shared" si="13"/>
        <v>ren "" "576.jpg"</v>
      </c>
      <c r="V425" s="1"/>
      <c r="W425" s="2"/>
    </row>
    <row r="426" spans="1:23" x14ac:dyDescent="0.25">
      <c r="A426">
        <v>425</v>
      </c>
      <c r="B426" t="s">
        <v>1002</v>
      </c>
      <c r="C426" t="s">
        <v>533</v>
      </c>
      <c r="D426" t="s">
        <v>534</v>
      </c>
      <c r="F426" t="str">
        <f t="shared" si="12"/>
        <v/>
      </c>
      <c r="G426" t="s">
        <v>1003</v>
      </c>
      <c r="H426" t="str">
        <f t="shared" si="13"/>
        <v>ren "" "751.jpg"</v>
      </c>
      <c r="V426" s="1"/>
      <c r="W426" s="2"/>
    </row>
    <row r="427" spans="1:23" x14ac:dyDescent="0.25">
      <c r="A427">
        <v>426</v>
      </c>
      <c r="B427" t="s">
        <v>1002</v>
      </c>
      <c r="C427" t="s">
        <v>533</v>
      </c>
      <c r="D427" t="s">
        <v>536</v>
      </c>
      <c r="F427" t="str">
        <f t="shared" si="12"/>
        <v/>
      </c>
      <c r="G427" t="s">
        <v>1004</v>
      </c>
      <c r="H427" t="str">
        <f t="shared" si="13"/>
        <v>ren "" "752.jpg"</v>
      </c>
      <c r="V427" s="1"/>
      <c r="W427" s="2"/>
    </row>
    <row r="428" spans="1:23" x14ac:dyDescent="0.25">
      <c r="A428">
        <v>427</v>
      </c>
      <c r="B428" t="s">
        <v>1002</v>
      </c>
      <c r="C428" t="s">
        <v>538</v>
      </c>
      <c r="D428" t="s">
        <v>534</v>
      </c>
      <c r="F428" t="str">
        <f t="shared" si="12"/>
        <v/>
      </c>
      <c r="G428" t="s">
        <v>1005</v>
      </c>
      <c r="H428" t="str">
        <f t="shared" si="13"/>
        <v>ren "" "753.jpg"</v>
      </c>
      <c r="V428" s="1"/>
      <c r="W428" s="2"/>
    </row>
    <row r="429" spans="1:23" x14ac:dyDescent="0.25">
      <c r="A429">
        <v>428</v>
      </c>
      <c r="B429" t="s">
        <v>1002</v>
      </c>
      <c r="C429" t="s">
        <v>538</v>
      </c>
      <c r="D429" t="s">
        <v>536</v>
      </c>
      <c r="F429" t="str">
        <f t="shared" si="12"/>
        <v/>
      </c>
      <c r="G429" t="s">
        <v>1006</v>
      </c>
      <c r="H429" t="str">
        <f t="shared" si="13"/>
        <v>ren "" "754.jpg"</v>
      </c>
      <c r="V429" s="1"/>
      <c r="W429" s="2"/>
    </row>
    <row r="430" spans="1:23" x14ac:dyDescent="0.25">
      <c r="A430">
        <v>429</v>
      </c>
      <c r="B430" t="s">
        <v>1002</v>
      </c>
      <c r="C430" t="s">
        <v>541</v>
      </c>
      <c r="D430" t="s">
        <v>534</v>
      </c>
      <c r="F430" t="str">
        <f t="shared" si="12"/>
        <v/>
      </c>
      <c r="G430" t="s">
        <v>1007</v>
      </c>
      <c r="H430" t="str">
        <f t="shared" si="13"/>
        <v>ren "" "755.jpg"</v>
      </c>
      <c r="V430" s="1"/>
      <c r="W430" s="2"/>
    </row>
    <row r="431" spans="1:23" x14ac:dyDescent="0.25">
      <c r="A431">
        <v>430</v>
      </c>
      <c r="B431" t="s">
        <v>1002</v>
      </c>
      <c r="C431" t="s">
        <v>541</v>
      </c>
      <c r="D431" t="s">
        <v>536</v>
      </c>
      <c r="F431" t="str">
        <f t="shared" si="12"/>
        <v/>
      </c>
      <c r="G431" t="s">
        <v>1008</v>
      </c>
      <c r="H431" t="str">
        <f t="shared" si="13"/>
        <v>ren "" "756.jpg"</v>
      </c>
      <c r="V431" s="1"/>
      <c r="W431" s="2"/>
    </row>
    <row r="432" spans="1:23" x14ac:dyDescent="0.25">
      <c r="A432">
        <v>431</v>
      </c>
      <c r="B432" t="s">
        <v>1002</v>
      </c>
      <c r="C432" t="s">
        <v>544</v>
      </c>
      <c r="D432" t="s">
        <v>534</v>
      </c>
      <c r="F432" t="str">
        <f t="shared" si="12"/>
        <v/>
      </c>
      <c r="G432" t="s">
        <v>1009</v>
      </c>
      <c r="H432" t="str">
        <f t="shared" si="13"/>
        <v>ren "" "757.jpg"</v>
      </c>
      <c r="V432" s="1"/>
      <c r="W432" s="2"/>
    </row>
    <row r="433" spans="1:23" x14ac:dyDescent="0.25">
      <c r="A433">
        <v>432</v>
      </c>
      <c r="B433" t="s">
        <v>1002</v>
      </c>
      <c r="C433" t="s">
        <v>544</v>
      </c>
      <c r="D433" t="s">
        <v>536</v>
      </c>
      <c r="F433" t="str">
        <f t="shared" si="12"/>
        <v/>
      </c>
      <c r="G433" t="s">
        <v>1010</v>
      </c>
      <c r="H433" t="str">
        <f t="shared" si="13"/>
        <v>ren "" "758.jpg"</v>
      </c>
      <c r="V433" s="1"/>
      <c r="W433" s="2"/>
    </row>
    <row r="434" spans="1:23" x14ac:dyDescent="0.25">
      <c r="A434">
        <v>433</v>
      </c>
      <c r="B434" t="s">
        <v>1002</v>
      </c>
      <c r="C434" t="s">
        <v>547</v>
      </c>
      <c r="D434" t="s">
        <v>534</v>
      </c>
      <c r="F434" t="str">
        <f t="shared" si="12"/>
        <v/>
      </c>
      <c r="G434" t="s">
        <v>1011</v>
      </c>
      <c r="H434" t="str">
        <f t="shared" si="13"/>
        <v>ren "" "759.jpg"</v>
      </c>
      <c r="V434" s="1"/>
      <c r="W434" s="2"/>
    </row>
    <row r="435" spans="1:23" x14ac:dyDescent="0.25">
      <c r="A435">
        <v>434</v>
      </c>
      <c r="B435" t="s">
        <v>1002</v>
      </c>
      <c r="C435" t="s">
        <v>547</v>
      </c>
      <c r="D435" t="s">
        <v>536</v>
      </c>
      <c r="F435" t="str">
        <f t="shared" si="12"/>
        <v/>
      </c>
      <c r="G435" t="s">
        <v>1012</v>
      </c>
      <c r="H435" t="str">
        <f t="shared" si="13"/>
        <v>ren "" "760.jpg"</v>
      </c>
      <c r="V435" s="1"/>
      <c r="W435" s="2"/>
    </row>
    <row r="436" spans="1:23" x14ac:dyDescent="0.25">
      <c r="A436">
        <v>435</v>
      </c>
      <c r="B436" t="s">
        <v>1002</v>
      </c>
      <c r="C436" t="s">
        <v>550</v>
      </c>
      <c r="D436" t="s">
        <v>534</v>
      </c>
      <c r="F436" t="str">
        <f t="shared" si="12"/>
        <v/>
      </c>
      <c r="G436" t="s">
        <v>1013</v>
      </c>
      <c r="H436" t="str">
        <f t="shared" si="13"/>
        <v>ren "" "761.jpg"</v>
      </c>
      <c r="V436" s="1"/>
      <c r="W436" s="2"/>
    </row>
    <row r="437" spans="1:23" x14ac:dyDescent="0.25">
      <c r="A437">
        <v>436</v>
      </c>
      <c r="B437" t="s">
        <v>1002</v>
      </c>
      <c r="C437" t="s">
        <v>550</v>
      </c>
      <c r="D437" t="s">
        <v>536</v>
      </c>
      <c r="F437" t="str">
        <f t="shared" si="12"/>
        <v/>
      </c>
      <c r="G437" t="s">
        <v>1014</v>
      </c>
      <c r="H437" t="str">
        <f t="shared" si="13"/>
        <v>ren "" "762.jpg"</v>
      </c>
      <c r="V437" s="1"/>
      <c r="W437" s="2"/>
    </row>
    <row r="438" spans="1:23" x14ac:dyDescent="0.25">
      <c r="A438">
        <v>437</v>
      </c>
      <c r="B438" t="s">
        <v>1002</v>
      </c>
      <c r="C438" t="s">
        <v>553</v>
      </c>
      <c r="D438" t="s">
        <v>534</v>
      </c>
      <c r="F438" t="str">
        <f t="shared" si="12"/>
        <v/>
      </c>
      <c r="G438" t="s">
        <v>1015</v>
      </c>
      <c r="H438" t="str">
        <f t="shared" si="13"/>
        <v>ren "" "763.jpg"</v>
      </c>
      <c r="V438" s="1"/>
      <c r="W438" s="2"/>
    </row>
    <row r="439" spans="1:23" x14ac:dyDescent="0.25">
      <c r="A439">
        <v>438</v>
      </c>
      <c r="B439" t="s">
        <v>1002</v>
      </c>
      <c r="C439" t="s">
        <v>553</v>
      </c>
      <c r="D439" t="s">
        <v>536</v>
      </c>
      <c r="F439" t="str">
        <f t="shared" si="12"/>
        <v/>
      </c>
      <c r="G439" t="s">
        <v>1016</v>
      </c>
      <c r="H439" t="str">
        <f t="shared" si="13"/>
        <v>ren "" "764.jpg"</v>
      </c>
      <c r="V439" s="1"/>
      <c r="W439" s="2"/>
    </row>
    <row r="440" spans="1:23" x14ac:dyDescent="0.25">
      <c r="A440">
        <v>439</v>
      </c>
      <c r="B440" t="s">
        <v>1002</v>
      </c>
      <c r="C440" t="s">
        <v>556</v>
      </c>
      <c r="D440" t="s">
        <v>534</v>
      </c>
      <c r="F440" t="str">
        <f t="shared" si="12"/>
        <v/>
      </c>
      <c r="G440" t="s">
        <v>1017</v>
      </c>
      <c r="H440" t="str">
        <f t="shared" si="13"/>
        <v>ren "" "765.jpg"</v>
      </c>
      <c r="V440" s="1"/>
      <c r="W440" s="2"/>
    </row>
    <row r="441" spans="1:23" x14ac:dyDescent="0.25">
      <c r="A441">
        <v>440</v>
      </c>
      <c r="B441" t="s">
        <v>1002</v>
      </c>
      <c r="C441" t="s">
        <v>556</v>
      </c>
      <c r="D441" t="s">
        <v>536</v>
      </c>
      <c r="F441" t="str">
        <f t="shared" si="12"/>
        <v/>
      </c>
      <c r="G441" t="s">
        <v>1018</v>
      </c>
      <c r="H441" t="str">
        <f t="shared" si="13"/>
        <v>ren "" "766.jpg"</v>
      </c>
      <c r="V441" s="1"/>
      <c r="W441" s="2"/>
    </row>
    <row r="442" spans="1:23" x14ac:dyDescent="0.25">
      <c r="A442">
        <v>441</v>
      </c>
      <c r="B442" t="s">
        <v>1002</v>
      </c>
      <c r="C442" t="s">
        <v>553</v>
      </c>
      <c r="D442" t="s">
        <v>534</v>
      </c>
      <c r="F442" t="str">
        <f t="shared" si="12"/>
        <v/>
      </c>
      <c r="G442" t="s">
        <v>1019</v>
      </c>
      <c r="H442" t="str">
        <f t="shared" si="13"/>
        <v>ren "" "767.jpg"</v>
      </c>
      <c r="V442" s="1"/>
      <c r="W442" s="2"/>
    </row>
    <row r="443" spans="1:23" x14ac:dyDescent="0.25">
      <c r="A443">
        <v>442</v>
      </c>
      <c r="B443" t="s">
        <v>1002</v>
      </c>
      <c r="C443" t="s">
        <v>553</v>
      </c>
      <c r="D443" t="s">
        <v>536</v>
      </c>
      <c r="F443" t="str">
        <f t="shared" si="12"/>
        <v/>
      </c>
      <c r="G443" t="s">
        <v>1020</v>
      </c>
      <c r="H443" t="str">
        <f t="shared" si="13"/>
        <v>ren "" "768.jpg"</v>
      </c>
      <c r="V443" s="1"/>
      <c r="W443" s="2"/>
    </row>
    <row r="444" spans="1:23" x14ac:dyDescent="0.25">
      <c r="A444">
        <v>443</v>
      </c>
      <c r="B444" t="s">
        <v>1002</v>
      </c>
      <c r="C444" t="s">
        <v>556</v>
      </c>
      <c r="D444" t="s">
        <v>534</v>
      </c>
      <c r="F444" t="str">
        <f t="shared" si="12"/>
        <v/>
      </c>
      <c r="G444" t="s">
        <v>1021</v>
      </c>
      <c r="H444" t="str">
        <f t="shared" si="13"/>
        <v>ren "" "769.jpg"</v>
      </c>
      <c r="V444" s="1"/>
      <c r="W444" s="2"/>
    </row>
    <row r="445" spans="1:23" x14ac:dyDescent="0.25">
      <c r="A445">
        <v>444</v>
      </c>
      <c r="B445" t="s">
        <v>1002</v>
      </c>
      <c r="C445" t="s">
        <v>556</v>
      </c>
      <c r="D445" t="s">
        <v>536</v>
      </c>
      <c r="F445" t="str">
        <f t="shared" si="12"/>
        <v/>
      </c>
      <c r="G445" t="s">
        <v>1022</v>
      </c>
      <c r="H445" t="str">
        <f t="shared" si="13"/>
        <v>ren "" "770.jpg"</v>
      </c>
      <c r="V445" s="1"/>
      <c r="W445" s="2"/>
    </row>
    <row r="446" spans="1:23" x14ac:dyDescent="0.25">
      <c r="A446">
        <v>445</v>
      </c>
      <c r="B446" t="s">
        <v>1002</v>
      </c>
      <c r="C446" t="s">
        <v>563</v>
      </c>
      <c r="D446" t="s">
        <v>534</v>
      </c>
      <c r="F446" t="str">
        <f t="shared" si="12"/>
        <v/>
      </c>
      <c r="G446" t="s">
        <v>1023</v>
      </c>
      <c r="H446" t="str">
        <f t="shared" si="13"/>
        <v>ren "" "771.jpg"</v>
      </c>
      <c r="V446" s="1"/>
      <c r="W446" s="2"/>
    </row>
    <row r="447" spans="1:23" x14ac:dyDescent="0.25">
      <c r="A447">
        <v>446</v>
      </c>
      <c r="B447" t="s">
        <v>1002</v>
      </c>
      <c r="C447" t="s">
        <v>563</v>
      </c>
      <c r="D447" t="s">
        <v>536</v>
      </c>
      <c r="F447" t="str">
        <f t="shared" si="12"/>
        <v/>
      </c>
      <c r="G447" t="s">
        <v>1024</v>
      </c>
      <c r="H447" t="str">
        <f t="shared" si="13"/>
        <v>ren "" "772.jpg"</v>
      </c>
      <c r="V447" s="1"/>
      <c r="W447" s="2"/>
    </row>
    <row r="448" spans="1:23" x14ac:dyDescent="0.25">
      <c r="A448">
        <v>447</v>
      </c>
      <c r="B448" t="s">
        <v>1002</v>
      </c>
      <c r="C448" t="s">
        <v>566</v>
      </c>
      <c r="D448" t="s">
        <v>534</v>
      </c>
      <c r="F448" t="str">
        <f t="shared" si="12"/>
        <v/>
      </c>
      <c r="G448" t="s">
        <v>1025</v>
      </c>
      <c r="H448" t="str">
        <f t="shared" si="13"/>
        <v>ren "" "773.jpg"</v>
      </c>
      <c r="V448" s="1"/>
      <c r="W448" s="2"/>
    </row>
    <row r="449" spans="1:23" x14ac:dyDescent="0.25">
      <c r="A449">
        <v>448</v>
      </c>
      <c r="B449" t="s">
        <v>1002</v>
      </c>
      <c r="C449" t="s">
        <v>566</v>
      </c>
      <c r="D449" t="s">
        <v>536</v>
      </c>
      <c r="F449" t="str">
        <f t="shared" si="12"/>
        <v/>
      </c>
      <c r="G449" t="s">
        <v>1026</v>
      </c>
      <c r="H449" t="str">
        <f t="shared" si="13"/>
        <v>ren "" "774.jpg"</v>
      </c>
      <c r="V449" s="1"/>
      <c r="W449" s="2"/>
    </row>
    <row r="450" spans="1:23" x14ac:dyDescent="0.25">
      <c r="A450">
        <v>449</v>
      </c>
      <c r="B450" t="s">
        <v>1027</v>
      </c>
      <c r="C450" t="s">
        <v>570</v>
      </c>
      <c r="D450" t="s">
        <v>534</v>
      </c>
      <c r="F450" t="str">
        <f t="shared" ref="F450:F513" si="14">IF(E450="", "", TRIM(RIGHT(SUBSTITUTE(E450, "\", REPT(" ", LEN(E450))), LEN(E450))))</f>
        <v/>
      </c>
      <c r="G450" t="s">
        <v>1028</v>
      </c>
      <c r="H450" t="str">
        <f t="shared" ref="H450:H513" si="15">"ren """ &amp; F450 &amp; """ """ &amp; G450 &amp; """"</f>
        <v>ren "" "801.jpg"</v>
      </c>
      <c r="V450" s="1"/>
      <c r="W450" s="2"/>
    </row>
    <row r="451" spans="1:23" x14ac:dyDescent="0.25">
      <c r="A451">
        <v>450</v>
      </c>
      <c r="B451" t="s">
        <v>1027</v>
      </c>
      <c r="C451" t="s">
        <v>570</v>
      </c>
      <c r="D451" t="s">
        <v>536</v>
      </c>
      <c r="F451" t="str">
        <f t="shared" si="14"/>
        <v/>
      </c>
      <c r="G451" t="s">
        <v>1029</v>
      </c>
      <c r="H451" t="str">
        <f t="shared" si="15"/>
        <v>ren "" "802.jpg"</v>
      </c>
      <c r="V451" s="1"/>
      <c r="W451" s="2"/>
    </row>
    <row r="452" spans="1:23" x14ac:dyDescent="0.25">
      <c r="A452">
        <v>451</v>
      </c>
      <c r="B452" t="s">
        <v>1027</v>
      </c>
      <c r="C452" t="s">
        <v>573</v>
      </c>
      <c r="D452" t="s">
        <v>534</v>
      </c>
      <c r="F452" t="str">
        <f t="shared" si="14"/>
        <v/>
      </c>
      <c r="G452" t="s">
        <v>1030</v>
      </c>
      <c r="H452" t="str">
        <f t="shared" si="15"/>
        <v>ren "" "803.jpg"</v>
      </c>
      <c r="V452" s="1"/>
      <c r="W452" s="2"/>
    </row>
    <row r="453" spans="1:23" x14ac:dyDescent="0.25">
      <c r="A453">
        <v>452</v>
      </c>
      <c r="B453" t="s">
        <v>1027</v>
      </c>
      <c r="C453" t="s">
        <v>573</v>
      </c>
      <c r="D453" t="s">
        <v>536</v>
      </c>
      <c r="F453" t="str">
        <f t="shared" si="14"/>
        <v/>
      </c>
      <c r="G453" t="s">
        <v>1031</v>
      </c>
      <c r="H453" t="str">
        <f t="shared" si="15"/>
        <v>ren "" "804.jpg"</v>
      </c>
      <c r="V453" s="1"/>
      <c r="W453" s="2"/>
    </row>
    <row r="454" spans="1:23" x14ac:dyDescent="0.25">
      <c r="A454">
        <v>453</v>
      </c>
      <c r="B454" t="s">
        <v>1027</v>
      </c>
      <c r="C454" t="s">
        <v>576</v>
      </c>
      <c r="D454" t="s">
        <v>534</v>
      </c>
      <c r="E454" s="11"/>
      <c r="F454" t="str">
        <f t="shared" si="14"/>
        <v/>
      </c>
      <c r="G454" t="s">
        <v>1032</v>
      </c>
      <c r="H454" t="str">
        <f t="shared" si="15"/>
        <v>ren "" "805.jpg"</v>
      </c>
      <c r="V454" s="1"/>
      <c r="W454" s="2"/>
    </row>
    <row r="455" spans="1:23" x14ac:dyDescent="0.25">
      <c r="A455">
        <v>454</v>
      </c>
      <c r="B455" t="s">
        <v>1027</v>
      </c>
      <c r="C455" t="s">
        <v>576</v>
      </c>
      <c r="D455" t="s">
        <v>536</v>
      </c>
      <c r="F455" t="str">
        <f t="shared" si="14"/>
        <v/>
      </c>
      <c r="G455" t="s">
        <v>1033</v>
      </c>
      <c r="H455" t="str">
        <f t="shared" si="15"/>
        <v>ren "" "806.jpg"</v>
      </c>
      <c r="V455" s="1"/>
      <c r="W455" s="2"/>
    </row>
    <row r="456" spans="1:23" x14ac:dyDescent="0.25">
      <c r="A456">
        <v>455</v>
      </c>
      <c r="B456" t="s">
        <v>1027</v>
      </c>
      <c r="C456" t="s">
        <v>579</v>
      </c>
      <c r="D456" t="s">
        <v>534</v>
      </c>
      <c r="F456" t="str">
        <f t="shared" si="14"/>
        <v/>
      </c>
      <c r="G456" t="s">
        <v>1034</v>
      </c>
      <c r="H456" t="str">
        <f t="shared" si="15"/>
        <v>ren "" "807.jpg"</v>
      </c>
      <c r="V456" s="1"/>
      <c r="W456" s="2"/>
    </row>
    <row r="457" spans="1:23" x14ac:dyDescent="0.25">
      <c r="A457">
        <v>456</v>
      </c>
      <c r="B457" t="s">
        <v>1027</v>
      </c>
      <c r="C457" t="s">
        <v>579</v>
      </c>
      <c r="D457" t="s">
        <v>536</v>
      </c>
      <c r="F457" t="str">
        <f t="shared" si="14"/>
        <v/>
      </c>
      <c r="G457" t="s">
        <v>1035</v>
      </c>
      <c r="H457" t="str">
        <f t="shared" si="15"/>
        <v>ren "" "808.jpg"</v>
      </c>
      <c r="V457" s="1"/>
      <c r="W457" s="2"/>
    </row>
    <row r="458" spans="1:23" x14ac:dyDescent="0.25">
      <c r="A458">
        <v>457</v>
      </c>
      <c r="B458" t="s">
        <v>1027</v>
      </c>
      <c r="C458" t="s">
        <v>582</v>
      </c>
      <c r="D458" t="s">
        <v>534</v>
      </c>
      <c r="F458" t="str">
        <f t="shared" si="14"/>
        <v/>
      </c>
      <c r="G458" t="s">
        <v>1036</v>
      </c>
      <c r="H458" t="str">
        <f t="shared" si="15"/>
        <v>ren "" "809.jpg"</v>
      </c>
      <c r="V458" s="1"/>
      <c r="W458" s="2"/>
    </row>
    <row r="459" spans="1:23" x14ac:dyDescent="0.25">
      <c r="A459">
        <v>458</v>
      </c>
      <c r="B459" t="s">
        <v>1027</v>
      </c>
      <c r="C459" t="s">
        <v>582</v>
      </c>
      <c r="D459" t="s">
        <v>536</v>
      </c>
      <c r="F459" t="str">
        <f t="shared" si="14"/>
        <v/>
      </c>
      <c r="G459" t="s">
        <v>1037</v>
      </c>
      <c r="H459" t="str">
        <f t="shared" si="15"/>
        <v>ren "" "810.jpg"</v>
      </c>
      <c r="V459" s="1"/>
      <c r="W459" s="2"/>
    </row>
    <row r="460" spans="1:23" x14ac:dyDescent="0.25">
      <c r="A460">
        <v>459</v>
      </c>
      <c r="B460" t="s">
        <v>1027</v>
      </c>
      <c r="C460" t="s">
        <v>585</v>
      </c>
      <c r="D460" t="s">
        <v>534</v>
      </c>
      <c r="F460" t="str">
        <f t="shared" si="14"/>
        <v/>
      </c>
      <c r="G460" t="s">
        <v>1038</v>
      </c>
      <c r="H460" t="str">
        <f t="shared" si="15"/>
        <v>ren "" "811.jpg"</v>
      </c>
      <c r="V460" s="1"/>
      <c r="W460" s="2"/>
    </row>
    <row r="461" spans="1:23" x14ac:dyDescent="0.25">
      <c r="A461">
        <v>460</v>
      </c>
      <c r="B461" t="s">
        <v>1027</v>
      </c>
      <c r="C461" t="s">
        <v>585</v>
      </c>
      <c r="D461" t="s">
        <v>536</v>
      </c>
      <c r="F461" t="str">
        <f t="shared" si="14"/>
        <v/>
      </c>
      <c r="G461" t="s">
        <v>1039</v>
      </c>
      <c r="H461" t="str">
        <f t="shared" si="15"/>
        <v>ren "" "812.jpg"</v>
      </c>
      <c r="V461" s="1"/>
      <c r="W461" s="2"/>
    </row>
    <row r="462" spans="1:23" x14ac:dyDescent="0.25">
      <c r="A462">
        <v>461</v>
      </c>
      <c r="B462" t="s">
        <v>1027</v>
      </c>
      <c r="C462" t="s">
        <v>588</v>
      </c>
      <c r="D462" t="s">
        <v>534</v>
      </c>
      <c r="F462" t="str">
        <f t="shared" si="14"/>
        <v/>
      </c>
      <c r="G462" t="s">
        <v>1040</v>
      </c>
      <c r="H462" t="str">
        <f t="shared" si="15"/>
        <v>ren "" "813.jpg"</v>
      </c>
      <c r="V462" s="1"/>
      <c r="W462" s="2"/>
    </row>
    <row r="463" spans="1:23" x14ac:dyDescent="0.25">
      <c r="A463">
        <v>462</v>
      </c>
      <c r="B463" t="s">
        <v>1027</v>
      </c>
      <c r="C463" t="s">
        <v>588</v>
      </c>
      <c r="D463" t="s">
        <v>536</v>
      </c>
      <c r="F463" t="str">
        <f t="shared" si="14"/>
        <v/>
      </c>
      <c r="G463" t="s">
        <v>1041</v>
      </c>
      <c r="H463" t="str">
        <f t="shared" si="15"/>
        <v>ren "" "814.jpg"</v>
      </c>
      <c r="V463" s="1"/>
      <c r="W463" s="2"/>
    </row>
    <row r="464" spans="1:23" x14ac:dyDescent="0.25">
      <c r="A464">
        <v>463</v>
      </c>
      <c r="B464" t="s">
        <v>1027</v>
      </c>
      <c r="C464" t="s">
        <v>591</v>
      </c>
      <c r="D464" t="s">
        <v>534</v>
      </c>
      <c r="F464" t="str">
        <f t="shared" si="14"/>
        <v/>
      </c>
      <c r="G464" t="s">
        <v>1042</v>
      </c>
      <c r="H464" t="str">
        <f t="shared" si="15"/>
        <v>ren "" "815.jpg"</v>
      </c>
      <c r="V464" s="1"/>
      <c r="W464" s="2"/>
    </row>
    <row r="465" spans="1:23" x14ac:dyDescent="0.25">
      <c r="A465">
        <v>464</v>
      </c>
      <c r="B465" t="s">
        <v>1027</v>
      </c>
      <c r="C465" t="s">
        <v>591</v>
      </c>
      <c r="D465" t="s">
        <v>536</v>
      </c>
      <c r="F465" t="str">
        <f t="shared" si="14"/>
        <v/>
      </c>
      <c r="G465" t="s">
        <v>1043</v>
      </c>
      <c r="H465" t="str">
        <f t="shared" si="15"/>
        <v>ren "" "816.jpg"</v>
      </c>
      <c r="V465" s="1"/>
      <c r="W465" s="2"/>
    </row>
    <row r="466" spans="1:23" x14ac:dyDescent="0.25">
      <c r="A466">
        <v>465</v>
      </c>
      <c r="B466" t="s">
        <v>1044</v>
      </c>
      <c r="C466" t="s">
        <v>570</v>
      </c>
      <c r="D466" t="s">
        <v>534</v>
      </c>
      <c r="F466" t="str">
        <f t="shared" si="14"/>
        <v/>
      </c>
      <c r="G466" t="s">
        <v>1045</v>
      </c>
      <c r="H466" t="str">
        <f t="shared" si="15"/>
        <v>ren "" "817.jpg"</v>
      </c>
      <c r="V466" s="1"/>
      <c r="W466" s="2"/>
    </row>
    <row r="467" spans="1:23" x14ac:dyDescent="0.25">
      <c r="A467">
        <v>466</v>
      </c>
      <c r="B467" t="s">
        <v>1044</v>
      </c>
      <c r="C467" t="s">
        <v>570</v>
      </c>
      <c r="D467" t="s">
        <v>536</v>
      </c>
      <c r="F467" t="str">
        <f t="shared" si="14"/>
        <v/>
      </c>
      <c r="G467" t="s">
        <v>1046</v>
      </c>
      <c r="H467" t="str">
        <f t="shared" si="15"/>
        <v>ren "" "818.jpg"</v>
      </c>
      <c r="V467" s="1"/>
      <c r="W467" s="2"/>
    </row>
    <row r="468" spans="1:23" x14ac:dyDescent="0.25">
      <c r="A468">
        <v>467</v>
      </c>
      <c r="B468" t="s">
        <v>1044</v>
      </c>
      <c r="C468" t="s">
        <v>573</v>
      </c>
      <c r="D468" t="s">
        <v>534</v>
      </c>
      <c r="F468" t="str">
        <f t="shared" si="14"/>
        <v/>
      </c>
      <c r="G468" t="s">
        <v>1047</v>
      </c>
      <c r="H468" t="str">
        <f t="shared" si="15"/>
        <v>ren "" "819.jpg"</v>
      </c>
      <c r="V468" s="1"/>
      <c r="W468" s="2"/>
    </row>
    <row r="469" spans="1:23" x14ac:dyDescent="0.25">
      <c r="A469">
        <v>468</v>
      </c>
      <c r="B469" t="s">
        <v>1044</v>
      </c>
      <c r="C469" t="s">
        <v>573</v>
      </c>
      <c r="D469" t="s">
        <v>536</v>
      </c>
      <c r="F469" t="str">
        <f t="shared" si="14"/>
        <v/>
      </c>
      <c r="G469" t="s">
        <v>1048</v>
      </c>
      <c r="H469" t="str">
        <f t="shared" si="15"/>
        <v>ren "" "820.jpg"</v>
      </c>
      <c r="V469" s="1"/>
      <c r="W469" s="2"/>
    </row>
    <row r="470" spans="1:23" x14ac:dyDescent="0.25">
      <c r="A470">
        <v>469</v>
      </c>
      <c r="B470" t="s">
        <v>1044</v>
      </c>
      <c r="C470" t="s">
        <v>576</v>
      </c>
      <c r="D470" t="s">
        <v>534</v>
      </c>
      <c r="F470" t="str">
        <f t="shared" si="14"/>
        <v/>
      </c>
      <c r="G470" t="s">
        <v>1049</v>
      </c>
      <c r="H470" t="str">
        <f t="shared" si="15"/>
        <v>ren "" "821.jpg"</v>
      </c>
      <c r="V470" s="1"/>
      <c r="W470" s="2"/>
    </row>
    <row r="471" spans="1:23" x14ac:dyDescent="0.25">
      <c r="A471">
        <v>470</v>
      </c>
      <c r="B471" t="s">
        <v>1044</v>
      </c>
      <c r="C471" t="s">
        <v>576</v>
      </c>
      <c r="D471" t="s">
        <v>536</v>
      </c>
      <c r="F471" t="str">
        <f t="shared" si="14"/>
        <v/>
      </c>
      <c r="G471" t="s">
        <v>1050</v>
      </c>
      <c r="H471" t="str">
        <f t="shared" si="15"/>
        <v>ren "" "822.jpg"</v>
      </c>
      <c r="V471" s="1"/>
      <c r="W471" s="2"/>
    </row>
    <row r="472" spans="1:23" x14ac:dyDescent="0.25">
      <c r="A472">
        <v>471</v>
      </c>
      <c r="B472" t="s">
        <v>1044</v>
      </c>
      <c r="C472" t="s">
        <v>579</v>
      </c>
      <c r="D472" t="s">
        <v>534</v>
      </c>
      <c r="F472" t="str">
        <f t="shared" si="14"/>
        <v/>
      </c>
      <c r="G472" t="s">
        <v>1051</v>
      </c>
      <c r="H472" t="str">
        <f t="shared" si="15"/>
        <v>ren "" "823.jpg"</v>
      </c>
      <c r="V472" s="1"/>
      <c r="W472" s="2"/>
    </row>
    <row r="473" spans="1:23" x14ac:dyDescent="0.25">
      <c r="A473">
        <v>472</v>
      </c>
      <c r="B473" t="s">
        <v>1044</v>
      </c>
      <c r="C473" t="s">
        <v>579</v>
      </c>
      <c r="D473" t="s">
        <v>536</v>
      </c>
      <c r="F473" t="str">
        <f t="shared" si="14"/>
        <v/>
      </c>
      <c r="G473" t="s">
        <v>1052</v>
      </c>
      <c r="H473" t="str">
        <f t="shared" si="15"/>
        <v>ren "" "824.jpg"</v>
      </c>
      <c r="V473" s="1"/>
      <c r="W473" s="2"/>
    </row>
    <row r="474" spans="1:23" x14ac:dyDescent="0.25">
      <c r="A474">
        <v>473</v>
      </c>
      <c r="B474" t="s">
        <v>1044</v>
      </c>
      <c r="C474" t="s">
        <v>582</v>
      </c>
      <c r="D474" t="s">
        <v>534</v>
      </c>
      <c r="F474" t="str">
        <f t="shared" si="14"/>
        <v/>
      </c>
      <c r="G474" t="s">
        <v>1053</v>
      </c>
      <c r="H474" t="str">
        <f t="shared" si="15"/>
        <v>ren "" "825.jpg"</v>
      </c>
      <c r="V474" s="1"/>
      <c r="W474" s="2"/>
    </row>
    <row r="475" spans="1:23" x14ac:dyDescent="0.25">
      <c r="A475">
        <v>474</v>
      </c>
      <c r="B475" t="s">
        <v>1044</v>
      </c>
      <c r="C475" t="s">
        <v>582</v>
      </c>
      <c r="D475" t="s">
        <v>536</v>
      </c>
      <c r="F475" t="str">
        <f t="shared" si="14"/>
        <v/>
      </c>
      <c r="G475" t="s">
        <v>1054</v>
      </c>
      <c r="H475" t="str">
        <f t="shared" si="15"/>
        <v>ren "" "826.jpg"</v>
      </c>
      <c r="V475" s="1"/>
      <c r="W475" s="2"/>
    </row>
    <row r="476" spans="1:23" x14ac:dyDescent="0.25">
      <c r="A476">
        <v>475</v>
      </c>
      <c r="B476" t="s">
        <v>1044</v>
      </c>
      <c r="C476" t="s">
        <v>585</v>
      </c>
      <c r="D476" t="s">
        <v>534</v>
      </c>
      <c r="F476" t="str">
        <f t="shared" si="14"/>
        <v/>
      </c>
      <c r="G476" t="s">
        <v>1055</v>
      </c>
      <c r="H476" t="str">
        <f t="shared" si="15"/>
        <v>ren "" "827.jpg"</v>
      </c>
      <c r="V476" s="1"/>
      <c r="W476" s="2"/>
    </row>
    <row r="477" spans="1:23" x14ac:dyDescent="0.25">
      <c r="A477">
        <v>476</v>
      </c>
      <c r="B477" t="s">
        <v>1044</v>
      </c>
      <c r="C477" t="s">
        <v>585</v>
      </c>
      <c r="D477" t="s">
        <v>536</v>
      </c>
      <c r="F477" t="str">
        <f t="shared" si="14"/>
        <v/>
      </c>
      <c r="G477" t="s">
        <v>1056</v>
      </c>
      <c r="H477" t="str">
        <f t="shared" si="15"/>
        <v>ren "" "828.jpg"</v>
      </c>
      <c r="V477" s="1"/>
      <c r="W477" s="2"/>
    </row>
    <row r="478" spans="1:23" x14ac:dyDescent="0.25">
      <c r="A478">
        <v>477</v>
      </c>
      <c r="B478" t="s">
        <v>1044</v>
      </c>
      <c r="C478" t="s">
        <v>588</v>
      </c>
      <c r="D478" t="s">
        <v>534</v>
      </c>
      <c r="F478" t="str">
        <f t="shared" si="14"/>
        <v/>
      </c>
      <c r="G478" t="s">
        <v>1057</v>
      </c>
      <c r="H478" t="str">
        <f t="shared" si="15"/>
        <v>ren "" "829.jpg"</v>
      </c>
      <c r="V478" s="1"/>
      <c r="W478" s="2"/>
    </row>
    <row r="479" spans="1:23" x14ac:dyDescent="0.25">
      <c r="A479">
        <v>478</v>
      </c>
      <c r="B479" t="s">
        <v>1044</v>
      </c>
      <c r="C479" t="s">
        <v>588</v>
      </c>
      <c r="D479" t="s">
        <v>536</v>
      </c>
      <c r="F479" t="str">
        <f t="shared" si="14"/>
        <v/>
      </c>
      <c r="G479" t="s">
        <v>1058</v>
      </c>
      <c r="H479" t="str">
        <f t="shared" si="15"/>
        <v>ren "" "830.jpg"</v>
      </c>
      <c r="V479" s="1"/>
      <c r="W479" s="2"/>
    </row>
    <row r="480" spans="1:23" x14ac:dyDescent="0.25">
      <c r="A480">
        <v>479</v>
      </c>
      <c r="B480" t="s">
        <v>1044</v>
      </c>
      <c r="C480" t="s">
        <v>591</v>
      </c>
      <c r="D480" t="s">
        <v>534</v>
      </c>
      <c r="F480" t="str">
        <f t="shared" si="14"/>
        <v/>
      </c>
      <c r="G480" t="s">
        <v>1059</v>
      </c>
      <c r="H480" t="str">
        <f t="shared" si="15"/>
        <v>ren "" "831.jpg"</v>
      </c>
      <c r="V480" s="1"/>
      <c r="W480" s="2"/>
    </row>
    <row r="481" spans="1:23" x14ac:dyDescent="0.25">
      <c r="A481">
        <v>480</v>
      </c>
      <c r="B481" t="s">
        <v>1044</v>
      </c>
      <c r="C481" t="s">
        <v>591</v>
      </c>
      <c r="D481" t="s">
        <v>536</v>
      </c>
      <c r="F481" t="str">
        <f t="shared" si="14"/>
        <v/>
      </c>
      <c r="G481" t="s">
        <v>1060</v>
      </c>
      <c r="H481" t="str">
        <f t="shared" si="15"/>
        <v>ren "" "832.jpg"</v>
      </c>
      <c r="V481" s="1"/>
      <c r="W481" s="2"/>
    </row>
    <row r="482" spans="1:23" x14ac:dyDescent="0.25">
      <c r="A482">
        <v>481</v>
      </c>
      <c r="B482" t="s">
        <v>1061</v>
      </c>
      <c r="C482" t="s">
        <v>570</v>
      </c>
      <c r="D482" t="s">
        <v>534</v>
      </c>
      <c r="F482" t="str">
        <f t="shared" si="14"/>
        <v/>
      </c>
      <c r="G482" t="s">
        <v>1062</v>
      </c>
      <c r="H482" t="str">
        <f t="shared" si="15"/>
        <v>ren "" "833.jpg"</v>
      </c>
      <c r="V482" s="1"/>
      <c r="W482" s="2"/>
    </row>
    <row r="483" spans="1:23" x14ac:dyDescent="0.25">
      <c r="A483">
        <v>482</v>
      </c>
      <c r="B483" t="s">
        <v>1061</v>
      </c>
      <c r="C483" t="s">
        <v>570</v>
      </c>
      <c r="D483" t="s">
        <v>536</v>
      </c>
      <c r="F483" t="str">
        <f t="shared" si="14"/>
        <v/>
      </c>
      <c r="G483" t="s">
        <v>1063</v>
      </c>
      <c r="H483" t="str">
        <f t="shared" si="15"/>
        <v>ren "" "834.jpg"</v>
      </c>
      <c r="V483" s="1"/>
      <c r="W483" s="2"/>
    </row>
    <row r="484" spans="1:23" x14ac:dyDescent="0.25">
      <c r="A484">
        <v>483</v>
      </c>
      <c r="B484" t="s">
        <v>1061</v>
      </c>
      <c r="C484" t="s">
        <v>573</v>
      </c>
      <c r="D484" t="s">
        <v>534</v>
      </c>
      <c r="F484" t="str">
        <f t="shared" si="14"/>
        <v/>
      </c>
      <c r="G484" t="s">
        <v>1064</v>
      </c>
      <c r="H484" t="str">
        <f t="shared" si="15"/>
        <v>ren "" "835.jpg"</v>
      </c>
      <c r="V484" s="1"/>
      <c r="W484" s="2"/>
    </row>
    <row r="485" spans="1:23" x14ac:dyDescent="0.25">
      <c r="A485">
        <v>484</v>
      </c>
      <c r="B485" t="s">
        <v>1061</v>
      </c>
      <c r="C485" t="s">
        <v>573</v>
      </c>
      <c r="D485" t="s">
        <v>536</v>
      </c>
      <c r="F485" t="str">
        <f t="shared" si="14"/>
        <v/>
      </c>
      <c r="G485" t="s">
        <v>1065</v>
      </c>
      <c r="H485" t="str">
        <f t="shared" si="15"/>
        <v>ren "" "836.jpg"</v>
      </c>
      <c r="V485" s="1"/>
      <c r="W485" s="2"/>
    </row>
    <row r="486" spans="1:23" x14ac:dyDescent="0.25">
      <c r="A486">
        <v>485</v>
      </c>
      <c r="B486" t="s">
        <v>1061</v>
      </c>
      <c r="C486" t="s">
        <v>576</v>
      </c>
      <c r="D486" t="s">
        <v>534</v>
      </c>
      <c r="F486" t="str">
        <f t="shared" si="14"/>
        <v/>
      </c>
      <c r="G486" t="s">
        <v>1066</v>
      </c>
      <c r="H486" t="str">
        <f t="shared" si="15"/>
        <v>ren "" "837.jpg"</v>
      </c>
    </row>
    <row r="487" spans="1:23" x14ac:dyDescent="0.25">
      <c r="A487">
        <v>486</v>
      </c>
      <c r="B487" t="s">
        <v>1061</v>
      </c>
      <c r="C487" t="s">
        <v>576</v>
      </c>
      <c r="D487" t="s">
        <v>536</v>
      </c>
      <c r="F487" t="str">
        <f t="shared" si="14"/>
        <v/>
      </c>
      <c r="G487" t="s">
        <v>1067</v>
      </c>
      <c r="H487" t="str">
        <f t="shared" si="15"/>
        <v>ren "" "838.jpg"</v>
      </c>
    </row>
    <row r="488" spans="1:23" x14ac:dyDescent="0.25">
      <c r="A488">
        <v>487</v>
      </c>
      <c r="B488" t="s">
        <v>1061</v>
      </c>
      <c r="C488" t="s">
        <v>579</v>
      </c>
      <c r="D488" t="s">
        <v>534</v>
      </c>
      <c r="F488" t="str">
        <f t="shared" si="14"/>
        <v/>
      </c>
      <c r="G488" t="s">
        <v>1068</v>
      </c>
      <c r="H488" t="str">
        <f t="shared" si="15"/>
        <v>ren "" "839.jpg"</v>
      </c>
    </row>
    <row r="489" spans="1:23" x14ac:dyDescent="0.25">
      <c r="A489">
        <v>488</v>
      </c>
      <c r="B489" t="s">
        <v>1061</v>
      </c>
      <c r="C489" t="s">
        <v>579</v>
      </c>
      <c r="D489" t="s">
        <v>536</v>
      </c>
      <c r="F489" t="str">
        <f t="shared" si="14"/>
        <v/>
      </c>
      <c r="G489" t="s">
        <v>1069</v>
      </c>
      <c r="H489" t="str">
        <f t="shared" si="15"/>
        <v>ren "" "840.jpg"</v>
      </c>
    </row>
    <row r="490" spans="1:23" x14ac:dyDescent="0.25">
      <c r="A490">
        <v>489</v>
      </c>
      <c r="B490" t="s">
        <v>1061</v>
      </c>
      <c r="C490" t="s">
        <v>582</v>
      </c>
      <c r="D490" t="s">
        <v>534</v>
      </c>
      <c r="F490" t="str">
        <f t="shared" si="14"/>
        <v/>
      </c>
      <c r="G490" t="s">
        <v>1070</v>
      </c>
      <c r="H490" t="str">
        <f t="shared" si="15"/>
        <v>ren "" "841.jpg"</v>
      </c>
    </row>
    <row r="491" spans="1:23" x14ac:dyDescent="0.25">
      <c r="A491">
        <v>490</v>
      </c>
      <c r="B491" t="s">
        <v>1061</v>
      </c>
      <c r="C491" t="s">
        <v>582</v>
      </c>
      <c r="D491" t="s">
        <v>536</v>
      </c>
      <c r="F491" t="str">
        <f t="shared" si="14"/>
        <v/>
      </c>
      <c r="G491" t="s">
        <v>1071</v>
      </c>
      <c r="H491" t="str">
        <f t="shared" si="15"/>
        <v>ren "" "842.jpg"</v>
      </c>
    </row>
    <row r="492" spans="1:23" x14ac:dyDescent="0.25">
      <c r="A492">
        <v>491</v>
      </c>
      <c r="B492" t="s">
        <v>1061</v>
      </c>
      <c r="C492" t="s">
        <v>585</v>
      </c>
      <c r="D492" t="s">
        <v>534</v>
      </c>
      <c r="F492" t="str">
        <f t="shared" si="14"/>
        <v/>
      </c>
      <c r="G492" t="s">
        <v>1072</v>
      </c>
      <c r="H492" t="str">
        <f t="shared" si="15"/>
        <v>ren "" "843.jpg"</v>
      </c>
    </row>
    <row r="493" spans="1:23" x14ac:dyDescent="0.25">
      <c r="A493">
        <v>492</v>
      </c>
      <c r="B493" t="s">
        <v>1061</v>
      </c>
      <c r="C493" t="s">
        <v>585</v>
      </c>
      <c r="D493" t="s">
        <v>536</v>
      </c>
      <c r="F493" t="str">
        <f t="shared" si="14"/>
        <v/>
      </c>
      <c r="G493" t="s">
        <v>1073</v>
      </c>
      <c r="H493" t="str">
        <f t="shared" si="15"/>
        <v>ren "" "844.jpg"</v>
      </c>
    </row>
    <row r="494" spans="1:23" x14ac:dyDescent="0.25">
      <c r="A494">
        <v>493</v>
      </c>
      <c r="B494" t="s">
        <v>1061</v>
      </c>
      <c r="C494" t="s">
        <v>588</v>
      </c>
      <c r="D494" t="s">
        <v>534</v>
      </c>
      <c r="F494" t="str">
        <f t="shared" si="14"/>
        <v/>
      </c>
      <c r="G494" t="s">
        <v>1074</v>
      </c>
      <c r="H494" t="str">
        <f t="shared" si="15"/>
        <v>ren "" "845.jpg"</v>
      </c>
    </row>
    <row r="495" spans="1:23" x14ac:dyDescent="0.25">
      <c r="A495">
        <v>494</v>
      </c>
      <c r="B495" t="s">
        <v>1061</v>
      </c>
      <c r="C495" t="s">
        <v>588</v>
      </c>
      <c r="D495" t="s">
        <v>536</v>
      </c>
      <c r="F495" t="str">
        <f t="shared" si="14"/>
        <v/>
      </c>
      <c r="G495" t="s">
        <v>1075</v>
      </c>
      <c r="H495" t="str">
        <f t="shared" si="15"/>
        <v>ren "" "846.jpg"</v>
      </c>
    </row>
    <row r="496" spans="1:23" x14ac:dyDescent="0.25">
      <c r="A496">
        <v>495</v>
      </c>
      <c r="B496" t="s">
        <v>1061</v>
      </c>
      <c r="C496" t="s">
        <v>591</v>
      </c>
      <c r="D496" t="s">
        <v>534</v>
      </c>
      <c r="F496" t="str">
        <f t="shared" si="14"/>
        <v/>
      </c>
      <c r="G496" t="s">
        <v>1076</v>
      </c>
      <c r="H496" t="str">
        <f t="shared" si="15"/>
        <v>ren "" "847.jpg"</v>
      </c>
    </row>
    <row r="497" spans="1:8" x14ac:dyDescent="0.25">
      <c r="A497">
        <v>496</v>
      </c>
      <c r="B497" t="s">
        <v>1061</v>
      </c>
      <c r="C497" t="s">
        <v>591</v>
      </c>
      <c r="D497" t="s">
        <v>536</v>
      </c>
      <c r="F497" t="str">
        <f t="shared" si="14"/>
        <v/>
      </c>
      <c r="G497" t="s">
        <v>1077</v>
      </c>
      <c r="H497" t="str">
        <f t="shared" si="15"/>
        <v>ren "" "848.jpg"</v>
      </c>
    </row>
    <row r="498" spans="1:8" x14ac:dyDescent="0.25">
      <c r="A498">
        <v>497</v>
      </c>
      <c r="B498" t="s">
        <v>1078</v>
      </c>
      <c r="C498" t="s">
        <v>570</v>
      </c>
      <c r="D498" t="s">
        <v>534</v>
      </c>
      <c r="F498" t="str">
        <f t="shared" si="14"/>
        <v/>
      </c>
      <c r="G498" t="s">
        <v>1079</v>
      </c>
      <c r="H498" t="str">
        <f t="shared" si="15"/>
        <v>ren "" "849.jpg"</v>
      </c>
    </row>
    <row r="499" spans="1:8" x14ac:dyDescent="0.25">
      <c r="A499">
        <v>498</v>
      </c>
      <c r="B499" t="s">
        <v>1078</v>
      </c>
      <c r="C499" t="s">
        <v>570</v>
      </c>
      <c r="D499" t="s">
        <v>536</v>
      </c>
      <c r="F499" t="str">
        <f t="shared" si="14"/>
        <v/>
      </c>
      <c r="G499" t="s">
        <v>1080</v>
      </c>
      <c r="H499" t="str">
        <f t="shared" si="15"/>
        <v>ren "" "850.jpg"</v>
      </c>
    </row>
    <row r="500" spans="1:8" x14ac:dyDescent="0.25">
      <c r="A500">
        <v>499</v>
      </c>
      <c r="B500" t="s">
        <v>1078</v>
      </c>
      <c r="C500" t="s">
        <v>573</v>
      </c>
      <c r="D500" t="s">
        <v>534</v>
      </c>
      <c r="F500" t="str">
        <f t="shared" si="14"/>
        <v/>
      </c>
      <c r="G500" t="s">
        <v>1081</v>
      </c>
      <c r="H500" t="str">
        <f t="shared" si="15"/>
        <v>ren "" "851.jpg"</v>
      </c>
    </row>
    <row r="501" spans="1:8" x14ac:dyDescent="0.25">
      <c r="A501">
        <v>500</v>
      </c>
      <c r="B501" t="s">
        <v>1078</v>
      </c>
      <c r="C501" t="s">
        <v>573</v>
      </c>
      <c r="D501" t="s">
        <v>536</v>
      </c>
      <c r="F501" t="str">
        <f t="shared" si="14"/>
        <v/>
      </c>
      <c r="G501" t="s">
        <v>1082</v>
      </c>
      <c r="H501" t="str">
        <f t="shared" si="15"/>
        <v>ren "" "852.jpg"</v>
      </c>
    </row>
    <row r="502" spans="1:8" x14ac:dyDescent="0.25">
      <c r="A502">
        <v>501</v>
      </c>
      <c r="B502" t="s">
        <v>1078</v>
      </c>
      <c r="C502" t="s">
        <v>576</v>
      </c>
      <c r="D502" t="s">
        <v>534</v>
      </c>
      <c r="E502" s="11"/>
      <c r="F502" t="str">
        <f t="shared" si="14"/>
        <v/>
      </c>
      <c r="G502" t="s">
        <v>1083</v>
      </c>
      <c r="H502" t="str">
        <f t="shared" si="15"/>
        <v>ren "" "853.jpg"</v>
      </c>
    </row>
    <row r="503" spans="1:8" x14ac:dyDescent="0.25">
      <c r="A503">
        <v>502</v>
      </c>
      <c r="B503" t="s">
        <v>1078</v>
      </c>
      <c r="C503" t="s">
        <v>576</v>
      </c>
      <c r="D503" t="s">
        <v>536</v>
      </c>
      <c r="F503" t="str">
        <f t="shared" si="14"/>
        <v/>
      </c>
      <c r="G503" t="s">
        <v>1084</v>
      </c>
      <c r="H503" t="str">
        <f t="shared" si="15"/>
        <v>ren "" "854.jpg"</v>
      </c>
    </row>
    <row r="504" spans="1:8" x14ac:dyDescent="0.25">
      <c r="A504">
        <v>503</v>
      </c>
      <c r="B504" t="s">
        <v>1078</v>
      </c>
      <c r="C504" t="s">
        <v>579</v>
      </c>
      <c r="D504" t="s">
        <v>534</v>
      </c>
      <c r="F504" t="str">
        <f t="shared" si="14"/>
        <v/>
      </c>
      <c r="G504" t="s">
        <v>1085</v>
      </c>
      <c r="H504" t="str">
        <f t="shared" si="15"/>
        <v>ren "" "855.jpg"</v>
      </c>
    </row>
    <row r="505" spans="1:8" x14ac:dyDescent="0.25">
      <c r="A505">
        <v>504</v>
      </c>
      <c r="B505" t="s">
        <v>1078</v>
      </c>
      <c r="C505" t="s">
        <v>579</v>
      </c>
      <c r="D505" t="s">
        <v>536</v>
      </c>
      <c r="F505" t="str">
        <f t="shared" si="14"/>
        <v/>
      </c>
      <c r="G505" t="s">
        <v>1086</v>
      </c>
      <c r="H505" t="str">
        <f t="shared" si="15"/>
        <v>ren "" "856.jpg"</v>
      </c>
    </row>
    <row r="506" spans="1:8" x14ac:dyDescent="0.25">
      <c r="A506">
        <v>505</v>
      </c>
      <c r="B506" t="s">
        <v>1078</v>
      </c>
      <c r="C506" t="s">
        <v>582</v>
      </c>
      <c r="D506" t="s">
        <v>534</v>
      </c>
      <c r="F506" t="str">
        <f t="shared" si="14"/>
        <v/>
      </c>
      <c r="G506" t="s">
        <v>1087</v>
      </c>
      <c r="H506" t="str">
        <f t="shared" si="15"/>
        <v>ren "" "857.jpg"</v>
      </c>
    </row>
    <row r="507" spans="1:8" x14ac:dyDescent="0.25">
      <c r="A507">
        <v>506</v>
      </c>
      <c r="B507" t="s">
        <v>1078</v>
      </c>
      <c r="C507" t="s">
        <v>582</v>
      </c>
      <c r="D507" t="s">
        <v>536</v>
      </c>
      <c r="F507" t="str">
        <f t="shared" si="14"/>
        <v/>
      </c>
      <c r="G507" t="s">
        <v>1088</v>
      </c>
      <c r="H507" t="str">
        <f t="shared" si="15"/>
        <v>ren "" "858.jpg"</v>
      </c>
    </row>
    <row r="508" spans="1:8" x14ac:dyDescent="0.25">
      <c r="A508">
        <v>507</v>
      </c>
      <c r="B508" t="s">
        <v>1078</v>
      </c>
      <c r="C508" t="s">
        <v>585</v>
      </c>
      <c r="D508" t="s">
        <v>534</v>
      </c>
      <c r="F508" t="str">
        <f t="shared" si="14"/>
        <v/>
      </c>
      <c r="G508" t="s">
        <v>1089</v>
      </c>
      <c r="H508" t="str">
        <f t="shared" si="15"/>
        <v>ren "" "859.jpg"</v>
      </c>
    </row>
    <row r="509" spans="1:8" x14ac:dyDescent="0.25">
      <c r="A509">
        <v>508</v>
      </c>
      <c r="B509" t="s">
        <v>1078</v>
      </c>
      <c r="C509" t="s">
        <v>585</v>
      </c>
      <c r="D509" t="s">
        <v>536</v>
      </c>
      <c r="F509" t="str">
        <f t="shared" si="14"/>
        <v/>
      </c>
      <c r="G509" t="s">
        <v>1090</v>
      </c>
      <c r="H509" t="str">
        <f t="shared" si="15"/>
        <v>ren "" "860.jpg"</v>
      </c>
    </row>
    <row r="510" spans="1:8" x14ac:dyDescent="0.25">
      <c r="A510">
        <v>509</v>
      </c>
      <c r="B510" t="s">
        <v>1078</v>
      </c>
      <c r="C510" t="s">
        <v>588</v>
      </c>
      <c r="D510" t="s">
        <v>534</v>
      </c>
      <c r="F510" t="str">
        <f t="shared" si="14"/>
        <v/>
      </c>
      <c r="G510" t="s">
        <v>1091</v>
      </c>
      <c r="H510" t="str">
        <f t="shared" si="15"/>
        <v>ren "" "861.jpg"</v>
      </c>
    </row>
    <row r="511" spans="1:8" x14ac:dyDescent="0.25">
      <c r="A511">
        <v>510</v>
      </c>
      <c r="B511" t="s">
        <v>1078</v>
      </c>
      <c r="C511" t="s">
        <v>588</v>
      </c>
      <c r="D511" t="s">
        <v>536</v>
      </c>
      <c r="F511" t="str">
        <f t="shared" si="14"/>
        <v/>
      </c>
      <c r="G511" t="s">
        <v>1092</v>
      </c>
      <c r="H511" t="str">
        <f t="shared" si="15"/>
        <v>ren "" "862.jpg"</v>
      </c>
    </row>
    <row r="512" spans="1:8" x14ac:dyDescent="0.25">
      <c r="A512">
        <v>511</v>
      </c>
      <c r="B512" t="s">
        <v>1078</v>
      </c>
      <c r="C512" t="s">
        <v>591</v>
      </c>
      <c r="D512" t="s">
        <v>534</v>
      </c>
      <c r="F512" t="str">
        <f t="shared" si="14"/>
        <v/>
      </c>
      <c r="G512" t="s">
        <v>1093</v>
      </c>
      <c r="H512" t="str">
        <f t="shared" si="15"/>
        <v>ren "" "863.jpg"</v>
      </c>
    </row>
    <row r="513" spans="1:8" x14ac:dyDescent="0.25">
      <c r="A513">
        <v>512</v>
      </c>
      <c r="B513" t="s">
        <v>1078</v>
      </c>
      <c r="C513" t="s">
        <v>591</v>
      </c>
      <c r="D513" t="s">
        <v>536</v>
      </c>
      <c r="F513" t="str">
        <f t="shared" si="14"/>
        <v/>
      </c>
      <c r="G513" t="s">
        <v>1094</v>
      </c>
      <c r="H513" t="str">
        <f t="shared" si="15"/>
        <v>ren "" "864.jpg"</v>
      </c>
    </row>
    <row r="514" spans="1:8" x14ac:dyDescent="0.25">
      <c r="A514">
        <v>513</v>
      </c>
      <c r="B514" t="s">
        <v>1095</v>
      </c>
      <c r="C514" t="s">
        <v>570</v>
      </c>
      <c r="D514" t="s">
        <v>534</v>
      </c>
      <c r="F514" t="str">
        <f t="shared" ref="F514:F577" si="16">IF(E514="", "", TRIM(RIGHT(SUBSTITUTE(E514, "\", REPT(" ", LEN(E514))), LEN(E514))))</f>
        <v/>
      </c>
      <c r="G514" t="s">
        <v>1096</v>
      </c>
      <c r="H514" t="str">
        <f t="shared" ref="H514:H577" si="17">"ren """ &amp; F514 &amp; """ """ &amp; G514 &amp; """"</f>
        <v>ren "" "865.jpg"</v>
      </c>
    </row>
    <row r="515" spans="1:8" x14ac:dyDescent="0.25">
      <c r="A515">
        <v>514</v>
      </c>
      <c r="B515" t="s">
        <v>1095</v>
      </c>
      <c r="C515" t="s">
        <v>570</v>
      </c>
      <c r="D515" t="s">
        <v>536</v>
      </c>
      <c r="F515" t="str">
        <f t="shared" si="16"/>
        <v/>
      </c>
      <c r="G515" t="s">
        <v>1097</v>
      </c>
      <c r="H515" t="str">
        <f t="shared" si="17"/>
        <v>ren "" "866.jpg"</v>
      </c>
    </row>
    <row r="516" spans="1:8" x14ac:dyDescent="0.25">
      <c r="A516">
        <v>515</v>
      </c>
      <c r="B516" t="s">
        <v>1095</v>
      </c>
      <c r="C516" t="s">
        <v>573</v>
      </c>
      <c r="D516" t="s">
        <v>534</v>
      </c>
      <c r="F516" t="str">
        <f t="shared" si="16"/>
        <v/>
      </c>
      <c r="G516" t="s">
        <v>1098</v>
      </c>
      <c r="H516" t="str">
        <f t="shared" si="17"/>
        <v>ren "" "867.jpg"</v>
      </c>
    </row>
    <row r="517" spans="1:8" x14ac:dyDescent="0.25">
      <c r="A517">
        <v>516</v>
      </c>
      <c r="B517" t="s">
        <v>1095</v>
      </c>
      <c r="C517" t="s">
        <v>573</v>
      </c>
      <c r="D517" t="s">
        <v>536</v>
      </c>
      <c r="F517" t="str">
        <f t="shared" si="16"/>
        <v/>
      </c>
      <c r="G517" t="s">
        <v>1099</v>
      </c>
      <c r="H517" t="str">
        <f t="shared" si="17"/>
        <v>ren "" "868.jpg"</v>
      </c>
    </row>
    <row r="518" spans="1:8" x14ac:dyDescent="0.25">
      <c r="A518">
        <v>517</v>
      </c>
      <c r="B518" t="s">
        <v>1095</v>
      </c>
      <c r="C518" t="s">
        <v>576</v>
      </c>
      <c r="D518" t="s">
        <v>534</v>
      </c>
      <c r="F518" t="str">
        <f t="shared" si="16"/>
        <v/>
      </c>
      <c r="G518" t="s">
        <v>1100</v>
      </c>
      <c r="H518" t="str">
        <f t="shared" si="17"/>
        <v>ren "" "869.jpg"</v>
      </c>
    </row>
    <row r="519" spans="1:8" x14ac:dyDescent="0.25">
      <c r="A519">
        <v>518</v>
      </c>
      <c r="B519" t="s">
        <v>1095</v>
      </c>
      <c r="C519" t="s">
        <v>576</v>
      </c>
      <c r="D519" t="s">
        <v>536</v>
      </c>
      <c r="F519" t="str">
        <f t="shared" si="16"/>
        <v/>
      </c>
      <c r="G519" t="s">
        <v>1101</v>
      </c>
      <c r="H519" t="str">
        <f t="shared" si="17"/>
        <v>ren "" "870.jpg"</v>
      </c>
    </row>
    <row r="520" spans="1:8" x14ac:dyDescent="0.25">
      <c r="A520">
        <v>519</v>
      </c>
      <c r="B520" t="s">
        <v>1095</v>
      </c>
      <c r="C520" t="s">
        <v>579</v>
      </c>
      <c r="D520" t="s">
        <v>534</v>
      </c>
      <c r="F520" t="str">
        <f t="shared" si="16"/>
        <v/>
      </c>
      <c r="G520" t="s">
        <v>1102</v>
      </c>
      <c r="H520" t="str">
        <f t="shared" si="17"/>
        <v>ren "" "871.jpg"</v>
      </c>
    </row>
    <row r="521" spans="1:8" x14ac:dyDescent="0.25">
      <c r="A521">
        <v>520</v>
      </c>
      <c r="B521" t="s">
        <v>1095</v>
      </c>
      <c r="C521" t="s">
        <v>579</v>
      </c>
      <c r="D521" t="s">
        <v>536</v>
      </c>
      <c r="F521" t="str">
        <f t="shared" si="16"/>
        <v/>
      </c>
      <c r="G521" t="s">
        <v>1103</v>
      </c>
      <c r="H521" t="str">
        <f t="shared" si="17"/>
        <v>ren "" "872.jpg"</v>
      </c>
    </row>
    <row r="522" spans="1:8" x14ac:dyDescent="0.25">
      <c r="A522">
        <v>521</v>
      </c>
      <c r="B522" t="s">
        <v>1095</v>
      </c>
      <c r="C522" t="s">
        <v>582</v>
      </c>
      <c r="D522" t="s">
        <v>534</v>
      </c>
      <c r="F522" t="str">
        <f t="shared" si="16"/>
        <v/>
      </c>
      <c r="G522" t="s">
        <v>1104</v>
      </c>
      <c r="H522" t="str">
        <f t="shared" si="17"/>
        <v>ren "" "873.jpg"</v>
      </c>
    </row>
    <row r="523" spans="1:8" x14ac:dyDescent="0.25">
      <c r="A523">
        <v>522</v>
      </c>
      <c r="B523" t="s">
        <v>1095</v>
      </c>
      <c r="C523" t="s">
        <v>582</v>
      </c>
      <c r="D523" t="s">
        <v>536</v>
      </c>
      <c r="F523" t="str">
        <f t="shared" si="16"/>
        <v/>
      </c>
      <c r="G523" t="s">
        <v>1105</v>
      </c>
      <c r="H523" t="str">
        <f t="shared" si="17"/>
        <v>ren "" "874.jpg"</v>
      </c>
    </row>
    <row r="524" spans="1:8" x14ac:dyDescent="0.25">
      <c r="A524">
        <v>523</v>
      </c>
      <c r="B524" t="s">
        <v>1095</v>
      </c>
      <c r="C524" t="s">
        <v>585</v>
      </c>
      <c r="D524" t="s">
        <v>534</v>
      </c>
      <c r="F524" t="str">
        <f t="shared" si="16"/>
        <v/>
      </c>
      <c r="G524" t="s">
        <v>1106</v>
      </c>
      <c r="H524" t="str">
        <f t="shared" si="17"/>
        <v>ren "" "875.jpg"</v>
      </c>
    </row>
    <row r="525" spans="1:8" x14ac:dyDescent="0.25">
      <c r="A525">
        <v>524</v>
      </c>
      <c r="B525" t="s">
        <v>1095</v>
      </c>
      <c r="C525" t="s">
        <v>585</v>
      </c>
      <c r="D525" t="s">
        <v>536</v>
      </c>
      <c r="F525" t="str">
        <f t="shared" si="16"/>
        <v/>
      </c>
      <c r="G525" t="s">
        <v>1107</v>
      </c>
      <c r="H525" t="str">
        <f t="shared" si="17"/>
        <v>ren "" "876.jpg"</v>
      </c>
    </row>
    <row r="526" spans="1:8" x14ac:dyDescent="0.25">
      <c r="A526">
        <v>525</v>
      </c>
      <c r="B526" t="s">
        <v>1095</v>
      </c>
      <c r="C526" t="s">
        <v>588</v>
      </c>
      <c r="D526" t="s">
        <v>534</v>
      </c>
      <c r="F526" t="str">
        <f t="shared" si="16"/>
        <v/>
      </c>
      <c r="G526" t="s">
        <v>1108</v>
      </c>
      <c r="H526" t="str">
        <f t="shared" si="17"/>
        <v>ren "" "877.jpg"</v>
      </c>
    </row>
    <row r="527" spans="1:8" x14ac:dyDescent="0.25">
      <c r="A527">
        <v>526</v>
      </c>
      <c r="B527" t="s">
        <v>1095</v>
      </c>
      <c r="C527" t="s">
        <v>588</v>
      </c>
      <c r="D527" t="s">
        <v>536</v>
      </c>
      <c r="F527" t="str">
        <f t="shared" si="16"/>
        <v/>
      </c>
      <c r="G527" t="s">
        <v>1109</v>
      </c>
      <c r="H527" t="str">
        <f t="shared" si="17"/>
        <v>ren "" "878.jpg"</v>
      </c>
    </row>
    <row r="528" spans="1:8" x14ac:dyDescent="0.25">
      <c r="A528">
        <v>527</v>
      </c>
      <c r="B528" t="s">
        <v>1095</v>
      </c>
      <c r="C528" t="s">
        <v>591</v>
      </c>
      <c r="D528" t="s">
        <v>534</v>
      </c>
      <c r="F528" t="str">
        <f t="shared" si="16"/>
        <v/>
      </c>
      <c r="G528" t="s">
        <v>1110</v>
      </c>
      <c r="H528" t="str">
        <f t="shared" si="17"/>
        <v>ren "" "879.jpg"</v>
      </c>
    </row>
    <row r="529" spans="1:8" x14ac:dyDescent="0.25">
      <c r="A529">
        <v>528</v>
      </c>
      <c r="B529" t="s">
        <v>1095</v>
      </c>
      <c r="C529" t="s">
        <v>591</v>
      </c>
      <c r="D529" t="s">
        <v>536</v>
      </c>
      <c r="F529" t="str">
        <f t="shared" si="16"/>
        <v/>
      </c>
      <c r="G529" t="s">
        <v>1111</v>
      </c>
      <c r="H529" t="str">
        <f t="shared" si="17"/>
        <v>ren "" "880.jpg"</v>
      </c>
    </row>
    <row r="530" spans="1:8" x14ac:dyDescent="0.25">
      <c r="A530">
        <v>529</v>
      </c>
      <c r="B530" t="s">
        <v>1112</v>
      </c>
      <c r="C530" t="s">
        <v>570</v>
      </c>
      <c r="D530" t="s">
        <v>534</v>
      </c>
      <c r="F530" t="str">
        <f t="shared" si="16"/>
        <v/>
      </c>
      <c r="G530" t="s">
        <v>1113</v>
      </c>
      <c r="H530" t="str">
        <f t="shared" si="17"/>
        <v>ren "" "881.jpg"</v>
      </c>
    </row>
    <row r="531" spans="1:8" x14ac:dyDescent="0.25">
      <c r="A531">
        <v>530</v>
      </c>
      <c r="B531" t="s">
        <v>1112</v>
      </c>
      <c r="C531" t="s">
        <v>570</v>
      </c>
      <c r="D531" t="s">
        <v>536</v>
      </c>
      <c r="F531" t="str">
        <f t="shared" si="16"/>
        <v/>
      </c>
      <c r="G531" t="s">
        <v>1114</v>
      </c>
      <c r="H531" t="str">
        <f t="shared" si="17"/>
        <v>ren "" "882.jpg"</v>
      </c>
    </row>
    <row r="532" spans="1:8" x14ac:dyDescent="0.25">
      <c r="A532">
        <v>531</v>
      </c>
      <c r="B532" t="s">
        <v>1112</v>
      </c>
      <c r="C532" t="s">
        <v>573</v>
      </c>
      <c r="D532" t="s">
        <v>534</v>
      </c>
      <c r="F532" t="str">
        <f t="shared" si="16"/>
        <v/>
      </c>
      <c r="G532" t="s">
        <v>1115</v>
      </c>
      <c r="H532" t="str">
        <f t="shared" si="17"/>
        <v>ren "" "883.jpg"</v>
      </c>
    </row>
    <row r="533" spans="1:8" x14ac:dyDescent="0.25">
      <c r="A533">
        <v>532</v>
      </c>
      <c r="B533" t="s">
        <v>1112</v>
      </c>
      <c r="C533" t="s">
        <v>573</v>
      </c>
      <c r="D533" t="s">
        <v>536</v>
      </c>
      <c r="F533" t="str">
        <f t="shared" si="16"/>
        <v/>
      </c>
      <c r="G533" t="s">
        <v>1116</v>
      </c>
      <c r="H533" t="str">
        <f t="shared" si="17"/>
        <v>ren "" "884.jpg"</v>
      </c>
    </row>
    <row r="534" spans="1:8" x14ac:dyDescent="0.25">
      <c r="A534">
        <v>533</v>
      </c>
      <c r="B534" t="s">
        <v>1112</v>
      </c>
      <c r="C534" t="s">
        <v>576</v>
      </c>
      <c r="D534" t="s">
        <v>534</v>
      </c>
      <c r="F534" t="str">
        <f t="shared" si="16"/>
        <v/>
      </c>
      <c r="G534" t="s">
        <v>1117</v>
      </c>
      <c r="H534" t="str">
        <f t="shared" si="17"/>
        <v>ren "" "885.jpg"</v>
      </c>
    </row>
    <row r="535" spans="1:8" x14ac:dyDescent="0.25">
      <c r="A535">
        <v>534</v>
      </c>
      <c r="B535" t="s">
        <v>1112</v>
      </c>
      <c r="C535" t="s">
        <v>576</v>
      </c>
      <c r="D535" t="s">
        <v>536</v>
      </c>
      <c r="F535" t="str">
        <f t="shared" si="16"/>
        <v/>
      </c>
      <c r="G535" t="s">
        <v>1118</v>
      </c>
      <c r="H535" t="str">
        <f t="shared" si="17"/>
        <v>ren "" "886.jpg"</v>
      </c>
    </row>
    <row r="536" spans="1:8" x14ac:dyDescent="0.25">
      <c r="A536">
        <v>535</v>
      </c>
      <c r="B536" t="s">
        <v>1112</v>
      </c>
      <c r="C536" t="s">
        <v>579</v>
      </c>
      <c r="D536" t="s">
        <v>534</v>
      </c>
      <c r="F536" t="str">
        <f t="shared" si="16"/>
        <v/>
      </c>
      <c r="G536" t="s">
        <v>1119</v>
      </c>
      <c r="H536" t="str">
        <f t="shared" si="17"/>
        <v>ren "" "887.jpg"</v>
      </c>
    </row>
    <row r="537" spans="1:8" x14ac:dyDescent="0.25">
      <c r="A537">
        <v>536</v>
      </c>
      <c r="B537" t="s">
        <v>1112</v>
      </c>
      <c r="C537" t="s">
        <v>579</v>
      </c>
      <c r="D537" t="s">
        <v>536</v>
      </c>
      <c r="F537" t="str">
        <f t="shared" si="16"/>
        <v/>
      </c>
      <c r="G537" t="s">
        <v>1120</v>
      </c>
      <c r="H537" t="str">
        <f t="shared" si="17"/>
        <v>ren "" "888.jpg"</v>
      </c>
    </row>
    <row r="538" spans="1:8" x14ac:dyDescent="0.25">
      <c r="A538">
        <v>537</v>
      </c>
      <c r="B538" t="s">
        <v>1112</v>
      </c>
      <c r="C538" t="s">
        <v>582</v>
      </c>
      <c r="D538" t="s">
        <v>534</v>
      </c>
      <c r="F538" t="str">
        <f t="shared" si="16"/>
        <v/>
      </c>
      <c r="G538" t="s">
        <v>1121</v>
      </c>
      <c r="H538" t="str">
        <f t="shared" si="17"/>
        <v>ren "" "889.jpg"</v>
      </c>
    </row>
    <row r="539" spans="1:8" x14ac:dyDescent="0.25">
      <c r="A539">
        <v>538</v>
      </c>
      <c r="B539" t="s">
        <v>1112</v>
      </c>
      <c r="C539" t="s">
        <v>582</v>
      </c>
      <c r="D539" t="s">
        <v>536</v>
      </c>
      <c r="F539" t="str">
        <f t="shared" si="16"/>
        <v/>
      </c>
      <c r="G539" t="s">
        <v>1122</v>
      </c>
      <c r="H539" t="str">
        <f t="shared" si="17"/>
        <v>ren "" "890.jpg"</v>
      </c>
    </row>
    <row r="540" spans="1:8" x14ac:dyDescent="0.25">
      <c r="A540">
        <v>539</v>
      </c>
      <c r="B540" t="s">
        <v>1112</v>
      </c>
      <c r="C540" t="s">
        <v>585</v>
      </c>
      <c r="D540" t="s">
        <v>534</v>
      </c>
      <c r="F540" t="str">
        <f t="shared" si="16"/>
        <v/>
      </c>
      <c r="G540" t="s">
        <v>1123</v>
      </c>
      <c r="H540" t="str">
        <f t="shared" si="17"/>
        <v>ren "" "891.jpg"</v>
      </c>
    </row>
    <row r="541" spans="1:8" x14ac:dyDescent="0.25">
      <c r="A541">
        <v>540</v>
      </c>
      <c r="B541" t="s">
        <v>1112</v>
      </c>
      <c r="C541" t="s">
        <v>585</v>
      </c>
      <c r="D541" t="s">
        <v>536</v>
      </c>
      <c r="F541" t="str">
        <f t="shared" si="16"/>
        <v/>
      </c>
      <c r="G541" t="s">
        <v>1124</v>
      </c>
      <c r="H541" t="str">
        <f t="shared" si="17"/>
        <v>ren "" "892.jpg"</v>
      </c>
    </row>
    <row r="542" spans="1:8" x14ac:dyDescent="0.25">
      <c r="A542">
        <v>541</v>
      </c>
      <c r="B542" t="s">
        <v>1112</v>
      </c>
      <c r="C542" t="s">
        <v>588</v>
      </c>
      <c r="D542" t="s">
        <v>534</v>
      </c>
      <c r="F542" t="str">
        <f t="shared" si="16"/>
        <v/>
      </c>
      <c r="G542" t="s">
        <v>1125</v>
      </c>
      <c r="H542" t="str">
        <f t="shared" si="17"/>
        <v>ren "" "893.jpg"</v>
      </c>
    </row>
    <row r="543" spans="1:8" x14ac:dyDescent="0.25">
      <c r="A543">
        <v>542</v>
      </c>
      <c r="B543" t="s">
        <v>1112</v>
      </c>
      <c r="C543" t="s">
        <v>588</v>
      </c>
      <c r="D543" t="s">
        <v>536</v>
      </c>
      <c r="F543" t="str">
        <f t="shared" si="16"/>
        <v/>
      </c>
      <c r="G543" t="s">
        <v>1126</v>
      </c>
      <c r="H543" t="str">
        <f t="shared" si="17"/>
        <v>ren "" "894.jpg"</v>
      </c>
    </row>
    <row r="544" spans="1:8" x14ac:dyDescent="0.25">
      <c r="A544">
        <v>543</v>
      </c>
      <c r="B544" t="s">
        <v>1112</v>
      </c>
      <c r="C544" t="s">
        <v>591</v>
      </c>
      <c r="D544" t="s">
        <v>534</v>
      </c>
      <c r="F544" t="str">
        <f t="shared" si="16"/>
        <v/>
      </c>
      <c r="G544" t="s">
        <v>1127</v>
      </c>
      <c r="H544" t="str">
        <f t="shared" si="17"/>
        <v>ren "" "895.jpg"</v>
      </c>
    </row>
    <row r="545" spans="1:8" x14ac:dyDescent="0.25">
      <c r="A545">
        <v>544</v>
      </c>
      <c r="B545" t="s">
        <v>1112</v>
      </c>
      <c r="C545" t="s">
        <v>591</v>
      </c>
      <c r="D545" t="s">
        <v>536</v>
      </c>
      <c r="F545" t="str">
        <f t="shared" si="16"/>
        <v/>
      </c>
      <c r="G545" t="s">
        <v>1128</v>
      </c>
      <c r="H545" t="str">
        <f t="shared" si="17"/>
        <v>ren "" "896.jpg"</v>
      </c>
    </row>
    <row r="546" spans="1:8" x14ac:dyDescent="0.25">
      <c r="A546">
        <v>545</v>
      </c>
      <c r="B546" t="s">
        <v>1129</v>
      </c>
      <c r="C546" t="s">
        <v>570</v>
      </c>
      <c r="D546" t="s">
        <v>534</v>
      </c>
      <c r="F546" t="str">
        <f t="shared" si="16"/>
        <v/>
      </c>
      <c r="G546" t="s">
        <v>1130</v>
      </c>
      <c r="H546" t="str">
        <f t="shared" si="17"/>
        <v>ren "" "897.jpg"</v>
      </c>
    </row>
    <row r="547" spans="1:8" x14ac:dyDescent="0.25">
      <c r="A547">
        <v>546</v>
      </c>
      <c r="B547" t="s">
        <v>1129</v>
      </c>
      <c r="C547" t="s">
        <v>570</v>
      </c>
      <c r="D547" t="s">
        <v>536</v>
      </c>
      <c r="F547" t="str">
        <f t="shared" si="16"/>
        <v/>
      </c>
      <c r="G547" t="s">
        <v>1131</v>
      </c>
      <c r="H547" t="str">
        <f t="shared" si="17"/>
        <v>ren "" "898.jpg"</v>
      </c>
    </row>
    <row r="548" spans="1:8" x14ac:dyDescent="0.25">
      <c r="A548">
        <v>547</v>
      </c>
      <c r="B548" t="s">
        <v>1129</v>
      </c>
      <c r="C548" t="s">
        <v>573</v>
      </c>
      <c r="D548" t="s">
        <v>534</v>
      </c>
      <c r="F548" t="str">
        <f t="shared" si="16"/>
        <v/>
      </c>
      <c r="G548" t="s">
        <v>1132</v>
      </c>
      <c r="H548" t="str">
        <f t="shared" si="17"/>
        <v>ren "" "899.jpg"</v>
      </c>
    </row>
    <row r="549" spans="1:8" x14ac:dyDescent="0.25">
      <c r="A549">
        <v>548</v>
      </c>
      <c r="B549" t="s">
        <v>1129</v>
      </c>
      <c r="C549" t="s">
        <v>573</v>
      </c>
      <c r="D549" t="s">
        <v>536</v>
      </c>
      <c r="F549" t="str">
        <f t="shared" si="16"/>
        <v/>
      </c>
      <c r="G549" t="s">
        <v>1133</v>
      </c>
      <c r="H549" t="str">
        <f t="shared" si="17"/>
        <v>ren "" "900.jpg"</v>
      </c>
    </row>
    <row r="550" spans="1:8" x14ac:dyDescent="0.25">
      <c r="A550">
        <v>549</v>
      </c>
      <c r="B550" t="s">
        <v>1129</v>
      </c>
      <c r="C550" t="s">
        <v>576</v>
      </c>
      <c r="D550" t="s">
        <v>534</v>
      </c>
      <c r="F550" t="str">
        <f t="shared" si="16"/>
        <v/>
      </c>
      <c r="G550" t="s">
        <v>1134</v>
      </c>
      <c r="H550" t="str">
        <f t="shared" si="17"/>
        <v>ren "" "901.jpg"</v>
      </c>
    </row>
    <row r="551" spans="1:8" x14ac:dyDescent="0.25">
      <c r="A551">
        <v>550</v>
      </c>
      <c r="B551" t="s">
        <v>1129</v>
      </c>
      <c r="C551" t="s">
        <v>576</v>
      </c>
      <c r="D551" t="s">
        <v>536</v>
      </c>
      <c r="F551" t="str">
        <f t="shared" si="16"/>
        <v/>
      </c>
      <c r="G551" t="s">
        <v>1135</v>
      </c>
      <c r="H551" t="str">
        <f t="shared" si="17"/>
        <v>ren "" "902.jpg"</v>
      </c>
    </row>
    <row r="552" spans="1:8" x14ac:dyDescent="0.25">
      <c r="A552">
        <v>551</v>
      </c>
      <c r="B552" t="s">
        <v>1129</v>
      </c>
      <c r="C552" t="s">
        <v>579</v>
      </c>
      <c r="D552" t="s">
        <v>534</v>
      </c>
      <c r="F552" t="str">
        <f t="shared" si="16"/>
        <v/>
      </c>
      <c r="G552" t="s">
        <v>1136</v>
      </c>
      <c r="H552" t="str">
        <f t="shared" si="17"/>
        <v>ren "" "903.jpg"</v>
      </c>
    </row>
    <row r="553" spans="1:8" x14ac:dyDescent="0.25">
      <c r="A553">
        <v>552</v>
      </c>
      <c r="B553" t="s">
        <v>1129</v>
      </c>
      <c r="C553" t="s">
        <v>579</v>
      </c>
      <c r="D553" t="s">
        <v>536</v>
      </c>
      <c r="F553" t="str">
        <f t="shared" si="16"/>
        <v/>
      </c>
      <c r="G553" t="s">
        <v>1137</v>
      </c>
      <c r="H553" t="str">
        <f t="shared" si="17"/>
        <v>ren "" "904.jpg"</v>
      </c>
    </row>
    <row r="554" spans="1:8" x14ac:dyDescent="0.25">
      <c r="A554">
        <v>553</v>
      </c>
      <c r="B554" t="s">
        <v>1129</v>
      </c>
      <c r="C554" t="s">
        <v>582</v>
      </c>
      <c r="D554" t="s">
        <v>534</v>
      </c>
      <c r="F554" t="str">
        <f t="shared" si="16"/>
        <v/>
      </c>
      <c r="G554" t="s">
        <v>1138</v>
      </c>
      <c r="H554" t="str">
        <f t="shared" si="17"/>
        <v>ren "" "905.jpg"</v>
      </c>
    </row>
    <row r="555" spans="1:8" x14ac:dyDescent="0.25">
      <c r="A555">
        <v>554</v>
      </c>
      <c r="B555" t="s">
        <v>1129</v>
      </c>
      <c r="C555" t="s">
        <v>582</v>
      </c>
      <c r="D555" t="s">
        <v>536</v>
      </c>
      <c r="F555" t="str">
        <f t="shared" si="16"/>
        <v/>
      </c>
      <c r="G555" t="s">
        <v>1139</v>
      </c>
      <c r="H555" t="str">
        <f t="shared" si="17"/>
        <v>ren "" "906.jpg"</v>
      </c>
    </row>
    <row r="556" spans="1:8" x14ac:dyDescent="0.25">
      <c r="A556">
        <v>555</v>
      </c>
      <c r="B556" t="s">
        <v>1129</v>
      </c>
      <c r="C556" t="s">
        <v>585</v>
      </c>
      <c r="D556" t="s">
        <v>534</v>
      </c>
      <c r="F556" t="str">
        <f t="shared" si="16"/>
        <v/>
      </c>
      <c r="G556" t="s">
        <v>1140</v>
      </c>
      <c r="H556" t="str">
        <f t="shared" si="17"/>
        <v>ren "" "907.jpg"</v>
      </c>
    </row>
    <row r="557" spans="1:8" x14ac:dyDescent="0.25">
      <c r="A557">
        <v>556</v>
      </c>
      <c r="B557" t="s">
        <v>1129</v>
      </c>
      <c r="C557" t="s">
        <v>585</v>
      </c>
      <c r="D557" t="s">
        <v>536</v>
      </c>
      <c r="F557" t="str">
        <f t="shared" si="16"/>
        <v/>
      </c>
      <c r="G557" t="s">
        <v>1141</v>
      </c>
      <c r="H557" t="str">
        <f t="shared" si="17"/>
        <v>ren "" "908.jpg"</v>
      </c>
    </row>
    <row r="558" spans="1:8" x14ac:dyDescent="0.25">
      <c r="A558">
        <v>557</v>
      </c>
      <c r="B558" t="s">
        <v>1129</v>
      </c>
      <c r="C558" t="s">
        <v>588</v>
      </c>
      <c r="D558" t="s">
        <v>534</v>
      </c>
      <c r="F558" t="str">
        <f t="shared" si="16"/>
        <v/>
      </c>
      <c r="G558" t="s">
        <v>1142</v>
      </c>
      <c r="H558" t="str">
        <f t="shared" si="17"/>
        <v>ren "" "909.jpg"</v>
      </c>
    </row>
    <row r="559" spans="1:8" x14ac:dyDescent="0.25">
      <c r="A559">
        <v>558</v>
      </c>
      <c r="B559" t="s">
        <v>1129</v>
      </c>
      <c r="C559" t="s">
        <v>588</v>
      </c>
      <c r="D559" t="s">
        <v>536</v>
      </c>
      <c r="F559" t="str">
        <f t="shared" si="16"/>
        <v/>
      </c>
      <c r="G559" t="s">
        <v>1143</v>
      </c>
      <c r="H559" t="str">
        <f t="shared" si="17"/>
        <v>ren "" "910.jpg"</v>
      </c>
    </row>
    <row r="560" spans="1:8" x14ac:dyDescent="0.25">
      <c r="A560">
        <v>559</v>
      </c>
      <c r="B560" t="s">
        <v>1129</v>
      </c>
      <c r="C560" t="s">
        <v>591</v>
      </c>
      <c r="D560" t="s">
        <v>534</v>
      </c>
      <c r="F560" t="str">
        <f t="shared" si="16"/>
        <v/>
      </c>
      <c r="G560" t="s">
        <v>1144</v>
      </c>
      <c r="H560" t="str">
        <f t="shared" si="17"/>
        <v>ren "" "911.jpg"</v>
      </c>
    </row>
    <row r="561" spans="1:8" x14ac:dyDescent="0.25">
      <c r="A561">
        <v>560</v>
      </c>
      <c r="B561" t="s">
        <v>1129</v>
      </c>
      <c r="C561" t="s">
        <v>591</v>
      </c>
      <c r="D561" t="s">
        <v>536</v>
      </c>
      <c r="F561" t="str">
        <f t="shared" si="16"/>
        <v/>
      </c>
      <c r="G561" t="s">
        <v>1145</v>
      </c>
      <c r="H561" t="str">
        <f t="shared" si="17"/>
        <v>ren "" "912.jpg"</v>
      </c>
    </row>
    <row r="562" spans="1:8" x14ac:dyDescent="0.25">
      <c r="A562">
        <v>561</v>
      </c>
      <c r="B562" t="s">
        <v>1146</v>
      </c>
      <c r="C562" t="s">
        <v>570</v>
      </c>
      <c r="D562" t="s">
        <v>534</v>
      </c>
      <c r="F562" t="str">
        <f t="shared" si="16"/>
        <v/>
      </c>
      <c r="G562" t="s">
        <v>1147</v>
      </c>
      <c r="H562" t="str">
        <f t="shared" si="17"/>
        <v>ren "" "913.jpg"</v>
      </c>
    </row>
    <row r="563" spans="1:8" x14ac:dyDescent="0.25">
      <c r="A563">
        <v>562</v>
      </c>
      <c r="B563" t="s">
        <v>1146</v>
      </c>
      <c r="C563" t="s">
        <v>570</v>
      </c>
      <c r="D563" t="s">
        <v>536</v>
      </c>
      <c r="F563" t="str">
        <f t="shared" si="16"/>
        <v/>
      </c>
      <c r="G563" t="s">
        <v>1148</v>
      </c>
      <c r="H563" t="str">
        <f t="shared" si="17"/>
        <v>ren "" "914.jpg"</v>
      </c>
    </row>
    <row r="564" spans="1:8" x14ac:dyDescent="0.25">
      <c r="A564">
        <v>563</v>
      </c>
      <c r="B564" t="s">
        <v>1146</v>
      </c>
      <c r="C564" t="s">
        <v>573</v>
      </c>
      <c r="D564" t="s">
        <v>534</v>
      </c>
      <c r="F564" t="str">
        <f t="shared" si="16"/>
        <v/>
      </c>
      <c r="G564" t="s">
        <v>1149</v>
      </c>
      <c r="H564" t="str">
        <f t="shared" si="17"/>
        <v>ren "" "915.jpg"</v>
      </c>
    </row>
    <row r="565" spans="1:8" x14ac:dyDescent="0.25">
      <c r="A565">
        <v>564</v>
      </c>
      <c r="B565" t="s">
        <v>1146</v>
      </c>
      <c r="C565" t="s">
        <v>573</v>
      </c>
      <c r="D565" t="s">
        <v>536</v>
      </c>
      <c r="F565" t="str">
        <f t="shared" si="16"/>
        <v/>
      </c>
      <c r="G565" t="s">
        <v>1150</v>
      </c>
      <c r="H565" t="str">
        <f t="shared" si="17"/>
        <v>ren "" "916.jpg"</v>
      </c>
    </row>
    <row r="566" spans="1:8" x14ac:dyDescent="0.25">
      <c r="A566">
        <v>565</v>
      </c>
      <c r="B566" t="s">
        <v>1146</v>
      </c>
      <c r="C566" t="s">
        <v>576</v>
      </c>
      <c r="D566" t="s">
        <v>534</v>
      </c>
      <c r="F566" t="str">
        <f t="shared" si="16"/>
        <v/>
      </c>
      <c r="G566" t="s">
        <v>1151</v>
      </c>
      <c r="H566" t="str">
        <f t="shared" si="17"/>
        <v>ren "" "917.jpg"</v>
      </c>
    </row>
    <row r="567" spans="1:8" x14ac:dyDescent="0.25">
      <c r="A567">
        <v>566</v>
      </c>
      <c r="B567" t="s">
        <v>1146</v>
      </c>
      <c r="C567" t="s">
        <v>576</v>
      </c>
      <c r="D567" t="s">
        <v>536</v>
      </c>
      <c r="F567" t="str">
        <f t="shared" si="16"/>
        <v/>
      </c>
      <c r="G567" t="s">
        <v>1152</v>
      </c>
      <c r="H567" t="str">
        <f t="shared" si="17"/>
        <v>ren "" "918.jpg"</v>
      </c>
    </row>
    <row r="568" spans="1:8" x14ac:dyDescent="0.25">
      <c r="A568">
        <v>567</v>
      </c>
      <c r="B568" t="s">
        <v>1146</v>
      </c>
      <c r="C568" t="s">
        <v>579</v>
      </c>
      <c r="D568" t="s">
        <v>534</v>
      </c>
      <c r="F568" t="str">
        <f t="shared" si="16"/>
        <v/>
      </c>
      <c r="G568" t="s">
        <v>1153</v>
      </c>
      <c r="H568" t="str">
        <f t="shared" si="17"/>
        <v>ren "" "919.jpg"</v>
      </c>
    </row>
    <row r="569" spans="1:8" x14ac:dyDescent="0.25">
      <c r="A569">
        <v>568</v>
      </c>
      <c r="B569" t="s">
        <v>1146</v>
      </c>
      <c r="C569" t="s">
        <v>579</v>
      </c>
      <c r="D569" t="s">
        <v>536</v>
      </c>
      <c r="F569" t="str">
        <f t="shared" si="16"/>
        <v/>
      </c>
      <c r="G569" t="s">
        <v>1154</v>
      </c>
      <c r="H569" t="str">
        <f t="shared" si="17"/>
        <v>ren "" "920.jpg"</v>
      </c>
    </row>
    <row r="570" spans="1:8" x14ac:dyDescent="0.25">
      <c r="A570">
        <v>569</v>
      </c>
      <c r="B570" t="s">
        <v>1146</v>
      </c>
      <c r="C570" t="s">
        <v>582</v>
      </c>
      <c r="D570" t="s">
        <v>534</v>
      </c>
      <c r="F570" t="str">
        <f t="shared" si="16"/>
        <v/>
      </c>
      <c r="G570" t="s">
        <v>1155</v>
      </c>
      <c r="H570" t="str">
        <f t="shared" si="17"/>
        <v>ren "" "921.jpg"</v>
      </c>
    </row>
    <row r="571" spans="1:8" x14ac:dyDescent="0.25">
      <c r="A571">
        <v>570</v>
      </c>
      <c r="B571" t="s">
        <v>1146</v>
      </c>
      <c r="C571" t="s">
        <v>582</v>
      </c>
      <c r="D571" t="s">
        <v>536</v>
      </c>
      <c r="F571" t="str">
        <f t="shared" si="16"/>
        <v/>
      </c>
      <c r="G571" t="s">
        <v>1156</v>
      </c>
      <c r="H571" t="str">
        <f t="shared" si="17"/>
        <v>ren "" "922.jpg"</v>
      </c>
    </row>
    <row r="572" spans="1:8" x14ac:dyDescent="0.25">
      <c r="A572">
        <v>571</v>
      </c>
      <c r="B572" t="s">
        <v>1146</v>
      </c>
      <c r="C572" t="s">
        <v>585</v>
      </c>
      <c r="D572" t="s">
        <v>534</v>
      </c>
      <c r="F572" t="str">
        <f t="shared" si="16"/>
        <v/>
      </c>
      <c r="G572" t="s">
        <v>1157</v>
      </c>
      <c r="H572" t="str">
        <f t="shared" si="17"/>
        <v>ren "" "923.jpg"</v>
      </c>
    </row>
    <row r="573" spans="1:8" x14ac:dyDescent="0.25">
      <c r="A573">
        <v>572</v>
      </c>
      <c r="B573" t="s">
        <v>1146</v>
      </c>
      <c r="C573" t="s">
        <v>585</v>
      </c>
      <c r="D573" t="s">
        <v>536</v>
      </c>
      <c r="F573" t="str">
        <f t="shared" si="16"/>
        <v/>
      </c>
      <c r="G573" t="s">
        <v>1158</v>
      </c>
      <c r="H573" t="str">
        <f t="shared" si="17"/>
        <v>ren "" "924.jpg"</v>
      </c>
    </row>
    <row r="574" spans="1:8" x14ac:dyDescent="0.25">
      <c r="A574">
        <v>573</v>
      </c>
      <c r="B574" t="s">
        <v>1146</v>
      </c>
      <c r="C574" t="s">
        <v>588</v>
      </c>
      <c r="D574" t="s">
        <v>534</v>
      </c>
      <c r="F574" t="str">
        <f t="shared" si="16"/>
        <v/>
      </c>
      <c r="G574" t="s">
        <v>1159</v>
      </c>
      <c r="H574" t="str">
        <f t="shared" si="17"/>
        <v>ren "" "925.jpg"</v>
      </c>
    </row>
    <row r="575" spans="1:8" x14ac:dyDescent="0.25">
      <c r="A575">
        <v>574</v>
      </c>
      <c r="B575" t="s">
        <v>1146</v>
      </c>
      <c r="C575" t="s">
        <v>588</v>
      </c>
      <c r="D575" t="s">
        <v>536</v>
      </c>
      <c r="F575" t="str">
        <f t="shared" si="16"/>
        <v/>
      </c>
      <c r="G575" t="s">
        <v>1160</v>
      </c>
      <c r="H575" t="str">
        <f t="shared" si="17"/>
        <v>ren "" "926.jpg"</v>
      </c>
    </row>
    <row r="576" spans="1:8" x14ac:dyDescent="0.25">
      <c r="A576">
        <v>575</v>
      </c>
      <c r="B576" t="s">
        <v>1146</v>
      </c>
      <c r="C576" t="s">
        <v>591</v>
      </c>
      <c r="D576" t="s">
        <v>534</v>
      </c>
      <c r="F576" t="str">
        <f t="shared" si="16"/>
        <v/>
      </c>
      <c r="G576" t="s">
        <v>1161</v>
      </c>
      <c r="H576" t="str">
        <f t="shared" si="17"/>
        <v>ren "" "927.jpg"</v>
      </c>
    </row>
    <row r="577" spans="1:8" x14ac:dyDescent="0.25">
      <c r="A577">
        <v>576</v>
      </c>
      <c r="B577" t="s">
        <v>1146</v>
      </c>
      <c r="C577" t="s">
        <v>591</v>
      </c>
      <c r="D577" t="s">
        <v>536</v>
      </c>
      <c r="F577" t="str">
        <f t="shared" si="16"/>
        <v/>
      </c>
      <c r="G577" t="s">
        <v>1162</v>
      </c>
      <c r="H577" t="str">
        <f t="shared" si="17"/>
        <v>ren "" "928.jpg"</v>
      </c>
    </row>
    <row r="578" spans="1:8" x14ac:dyDescent="0.25">
      <c r="A578">
        <v>577</v>
      </c>
      <c r="B578" t="s">
        <v>1163</v>
      </c>
      <c r="C578" t="s">
        <v>570</v>
      </c>
      <c r="D578" t="s">
        <v>534</v>
      </c>
      <c r="F578" t="str">
        <f t="shared" ref="F578:F641" si="18">IF(E578="", "", TRIM(RIGHT(SUBSTITUTE(E578, "\", REPT(" ", LEN(E578))), LEN(E578))))</f>
        <v/>
      </c>
      <c r="G578" t="s">
        <v>1164</v>
      </c>
      <c r="H578" t="str">
        <f t="shared" ref="H578:H641" si="19">"ren """ &amp; F578 &amp; """ """ &amp; G578 &amp; """"</f>
        <v>ren "" "929.jpg"</v>
      </c>
    </row>
    <row r="579" spans="1:8" x14ac:dyDescent="0.25">
      <c r="A579">
        <v>578</v>
      </c>
      <c r="B579" t="s">
        <v>1163</v>
      </c>
      <c r="C579" t="s">
        <v>570</v>
      </c>
      <c r="D579" t="s">
        <v>536</v>
      </c>
      <c r="F579" t="str">
        <f t="shared" si="18"/>
        <v/>
      </c>
      <c r="G579" t="s">
        <v>1165</v>
      </c>
      <c r="H579" t="str">
        <f t="shared" si="19"/>
        <v>ren "" "930.jpg"</v>
      </c>
    </row>
    <row r="580" spans="1:8" x14ac:dyDescent="0.25">
      <c r="A580">
        <v>579</v>
      </c>
      <c r="B580" t="s">
        <v>1163</v>
      </c>
      <c r="C580" t="s">
        <v>573</v>
      </c>
      <c r="D580" t="s">
        <v>534</v>
      </c>
      <c r="F580" t="str">
        <f t="shared" si="18"/>
        <v/>
      </c>
      <c r="G580" t="s">
        <v>1166</v>
      </c>
      <c r="H580" t="str">
        <f t="shared" si="19"/>
        <v>ren "" "931.jpg"</v>
      </c>
    </row>
    <row r="581" spans="1:8" x14ac:dyDescent="0.25">
      <c r="A581">
        <v>580</v>
      </c>
      <c r="B581" t="s">
        <v>1163</v>
      </c>
      <c r="C581" t="s">
        <v>573</v>
      </c>
      <c r="D581" t="s">
        <v>536</v>
      </c>
      <c r="F581" t="str">
        <f t="shared" si="18"/>
        <v/>
      </c>
      <c r="G581" t="s">
        <v>1167</v>
      </c>
      <c r="H581" t="str">
        <f t="shared" si="19"/>
        <v>ren "" "932.jpg"</v>
      </c>
    </row>
    <row r="582" spans="1:8" x14ac:dyDescent="0.25">
      <c r="A582">
        <v>581</v>
      </c>
      <c r="B582" t="s">
        <v>1163</v>
      </c>
      <c r="C582" t="s">
        <v>576</v>
      </c>
      <c r="D582" t="s">
        <v>534</v>
      </c>
      <c r="F582" t="str">
        <f t="shared" si="18"/>
        <v/>
      </c>
      <c r="G582" t="s">
        <v>1168</v>
      </c>
      <c r="H582" t="str">
        <f t="shared" si="19"/>
        <v>ren "" "933.jpg"</v>
      </c>
    </row>
    <row r="583" spans="1:8" x14ac:dyDescent="0.25">
      <c r="A583">
        <v>582</v>
      </c>
      <c r="B583" t="s">
        <v>1163</v>
      </c>
      <c r="C583" t="s">
        <v>576</v>
      </c>
      <c r="D583" t="s">
        <v>536</v>
      </c>
      <c r="F583" t="str">
        <f t="shared" si="18"/>
        <v/>
      </c>
      <c r="G583" t="s">
        <v>1169</v>
      </c>
      <c r="H583" t="str">
        <f t="shared" si="19"/>
        <v>ren "" "934.jpg"</v>
      </c>
    </row>
    <row r="584" spans="1:8" x14ac:dyDescent="0.25">
      <c r="A584">
        <v>583</v>
      </c>
      <c r="B584" t="s">
        <v>1163</v>
      </c>
      <c r="C584" t="s">
        <v>579</v>
      </c>
      <c r="D584" t="s">
        <v>534</v>
      </c>
      <c r="F584" t="str">
        <f t="shared" si="18"/>
        <v/>
      </c>
      <c r="G584" t="s">
        <v>1170</v>
      </c>
      <c r="H584" t="str">
        <f t="shared" si="19"/>
        <v>ren "" "935.jpg"</v>
      </c>
    </row>
    <row r="585" spans="1:8" x14ac:dyDescent="0.25">
      <c r="A585">
        <v>584</v>
      </c>
      <c r="B585" t="s">
        <v>1163</v>
      </c>
      <c r="C585" t="s">
        <v>579</v>
      </c>
      <c r="D585" t="s">
        <v>536</v>
      </c>
      <c r="F585" t="str">
        <f t="shared" si="18"/>
        <v/>
      </c>
      <c r="G585" t="s">
        <v>1171</v>
      </c>
      <c r="H585" t="str">
        <f t="shared" si="19"/>
        <v>ren "" "936.jpg"</v>
      </c>
    </row>
    <row r="586" spans="1:8" x14ac:dyDescent="0.25">
      <c r="A586">
        <v>585</v>
      </c>
      <c r="B586" t="s">
        <v>1163</v>
      </c>
      <c r="C586" t="s">
        <v>582</v>
      </c>
      <c r="D586" t="s">
        <v>534</v>
      </c>
      <c r="F586" t="str">
        <f t="shared" si="18"/>
        <v/>
      </c>
      <c r="G586" t="s">
        <v>1172</v>
      </c>
      <c r="H586" t="str">
        <f t="shared" si="19"/>
        <v>ren "" "937.jpg"</v>
      </c>
    </row>
    <row r="587" spans="1:8" x14ac:dyDescent="0.25">
      <c r="A587">
        <v>586</v>
      </c>
      <c r="B587" t="s">
        <v>1163</v>
      </c>
      <c r="C587" t="s">
        <v>582</v>
      </c>
      <c r="D587" t="s">
        <v>536</v>
      </c>
      <c r="F587" t="str">
        <f t="shared" si="18"/>
        <v/>
      </c>
      <c r="G587" t="s">
        <v>1173</v>
      </c>
      <c r="H587" t="str">
        <f t="shared" si="19"/>
        <v>ren "" "938.jpg"</v>
      </c>
    </row>
    <row r="588" spans="1:8" x14ac:dyDescent="0.25">
      <c r="A588">
        <v>587</v>
      </c>
      <c r="B588" t="s">
        <v>1163</v>
      </c>
      <c r="C588" t="s">
        <v>585</v>
      </c>
      <c r="D588" t="s">
        <v>534</v>
      </c>
      <c r="F588" t="str">
        <f t="shared" si="18"/>
        <v/>
      </c>
      <c r="G588" t="s">
        <v>1174</v>
      </c>
      <c r="H588" t="str">
        <f t="shared" si="19"/>
        <v>ren "" "939.jpg"</v>
      </c>
    </row>
    <row r="589" spans="1:8" x14ac:dyDescent="0.25">
      <c r="A589">
        <v>588</v>
      </c>
      <c r="B589" t="s">
        <v>1163</v>
      </c>
      <c r="C589" t="s">
        <v>585</v>
      </c>
      <c r="D589" t="s">
        <v>536</v>
      </c>
      <c r="F589" t="str">
        <f t="shared" si="18"/>
        <v/>
      </c>
      <c r="G589" t="s">
        <v>1175</v>
      </c>
      <c r="H589" t="str">
        <f t="shared" si="19"/>
        <v>ren "" "940.jpg"</v>
      </c>
    </row>
    <row r="590" spans="1:8" x14ac:dyDescent="0.25">
      <c r="A590">
        <v>589</v>
      </c>
      <c r="B590" t="s">
        <v>1163</v>
      </c>
      <c r="C590" t="s">
        <v>588</v>
      </c>
      <c r="D590" t="s">
        <v>534</v>
      </c>
      <c r="F590" t="str">
        <f t="shared" si="18"/>
        <v/>
      </c>
      <c r="G590" t="s">
        <v>1176</v>
      </c>
      <c r="H590" t="str">
        <f t="shared" si="19"/>
        <v>ren "" "941.jpg"</v>
      </c>
    </row>
    <row r="591" spans="1:8" x14ac:dyDescent="0.25">
      <c r="A591">
        <v>590</v>
      </c>
      <c r="B591" t="s">
        <v>1163</v>
      </c>
      <c r="C591" t="s">
        <v>588</v>
      </c>
      <c r="D591" t="s">
        <v>536</v>
      </c>
      <c r="F591" t="str">
        <f t="shared" si="18"/>
        <v/>
      </c>
      <c r="G591" t="s">
        <v>1177</v>
      </c>
      <c r="H591" t="str">
        <f t="shared" si="19"/>
        <v>ren "" "942.jpg"</v>
      </c>
    </row>
    <row r="592" spans="1:8" x14ac:dyDescent="0.25">
      <c r="A592">
        <v>591</v>
      </c>
      <c r="B592" t="s">
        <v>1163</v>
      </c>
      <c r="C592" t="s">
        <v>591</v>
      </c>
      <c r="D592" t="s">
        <v>534</v>
      </c>
      <c r="F592" t="str">
        <f t="shared" si="18"/>
        <v/>
      </c>
      <c r="G592" t="s">
        <v>1178</v>
      </c>
      <c r="H592" t="str">
        <f t="shared" si="19"/>
        <v>ren "" "943.jpg"</v>
      </c>
    </row>
    <row r="593" spans="1:8" x14ac:dyDescent="0.25">
      <c r="A593">
        <v>592</v>
      </c>
      <c r="B593" t="s">
        <v>1163</v>
      </c>
      <c r="C593" t="s">
        <v>591</v>
      </c>
      <c r="D593" t="s">
        <v>536</v>
      </c>
      <c r="F593" t="str">
        <f t="shared" si="18"/>
        <v/>
      </c>
      <c r="G593" t="s">
        <v>1179</v>
      </c>
      <c r="H593" t="str">
        <f t="shared" si="19"/>
        <v>ren "" "944.jpg"</v>
      </c>
    </row>
    <row r="594" spans="1:8" x14ac:dyDescent="0.25">
      <c r="A594">
        <v>593</v>
      </c>
      <c r="B594" t="s">
        <v>1180</v>
      </c>
      <c r="C594" t="s">
        <v>570</v>
      </c>
      <c r="D594" t="s">
        <v>534</v>
      </c>
      <c r="F594" t="str">
        <f t="shared" si="18"/>
        <v/>
      </c>
      <c r="G594" t="s">
        <v>1181</v>
      </c>
      <c r="H594" t="str">
        <f t="shared" si="19"/>
        <v>ren "" "945.jpg"</v>
      </c>
    </row>
    <row r="595" spans="1:8" x14ac:dyDescent="0.25">
      <c r="A595">
        <v>594</v>
      </c>
      <c r="B595" t="s">
        <v>1180</v>
      </c>
      <c r="C595" t="s">
        <v>570</v>
      </c>
      <c r="D595" t="s">
        <v>536</v>
      </c>
      <c r="F595" t="str">
        <f t="shared" si="18"/>
        <v/>
      </c>
      <c r="G595" t="s">
        <v>1182</v>
      </c>
      <c r="H595" t="str">
        <f t="shared" si="19"/>
        <v>ren "" "946.jpg"</v>
      </c>
    </row>
    <row r="596" spans="1:8" x14ac:dyDescent="0.25">
      <c r="A596">
        <v>595</v>
      </c>
      <c r="B596" t="s">
        <v>1180</v>
      </c>
      <c r="C596" t="s">
        <v>573</v>
      </c>
      <c r="D596" t="s">
        <v>534</v>
      </c>
      <c r="F596" t="str">
        <f t="shared" si="18"/>
        <v/>
      </c>
      <c r="G596" t="s">
        <v>1183</v>
      </c>
      <c r="H596" t="str">
        <f t="shared" si="19"/>
        <v>ren "" "947.jpg"</v>
      </c>
    </row>
    <row r="597" spans="1:8" x14ac:dyDescent="0.25">
      <c r="A597">
        <v>596</v>
      </c>
      <c r="B597" t="s">
        <v>1180</v>
      </c>
      <c r="C597" t="s">
        <v>573</v>
      </c>
      <c r="D597" t="s">
        <v>536</v>
      </c>
      <c r="F597" t="str">
        <f t="shared" si="18"/>
        <v/>
      </c>
      <c r="G597" t="s">
        <v>1184</v>
      </c>
      <c r="H597" t="str">
        <f t="shared" si="19"/>
        <v>ren "" "948.jpg"</v>
      </c>
    </row>
    <row r="598" spans="1:8" x14ac:dyDescent="0.25">
      <c r="A598">
        <v>597</v>
      </c>
      <c r="B598" t="s">
        <v>1180</v>
      </c>
      <c r="C598" t="s">
        <v>576</v>
      </c>
      <c r="D598" t="s">
        <v>534</v>
      </c>
      <c r="F598" t="str">
        <f t="shared" si="18"/>
        <v/>
      </c>
      <c r="G598" t="s">
        <v>1185</v>
      </c>
      <c r="H598" t="str">
        <f t="shared" si="19"/>
        <v>ren "" "949.jpg"</v>
      </c>
    </row>
    <row r="599" spans="1:8" x14ac:dyDescent="0.25">
      <c r="A599">
        <v>598</v>
      </c>
      <c r="B599" t="s">
        <v>1180</v>
      </c>
      <c r="C599" t="s">
        <v>576</v>
      </c>
      <c r="D599" t="s">
        <v>536</v>
      </c>
      <c r="F599" t="str">
        <f t="shared" si="18"/>
        <v/>
      </c>
      <c r="G599" t="s">
        <v>1186</v>
      </c>
      <c r="H599" t="str">
        <f t="shared" si="19"/>
        <v>ren "" "950.jpg"</v>
      </c>
    </row>
    <row r="600" spans="1:8" x14ac:dyDescent="0.25">
      <c r="A600">
        <v>599</v>
      </c>
      <c r="B600" t="s">
        <v>1180</v>
      </c>
      <c r="C600" t="s">
        <v>579</v>
      </c>
      <c r="D600" t="s">
        <v>534</v>
      </c>
      <c r="F600" t="str">
        <f t="shared" si="18"/>
        <v/>
      </c>
      <c r="G600" t="s">
        <v>1187</v>
      </c>
      <c r="H600" t="str">
        <f t="shared" si="19"/>
        <v>ren "" "951.jpg"</v>
      </c>
    </row>
    <row r="601" spans="1:8" x14ac:dyDescent="0.25">
      <c r="A601">
        <v>600</v>
      </c>
      <c r="B601" t="s">
        <v>1180</v>
      </c>
      <c r="C601" t="s">
        <v>579</v>
      </c>
      <c r="D601" t="s">
        <v>536</v>
      </c>
      <c r="F601" t="str">
        <f t="shared" si="18"/>
        <v/>
      </c>
      <c r="G601" t="s">
        <v>1188</v>
      </c>
      <c r="H601" t="str">
        <f t="shared" si="19"/>
        <v>ren "" "952.jpg"</v>
      </c>
    </row>
    <row r="602" spans="1:8" x14ac:dyDescent="0.25">
      <c r="A602">
        <v>601</v>
      </c>
      <c r="B602" t="s">
        <v>1180</v>
      </c>
      <c r="C602" t="s">
        <v>582</v>
      </c>
      <c r="D602" t="s">
        <v>534</v>
      </c>
      <c r="F602" t="str">
        <f t="shared" si="18"/>
        <v/>
      </c>
      <c r="G602" t="s">
        <v>1189</v>
      </c>
      <c r="H602" t="str">
        <f t="shared" si="19"/>
        <v>ren "" "953.jpg"</v>
      </c>
    </row>
    <row r="603" spans="1:8" x14ac:dyDescent="0.25">
      <c r="A603">
        <v>602</v>
      </c>
      <c r="B603" t="s">
        <v>1180</v>
      </c>
      <c r="C603" t="s">
        <v>582</v>
      </c>
      <c r="D603" t="s">
        <v>536</v>
      </c>
      <c r="F603" t="str">
        <f t="shared" si="18"/>
        <v/>
      </c>
      <c r="G603" t="s">
        <v>1190</v>
      </c>
      <c r="H603" t="str">
        <f t="shared" si="19"/>
        <v>ren "" "954.jpg"</v>
      </c>
    </row>
    <row r="604" spans="1:8" x14ac:dyDescent="0.25">
      <c r="A604">
        <v>603</v>
      </c>
      <c r="B604" t="s">
        <v>1180</v>
      </c>
      <c r="C604" t="s">
        <v>585</v>
      </c>
      <c r="D604" t="s">
        <v>534</v>
      </c>
      <c r="F604" t="str">
        <f t="shared" si="18"/>
        <v/>
      </c>
      <c r="G604" t="s">
        <v>1191</v>
      </c>
      <c r="H604" t="str">
        <f t="shared" si="19"/>
        <v>ren "" "955.jpg"</v>
      </c>
    </row>
    <row r="605" spans="1:8" x14ac:dyDescent="0.25">
      <c r="A605">
        <v>604</v>
      </c>
      <c r="B605" t="s">
        <v>1180</v>
      </c>
      <c r="C605" t="s">
        <v>585</v>
      </c>
      <c r="D605" t="s">
        <v>536</v>
      </c>
      <c r="F605" t="str">
        <f t="shared" si="18"/>
        <v/>
      </c>
      <c r="G605" t="s">
        <v>1192</v>
      </c>
      <c r="H605" t="str">
        <f t="shared" si="19"/>
        <v>ren "" "956.jpg"</v>
      </c>
    </row>
    <row r="606" spans="1:8" x14ac:dyDescent="0.25">
      <c r="A606">
        <v>605</v>
      </c>
      <c r="B606" t="s">
        <v>1180</v>
      </c>
      <c r="C606" t="s">
        <v>588</v>
      </c>
      <c r="D606" t="s">
        <v>534</v>
      </c>
      <c r="F606" t="str">
        <f t="shared" si="18"/>
        <v/>
      </c>
      <c r="G606" t="s">
        <v>1193</v>
      </c>
      <c r="H606" t="str">
        <f t="shared" si="19"/>
        <v>ren "" "957.jpg"</v>
      </c>
    </row>
    <row r="607" spans="1:8" x14ac:dyDescent="0.25">
      <c r="A607">
        <v>606</v>
      </c>
      <c r="B607" t="s">
        <v>1180</v>
      </c>
      <c r="C607" t="s">
        <v>588</v>
      </c>
      <c r="D607" t="s">
        <v>536</v>
      </c>
      <c r="F607" t="str">
        <f t="shared" si="18"/>
        <v/>
      </c>
      <c r="G607" t="s">
        <v>1194</v>
      </c>
      <c r="H607" t="str">
        <f t="shared" si="19"/>
        <v>ren "" "958.jpg"</v>
      </c>
    </row>
    <row r="608" spans="1:8" x14ac:dyDescent="0.25">
      <c r="A608">
        <v>607</v>
      </c>
      <c r="B608" t="s">
        <v>1180</v>
      </c>
      <c r="C608" t="s">
        <v>591</v>
      </c>
      <c r="D608" t="s">
        <v>534</v>
      </c>
      <c r="F608" t="str">
        <f t="shared" si="18"/>
        <v/>
      </c>
      <c r="G608" t="s">
        <v>1195</v>
      </c>
      <c r="H608" t="str">
        <f t="shared" si="19"/>
        <v>ren "" "959.jpg"</v>
      </c>
    </row>
    <row r="609" spans="1:8" x14ac:dyDescent="0.25">
      <c r="A609">
        <v>608</v>
      </c>
      <c r="B609" t="s">
        <v>1180</v>
      </c>
      <c r="C609" t="s">
        <v>591</v>
      </c>
      <c r="D609" t="s">
        <v>536</v>
      </c>
      <c r="F609" t="str">
        <f t="shared" si="18"/>
        <v/>
      </c>
      <c r="G609" t="s">
        <v>1196</v>
      </c>
      <c r="H609" t="str">
        <f t="shared" si="19"/>
        <v>ren "" "960.jpg"</v>
      </c>
    </row>
    <row r="610" spans="1:8" x14ac:dyDescent="0.25">
      <c r="A610">
        <v>609</v>
      </c>
      <c r="B610" t="s">
        <v>1197</v>
      </c>
      <c r="C610" t="s">
        <v>570</v>
      </c>
      <c r="D610" t="s">
        <v>534</v>
      </c>
      <c r="F610" t="str">
        <f t="shared" si="18"/>
        <v/>
      </c>
      <c r="G610" t="s">
        <v>1198</v>
      </c>
      <c r="H610" t="str">
        <f t="shared" si="19"/>
        <v>ren "" "961.jpg"</v>
      </c>
    </row>
    <row r="611" spans="1:8" x14ac:dyDescent="0.25">
      <c r="A611">
        <v>610</v>
      </c>
      <c r="B611" t="s">
        <v>1197</v>
      </c>
      <c r="C611" t="s">
        <v>570</v>
      </c>
      <c r="D611" t="s">
        <v>536</v>
      </c>
      <c r="F611" t="str">
        <f t="shared" si="18"/>
        <v/>
      </c>
      <c r="G611" t="s">
        <v>1199</v>
      </c>
      <c r="H611" t="str">
        <f t="shared" si="19"/>
        <v>ren "" "962.jpg"</v>
      </c>
    </row>
    <row r="612" spans="1:8" x14ac:dyDescent="0.25">
      <c r="A612">
        <v>611</v>
      </c>
      <c r="B612" t="s">
        <v>1197</v>
      </c>
      <c r="C612" t="s">
        <v>573</v>
      </c>
      <c r="D612" t="s">
        <v>534</v>
      </c>
      <c r="F612" t="str">
        <f t="shared" si="18"/>
        <v/>
      </c>
      <c r="G612" t="s">
        <v>1200</v>
      </c>
      <c r="H612" t="str">
        <f t="shared" si="19"/>
        <v>ren "" "963.jpg"</v>
      </c>
    </row>
    <row r="613" spans="1:8" x14ac:dyDescent="0.25">
      <c r="A613">
        <v>612</v>
      </c>
      <c r="B613" t="s">
        <v>1197</v>
      </c>
      <c r="C613" t="s">
        <v>573</v>
      </c>
      <c r="D613" t="s">
        <v>536</v>
      </c>
      <c r="F613" t="str">
        <f t="shared" si="18"/>
        <v/>
      </c>
      <c r="G613" t="s">
        <v>1201</v>
      </c>
      <c r="H613" t="str">
        <f t="shared" si="19"/>
        <v>ren "" "964.jpg"</v>
      </c>
    </row>
    <row r="614" spans="1:8" x14ac:dyDescent="0.25">
      <c r="A614">
        <v>613</v>
      </c>
      <c r="B614" t="s">
        <v>1197</v>
      </c>
      <c r="C614" t="s">
        <v>576</v>
      </c>
      <c r="D614" t="s">
        <v>534</v>
      </c>
      <c r="F614" t="str">
        <f t="shared" si="18"/>
        <v/>
      </c>
      <c r="G614" t="s">
        <v>1202</v>
      </c>
      <c r="H614" t="str">
        <f t="shared" si="19"/>
        <v>ren "" "965.jpg"</v>
      </c>
    </row>
    <row r="615" spans="1:8" x14ac:dyDescent="0.25">
      <c r="A615">
        <v>614</v>
      </c>
      <c r="B615" t="s">
        <v>1197</v>
      </c>
      <c r="C615" t="s">
        <v>576</v>
      </c>
      <c r="D615" t="s">
        <v>536</v>
      </c>
      <c r="F615" t="str">
        <f t="shared" si="18"/>
        <v/>
      </c>
      <c r="G615" t="s">
        <v>1203</v>
      </c>
      <c r="H615" t="str">
        <f t="shared" si="19"/>
        <v>ren "" "966.jpg"</v>
      </c>
    </row>
    <row r="616" spans="1:8" x14ac:dyDescent="0.25">
      <c r="A616">
        <v>615</v>
      </c>
      <c r="B616" t="s">
        <v>1197</v>
      </c>
      <c r="C616" t="s">
        <v>579</v>
      </c>
      <c r="D616" t="s">
        <v>534</v>
      </c>
      <c r="F616" t="str">
        <f t="shared" si="18"/>
        <v/>
      </c>
      <c r="G616" t="s">
        <v>1204</v>
      </c>
      <c r="H616" t="str">
        <f t="shared" si="19"/>
        <v>ren "" "967.jpg"</v>
      </c>
    </row>
    <row r="617" spans="1:8" x14ac:dyDescent="0.25">
      <c r="A617">
        <v>616</v>
      </c>
      <c r="B617" t="s">
        <v>1197</v>
      </c>
      <c r="C617" t="s">
        <v>579</v>
      </c>
      <c r="D617" t="s">
        <v>536</v>
      </c>
      <c r="F617" t="str">
        <f t="shared" si="18"/>
        <v/>
      </c>
      <c r="G617" t="s">
        <v>1205</v>
      </c>
      <c r="H617" t="str">
        <f t="shared" si="19"/>
        <v>ren "" "968.jpg"</v>
      </c>
    </row>
    <row r="618" spans="1:8" x14ac:dyDescent="0.25">
      <c r="A618">
        <v>617</v>
      </c>
      <c r="B618" t="s">
        <v>1197</v>
      </c>
      <c r="C618" t="s">
        <v>582</v>
      </c>
      <c r="D618" t="s">
        <v>534</v>
      </c>
      <c r="F618" t="str">
        <f t="shared" si="18"/>
        <v/>
      </c>
      <c r="G618" t="s">
        <v>1206</v>
      </c>
      <c r="H618" t="str">
        <f t="shared" si="19"/>
        <v>ren "" "969.jpg"</v>
      </c>
    </row>
    <row r="619" spans="1:8" x14ac:dyDescent="0.25">
      <c r="A619">
        <v>618</v>
      </c>
      <c r="B619" t="s">
        <v>1197</v>
      </c>
      <c r="C619" t="s">
        <v>582</v>
      </c>
      <c r="D619" t="s">
        <v>536</v>
      </c>
      <c r="F619" t="str">
        <f t="shared" si="18"/>
        <v/>
      </c>
      <c r="G619" t="s">
        <v>1207</v>
      </c>
      <c r="H619" t="str">
        <f t="shared" si="19"/>
        <v>ren "" "970.jpg"</v>
      </c>
    </row>
    <row r="620" spans="1:8" x14ac:dyDescent="0.25">
      <c r="A620">
        <v>619</v>
      </c>
      <c r="B620" t="s">
        <v>1197</v>
      </c>
      <c r="C620" t="s">
        <v>585</v>
      </c>
      <c r="D620" t="s">
        <v>534</v>
      </c>
      <c r="F620" t="str">
        <f t="shared" si="18"/>
        <v/>
      </c>
      <c r="G620" t="s">
        <v>1208</v>
      </c>
      <c r="H620" t="str">
        <f t="shared" si="19"/>
        <v>ren "" "971.jpg"</v>
      </c>
    </row>
    <row r="621" spans="1:8" x14ac:dyDescent="0.25">
      <c r="A621">
        <v>620</v>
      </c>
      <c r="B621" t="s">
        <v>1197</v>
      </c>
      <c r="C621" t="s">
        <v>585</v>
      </c>
      <c r="D621" t="s">
        <v>536</v>
      </c>
      <c r="F621" t="str">
        <f t="shared" si="18"/>
        <v/>
      </c>
      <c r="G621" t="s">
        <v>1209</v>
      </c>
      <c r="H621" t="str">
        <f t="shared" si="19"/>
        <v>ren "" "972.jpg"</v>
      </c>
    </row>
    <row r="622" spans="1:8" x14ac:dyDescent="0.25">
      <c r="A622">
        <v>621</v>
      </c>
      <c r="B622" t="s">
        <v>1197</v>
      </c>
      <c r="C622" t="s">
        <v>588</v>
      </c>
      <c r="D622" t="s">
        <v>534</v>
      </c>
      <c r="F622" t="str">
        <f t="shared" si="18"/>
        <v/>
      </c>
      <c r="G622" t="s">
        <v>1210</v>
      </c>
      <c r="H622" t="str">
        <f t="shared" si="19"/>
        <v>ren "" "973.jpg"</v>
      </c>
    </row>
    <row r="623" spans="1:8" x14ac:dyDescent="0.25">
      <c r="A623">
        <v>622</v>
      </c>
      <c r="B623" t="s">
        <v>1197</v>
      </c>
      <c r="C623" t="s">
        <v>588</v>
      </c>
      <c r="D623" t="s">
        <v>536</v>
      </c>
      <c r="F623" t="str">
        <f t="shared" si="18"/>
        <v/>
      </c>
      <c r="G623" t="s">
        <v>1211</v>
      </c>
      <c r="H623" t="str">
        <f t="shared" si="19"/>
        <v>ren "" "974.jpg"</v>
      </c>
    </row>
    <row r="624" spans="1:8" x14ac:dyDescent="0.25">
      <c r="A624">
        <v>623</v>
      </c>
      <c r="B624" t="s">
        <v>1197</v>
      </c>
      <c r="C624" t="s">
        <v>591</v>
      </c>
      <c r="D624" t="s">
        <v>534</v>
      </c>
      <c r="F624" t="str">
        <f t="shared" si="18"/>
        <v/>
      </c>
      <c r="G624" t="s">
        <v>1212</v>
      </c>
      <c r="H624" t="str">
        <f t="shared" si="19"/>
        <v>ren "" "975.jpg"</v>
      </c>
    </row>
    <row r="625" spans="1:8" x14ac:dyDescent="0.25">
      <c r="A625">
        <v>624</v>
      </c>
      <c r="B625" t="s">
        <v>1197</v>
      </c>
      <c r="C625" t="s">
        <v>591</v>
      </c>
      <c r="D625" t="s">
        <v>536</v>
      </c>
      <c r="F625" t="str">
        <f t="shared" si="18"/>
        <v/>
      </c>
      <c r="G625" t="s">
        <v>1213</v>
      </c>
      <c r="H625" t="str">
        <f t="shared" si="19"/>
        <v>ren "" "976.jpg"</v>
      </c>
    </row>
    <row r="626" spans="1:8" x14ac:dyDescent="0.25">
      <c r="A626">
        <v>625</v>
      </c>
      <c r="B626" t="s">
        <v>1214</v>
      </c>
      <c r="C626" t="s">
        <v>570</v>
      </c>
      <c r="D626" t="s">
        <v>534</v>
      </c>
      <c r="F626" t="str">
        <f t="shared" si="18"/>
        <v/>
      </c>
      <c r="G626" t="s">
        <v>1215</v>
      </c>
      <c r="H626" t="str">
        <f t="shared" si="19"/>
        <v>ren "" "977.jpg"</v>
      </c>
    </row>
    <row r="627" spans="1:8" x14ac:dyDescent="0.25">
      <c r="A627">
        <v>626</v>
      </c>
      <c r="B627" t="s">
        <v>1214</v>
      </c>
      <c r="C627" t="s">
        <v>570</v>
      </c>
      <c r="D627" t="s">
        <v>536</v>
      </c>
      <c r="F627" t="str">
        <f t="shared" si="18"/>
        <v/>
      </c>
      <c r="G627" t="s">
        <v>1216</v>
      </c>
      <c r="H627" t="str">
        <f t="shared" si="19"/>
        <v>ren "" "978.jpg"</v>
      </c>
    </row>
    <row r="628" spans="1:8" x14ac:dyDescent="0.25">
      <c r="A628">
        <v>627</v>
      </c>
      <c r="B628" t="s">
        <v>1214</v>
      </c>
      <c r="C628" t="s">
        <v>573</v>
      </c>
      <c r="D628" t="s">
        <v>534</v>
      </c>
      <c r="F628" t="str">
        <f t="shared" si="18"/>
        <v/>
      </c>
      <c r="G628" t="s">
        <v>1217</v>
      </c>
      <c r="H628" t="str">
        <f t="shared" si="19"/>
        <v>ren "" "979.jpg"</v>
      </c>
    </row>
    <row r="629" spans="1:8" x14ac:dyDescent="0.25">
      <c r="A629">
        <v>628</v>
      </c>
      <c r="B629" t="s">
        <v>1214</v>
      </c>
      <c r="C629" t="s">
        <v>573</v>
      </c>
      <c r="D629" t="s">
        <v>536</v>
      </c>
      <c r="F629" t="str">
        <f t="shared" si="18"/>
        <v/>
      </c>
      <c r="G629" t="s">
        <v>1218</v>
      </c>
      <c r="H629" t="str">
        <f t="shared" si="19"/>
        <v>ren "" "980.jpg"</v>
      </c>
    </row>
    <row r="630" spans="1:8" x14ac:dyDescent="0.25">
      <c r="A630">
        <v>629</v>
      </c>
      <c r="B630" t="s">
        <v>1214</v>
      </c>
      <c r="C630" t="s">
        <v>576</v>
      </c>
      <c r="D630" t="s">
        <v>534</v>
      </c>
      <c r="F630" t="str">
        <f t="shared" si="18"/>
        <v/>
      </c>
      <c r="G630" t="s">
        <v>1219</v>
      </c>
      <c r="H630" t="str">
        <f t="shared" si="19"/>
        <v>ren "" "981.jpg"</v>
      </c>
    </row>
    <row r="631" spans="1:8" x14ac:dyDescent="0.25">
      <c r="A631">
        <v>630</v>
      </c>
      <c r="B631" t="s">
        <v>1214</v>
      </c>
      <c r="C631" t="s">
        <v>576</v>
      </c>
      <c r="D631" t="s">
        <v>536</v>
      </c>
      <c r="F631" t="str">
        <f t="shared" si="18"/>
        <v/>
      </c>
      <c r="G631" t="s">
        <v>1220</v>
      </c>
      <c r="H631" t="str">
        <f t="shared" si="19"/>
        <v>ren "" "982.jpg"</v>
      </c>
    </row>
    <row r="632" spans="1:8" x14ac:dyDescent="0.25">
      <c r="A632">
        <v>631</v>
      </c>
      <c r="B632" t="s">
        <v>1214</v>
      </c>
      <c r="C632" t="s">
        <v>579</v>
      </c>
      <c r="D632" t="s">
        <v>534</v>
      </c>
      <c r="F632" t="str">
        <f t="shared" si="18"/>
        <v/>
      </c>
      <c r="G632" t="s">
        <v>1221</v>
      </c>
      <c r="H632" t="str">
        <f t="shared" si="19"/>
        <v>ren "" "983.jpg"</v>
      </c>
    </row>
    <row r="633" spans="1:8" x14ac:dyDescent="0.25">
      <c r="A633">
        <v>632</v>
      </c>
      <c r="B633" t="s">
        <v>1214</v>
      </c>
      <c r="C633" t="s">
        <v>579</v>
      </c>
      <c r="D633" t="s">
        <v>536</v>
      </c>
      <c r="F633" t="str">
        <f t="shared" si="18"/>
        <v/>
      </c>
      <c r="G633" t="s">
        <v>1222</v>
      </c>
      <c r="H633" t="str">
        <f t="shared" si="19"/>
        <v>ren "" "984.jpg"</v>
      </c>
    </row>
    <row r="634" spans="1:8" x14ac:dyDescent="0.25">
      <c r="A634">
        <v>633</v>
      </c>
      <c r="B634" t="s">
        <v>1214</v>
      </c>
      <c r="C634" t="s">
        <v>582</v>
      </c>
      <c r="D634" t="s">
        <v>534</v>
      </c>
      <c r="F634" t="str">
        <f t="shared" si="18"/>
        <v/>
      </c>
      <c r="G634" t="s">
        <v>1223</v>
      </c>
      <c r="H634" t="str">
        <f t="shared" si="19"/>
        <v>ren "" "985.jpg"</v>
      </c>
    </row>
    <row r="635" spans="1:8" x14ac:dyDescent="0.25">
      <c r="A635">
        <v>634</v>
      </c>
      <c r="B635" t="s">
        <v>1214</v>
      </c>
      <c r="C635" t="s">
        <v>582</v>
      </c>
      <c r="D635" t="s">
        <v>536</v>
      </c>
      <c r="F635" t="str">
        <f t="shared" si="18"/>
        <v/>
      </c>
      <c r="G635" t="s">
        <v>1224</v>
      </c>
      <c r="H635" t="str">
        <f t="shared" si="19"/>
        <v>ren "" "986.jpg"</v>
      </c>
    </row>
    <row r="636" spans="1:8" x14ac:dyDescent="0.25">
      <c r="A636">
        <v>635</v>
      </c>
      <c r="B636" t="s">
        <v>1214</v>
      </c>
      <c r="C636" t="s">
        <v>585</v>
      </c>
      <c r="D636" t="s">
        <v>534</v>
      </c>
      <c r="F636" t="str">
        <f t="shared" si="18"/>
        <v/>
      </c>
      <c r="G636" t="s">
        <v>1225</v>
      </c>
      <c r="H636" t="str">
        <f t="shared" si="19"/>
        <v>ren "" "987.jpg"</v>
      </c>
    </row>
    <row r="637" spans="1:8" x14ac:dyDescent="0.25">
      <c r="A637">
        <v>636</v>
      </c>
      <c r="B637" t="s">
        <v>1214</v>
      </c>
      <c r="C637" t="s">
        <v>585</v>
      </c>
      <c r="D637" t="s">
        <v>536</v>
      </c>
      <c r="F637" t="str">
        <f t="shared" si="18"/>
        <v/>
      </c>
      <c r="G637" t="s">
        <v>1226</v>
      </c>
      <c r="H637" t="str">
        <f t="shared" si="19"/>
        <v>ren "" "988.jpg"</v>
      </c>
    </row>
    <row r="638" spans="1:8" x14ac:dyDescent="0.25">
      <c r="A638">
        <v>637</v>
      </c>
      <c r="B638" t="s">
        <v>1214</v>
      </c>
      <c r="C638" t="s">
        <v>588</v>
      </c>
      <c r="D638" t="s">
        <v>534</v>
      </c>
      <c r="F638" t="str">
        <f t="shared" si="18"/>
        <v/>
      </c>
      <c r="G638" t="s">
        <v>1227</v>
      </c>
      <c r="H638" t="str">
        <f t="shared" si="19"/>
        <v>ren "" "989.jpg"</v>
      </c>
    </row>
    <row r="639" spans="1:8" x14ac:dyDescent="0.25">
      <c r="A639">
        <v>638</v>
      </c>
      <c r="B639" t="s">
        <v>1214</v>
      </c>
      <c r="C639" t="s">
        <v>588</v>
      </c>
      <c r="D639" t="s">
        <v>536</v>
      </c>
      <c r="F639" t="str">
        <f t="shared" si="18"/>
        <v/>
      </c>
      <c r="G639" t="s">
        <v>1228</v>
      </c>
      <c r="H639" t="str">
        <f t="shared" si="19"/>
        <v>ren "" "990.jpg"</v>
      </c>
    </row>
    <row r="640" spans="1:8" x14ac:dyDescent="0.25">
      <c r="A640">
        <v>639</v>
      </c>
      <c r="B640" t="s">
        <v>1214</v>
      </c>
      <c r="C640" t="s">
        <v>591</v>
      </c>
      <c r="D640" t="s">
        <v>534</v>
      </c>
      <c r="F640" t="str">
        <f t="shared" si="18"/>
        <v/>
      </c>
      <c r="G640" t="s">
        <v>1229</v>
      </c>
      <c r="H640" t="str">
        <f t="shared" si="19"/>
        <v>ren "" "991.jpg"</v>
      </c>
    </row>
    <row r="641" spans="1:8" x14ac:dyDescent="0.25">
      <c r="A641">
        <v>640</v>
      </c>
      <c r="B641" t="s">
        <v>1214</v>
      </c>
      <c r="C641" t="s">
        <v>591</v>
      </c>
      <c r="D641" t="s">
        <v>536</v>
      </c>
      <c r="F641" t="str">
        <f t="shared" si="18"/>
        <v/>
      </c>
      <c r="G641" t="s">
        <v>1230</v>
      </c>
      <c r="H641" t="str">
        <f t="shared" si="19"/>
        <v>ren "" "992.jpg"</v>
      </c>
    </row>
    <row r="642" spans="1:8" x14ac:dyDescent="0.25">
      <c r="A642">
        <v>641</v>
      </c>
      <c r="B642" t="s">
        <v>1231</v>
      </c>
      <c r="C642" t="s">
        <v>570</v>
      </c>
      <c r="D642" t="s">
        <v>534</v>
      </c>
      <c r="F642" t="str">
        <f t="shared" ref="F642:F705" si="20">IF(E642="", "", TRIM(RIGHT(SUBSTITUTE(E642, "\", REPT(" ", LEN(E642))), LEN(E642))))</f>
        <v/>
      </c>
      <c r="G642" t="s">
        <v>1232</v>
      </c>
      <c r="H642" t="str">
        <f t="shared" ref="H642:H705" si="21">"ren """ &amp; F642 &amp; """ """ &amp; G642 &amp; """"</f>
        <v>ren "" "993.jpg"</v>
      </c>
    </row>
    <row r="643" spans="1:8" x14ac:dyDescent="0.25">
      <c r="A643">
        <v>642</v>
      </c>
      <c r="B643" t="s">
        <v>1231</v>
      </c>
      <c r="C643" t="s">
        <v>570</v>
      </c>
      <c r="D643" t="s">
        <v>536</v>
      </c>
      <c r="F643" t="str">
        <f t="shared" si="20"/>
        <v/>
      </c>
      <c r="G643" t="s">
        <v>1233</v>
      </c>
      <c r="H643" t="str">
        <f t="shared" si="21"/>
        <v>ren "" "994.jpg"</v>
      </c>
    </row>
    <row r="644" spans="1:8" x14ac:dyDescent="0.25">
      <c r="A644">
        <v>643</v>
      </c>
      <c r="B644" t="s">
        <v>1231</v>
      </c>
      <c r="C644" t="s">
        <v>573</v>
      </c>
      <c r="D644" t="s">
        <v>534</v>
      </c>
      <c r="F644" t="str">
        <f t="shared" si="20"/>
        <v/>
      </c>
      <c r="G644" t="s">
        <v>1234</v>
      </c>
      <c r="H644" t="str">
        <f t="shared" si="21"/>
        <v>ren "" "995.jpg"</v>
      </c>
    </row>
    <row r="645" spans="1:8" x14ac:dyDescent="0.25">
      <c r="A645">
        <v>644</v>
      </c>
      <c r="B645" t="s">
        <v>1231</v>
      </c>
      <c r="C645" t="s">
        <v>573</v>
      </c>
      <c r="D645" t="s">
        <v>536</v>
      </c>
      <c r="F645" t="str">
        <f t="shared" si="20"/>
        <v/>
      </c>
      <c r="G645" t="s">
        <v>1235</v>
      </c>
      <c r="H645" t="str">
        <f t="shared" si="21"/>
        <v>ren "" "996.jpg"</v>
      </c>
    </row>
    <row r="646" spans="1:8" x14ac:dyDescent="0.25">
      <c r="A646">
        <v>645</v>
      </c>
      <c r="B646" t="s">
        <v>1231</v>
      </c>
      <c r="C646" t="s">
        <v>576</v>
      </c>
      <c r="D646" t="s">
        <v>534</v>
      </c>
      <c r="F646" t="str">
        <f t="shared" si="20"/>
        <v/>
      </c>
      <c r="G646" t="s">
        <v>1236</v>
      </c>
      <c r="H646" t="str">
        <f t="shared" si="21"/>
        <v>ren "" "997.jpg"</v>
      </c>
    </row>
    <row r="647" spans="1:8" x14ac:dyDescent="0.25">
      <c r="A647">
        <v>646</v>
      </c>
      <c r="B647" t="s">
        <v>1231</v>
      </c>
      <c r="C647" t="s">
        <v>576</v>
      </c>
      <c r="D647" t="s">
        <v>536</v>
      </c>
      <c r="F647" t="str">
        <f t="shared" si="20"/>
        <v/>
      </c>
      <c r="G647" t="s">
        <v>1237</v>
      </c>
      <c r="H647" t="str">
        <f t="shared" si="21"/>
        <v>ren "" "998.jpg"</v>
      </c>
    </row>
    <row r="648" spans="1:8" x14ac:dyDescent="0.25">
      <c r="A648">
        <v>647</v>
      </c>
      <c r="B648" t="s">
        <v>1231</v>
      </c>
      <c r="C648" t="s">
        <v>579</v>
      </c>
      <c r="D648" t="s">
        <v>534</v>
      </c>
      <c r="F648" t="str">
        <f t="shared" si="20"/>
        <v/>
      </c>
      <c r="G648" t="s">
        <v>1238</v>
      </c>
      <c r="H648" t="str">
        <f t="shared" si="21"/>
        <v>ren "" "999.jpg"</v>
      </c>
    </row>
    <row r="649" spans="1:8" x14ac:dyDescent="0.25">
      <c r="A649">
        <v>648</v>
      </c>
      <c r="B649" t="s">
        <v>1231</v>
      </c>
      <c r="C649" t="s">
        <v>579</v>
      </c>
      <c r="D649" t="s">
        <v>536</v>
      </c>
      <c r="F649" t="str">
        <f t="shared" si="20"/>
        <v/>
      </c>
      <c r="G649" t="s">
        <v>1239</v>
      </c>
      <c r="H649" t="str">
        <f t="shared" si="21"/>
        <v>ren "" "1000.jpg"</v>
      </c>
    </row>
    <row r="650" spans="1:8" x14ac:dyDescent="0.25">
      <c r="A650">
        <v>649</v>
      </c>
      <c r="B650" t="s">
        <v>1231</v>
      </c>
      <c r="C650" t="s">
        <v>582</v>
      </c>
      <c r="D650" t="s">
        <v>534</v>
      </c>
      <c r="F650" t="str">
        <f t="shared" si="20"/>
        <v/>
      </c>
      <c r="G650" t="s">
        <v>1240</v>
      </c>
      <c r="H650" t="str">
        <f t="shared" si="21"/>
        <v>ren "" "1001.jpg"</v>
      </c>
    </row>
    <row r="651" spans="1:8" x14ac:dyDescent="0.25">
      <c r="A651">
        <v>650</v>
      </c>
      <c r="B651" t="s">
        <v>1231</v>
      </c>
      <c r="C651" t="s">
        <v>582</v>
      </c>
      <c r="D651" t="s">
        <v>536</v>
      </c>
      <c r="F651" t="str">
        <f t="shared" si="20"/>
        <v/>
      </c>
      <c r="G651" t="s">
        <v>1241</v>
      </c>
      <c r="H651" t="str">
        <f t="shared" si="21"/>
        <v>ren "" "1002.jpg"</v>
      </c>
    </row>
    <row r="652" spans="1:8" x14ac:dyDescent="0.25">
      <c r="A652">
        <v>651</v>
      </c>
      <c r="B652" t="s">
        <v>1231</v>
      </c>
      <c r="C652" t="s">
        <v>585</v>
      </c>
      <c r="D652" t="s">
        <v>534</v>
      </c>
      <c r="F652" t="str">
        <f t="shared" si="20"/>
        <v/>
      </c>
      <c r="G652" t="s">
        <v>1242</v>
      </c>
      <c r="H652" t="str">
        <f t="shared" si="21"/>
        <v>ren "" "1003.jpg"</v>
      </c>
    </row>
    <row r="653" spans="1:8" x14ac:dyDescent="0.25">
      <c r="A653">
        <v>652</v>
      </c>
      <c r="B653" t="s">
        <v>1231</v>
      </c>
      <c r="C653" t="s">
        <v>585</v>
      </c>
      <c r="D653" t="s">
        <v>536</v>
      </c>
      <c r="F653" t="str">
        <f t="shared" si="20"/>
        <v/>
      </c>
      <c r="G653" t="s">
        <v>1243</v>
      </c>
      <c r="H653" t="str">
        <f t="shared" si="21"/>
        <v>ren "" "1004.jpg"</v>
      </c>
    </row>
    <row r="654" spans="1:8" x14ac:dyDescent="0.25">
      <c r="A654">
        <v>653</v>
      </c>
      <c r="B654" t="s">
        <v>1231</v>
      </c>
      <c r="C654" t="s">
        <v>588</v>
      </c>
      <c r="D654" t="s">
        <v>534</v>
      </c>
      <c r="F654" t="str">
        <f t="shared" si="20"/>
        <v/>
      </c>
      <c r="G654" t="s">
        <v>1244</v>
      </c>
      <c r="H654" t="str">
        <f t="shared" si="21"/>
        <v>ren "" "1005.jpg"</v>
      </c>
    </row>
    <row r="655" spans="1:8" x14ac:dyDescent="0.25">
      <c r="A655">
        <v>654</v>
      </c>
      <c r="B655" t="s">
        <v>1231</v>
      </c>
      <c r="C655" t="s">
        <v>588</v>
      </c>
      <c r="D655" t="s">
        <v>536</v>
      </c>
      <c r="F655" t="str">
        <f t="shared" si="20"/>
        <v/>
      </c>
      <c r="G655" t="s">
        <v>1245</v>
      </c>
      <c r="H655" t="str">
        <f t="shared" si="21"/>
        <v>ren "" "1006.jpg"</v>
      </c>
    </row>
    <row r="656" spans="1:8" x14ac:dyDescent="0.25">
      <c r="A656">
        <v>655</v>
      </c>
      <c r="B656" t="s">
        <v>1231</v>
      </c>
      <c r="C656" t="s">
        <v>591</v>
      </c>
      <c r="D656" t="s">
        <v>534</v>
      </c>
      <c r="F656" t="str">
        <f t="shared" si="20"/>
        <v/>
      </c>
      <c r="G656" t="s">
        <v>1246</v>
      </c>
      <c r="H656" t="str">
        <f t="shared" si="21"/>
        <v>ren "" "1007.jpg"</v>
      </c>
    </row>
    <row r="657" spans="1:8" x14ac:dyDescent="0.25">
      <c r="A657">
        <v>656</v>
      </c>
      <c r="B657" t="s">
        <v>1231</v>
      </c>
      <c r="C657" t="s">
        <v>591</v>
      </c>
      <c r="D657" t="s">
        <v>536</v>
      </c>
      <c r="F657" t="str">
        <f t="shared" si="20"/>
        <v/>
      </c>
      <c r="G657" t="s">
        <v>1247</v>
      </c>
      <c r="H657" t="str">
        <f t="shared" si="21"/>
        <v>ren "" "1008.jpg"</v>
      </c>
    </row>
    <row r="658" spans="1:8" x14ac:dyDescent="0.25">
      <c r="A658">
        <v>657</v>
      </c>
      <c r="B658" t="s">
        <v>1248</v>
      </c>
      <c r="C658" t="s">
        <v>570</v>
      </c>
      <c r="D658" t="s">
        <v>534</v>
      </c>
      <c r="F658" t="str">
        <f t="shared" si="20"/>
        <v/>
      </c>
      <c r="G658" t="s">
        <v>1249</v>
      </c>
      <c r="H658" t="str">
        <f t="shared" si="21"/>
        <v>ren "" "1009.jpg"</v>
      </c>
    </row>
    <row r="659" spans="1:8" x14ac:dyDescent="0.25">
      <c r="A659">
        <v>658</v>
      </c>
      <c r="B659" t="s">
        <v>1248</v>
      </c>
      <c r="C659" t="s">
        <v>570</v>
      </c>
      <c r="D659" t="s">
        <v>536</v>
      </c>
      <c r="F659" t="str">
        <f t="shared" si="20"/>
        <v/>
      </c>
      <c r="G659" t="s">
        <v>1250</v>
      </c>
      <c r="H659" t="str">
        <f t="shared" si="21"/>
        <v>ren "" "1010.jpg"</v>
      </c>
    </row>
    <row r="660" spans="1:8" x14ac:dyDescent="0.25">
      <c r="A660">
        <v>659</v>
      </c>
      <c r="B660" t="s">
        <v>1248</v>
      </c>
      <c r="C660" t="s">
        <v>573</v>
      </c>
      <c r="D660" t="s">
        <v>534</v>
      </c>
      <c r="F660" t="str">
        <f t="shared" si="20"/>
        <v/>
      </c>
      <c r="G660" t="s">
        <v>1251</v>
      </c>
      <c r="H660" t="str">
        <f t="shared" si="21"/>
        <v>ren "" "1011.jpg"</v>
      </c>
    </row>
    <row r="661" spans="1:8" x14ac:dyDescent="0.25">
      <c r="A661">
        <v>660</v>
      </c>
      <c r="B661" t="s">
        <v>1248</v>
      </c>
      <c r="C661" t="s">
        <v>573</v>
      </c>
      <c r="D661" t="s">
        <v>536</v>
      </c>
      <c r="F661" t="str">
        <f t="shared" si="20"/>
        <v/>
      </c>
      <c r="G661" t="s">
        <v>1252</v>
      </c>
      <c r="H661" t="str">
        <f t="shared" si="21"/>
        <v>ren "" "1012.jpg"</v>
      </c>
    </row>
    <row r="662" spans="1:8" x14ac:dyDescent="0.25">
      <c r="A662">
        <v>661</v>
      </c>
      <c r="B662" t="s">
        <v>1248</v>
      </c>
      <c r="C662" t="s">
        <v>576</v>
      </c>
      <c r="D662" t="s">
        <v>534</v>
      </c>
      <c r="F662" t="str">
        <f t="shared" si="20"/>
        <v/>
      </c>
      <c r="G662" t="s">
        <v>1253</v>
      </c>
      <c r="H662" t="str">
        <f t="shared" si="21"/>
        <v>ren "" "1013.jpg"</v>
      </c>
    </row>
    <row r="663" spans="1:8" x14ac:dyDescent="0.25">
      <c r="A663">
        <v>662</v>
      </c>
      <c r="B663" t="s">
        <v>1248</v>
      </c>
      <c r="C663" t="s">
        <v>576</v>
      </c>
      <c r="D663" t="s">
        <v>536</v>
      </c>
      <c r="F663" t="str">
        <f t="shared" si="20"/>
        <v/>
      </c>
      <c r="G663" t="s">
        <v>1254</v>
      </c>
      <c r="H663" t="str">
        <f t="shared" si="21"/>
        <v>ren "" "1014.jpg"</v>
      </c>
    </row>
    <row r="664" spans="1:8" x14ac:dyDescent="0.25">
      <c r="A664">
        <v>663</v>
      </c>
      <c r="B664" t="s">
        <v>1248</v>
      </c>
      <c r="C664" t="s">
        <v>579</v>
      </c>
      <c r="D664" t="s">
        <v>534</v>
      </c>
      <c r="F664" t="str">
        <f t="shared" si="20"/>
        <v/>
      </c>
      <c r="G664" t="s">
        <v>1255</v>
      </c>
      <c r="H664" t="str">
        <f t="shared" si="21"/>
        <v>ren "" "1015.jpg"</v>
      </c>
    </row>
    <row r="665" spans="1:8" x14ac:dyDescent="0.25">
      <c r="A665">
        <v>664</v>
      </c>
      <c r="B665" t="s">
        <v>1248</v>
      </c>
      <c r="C665" t="s">
        <v>579</v>
      </c>
      <c r="D665" t="s">
        <v>536</v>
      </c>
      <c r="F665" t="str">
        <f t="shared" si="20"/>
        <v/>
      </c>
      <c r="G665" t="s">
        <v>1256</v>
      </c>
      <c r="H665" t="str">
        <f t="shared" si="21"/>
        <v>ren "" "1016.jpg"</v>
      </c>
    </row>
    <row r="666" spans="1:8" x14ac:dyDescent="0.25">
      <c r="A666">
        <v>665</v>
      </c>
      <c r="B666" t="s">
        <v>1248</v>
      </c>
      <c r="C666" t="s">
        <v>582</v>
      </c>
      <c r="D666" t="s">
        <v>534</v>
      </c>
      <c r="F666" t="str">
        <f t="shared" si="20"/>
        <v/>
      </c>
      <c r="G666" t="s">
        <v>1257</v>
      </c>
      <c r="H666" t="str">
        <f t="shared" si="21"/>
        <v>ren "" "1017.jpg"</v>
      </c>
    </row>
    <row r="667" spans="1:8" x14ac:dyDescent="0.25">
      <c r="A667">
        <v>666</v>
      </c>
      <c r="B667" t="s">
        <v>1248</v>
      </c>
      <c r="C667" t="s">
        <v>582</v>
      </c>
      <c r="D667" t="s">
        <v>536</v>
      </c>
      <c r="F667" t="str">
        <f t="shared" si="20"/>
        <v/>
      </c>
      <c r="G667" t="s">
        <v>1258</v>
      </c>
      <c r="H667" t="str">
        <f t="shared" si="21"/>
        <v>ren "" "1018.jpg"</v>
      </c>
    </row>
    <row r="668" spans="1:8" x14ac:dyDescent="0.25">
      <c r="A668">
        <v>667</v>
      </c>
      <c r="B668" t="s">
        <v>1248</v>
      </c>
      <c r="C668" t="s">
        <v>585</v>
      </c>
      <c r="D668" t="s">
        <v>534</v>
      </c>
      <c r="F668" t="str">
        <f t="shared" si="20"/>
        <v/>
      </c>
      <c r="G668" t="s">
        <v>1259</v>
      </c>
      <c r="H668" t="str">
        <f t="shared" si="21"/>
        <v>ren "" "1019.jpg"</v>
      </c>
    </row>
    <row r="669" spans="1:8" x14ac:dyDescent="0.25">
      <c r="A669">
        <v>668</v>
      </c>
      <c r="B669" t="s">
        <v>1248</v>
      </c>
      <c r="C669" t="s">
        <v>585</v>
      </c>
      <c r="D669" t="s">
        <v>536</v>
      </c>
      <c r="F669" t="str">
        <f t="shared" si="20"/>
        <v/>
      </c>
      <c r="G669" t="s">
        <v>1260</v>
      </c>
      <c r="H669" t="str">
        <f t="shared" si="21"/>
        <v>ren "" "1020.jpg"</v>
      </c>
    </row>
    <row r="670" spans="1:8" x14ac:dyDescent="0.25">
      <c r="A670">
        <v>669</v>
      </c>
      <c r="B670" t="s">
        <v>1248</v>
      </c>
      <c r="C670" t="s">
        <v>588</v>
      </c>
      <c r="D670" t="s">
        <v>534</v>
      </c>
      <c r="F670" t="str">
        <f t="shared" si="20"/>
        <v/>
      </c>
      <c r="G670" t="s">
        <v>1261</v>
      </c>
      <c r="H670" t="str">
        <f t="shared" si="21"/>
        <v>ren "" "1021.jpg"</v>
      </c>
    </row>
    <row r="671" spans="1:8" x14ac:dyDescent="0.25">
      <c r="A671">
        <v>670</v>
      </c>
      <c r="B671" t="s">
        <v>1248</v>
      </c>
      <c r="C671" t="s">
        <v>588</v>
      </c>
      <c r="D671" t="s">
        <v>536</v>
      </c>
      <c r="F671" t="str">
        <f t="shared" si="20"/>
        <v/>
      </c>
      <c r="G671" t="s">
        <v>1262</v>
      </c>
      <c r="H671" t="str">
        <f t="shared" si="21"/>
        <v>ren "" "1022.jpg"</v>
      </c>
    </row>
    <row r="672" spans="1:8" x14ac:dyDescent="0.25">
      <c r="A672">
        <v>671</v>
      </c>
      <c r="B672" t="s">
        <v>1248</v>
      </c>
      <c r="C672" t="s">
        <v>591</v>
      </c>
      <c r="D672" t="s">
        <v>534</v>
      </c>
      <c r="F672" t="str">
        <f t="shared" si="20"/>
        <v/>
      </c>
      <c r="G672" t="s">
        <v>1263</v>
      </c>
      <c r="H672" t="str">
        <f t="shared" si="21"/>
        <v>ren "" "1023.jpg"</v>
      </c>
    </row>
    <row r="673" spans="1:8" x14ac:dyDescent="0.25">
      <c r="A673">
        <v>672</v>
      </c>
      <c r="B673" t="s">
        <v>1248</v>
      </c>
      <c r="C673" t="s">
        <v>591</v>
      </c>
      <c r="D673" t="s">
        <v>536</v>
      </c>
      <c r="F673" t="str">
        <f t="shared" si="20"/>
        <v/>
      </c>
      <c r="G673" t="s">
        <v>1264</v>
      </c>
      <c r="H673" t="str">
        <f t="shared" si="21"/>
        <v>ren "" "1024.jpg"</v>
      </c>
    </row>
    <row r="674" spans="1:8" x14ac:dyDescent="0.25">
      <c r="A674">
        <v>673</v>
      </c>
      <c r="B674" t="s">
        <v>1265</v>
      </c>
      <c r="C674" t="s">
        <v>570</v>
      </c>
      <c r="D674" t="s">
        <v>534</v>
      </c>
      <c r="F674" t="str">
        <f t="shared" si="20"/>
        <v/>
      </c>
      <c r="G674" t="s">
        <v>1266</v>
      </c>
      <c r="H674" t="str">
        <f t="shared" si="21"/>
        <v>ren "" "1025.jpg"</v>
      </c>
    </row>
    <row r="675" spans="1:8" x14ac:dyDescent="0.25">
      <c r="A675">
        <v>674</v>
      </c>
      <c r="B675" t="s">
        <v>1265</v>
      </c>
      <c r="C675" t="s">
        <v>570</v>
      </c>
      <c r="D675" t="s">
        <v>536</v>
      </c>
      <c r="F675" t="str">
        <f t="shared" si="20"/>
        <v/>
      </c>
      <c r="G675" t="s">
        <v>1267</v>
      </c>
      <c r="H675" t="str">
        <f t="shared" si="21"/>
        <v>ren "" "1026.jpg"</v>
      </c>
    </row>
    <row r="676" spans="1:8" x14ac:dyDescent="0.25">
      <c r="A676">
        <v>675</v>
      </c>
      <c r="B676" t="s">
        <v>1265</v>
      </c>
      <c r="C676" t="s">
        <v>573</v>
      </c>
      <c r="D676" t="s">
        <v>534</v>
      </c>
      <c r="F676" t="str">
        <f t="shared" si="20"/>
        <v/>
      </c>
      <c r="G676" t="s">
        <v>1268</v>
      </c>
      <c r="H676" t="str">
        <f t="shared" si="21"/>
        <v>ren "" "1027.jpg"</v>
      </c>
    </row>
    <row r="677" spans="1:8" x14ac:dyDescent="0.25">
      <c r="A677">
        <v>676</v>
      </c>
      <c r="B677" t="s">
        <v>1265</v>
      </c>
      <c r="C677" t="s">
        <v>573</v>
      </c>
      <c r="D677" t="s">
        <v>536</v>
      </c>
      <c r="F677" t="str">
        <f t="shared" si="20"/>
        <v/>
      </c>
      <c r="G677" t="s">
        <v>1269</v>
      </c>
      <c r="H677" t="str">
        <f t="shared" si="21"/>
        <v>ren "" "1028.jpg"</v>
      </c>
    </row>
    <row r="678" spans="1:8" x14ac:dyDescent="0.25">
      <c r="A678">
        <v>677</v>
      </c>
      <c r="B678" t="s">
        <v>1265</v>
      </c>
      <c r="C678" t="s">
        <v>576</v>
      </c>
      <c r="D678" t="s">
        <v>534</v>
      </c>
      <c r="F678" t="str">
        <f t="shared" si="20"/>
        <v/>
      </c>
      <c r="G678" t="s">
        <v>1270</v>
      </c>
      <c r="H678" t="str">
        <f t="shared" si="21"/>
        <v>ren "" "1029.jpg"</v>
      </c>
    </row>
    <row r="679" spans="1:8" x14ac:dyDescent="0.25">
      <c r="A679">
        <v>678</v>
      </c>
      <c r="B679" t="s">
        <v>1265</v>
      </c>
      <c r="C679" t="s">
        <v>576</v>
      </c>
      <c r="D679" t="s">
        <v>536</v>
      </c>
      <c r="F679" t="str">
        <f t="shared" si="20"/>
        <v/>
      </c>
      <c r="G679" t="s">
        <v>1271</v>
      </c>
      <c r="H679" t="str">
        <f t="shared" si="21"/>
        <v>ren "" "1030.jpg"</v>
      </c>
    </row>
    <row r="680" spans="1:8" x14ac:dyDescent="0.25">
      <c r="A680">
        <v>679</v>
      </c>
      <c r="B680" t="s">
        <v>1265</v>
      </c>
      <c r="C680" t="s">
        <v>579</v>
      </c>
      <c r="D680" t="s">
        <v>534</v>
      </c>
      <c r="F680" t="str">
        <f t="shared" si="20"/>
        <v/>
      </c>
      <c r="G680" t="s">
        <v>1272</v>
      </c>
      <c r="H680" t="str">
        <f t="shared" si="21"/>
        <v>ren "" "1031.jpg"</v>
      </c>
    </row>
    <row r="681" spans="1:8" x14ac:dyDescent="0.25">
      <c r="A681">
        <v>680</v>
      </c>
      <c r="B681" t="s">
        <v>1265</v>
      </c>
      <c r="C681" t="s">
        <v>579</v>
      </c>
      <c r="D681" t="s">
        <v>536</v>
      </c>
      <c r="F681" t="str">
        <f t="shared" si="20"/>
        <v/>
      </c>
      <c r="G681" t="s">
        <v>1273</v>
      </c>
      <c r="H681" t="str">
        <f t="shared" si="21"/>
        <v>ren "" "1032.jpg"</v>
      </c>
    </row>
    <row r="682" spans="1:8" x14ac:dyDescent="0.25">
      <c r="A682">
        <v>681</v>
      </c>
      <c r="B682" t="s">
        <v>1265</v>
      </c>
      <c r="C682" t="s">
        <v>582</v>
      </c>
      <c r="D682" t="s">
        <v>534</v>
      </c>
      <c r="F682" t="str">
        <f t="shared" si="20"/>
        <v/>
      </c>
      <c r="G682" t="s">
        <v>1274</v>
      </c>
      <c r="H682" t="str">
        <f t="shared" si="21"/>
        <v>ren "" "1033.jpg"</v>
      </c>
    </row>
    <row r="683" spans="1:8" x14ac:dyDescent="0.25">
      <c r="A683">
        <v>682</v>
      </c>
      <c r="B683" t="s">
        <v>1265</v>
      </c>
      <c r="C683" t="s">
        <v>582</v>
      </c>
      <c r="D683" t="s">
        <v>536</v>
      </c>
      <c r="F683" t="str">
        <f t="shared" si="20"/>
        <v/>
      </c>
      <c r="G683" t="s">
        <v>1275</v>
      </c>
      <c r="H683" t="str">
        <f t="shared" si="21"/>
        <v>ren "" "1034.jpg"</v>
      </c>
    </row>
    <row r="684" spans="1:8" x14ac:dyDescent="0.25">
      <c r="A684">
        <v>683</v>
      </c>
      <c r="B684" t="s">
        <v>1265</v>
      </c>
      <c r="C684" t="s">
        <v>585</v>
      </c>
      <c r="D684" t="s">
        <v>534</v>
      </c>
      <c r="F684" t="str">
        <f t="shared" si="20"/>
        <v/>
      </c>
      <c r="G684" t="s">
        <v>1276</v>
      </c>
      <c r="H684" t="str">
        <f t="shared" si="21"/>
        <v>ren "" "1035.jpg"</v>
      </c>
    </row>
    <row r="685" spans="1:8" x14ac:dyDescent="0.25">
      <c r="A685">
        <v>684</v>
      </c>
      <c r="B685" t="s">
        <v>1265</v>
      </c>
      <c r="C685" t="s">
        <v>585</v>
      </c>
      <c r="D685" t="s">
        <v>536</v>
      </c>
      <c r="F685" t="str">
        <f t="shared" si="20"/>
        <v/>
      </c>
      <c r="G685" t="s">
        <v>1277</v>
      </c>
      <c r="H685" t="str">
        <f t="shared" si="21"/>
        <v>ren "" "1036.jpg"</v>
      </c>
    </row>
    <row r="686" spans="1:8" x14ac:dyDescent="0.25">
      <c r="A686">
        <v>685</v>
      </c>
      <c r="B686" t="s">
        <v>1265</v>
      </c>
      <c r="C686" t="s">
        <v>588</v>
      </c>
      <c r="D686" t="s">
        <v>534</v>
      </c>
      <c r="F686" t="str">
        <f t="shared" si="20"/>
        <v/>
      </c>
      <c r="G686" t="s">
        <v>1278</v>
      </c>
      <c r="H686" t="str">
        <f t="shared" si="21"/>
        <v>ren "" "1037.jpg"</v>
      </c>
    </row>
    <row r="687" spans="1:8" x14ac:dyDescent="0.25">
      <c r="A687">
        <v>686</v>
      </c>
      <c r="B687" t="s">
        <v>1265</v>
      </c>
      <c r="C687" t="s">
        <v>588</v>
      </c>
      <c r="D687" t="s">
        <v>536</v>
      </c>
      <c r="F687" t="str">
        <f t="shared" si="20"/>
        <v/>
      </c>
      <c r="G687" t="s">
        <v>1279</v>
      </c>
      <c r="H687" t="str">
        <f t="shared" si="21"/>
        <v>ren "" "1038.jpg"</v>
      </c>
    </row>
    <row r="688" spans="1:8" x14ac:dyDescent="0.25">
      <c r="A688">
        <v>687</v>
      </c>
      <c r="B688" t="s">
        <v>1265</v>
      </c>
      <c r="C688" t="s">
        <v>591</v>
      </c>
      <c r="D688" t="s">
        <v>534</v>
      </c>
      <c r="F688" t="str">
        <f t="shared" si="20"/>
        <v/>
      </c>
      <c r="G688" t="s">
        <v>1280</v>
      </c>
      <c r="H688" t="str">
        <f t="shared" si="21"/>
        <v>ren "" "1039.jpg"</v>
      </c>
    </row>
    <row r="689" spans="1:8" x14ac:dyDescent="0.25">
      <c r="A689">
        <v>688</v>
      </c>
      <c r="B689" t="s">
        <v>1265</v>
      </c>
      <c r="C689" t="s">
        <v>591</v>
      </c>
      <c r="D689" t="s">
        <v>536</v>
      </c>
      <c r="F689" t="str">
        <f t="shared" si="20"/>
        <v/>
      </c>
      <c r="G689" t="s">
        <v>1281</v>
      </c>
      <c r="H689" t="str">
        <f t="shared" si="21"/>
        <v>ren "" "1040.jpg"</v>
      </c>
    </row>
    <row r="690" spans="1:8" x14ac:dyDescent="0.25">
      <c r="A690">
        <v>689</v>
      </c>
      <c r="B690" t="s">
        <v>1282</v>
      </c>
      <c r="C690" t="s">
        <v>570</v>
      </c>
      <c r="D690" t="s">
        <v>534</v>
      </c>
      <c r="F690" t="str">
        <f t="shared" si="20"/>
        <v/>
      </c>
      <c r="G690" t="s">
        <v>1283</v>
      </c>
      <c r="H690" t="str">
        <f t="shared" si="21"/>
        <v>ren "" "1041.jpg"</v>
      </c>
    </row>
    <row r="691" spans="1:8" x14ac:dyDescent="0.25">
      <c r="A691">
        <v>690</v>
      </c>
      <c r="B691" t="s">
        <v>1282</v>
      </c>
      <c r="C691" t="s">
        <v>570</v>
      </c>
      <c r="D691" t="s">
        <v>536</v>
      </c>
      <c r="F691" t="str">
        <f t="shared" si="20"/>
        <v/>
      </c>
      <c r="G691" t="s">
        <v>1284</v>
      </c>
      <c r="H691" t="str">
        <f t="shared" si="21"/>
        <v>ren "" "1042.jpg"</v>
      </c>
    </row>
    <row r="692" spans="1:8" x14ac:dyDescent="0.25">
      <c r="A692">
        <v>691</v>
      </c>
      <c r="B692" t="s">
        <v>1282</v>
      </c>
      <c r="C692" t="s">
        <v>573</v>
      </c>
      <c r="D692" t="s">
        <v>534</v>
      </c>
      <c r="F692" t="str">
        <f t="shared" si="20"/>
        <v/>
      </c>
      <c r="G692" t="s">
        <v>1285</v>
      </c>
      <c r="H692" t="str">
        <f t="shared" si="21"/>
        <v>ren "" "1043.jpg"</v>
      </c>
    </row>
    <row r="693" spans="1:8" x14ac:dyDescent="0.25">
      <c r="A693">
        <v>692</v>
      </c>
      <c r="B693" t="s">
        <v>1282</v>
      </c>
      <c r="C693" t="s">
        <v>573</v>
      </c>
      <c r="D693" t="s">
        <v>536</v>
      </c>
      <c r="F693" t="str">
        <f t="shared" si="20"/>
        <v/>
      </c>
      <c r="G693" t="s">
        <v>1286</v>
      </c>
      <c r="H693" t="str">
        <f t="shared" si="21"/>
        <v>ren "" "1044.jpg"</v>
      </c>
    </row>
    <row r="694" spans="1:8" x14ac:dyDescent="0.25">
      <c r="A694">
        <v>693</v>
      </c>
      <c r="B694" t="s">
        <v>1282</v>
      </c>
      <c r="C694" t="s">
        <v>576</v>
      </c>
      <c r="D694" t="s">
        <v>534</v>
      </c>
      <c r="F694" t="str">
        <f t="shared" si="20"/>
        <v/>
      </c>
      <c r="G694" t="s">
        <v>1287</v>
      </c>
      <c r="H694" t="str">
        <f t="shared" si="21"/>
        <v>ren "" "1045.jpg"</v>
      </c>
    </row>
    <row r="695" spans="1:8" x14ac:dyDescent="0.25">
      <c r="A695">
        <v>694</v>
      </c>
      <c r="B695" t="s">
        <v>1282</v>
      </c>
      <c r="C695" t="s">
        <v>576</v>
      </c>
      <c r="D695" t="s">
        <v>536</v>
      </c>
      <c r="F695" t="str">
        <f t="shared" si="20"/>
        <v/>
      </c>
      <c r="G695" t="s">
        <v>1288</v>
      </c>
      <c r="H695" t="str">
        <f t="shared" si="21"/>
        <v>ren "" "1046.jpg"</v>
      </c>
    </row>
    <row r="696" spans="1:8" x14ac:dyDescent="0.25">
      <c r="A696">
        <v>695</v>
      </c>
      <c r="B696" t="s">
        <v>1282</v>
      </c>
      <c r="C696" t="s">
        <v>579</v>
      </c>
      <c r="D696" t="s">
        <v>534</v>
      </c>
      <c r="F696" t="str">
        <f t="shared" si="20"/>
        <v/>
      </c>
      <c r="G696" t="s">
        <v>1289</v>
      </c>
      <c r="H696" t="str">
        <f t="shared" si="21"/>
        <v>ren "" "1047.jpg"</v>
      </c>
    </row>
    <row r="697" spans="1:8" x14ac:dyDescent="0.25">
      <c r="A697">
        <v>696</v>
      </c>
      <c r="B697" t="s">
        <v>1282</v>
      </c>
      <c r="C697" t="s">
        <v>579</v>
      </c>
      <c r="D697" t="s">
        <v>536</v>
      </c>
      <c r="F697" t="str">
        <f t="shared" si="20"/>
        <v/>
      </c>
      <c r="G697" t="s">
        <v>1290</v>
      </c>
      <c r="H697" t="str">
        <f t="shared" si="21"/>
        <v>ren "" "1048.jpg"</v>
      </c>
    </row>
    <row r="698" spans="1:8" x14ac:dyDescent="0.25">
      <c r="A698">
        <v>697</v>
      </c>
      <c r="B698" t="s">
        <v>1282</v>
      </c>
      <c r="C698" t="s">
        <v>582</v>
      </c>
      <c r="D698" t="s">
        <v>534</v>
      </c>
      <c r="F698" t="str">
        <f t="shared" si="20"/>
        <v/>
      </c>
      <c r="G698" t="s">
        <v>1291</v>
      </c>
      <c r="H698" t="str">
        <f t="shared" si="21"/>
        <v>ren "" "1049.jpg"</v>
      </c>
    </row>
    <row r="699" spans="1:8" x14ac:dyDescent="0.25">
      <c r="A699">
        <v>698</v>
      </c>
      <c r="B699" t="s">
        <v>1282</v>
      </c>
      <c r="C699" t="s">
        <v>582</v>
      </c>
      <c r="D699" t="s">
        <v>536</v>
      </c>
      <c r="F699" t="str">
        <f t="shared" si="20"/>
        <v/>
      </c>
      <c r="G699" t="s">
        <v>1292</v>
      </c>
      <c r="H699" t="str">
        <f t="shared" si="21"/>
        <v>ren "" "1050.jpg"</v>
      </c>
    </row>
    <row r="700" spans="1:8" x14ac:dyDescent="0.25">
      <c r="A700">
        <v>699</v>
      </c>
      <c r="B700" t="s">
        <v>1282</v>
      </c>
      <c r="C700" t="s">
        <v>585</v>
      </c>
      <c r="D700" t="s">
        <v>534</v>
      </c>
      <c r="F700" t="str">
        <f t="shared" si="20"/>
        <v/>
      </c>
      <c r="G700" t="s">
        <v>1293</v>
      </c>
      <c r="H700" t="str">
        <f t="shared" si="21"/>
        <v>ren "" "1051.jpg"</v>
      </c>
    </row>
    <row r="701" spans="1:8" x14ac:dyDescent="0.25">
      <c r="A701">
        <v>700</v>
      </c>
      <c r="B701" t="s">
        <v>1282</v>
      </c>
      <c r="C701" t="s">
        <v>585</v>
      </c>
      <c r="D701" t="s">
        <v>536</v>
      </c>
      <c r="F701" t="str">
        <f t="shared" si="20"/>
        <v/>
      </c>
      <c r="G701" t="s">
        <v>1294</v>
      </c>
      <c r="H701" t="str">
        <f t="shared" si="21"/>
        <v>ren "" "1052.jpg"</v>
      </c>
    </row>
    <row r="702" spans="1:8" x14ac:dyDescent="0.25">
      <c r="A702">
        <v>701</v>
      </c>
      <c r="B702" t="s">
        <v>1282</v>
      </c>
      <c r="C702" t="s">
        <v>588</v>
      </c>
      <c r="D702" t="s">
        <v>534</v>
      </c>
      <c r="F702" t="str">
        <f t="shared" si="20"/>
        <v/>
      </c>
      <c r="G702" t="s">
        <v>1295</v>
      </c>
      <c r="H702" t="str">
        <f t="shared" si="21"/>
        <v>ren "" "1053.jpg"</v>
      </c>
    </row>
    <row r="703" spans="1:8" x14ac:dyDescent="0.25">
      <c r="A703">
        <v>702</v>
      </c>
      <c r="B703" t="s">
        <v>1282</v>
      </c>
      <c r="C703" t="s">
        <v>588</v>
      </c>
      <c r="D703" t="s">
        <v>536</v>
      </c>
      <c r="F703" t="str">
        <f t="shared" si="20"/>
        <v/>
      </c>
      <c r="G703" t="s">
        <v>1296</v>
      </c>
      <c r="H703" t="str">
        <f t="shared" si="21"/>
        <v>ren "" "1054.jpg"</v>
      </c>
    </row>
    <row r="704" spans="1:8" x14ac:dyDescent="0.25">
      <c r="A704">
        <v>703</v>
      </c>
      <c r="B704" t="s">
        <v>1282</v>
      </c>
      <c r="C704" t="s">
        <v>591</v>
      </c>
      <c r="D704" t="s">
        <v>534</v>
      </c>
      <c r="F704" t="str">
        <f t="shared" si="20"/>
        <v/>
      </c>
      <c r="G704" t="s">
        <v>1297</v>
      </c>
      <c r="H704" t="str">
        <f t="shared" si="21"/>
        <v>ren "" "1055.jpg"</v>
      </c>
    </row>
    <row r="705" spans="1:8" x14ac:dyDescent="0.25">
      <c r="A705">
        <v>704</v>
      </c>
      <c r="B705" t="s">
        <v>1282</v>
      </c>
      <c r="C705" t="s">
        <v>591</v>
      </c>
      <c r="D705" t="s">
        <v>536</v>
      </c>
      <c r="F705" t="str">
        <f t="shared" si="20"/>
        <v/>
      </c>
      <c r="G705" t="s">
        <v>1298</v>
      </c>
      <c r="H705" t="str">
        <f t="shared" si="21"/>
        <v>ren "" "1056.jpg"</v>
      </c>
    </row>
    <row r="706" spans="1:8" x14ac:dyDescent="0.25">
      <c r="A706">
        <v>705</v>
      </c>
      <c r="B706" t="s">
        <v>1299</v>
      </c>
      <c r="C706" t="s">
        <v>570</v>
      </c>
      <c r="D706" t="s">
        <v>534</v>
      </c>
      <c r="F706" t="str">
        <f t="shared" ref="F706:F769" si="22">IF(E706="", "", TRIM(RIGHT(SUBSTITUTE(E706, "\", REPT(" ", LEN(E706))), LEN(E706))))</f>
        <v/>
      </c>
      <c r="G706" t="s">
        <v>1300</v>
      </c>
      <c r="H706" t="str">
        <f t="shared" ref="H706:H769" si="23">"ren """ &amp; F706 &amp; """ """ &amp; G706 &amp; """"</f>
        <v>ren "" "1057.jpg"</v>
      </c>
    </row>
    <row r="707" spans="1:8" x14ac:dyDescent="0.25">
      <c r="A707">
        <v>706</v>
      </c>
      <c r="B707" t="s">
        <v>1299</v>
      </c>
      <c r="C707" t="s">
        <v>570</v>
      </c>
      <c r="D707" t="s">
        <v>536</v>
      </c>
      <c r="F707" t="str">
        <f t="shared" si="22"/>
        <v/>
      </c>
      <c r="G707" t="s">
        <v>1301</v>
      </c>
      <c r="H707" t="str">
        <f t="shared" si="23"/>
        <v>ren "" "1058.jpg"</v>
      </c>
    </row>
    <row r="708" spans="1:8" x14ac:dyDescent="0.25">
      <c r="A708">
        <v>707</v>
      </c>
      <c r="B708" t="s">
        <v>1299</v>
      </c>
      <c r="C708" t="s">
        <v>573</v>
      </c>
      <c r="D708" t="s">
        <v>534</v>
      </c>
      <c r="F708" t="str">
        <f t="shared" si="22"/>
        <v/>
      </c>
      <c r="G708" t="s">
        <v>1302</v>
      </c>
      <c r="H708" t="str">
        <f t="shared" si="23"/>
        <v>ren "" "1059.jpg"</v>
      </c>
    </row>
    <row r="709" spans="1:8" x14ac:dyDescent="0.25">
      <c r="A709">
        <v>708</v>
      </c>
      <c r="B709" t="s">
        <v>1299</v>
      </c>
      <c r="C709" t="s">
        <v>573</v>
      </c>
      <c r="D709" t="s">
        <v>536</v>
      </c>
      <c r="F709" t="str">
        <f t="shared" si="22"/>
        <v/>
      </c>
      <c r="G709" t="s">
        <v>1303</v>
      </c>
      <c r="H709" t="str">
        <f t="shared" si="23"/>
        <v>ren "" "1060.jpg"</v>
      </c>
    </row>
    <row r="710" spans="1:8" x14ac:dyDescent="0.25">
      <c r="A710">
        <v>709</v>
      </c>
      <c r="B710" t="s">
        <v>1299</v>
      </c>
      <c r="C710" t="s">
        <v>576</v>
      </c>
      <c r="D710" t="s">
        <v>534</v>
      </c>
      <c r="F710" t="str">
        <f t="shared" si="22"/>
        <v/>
      </c>
      <c r="G710" t="s">
        <v>1304</v>
      </c>
      <c r="H710" t="str">
        <f t="shared" si="23"/>
        <v>ren "" "1061.jpg"</v>
      </c>
    </row>
    <row r="711" spans="1:8" x14ac:dyDescent="0.25">
      <c r="A711">
        <v>710</v>
      </c>
      <c r="B711" t="s">
        <v>1299</v>
      </c>
      <c r="C711" t="s">
        <v>576</v>
      </c>
      <c r="D711" t="s">
        <v>536</v>
      </c>
      <c r="F711" t="str">
        <f t="shared" si="22"/>
        <v/>
      </c>
      <c r="G711" t="s">
        <v>1305</v>
      </c>
      <c r="H711" t="str">
        <f t="shared" si="23"/>
        <v>ren "" "1062.jpg"</v>
      </c>
    </row>
    <row r="712" spans="1:8" x14ac:dyDescent="0.25">
      <c r="A712">
        <v>711</v>
      </c>
      <c r="B712" t="s">
        <v>1299</v>
      </c>
      <c r="C712" t="s">
        <v>579</v>
      </c>
      <c r="D712" t="s">
        <v>534</v>
      </c>
      <c r="F712" t="str">
        <f t="shared" si="22"/>
        <v/>
      </c>
      <c r="G712" t="s">
        <v>1306</v>
      </c>
      <c r="H712" t="str">
        <f t="shared" si="23"/>
        <v>ren "" "1063.jpg"</v>
      </c>
    </row>
    <row r="713" spans="1:8" x14ac:dyDescent="0.25">
      <c r="A713">
        <v>712</v>
      </c>
      <c r="B713" t="s">
        <v>1299</v>
      </c>
      <c r="C713" t="s">
        <v>579</v>
      </c>
      <c r="D713" t="s">
        <v>536</v>
      </c>
      <c r="F713" t="str">
        <f t="shared" si="22"/>
        <v/>
      </c>
      <c r="G713" t="s">
        <v>1307</v>
      </c>
      <c r="H713" t="str">
        <f t="shared" si="23"/>
        <v>ren "" "1064.jpg"</v>
      </c>
    </row>
    <row r="714" spans="1:8" x14ac:dyDescent="0.25">
      <c r="A714">
        <v>713</v>
      </c>
      <c r="B714" t="s">
        <v>1299</v>
      </c>
      <c r="C714" t="s">
        <v>582</v>
      </c>
      <c r="D714" t="s">
        <v>534</v>
      </c>
      <c r="F714" t="str">
        <f t="shared" si="22"/>
        <v/>
      </c>
      <c r="G714" t="s">
        <v>1308</v>
      </c>
      <c r="H714" t="str">
        <f t="shared" si="23"/>
        <v>ren "" "1065.jpg"</v>
      </c>
    </row>
    <row r="715" spans="1:8" x14ac:dyDescent="0.25">
      <c r="A715">
        <v>714</v>
      </c>
      <c r="B715" t="s">
        <v>1299</v>
      </c>
      <c r="C715" t="s">
        <v>582</v>
      </c>
      <c r="D715" t="s">
        <v>536</v>
      </c>
      <c r="F715" t="str">
        <f t="shared" si="22"/>
        <v/>
      </c>
      <c r="G715" t="s">
        <v>1309</v>
      </c>
      <c r="H715" t="str">
        <f t="shared" si="23"/>
        <v>ren "" "1066.jpg"</v>
      </c>
    </row>
    <row r="716" spans="1:8" x14ac:dyDescent="0.25">
      <c r="A716">
        <v>715</v>
      </c>
      <c r="B716" t="s">
        <v>1299</v>
      </c>
      <c r="C716" t="s">
        <v>585</v>
      </c>
      <c r="D716" t="s">
        <v>534</v>
      </c>
      <c r="F716" t="str">
        <f t="shared" si="22"/>
        <v/>
      </c>
      <c r="G716" t="s">
        <v>1310</v>
      </c>
      <c r="H716" t="str">
        <f t="shared" si="23"/>
        <v>ren "" "1067.jpg"</v>
      </c>
    </row>
    <row r="717" spans="1:8" x14ac:dyDescent="0.25">
      <c r="A717">
        <v>716</v>
      </c>
      <c r="B717" t="s">
        <v>1299</v>
      </c>
      <c r="C717" t="s">
        <v>585</v>
      </c>
      <c r="D717" t="s">
        <v>536</v>
      </c>
      <c r="F717" t="str">
        <f t="shared" si="22"/>
        <v/>
      </c>
      <c r="G717" t="s">
        <v>1311</v>
      </c>
      <c r="H717" t="str">
        <f t="shared" si="23"/>
        <v>ren "" "1068.jpg"</v>
      </c>
    </row>
    <row r="718" spans="1:8" x14ac:dyDescent="0.25">
      <c r="A718">
        <v>717</v>
      </c>
      <c r="B718" t="s">
        <v>1299</v>
      </c>
      <c r="C718" t="s">
        <v>588</v>
      </c>
      <c r="D718" t="s">
        <v>534</v>
      </c>
      <c r="F718" t="str">
        <f t="shared" si="22"/>
        <v/>
      </c>
      <c r="G718" t="s">
        <v>1312</v>
      </c>
      <c r="H718" t="str">
        <f t="shared" si="23"/>
        <v>ren "" "1069.jpg"</v>
      </c>
    </row>
    <row r="719" spans="1:8" x14ac:dyDescent="0.25">
      <c r="A719">
        <v>718</v>
      </c>
      <c r="B719" t="s">
        <v>1299</v>
      </c>
      <c r="C719" t="s">
        <v>588</v>
      </c>
      <c r="D719" t="s">
        <v>536</v>
      </c>
      <c r="F719" t="str">
        <f t="shared" si="22"/>
        <v/>
      </c>
      <c r="G719" t="s">
        <v>1313</v>
      </c>
      <c r="H719" t="str">
        <f t="shared" si="23"/>
        <v>ren "" "1070.jpg"</v>
      </c>
    </row>
    <row r="720" spans="1:8" x14ac:dyDescent="0.25">
      <c r="A720">
        <v>719</v>
      </c>
      <c r="B720" t="s">
        <v>1299</v>
      </c>
      <c r="C720" t="s">
        <v>591</v>
      </c>
      <c r="D720" t="s">
        <v>534</v>
      </c>
      <c r="F720" t="str">
        <f t="shared" si="22"/>
        <v/>
      </c>
      <c r="G720" t="s">
        <v>1314</v>
      </c>
      <c r="H720" t="str">
        <f t="shared" si="23"/>
        <v>ren "" "1071.jpg"</v>
      </c>
    </row>
    <row r="721" spans="1:8" x14ac:dyDescent="0.25">
      <c r="A721">
        <v>720</v>
      </c>
      <c r="B721" t="s">
        <v>1299</v>
      </c>
      <c r="C721" t="s">
        <v>591</v>
      </c>
      <c r="D721" t="s">
        <v>536</v>
      </c>
      <c r="F721" t="str">
        <f t="shared" si="22"/>
        <v/>
      </c>
      <c r="G721" t="s">
        <v>1315</v>
      </c>
      <c r="H721" t="str">
        <f t="shared" si="23"/>
        <v>ren "" "1072.jpg"</v>
      </c>
    </row>
    <row r="722" spans="1:8" x14ac:dyDescent="0.25">
      <c r="A722">
        <v>721</v>
      </c>
      <c r="B722" t="s">
        <v>1316</v>
      </c>
      <c r="C722" t="s">
        <v>570</v>
      </c>
      <c r="D722" t="s">
        <v>534</v>
      </c>
      <c r="F722" t="str">
        <f t="shared" si="22"/>
        <v/>
      </c>
      <c r="G722" t="s">
        <v>1317</v>
      </c>
      <c r="H722" t="str">
        <f t="shared" si="23"/>
        <v>ren "" "1073.jpg"</v>
      </c>
    </row>
    <row r="723" spans="1:8" x14ac:dyDescent="0.25">
      <c r="A723">
        <v>722</v>
      </c>
      <c r="B723" t="s">
        <v>1316</v>
      </c>
      <c r="C723" t="s">
        <v>570</v>
      </c>
      <c r="D723" t="s">
        <v>536</v>
      </c>
      <c r="F723" t="str">
        <f t="shared" si="22"/>
        <v/>
      </c>
      <c r="G723" t="s">
        <v>1318</v>
      </c>
      <c r="H723" t="str">
        <f t="shared" si="23"/>
        <v>ren "" "1074.jpg"</v>
      </c>
    </row>
    <row r="724" spans="1:8" x14ac:dyDescent="0.25">
      <c r="A724">
        <v>723</v>
      </c>
      <c r="B724" t="s">
        <v>1316</v>
      </c>
      <c r="C724" t="s">
        <v>573</v>
      </c>
      <c r="D724" t="s">
        <v>534</v>
      </c>
      <c r="F724" t="str">
        <f t="shared" si="22"/>
        <v/>
      </c>
      <c r="G724" t="s">
        <v>1319</v>
      </c>
      <c r="H724" t="str">
        <f t="shared" si="23"/>
        <v>ren "" "1075.jpg"</v>
      </c>
    </row>
    <row r="725" spans="1:8" x14ac:dyDescent="0.25">
      <c r="A725">
        <v>724</v>
      </c>
      <c r="B725" t="s">
        <v>1316</v>
      </c>
      <c r="C725" t="s">
        <v>573</v>
      </c>
      <c r="D725" t="s">
        <v>536</v>
      </c>
      <c r="F725" t="str">
        <f t="shared" si="22"/>
        <v/>
      </c>
      <c r="G725" t="s">
        <v>1320</v>
      </c>
      <c r="H725" t="str">
        <f t="shared" si="23"/>
        <v>ren "" "1076.jpg"</v>
      </c>
    </row>
    <row r="726" spans="1:8" x14ac:dyDescent="0.25">
      <c r="A726">
        <v>725</v>
      </c>
      <c r="B726" t="s">
        <v>1316</v>
      </c>
      <c r="C726" t="s">
        <v>576</v>
      </c>
      <c r="D726" t="s">
        <v>534</v>
      </c>
      <c r="F726" t="str">
        <f t="shared" si="22"/>
        <v/>
      </c>
      <c r="G726" t="s">
        <v>1321</v>
      </c>
      <c r="H726" t="str">
        <f t="shared" si="23"/>
        <v>ren "" "1077.jpg"</v>
      </c>
    </row>
    <row r="727" spans="1:8" x14ac:dyDescent="0.25">
      <c r="A727">
        <v>726</v>
      </c>
      <c r="B727" t="s">
        <v>1316</v>
      </c>
      <c r="C727" t="s">
        <v>576</v>
      </c>
      <c r="D727" t="s">
        <v>536</v>
      </c>
      <c r="F727" t="str">
        <f t="shared" si="22"/>
        <v/>
      </c>
      <c r="G727" t="s">
        <v>1322</v>
      </c>
      <c r="H727" t="str">
        <f t="shared" si="23"/>
        <v>ren "" "1078.jpg"</v>
      </c>
    </row>
    <row r="728" spans="1:8" x14ac:dyDescent="0.25">
      <c r="A728">
        <v>727</v>
      </c>
      <c r="B728" t="s">
        <v>1316</v>
      </c>
      <c r="C728" t="s">
        <v>579</v>
      </c>
      <c r="D728" t="s">
        <v>534</v>
      </c>
      <c r="F728" t="str">
        <f t="shared" si="22"/>
        <v/>
      </c>
      <c r="G728" t="s">
        <v>1323</v>
      </c>
      <c r="H728" t="str">
        <f t="shared" si="23"/>
        <v>ren "" "1079.jpg"</v>
      </c>
    </row>
    <row r="729" spans="1:8" x14ac:dyDescent="0.25">
      <c r="A729">
        <v>728</v>
      </c>
      <c r="B729" t="s">
        <v>1316</v>
      </c>
      <c r="C729" t="s">
        <v>579</v>
      </c>
      <c r="D729" t="s">
        <v>536</v>
      </c>
      <c r="F729" t="str">
        <f t="shared" si="22"/>
        <v/>
      </c>
      <c r="G729" t="s">
        <v>1324</v>
      </c>
      <c r="H729" t="str">
        <f t="shared" si="23"/>
        <v>ren "" "1080.jpg"</v>
      </c>
    </row>
    <row r="730" spans="1:8" x14ac:dyDescent="0.25">
      <c r="A730">
        <v>729</v>
      </c>
      <c r="B730" t="s">
        <v>1316</v>
      </c>
      <c r="C730" t="s">
        <v>582</v>
      </c>
      <c r="D730" t="s">
        <v>534</v>
      </c>
      <c r="F730" t="str">
        <f t="shared" si="22"/>
        <v/>
      </c>
      <c r="G730" t="s">
        <v>1325</v>
      </c>
      <c r="H730" t="str">
        <f t="shared" si="23"/>
        <v>ren "" "1081.jpg"</v>
      </c>
    </row>
    <row r="731" spans="1:8" x14ac:dyDescent="0.25">
      <c r="A731">
        <v>730</v>
      </c>
      <c r="B731" t="s">
        <v>1316</v>
      </c>
      <c r="C731" t="s">
        <v>582</v>
      </c>
      <c r="D731" t="s">
        <v>536</v>
      </c>
      <c r="F731" t="str">
        <f t="shared" si="22"/>
        <v/>
      </c>
      <c r="G731" t="s">
        <v>1326</v>
      </c>
      <c r="H731" t="str">
        <f t="shared" si="23"/>
        <v>ren "" "1082.jpg"</v>
      </c>
    </row>
    <row r="732" spans="1:8" x14ac:dyDescent="0.25">
      <c r="A732">
        <v>731</v>
      </c>
      <c r="B732" t="s">
        <v>1316</v>
      </c>
      <c r="C732" t="s">
        <v>585</v>
      </c>
      <c r="D732" t="s">
        <v>534</v>
      </c>
      <c r="F732" t="str">
        <f t="shared" si="22"/>
        <v/>
      </c>
      <c r="G732" t="s">
        <v>1327</v>
      </c>
      <c r="H732" t="str">
        <f t="shared" si="23"/>
        <v>ren "" "1083.jpg"</v>
      </c>
    </row>
    <row r="733" spans="1:8" x14ac:dyDescent="0.25">
      <c r="A733">
        <v>732</v>
      </c>
      <c r="B733" t="s">
        <v>1316</v>
      </c>
      <c r="C733" t="s">
        <v>585</v>
      </c>
      <c r="D733" t="s">
        <v>536</v>
      </c>
      <c r="F733" t="str">
        <f t="shared" si="22"/>
        <v/>
      </c>
      <c r="G733" t="s">
        <v>1328</v>
      </c>
      <c r="H733" t="str">
        <f t="shared" si="23"/>
        <v>ren "" "1084.jpg"</v>
      </c>
    </row>
    <row r="734" spans="1:8" x14ac:dyDescent="0.25">
      <c r="A734">
        <v>733</v>
      </c>
      <c r="B734" t="s">
        <v>1316</v>
      </c>
      <c r="C734" t="s">
        <v>588</v>
      </c>
      <c r="D734" t="s">
        <v>534</v>
      </c>
      <c r="F734" t="str">
        <f t="shared" si="22"/>
        <v/>
      </c>
      <c r="G734" t="s">
        <v>1329</v>
      </c>
      <c r="H734" t="str">
        <f t="shared" si="23"/>
        <v>ren "" "1085.jpg"</v>
      </c>
    </row>
    <row r="735" spans="1:8" x14ac:dyDescent="0.25">
      <c r="A735">
        <v>734</v>
      </c>
      <c r="B735" t="s">
        <v>1316</v>
      </c>
      <c r="C735" t="s">
        <v>588</v>
      </c>
      <c r="D735" t="s">
        <v>536</v>
      </c>
      <c r="F735" t="str">
        <f t="shared" si="22"/>
        <v/>
      </c>
      <c r="G735" t="s">
        <v>1330</v>
      </c>
      <c r="H735" t="str">
        <f t="shared" si="23"/>
        <v>ren "" "1086.jpg"</v>
      </c>
    </row>
    <row r="736" spans="1:8" x14ac:dyDescent="0.25">
      <c r="A736">
        <v>735</v>
      </c>
      <c r="B736" t="s">
        <v>1316</v>
      </c>
      <c r="C736" t="s">
        <v>591</v>
      </c>
      <c r="D736" t="s">
        <v>534</v>
      </c>
      <c r="F736" t="str">
        <f t="shared" si="22"/>
        <v/>
      </c>
      <c r="G736" t="s">
        <v>1331</v>
      </c>
      <c r="H736" t="str">
        <f t="shared" si="23"/>
        <v>ren "" "1087.jpg"</v>
      </c>
    </row>
    <row r="737" spans="1:8" x14ac:dyDescent="0.25">
      <c r="A737">
        <v>736</v>
      </c>
      <c r="B737" t="s">
        <v>1316</v>
      </c>
      <c r="C737" t="s">
        <v>591</v>
      </c>
      <c r="D737" t="s">
        <v>536</v>
      </c>
      <c r="F737" t="str">
        <f t="shared" si="22"/>
        <v/>
      </c>
      <c r="G737" t="s">
        <v>1332</v>
      </c>
      <c r="H737" t="str">
        <f t="shared" si="23"/>
        <v>ren "" "1088.jpg"</v>
      </c>
    </row>
    <row r="738" spans="1:8" x14ac:dyDescent="0.25">
      <c r="A738">
        <v>737</v>
      </c>
      <c r="B738" t="s">
        <v>1333</v>
      </c>
      <c r="C738" t="s">
        <v>570</v>
      </c>
      <c r="D738" t="s">
        <v>534</v>
      </c>
      <c r="F738" t="str">
        <f t="shared" si="22"/>
        <v/>
      </c>
      <c r="G738" t="s">
        <v>1334</v>
      </c>
      <c r="H738" t="str">
        <f t="shared" si="23"/>
        <v>ren "" "1089.jpg"</v>
      </c>
    </row>
    <row r="739" spans="1:8" x14ac:dyDescent="0.25">
      <c r="A739">
        <v>738</v>
      </c>
      <c r="B739" t="s">
        <v>1333</v>
      </c>
      <c r="C739" t="s">
        <v>570</v>
      </c>
      <c r="D739" t="s">
        <v>536</v>
      </c>
      <c r="F739" t="str">
        <f t="shared" si="22"/>
        <v/>
      </c>
      <c r="G739" t="s">
        <v>1335</v>
      </c>
      <c r="H739" t="str">
        <f t="shared" si="23"/>
        <v>ren "" "1090.jpg"</v>
      </c>
    </row>
    <row r="740" spans="1:8" x14ac:dyDescent="0.25">
      <c r="A740">
        <v>739</v>
      </c>
      <c r="B740" t="s">
        <v>1333</v>
      </c>
      <c r="C740" t="s">
        <v>573</v>
      </c>
      <c r="D740" t="s">
        <v>534</v>
      </c>
      <c r="F740" t="str">
        <f t="shared" si="22"/>
        <v/>
      </c>
      <c r="G740" t="s">
        <v>1336</v>
      </c>
      <c r="H740" t="str">
        <f t="shared" si="23"/>
        <v>ren "" "1091.jpg"</v>
      </c>
    </row>
    <row r="741" spans="1:8" x14ac:dyDescent="0.25">
      <c r="A741">
        <v>740</v>
      </c>
      <c r="B741" t="s">
        <v>1333</v>
      </c>
      <c r="C741" t="s">
        <v>573</v>
      </c>
      <c r="D741" t="s">
        <v>536</v>
      </c>
      <c r="F741" t="str">
        <f t="shared" si="22"/>
        <v/>
      </c>
      <c r="G741" t="s">
        <v>1337</v>
      </c>
      <c r="H741" t="str">
        <f t="shared" si="23"/>
        <v>ren "" "1092.jpg"</v>
      </c>
    </row>
    <row r="742" spans="1:8" x14ac:dyDescent="0.25">
      <c r="A742">
        <v>741</v>
      </c>
      <c r="B742" t="s">
        <v>1333</v>
      </c>
      <c r="C742" t="s">
        <v>576</v>
      </c>
      <c r="D742" t="s">
        <v>534</v>
      </c>
      <c r="F742" t="str">
        <f t="shared" si="22"/>
        <v/>
      </c>
      <c r="G742" t="s">
        <v>1338</v>
      </c>
      <c r="H742" t="str">
        <f t="shared" si="23"/>
        <v>ren "" "1093.jpg"</v>
      </c>
    </row>
    <row r="743" spans="1:8" x14ac:dyDescent="0.25">
      <c r="A743">
        <v>742</v>
      </c>
      <c r="B743" t="s">
        <v>1333</v>
      </c>
      <c r="C743" t="s">
        <v>576</v>
      </c>
      <c r="D743" t="s">
        <v>536</v>
      </c>
      <c r="F743" t="str">
        <f t="shared" si="22"/>
        <v/>
      </c>
      <c r="G743" t="s">
        <v>1339</v>
      </c>
      <c r="H743" t="str">
        <f t="shared" si="23"/>
        <v>ren "" "1094.jpg"</v>
      </c>
    </row>
    <row r="744" spans="1:8" x14ac:dyDescent="0.25">
      <c r="A744">
        <v>743</v>
      </c>
      <c r="B744" t="s">
        <v>1333</v>
      </c>
      <c r="C744" t="s">
        <v>579</v>
      </c>
      <c r="D744" t="s">
        <v>534</v>
      </c>
      <c r="F744" t="str">
        <f t="shared" si="22"/>
        <v/>
      </c>
      <c r="G744" t="s">
        <v>1340</v>
      </c>
      <c r="H744" t="str">
        <f t="shared" si="23"/>
        <v>ren "" "1095.jpg"</v>
      </c>
    </row>
    <row r="745" spans="1:8" x14ac:dyDescent="0.25">
      <c r="A745">
        <v>744</v>
      </c>
      <c r="B745" t="s">
        <v>1333</v>
      </c>
      <c r="C745" t="s">
        <v>579</v>
      </c>
      <c r="D745" t="s">
        <v>536</v>
      </c>
      <c r="F745" t="str">
        <f t="shared" si="22"/>
        <v/>
      </c>
      <c r="G745" t="s">
        <v>1341</v>
      </c>
      <c r="H745" t="str">
        <f t="shared" si="23"/>
        <v>ren "" "1096.jpg"</v>
      </c>
    </row>
    <row r="746" spans="1:8" x14ac:dyDescent="0.25">
      <c r="A746">
        <v>745</v>
      </c>
      <c r="B746" t="s">
        <v>1333</v>
      </c>
      <c r="C746" t="s">
        <v>582</v>
      </c>
      <c r="D746" t="s">
        <v>534</v>
      </c>
      <c r="F746" t="str">
        <f t="shared" si="22"/>
        <v/>
      </c>
      <c r="G746" t="s">
        <v>1342</v>
      </c>
      <c r="H746" t="str">
        <f t="shared" si="23"/>
        <v>ren "" "1097.jpg"</v>
      </c>
    </row>
    <row r="747" spans="1:8" x14ac:dyDescent="0.25">
      <c r="A747">
        <v>746</v>
      </c>
      <c r="B747" t="s">
        <v>1333</v>
      </c>
      <c r="C747" t="s">
        <v>582</v>
      </c>
      <c r="D747" t="s">
        <v>536</v>
      </c>
      <c r="F747" t="str">
        <f t="shared" si="22"/>
        <v/>
      </c>
      <c r="G747" t="s">
        <v>1343</v>
      </c>
      <c r="H747" t="str">
        <f t="shared" si="23"/>
        <v>ren "" "1098.jpg"</v>
      </c>
    </row>
    <row r="748" spans="1:8" x14ac:dyDescent="0.25">
      <c r="A748">
        <v>747</v>
      </c>
      <c r="B748" t="s">
        <v>1333</v>
      </c>
      <c r="C748" t="s">
        <v>585</v>
      </c>
      <c r="D748" t="s">
        <v>534</v>
      </c>
      <c r="F748" t="str">
        <f t="shared" si="22"/>
        <v/>
      </c>
      <c r="G748" t="s">
        <v>1344</v>
      </c>
      <c r="H748" t="str">
        <f t="shared" si="23"/>
        <v>ren "" "1099.jpg"</v>
      </c>
    </row>
    <row r="749" spans="1:8" x14ac:dyDescent="0.25">
      <c r="A749">
        <v>748</v>
      </c>
      <c r="B749" t="s">
        <v>1333</v>
      </c>
      <c r="C749" t="s">
        <v>585</v>
      </c>
      <c r="D749" t="s">
        <v>536</v>
      </c>
      <c r="F749" t="str">
        <f t="shared" si="22"/>
        <v/>
      </c>
      <c r="G749" t="s">
        <v>1345</v>
      </c>
      <c r="H749" t="str">
        <f t="shared" si="23"/>
        <v>ren "" "1100.jpg"</v>
      </c>
    </row>
    <row r="750" spans="1:8" x14ac:dyDescent="0.25">
      <c r="A750">
        <v>749</v>
      </c>
      <c r="B750" t="s">
        <v>1333</v>
      </c>
      <c r="C750" t="s">
        <v>588</v>
      </c>
      <c r="D750" t="s">
        <v>534</v>
      </c>
      <c r="F750" t="str">
        <f t="shared" si="22"/>
        <v/>
      </c>
      <c r="G750" t="s">
        <v>1346</v>
      </c>
      <c r="H750" t="str">
        <f t="shared" si="23"/>
        <v>ren "" "1101.jpg"</v>
      </c>
    </row>
    <row r="751" spans="1:8" x14ac:dyDescent="0.25">
      <c r="A751">
        <v>750</v>
      </c>
      <c r="B751" t="s">
        <v>1333</v>
      </c>
      <c r="C751" t="s">
        <v>588</v>
      </c>
      <c r="D751" t="s">
        <v>536</v>
      </c>
      <c r="F751" t="str">
        <f t="shared" si="22"/>
        <v/>
      </c>
      <c r="G751" t="s">
        <v>1347</v>
      </c>
      <c r="H751" t="str">
        <f t="shared" si="23"/>
        <v>ren "" "1102.jpg"</v>
      </c>
    </row>
    <row r="752" spans="1:8" x14ac:dyDescent="0.25">
      <c r="A752">
        <v>751</v>
      </c>
      <c r="B752" t="s">
        <v>1333</v>
      </c>
      <c r="C752" t="s">
        <v>591</v>
      </c>
      <c r="D752" t="s">
        <v>534</v>
      </c>
      <c r="F752" t="str">
        <f t="shared" si="22"/>
        <v/>
      </c>
      <c r="G752" t="s">
        <v>1348</v>
      </c>
      <c r="H752" t="str">
        <f t="shared" si="23"/>
        <v>ren "" "1103.jpg"</v>
      </c>
    </row>
    <row r="753" spans="1:8" x14ac:dyDescent="0.25">
      <c r="A753">
        <v>752</v>
      </c>
      <c r="B753" t="s">
        <v>1333</v>
      </c>
      <c r="C753" t="s">
        <v>591</v>
      </c>
      <c r="D753" t="s">
        <v>536</v>
      </c>
      <c r="F753" t="str">
        <f t="shared" si="22"/>
        <v/>
      </c>
      <c r="G753" t="s">
        <v>1349</v>
      </c>
      <c r="H753" t="str">
        <f t="shared" si="23"/>
        <v>ren "" "1104.jpg"</v>
      </c>
    </row>
    <row r="754" spans="1:8" x14ac:dyDescent="0.25">
      <c r="A754">
        <v>753</v>
      </c>
      <c r="B754" t="s">
        <v>1350</v>
      </c>
      <c r="C754" t="s">
        <v>570</v>
      </c>
      <c r="D754" t="s">
        <v>534</v>
      </c>
      <c r="F754" t="str">
        <f t="shared" si="22"/>
        <v/>
      </c>
      <c r="G754" t="s">
        <v>1351</v>
      </c>
      <c r="H754" t="str">
        <f t="shared" si="23"/>
        <v>ren "" "1105.jpg"</v>
      </c>
    </row>
    <row r="755" spans="1:8" x14ac:dyDescent="0.25">
      <c r="A755">
        <v>754</v>
      </c>
      <c r="B755" t="s">
        <v>1350</v>
      </c>
      <c r="C755" t="s">
        <v>570</v>
      </c>
      <c r="D755" t="s">
        <v>536</v>
      </c>
      <c r="F755" t="str">
        <f t="shared" si="22"/>
        <v/>
      </c>
      <c r="G755" t="s">
        <v>1352</v>
      </c>
      <c r="H755" t="str">
        <f t="shared" si="23"/>
        <v>ren "" "1106.jpg"</v>
      </c>
    </row>
    <row r="756" spans="1:8" x14ac:dyDescent="0.25">
      <c r="A756">
        <v>755</v>
      </c>
      <c r="B756" t="s">
        <v>1350</v>
      </c>
      <c r="C756" t="s">
        <v>573</v>
      </c>
      <c r="D756" t="s">
        <v>534</v>
      </c>
      <c r="F756" t="str">
        <f t="shared" si="22"/>
        <v/>
      </c>
      <c r="G756" t="s">
        <v>1353</v>
      </c>
      <c r="H756" t="str">
        <f t="shared" si="23"/>
        <v>ren "" "1107.jpg"</v>
      </c>
    </row>
    <row r="757" spans="1:8" x14ac:dyDescent="0.25">
      <c r="A757">
        <v>756</v>
      </c>
      <c r="B757" t="s">
        <v>1350</v>
      </c>
      <c r="C757" t="s">
        <v>573</v>
      </c>
      <c r="D757" t="s">
        <v>536</v>
      </c>
      <c r="F757" t="str">
        <f t="shared" si="22"/>
        <v/>
      </c>
      <c r="G757" t="s">
        <v>1354</v>
      </c>
      <c r="H757" t="str">
        <f t="shared" si="23"/>
        <v>ren "" "1108.jpg"</v>
      </c>
    </row>
    <row r="758" spans="1:8" x14ac:dyDescent="0.25">
      <c r="A758">
        <v>757</v>
      </c>
      <c r="B758" t="s">
        <v>1350</v>
      </c>
      <c r="C758" t="s">
        <v>576</v>
      </c>
      <c r="D758" t="s">
        <v>534</v>
      </c>
      <c r="F758" t="str">
        <f t="shared" si="22"/>
        <v/>
      </c>
      <c r="G758" t="s">
        <v>1355</v>
      </c>
      <c r="H758" t="str">
        <f t="shared" si="23"/>
        <v>ren "" "1109.jpg"</v>
      </c>
    </row>
    <row r="759" spans="1:8" x14ac:dyDescent="0.25">
      <c r="A759">
        <v>758</v>
      </c>
      <c r="B759" t="s">
        <v>1350</v>
      </c>
      <c r="C759" t="s">
        <v>576</v>
      </c>
      <c r="D759" t="s">
        <v>536</v>
      </c>
      <c r="F759" t="str">
        <f t="shared" si="22"/>
        <v/>
      </c>
      <c r="G759" t="s">
        <v>1356</v>
      </c>
      <c r="H759" t="str">
        <f t="shared" si="23"/>
        <v>ren "" "1110.jpg"</v>
      </c>
    </row>
    <row r="760" spans="1:8" x14ac:dyDescent="0.25">
      <c r="A760">
        <v>759</v>
      </c>
      <c r="B760" t="s">
        <v>1350</v>
      </c>
      <c r="C760" t="s">
        <v>579</v>
      </c>
      <c r="D760" t="s">
        <v>534</v>
      </c>
      <c r="F760" t="str">
        <f t="shared" si="22"/>
        <v/>
      </c>
      <c r="G760" t="s">
        <v>1357</v>
      </c>
      <c r="H760" t="str">
        <f t="shared" si="23"/>
        <v>ren "" "1111.jpg"</v>
      </c>
    </row>
    <row r="761" spans="1:8" x14ac:dyDescent="0.25">
      <c r="A761">
        <v>760</v>
      </c>
      <c r="B761" t="s">
        <v>1350</v>
      </c>
      <c r="C761" t="s">
        <v>579</v>
      </c>
      <c r="D761" t="s">
        <v>536</v>
      </c>
      <c r="F761" t="str">
        <f t="shared" si="22"/>
        <v/>
      </c>
      <c r="G761" t="s">
        <v>1358</v>
      </c>
      <c r="H761" t="str">
        <f t="shared" si="23"/>
        <v>ren "" "1112.jpg"</v>
      </c>
    </row>
    <row r="762" spans="1:8" x14ac:dyDescent="0.25">
      <c r="A762">
        <v>761</v>
      </c>
      <c r="B762" t="s">
        <v>1350</v>
      </c>
      <c r="C762" t="s">
        <v>582</v>
      </c>
      <c r="D762" t="s">
        <v>534</v>
      </c>
      <c r="F762" t="str">
        <f t="shared" si="22"/>
        <v/>
      </c>
      <c r="G762" t="s">
        <v>1359</v>
      </c>
      <c r="H762" t="str">
        <f t="shared" si="23"/>
        <v>ren "" "1113.jpg"</v>
      </c>
    </row>
    <row r="763" spans="1:8" x14ac:dyDescent="0.25">
      <c r="A763">
        <v>762</v>
      </c>
      <c r="B763" t="s">
        <v>1350</v>
      </c>
      <c r="C763" t="s">
        <v>582</v>
      </c>
      <c r="D763" t="s">
        <v>536</v>
      </c>
      <c r="F763" t="str">
        <f t="shared" si="22"/>
        <v/>
      </c>
      <c r="G763" t="s">
        <v>1360</v>
      </c>
      <c r="H763" t="str">
        <f t="shared" si="23"/>
        <v>ren "" "1114.jpg"</v>
      </c>
    </row>
    <row r="764" spans="1:8" x14ac:dyDescent="0.25">
      <c r="A764">
        <v>763</v>
      </c>
      <c r="B764" t="s">
        <v>1350</v>
      </c>
      <c r="C764" t="s">
        <v>585</v>
      </c>
      <c r="D764" t="s">
        <v>534</v>
      </c>
      <c r="F764" t="str">
        <f t="shared" si="22"/>
        <v/>
      </c>
      <c r="G764" t="s">
        <v>1361</v>
      </c>
      <c r="H764" t="str">
        <f t="shared" si="23"/>
        <v>ren "" "1115.jpg"</v>
      </c>
    </row>
    <row r="765" spans="1:8" x14ac:dyDescent="0.25">
      <c r="A765">
        <v>764</v>
      </c>
      <c r="B765" t="s">
        <v>1350</v>
      </c>
      <c r="C765" t="s">
        <v>585</v>
      </c>
      <c r="D765" t="s">
        <v>536</v>
      </c>
      <c r="F765" t="str">
        <f t="shared" si="22"/>
        <v/>
      </c>
      <c r="G765" t="s">
        <v>1362</v>
      </c>
      <c r="H765" t="str">
        <f t="shared" si="23"/>
        <v>ren "" "1116.jpg"</v>
      </c>
    </row>
    <row r="766" spans="1:8" x14ac:dyDescent="0.25">
      <c r="A766">
        <v>765</v>
      </c>
      <c r="B766" t="s">
        <v>1350</v>
      </c>
      <c r="C766" t="s">
        <v>588</v>
      </c>
      <c r="D766" t="s">
        <v>534</v>
      </c>
      <c r="F766" t="str">
        <f t="shared" si="22"/>
        <v/>
      </c>
      <c r="G766" t="s">
        <v>1363</v>
      </c>
      <c r="H766" t="str">
        <f t="shared" si="23"/>
        <v>ren "" "1117.jpg"</v>
      </c>
    </row>
    <row r="767" spans="1:8" x14ac:dyDescent="0.25">
      <c r="A767">
        <v>766</v>
      </c>
      <c r="B767" t="s">
        <v>1350</v>
      </c>
      <c r="C767" t="s">
        <v>588</v>
      </c>
      <c r="D767" t="s">
        <v>536</v>
      </c>
      <c r="F767" t="str">
        <f t="shared" si="22"/>
        <v/>
      </c>
      <c r="G767" t="s">
        <v>1364</v>
      </c>
      <c r="H767" t="str">
        <f t="shared" si="23"/>
        <v>ren "" "1118.jpg"</v>
      </c>
    </row>
    <row r="768" spans="1:8" x14ac:dyDescent="0.25">
      <c r="A768">
        <v>767</v>
      </c>
      <c r="B768" t="s">
        <v>1350</v>
      </c>
      <c r="C768" t="s">
        <v>591</v>
      </c>
      <c r="D768" t="s">
        <v>534</v>
      </c>
      <c r="F768" t="str">
        <f t="shared" si="22"/>
        <v/>
      </c>
      <c r="G768" t="s">
        <v>1365</v>
      </c>
      <c r="H768" t="str">
        <f t="shared" si="23"/>
        <v>ren "" "1119.jpg"</v>
      </c>
    </row>
    <row r="769" spans="1:8" x14ac:dyDescent="0.25">
      <c r="A769">
        <v>768</v>
      </c>
      <c r="B769" t="s">
        <v>1350</v>
      </c>
      <c r="C769" t="s">
        <v>591</v>
      </c>
      <c r="D769" t="s">
        <v>536</v>
      </c>
      <c r="F769" t="str">
        <f t="shared" si="22"/>
        <v/>
      </c>
      <c r="G769" t="s">
        <v>1366</v>
      </c>
      <c r="H769" t="str">
        <f t="shared" si="23"/>
        <v>ren "" "1120.jpg"</v>
      </c>
    </row>
    <row r="770" spans="1:8" x14ac:dyDescent="0.25">
      <c r="A770">
        <v>769</v>
      </c>
      <c r="B770" t="s">
        <v>1367</v>
      </c>
      <c r="C770" t="s">
        <v>570</v>
      </c>
      <c r="D770" t="s">
        <v>534</v>
      </c>
      <c r="F770" t="str">
        <f t="shared" ref="F770:F833" si="24">IF(E770="", "", TRIM(RIGHT(SUBSTITUTE(E770, "\", REPT(" ", LEN(E770))), LEN(E770))))</f>
        <v/>
      </c>
      <c r="G770" t="s">
        <v>1368</v>
      </c>
      <c r="H770" t="str">
        <f t="shared" ref="H770:H833" si="25">"ren """ &amp; F770 &amp; """ """ &amp; G770 &amp; """"</f>
        <v>ren "" "1121.jpg"</v>
      </c>
    </row>
    <row r="771" spans="1:8" x14ac:dyDescent="0.25">
      <c r="A771">
        <v>770</v>
      </c>
      <c r="B771" t="s">
        <v>1367</v>
      </c>
      <c r="C771" t="s">
        <v>570</v>
      </c>
      <c r="D771" t="s">
        <v>536</v>
      </c>
      <c r="F771" t="str">
        <f t="shared" si="24"/>
        <v/>
      </c>
      <c r="G771" t="s">
        <v>1369</v>
      </c>
      <c r="H771" t="str">
        <f t="shared" si="25"/>
        <v>ren "" "1122.jpg"</v>
      </c>
    </row>
    <row r="772" spans="1:8" x14ac:dyDescent="0.25">
      <c r="A772">
        <v>771</v>
      </c>
      <c r="B772" t="s">
        <v>1367</v>
      </c>
      <c r="C772" t="s">
        <v>573</v>
      </c>
      <c r="D772" t="s">
        <v>534</v>
      </c>
      <c r="F772" t="str">
        <f t="shared" si="24"/>
        <v/>
      </c>
      <c r="G772" t="s">
        <v>1370</v>
      </c>
      <c r="H772" t="str">
        <f t="shared" si="25"/>
        <v>ren "" "1123.jpg"</v>
      </c>
    </row>
    <row r="773" spans="1:8" x14ac:dyDescent="0.25">
      <c r="A773">
        <v>772</v>
      </c>
      <c r="B773" t="s">
        <v>1367</v>
      </c>
      <c r="C773" t="s">
        <v>573</v>
      </c>
      <c r="D773" t="s">
        <v>536</v>
      </c>
      <c r="F773" t="str">
        <f t="shared" si="24"/>
        <v/>
      </c>
      <c r="G773" t="s">
        <v>1371</v>
      </c>
      <c r="H773" t="str">
        <f t="shared" si="25"/>
        <v>ren "" "1124.jpg"</v>
      </c>
    </row>
    <row r="774" spans="1:8" x14ac:dyDescent="0.25">
      <c r="A774">
        <v>773</v>
      </c>
      <c r="B774" t="s">
        <v>1367</v>
      </c>
      <c r="C774" t="s">
        <v>576</v>
      </c>
      <c r="D774" t="s">
        <v>534</v>
      </c>
      <c r="F774" t="str">
        <f t="shared" si="24"/>
        <v/>
      </c>
      <c r="G774" t="s">
        <v>1372</v>
      </c>
      <c r="H774" t="str">
        <f t="shared" si="25"/>
        <v>ren "" "1125.jpg"</v>
      </c>
    </row>
    <row r="775" spans="1:8" x14ac:dyDescent="0.25">
      <c r="A775">
        <v>774</v>
      </c>
      <c r="B775" t="s">
        <v>1367</v>
      </c>
      <c r="C775" t="s">
        <v>576</v>
      </c>
      <c r="D775" t="s">
        <v>536</v>
      </c>
      <c r="F775" t="str">
        <f t="shared" si="24"/>
        <v/>
      </c>
      <c r="G775" t="s">
        <v>1373</v>
      </c>
      <c r="H775" t="str">
        <f t="shared" si="25"/>
        <v>ren "" "1126.jpg"</v>
      </c>
    </row>
    <row r="776" spans="1:8" x14ac:dyDescent="0.25">
      <c r="A776">
        <v>775</v>
      </c>
      <c r="B776" t="s">
        <v>1367</v>
      </c>
      <c r="C776" t="s">
        <v>579</v>
      </c>
      <c r="D776" t="s">
        <v>534</v>
      </c>
      <c r="F776" t="str">
        <f t="shared" si="24"/>
        <v/>
      </c>
      <c r="G776" t="s">
        <v>1374</v>
      </c>
      <c r="H776" t="str">
        <f t="shared" si="25"/>
        <v>ren "" "1127.jpg"</v>
      </c>
    </row>
    <row r="777" spans="1:8" x14ac:dyDescent="0.25">
      <c r="A777">
        <v>776</v>
      </c>
      <c r="B777" t="s">
        <v>1367</v>
      </c>
      <c r="C777" t="s">
        <v>579</v>
      </c>
      <c r="D777" t="s">
        <v>536</v>
      </c>
      <c r="F777" t="str">
        <f t="shared" si="24"/>
        <v/>
      </c>
      <c r="G777" t="s">
        <v>1375</v>
      </c>
      <c r="H777" t="str">
        <f t="shared" si="25"/>
        <v>ren "" "1128.jpg"</v>
      </c>
    </row>
    <row r="778" spans="1:8" x14ac:dyDescent="0.25">
      <c r="A778">
        <v>777</v>
      </c>
      <c r="B778" t="s">
        <v>1367</v>
      </c>
      <c r="C778" t="s">
        <v>582</v>
      </c>
      <c r="D778" t="s">
        <v>534</v>
      </c>
      <c r="F778" t="str">
        <f t="shared" si="24"/>
        <v/>
      </c>
      <c r="G778" t="s">
        <v>1376</v>
      </c>
      <c r="H778" t="str">
        <f t="shared" si="25"/>
        <v>ren "" "1129.jpg"</v>
      </c>
    </row>
    <row r="779" spans="1:8" x14ac:dyDescent="0.25">
      <c r="A779">
        <v>778</v>
      </c>
      <c r="B779" t="s">
        <v>1367</v>
      </c>
      <c r="C779" t="s">
        <v>582</v>
      </c>
      <c r="D779" t="s">
        <v>536</v>
      </c>
      <c r="F779" t="str">
        <f t="shared" si="24"/>
        <v/>
      </c>
      <c r="G779" t="s">
        <v>1377</v>
      </c>
      <c r="H779" t="str">
        <f t="shared" si="25"/>
        <v>ren "" "1130.jpg"</v>
      </c>
    </row>
    <row r="780" spans="1:8" x14ac:dyDescent="0.25">
      <c r="A780">
        <v>779</v>
      </c>
      <c r="B780" t="s">
        <v>1367</v>
      </c>
      <c r="C780" t="s">
        <v>585</v>
      </c>
      <c r="D780" t="s">
        <v>534</v>
      </c>
      <c r="F780" t="str">
        <f t="shared" si="24"/>
        <v/>
      </c>
      <c r="G780" t="s">
        <v>1378</v>
      </c>
      <c r="H780" t="str">
        <f t="shared" si="25"/>
        <v>ren "" "1131.jpg"</v>
      </c>
    </row>
    <row r="781" spans="1:8" x14ac:dyDescent="0.25">
      <c r="A781">
        <v>780</v>
      </c>
      <c r="B781" t="s">
        <v>1367</v>
      </c>
      <c r="C781" t="s">
        <v>585</v>
      </c>
      <c r="D781" t="s">
        <v>536</v>
      </c>
      <c r="F781" t="str">
        <f t="shared" si="24"/>
        <v/>
      </c>
      <c r="G781" t="s">
        <v>1379</v>
      </c>
      <c r="H781" t="str">
        <f t="shared" si="25"/>
        <v>ren "" "1132.jpg"</v>
      </c>
    </row>
    <row r="782" spans="1:8" x14ac:dyDescent="0.25">
      <c r="A782">
        <v>781</v>
      </c>
      <c r="B782" t="s">
        <v>1367</v>
      </c>
      <c r="C782" t="s">
        <v>588</v>
      </c>
      <c r="D782" t="s">
        <v>534</v>
      </c>
      <c r="F782" t="str">
        <f t="shared" si="24"/>
        <v/>
      </c>
      <c r="G782" t="s">
        <v>1380</v>
      </c>
      <c r="H782" t="str">
        <f t="shared" si="25"/>
        <v>ren "" "1133.jpg"</v>
      </c>
    </row>
    <row r="783" spans="1:8" x14ac:dyDescent="0.25">
      <c r="A783">
        <v>782</v>
      </c>
      <c r="B783" t="s">
        <v>1367</v>
      </c>
      <c r="C783" t="s">
        <v>588</v>
      </c>
      <c r="D783" t="s">
        <v>536</v>
      </c>
      <c r="F783" t="str">
        <f t="shared" si="24"/>
        <v/>
      </c>
      <c r="G783" t="s">
        <v>1381</v>
      </c>
      <c r="H783" t="str">
        <f t="shared" si="25"/>
        <v>ren "" "1134.jpg"</v>
      </c>
    </row>
    <row r="784" spans="1:8" x14ac:dyDescent="0.25">
      <c r="A784">
        <v>783</v>
      </c>
      <c r="B784" t="s">
        <v>1367</v>
      </c>
      <c r="C784" t="s">
        <v>591</v>
      </c>
      <c r="D784" t="s">
        <v>534</v>
      </c>
      <c r="F784" t="str">
        <f t="shared" si="24"/>
        <v/>
      </c>
      <c r="G784" t="s">
        <v>1382</v>
      </c>
      <c r="H784" t="str">
        <f t="shared" si="25"/>
        <v>ren "" "1135.jpg"</v>
      </c>
    </row>
    <row r="785" spans="1:8" x14ac:dyDescent="0.25">
      <c r="A785">
        <v>784</v>
      </c>
      <c r="B785" t="s">
        <v>1367</v>
      </c>
      <c r="C785" t="s">
        <v>591</v>
      </c>
      <c r="D785" t="s">
        <v>536</v>
      </c>
      <c r="F785" t="str">
        <f t="shared" si="24"/>
        <v/>
      </c>
      <c r="G785" t="s">
        <v>1383</v>
      </c>
      <c r="H785" t="str">
        <f t="shared" si="25"/>
        <v>ren "" "1136.jpg"</v>
      </c>
    </row>
    <row r="786" spans="1:8" x14ac:dyDescent="0.25">
      <c r="A786">
        <v>785</v>
      </c>
      <c r="B786" t="s">
        <v>1384</v>
      </c>
      <c r="C786" t="s">
        <v>570</v>
      </c>
      <c r="D786" t="s">
        <v>534</v>
      </c>
      <c r="F786" t="str">
        <f t="shared" si="24"/>
        <v/>
      </c>
      <c r="G786" t="s">
        <v>1385</v>
      </c>
      <c r="H786" t="str">
        <f t="shared" si="25"/>
        <v>ren "" "1137.jpg"</v>
      </c>
    </row>
    <row r="787" spans="1:8" x14ac:dyDescent="0.25">
      <c r="A787">
        <v>786</v>
      </c>
      <c r="B787" t="s">
        <v>1384</v>
      </c>
      <c r="C787" t="s">
        <v>570</v>
      </c>
      <c r="D787" t="s">
        <v>536</v>
      </c>
      <c r="F787" t="str">
        <f t="shared" si="24"/>
        <v/>
      </c>
      <c r="G787" t="s">
        <v>1386</v>
      </c>
      <c r="H787" t="str">
        <f t="shared" si="25"/>
        <v>ren "" "1138.jpg"</v>
      </c>
    </row>
    <row r="788" spans="1:8" x14ac:dyDescent="0.25">
      <c r="A788">
        <v>787</v>
      </c>
      <c r="B788" t="s">
        <v>1384</v>
      </c>
      <c r="C788" t="s">
        <v>573</v>
      </c>
      <c r="D788" t="s">
        <v>534</v>
      </c>
      <c r="F788" t="str">
        <f t="shared" si="24"/>
        <v/>
      </c>
      <c r="G788" t="s">
        <v>1387</v>
      </c>
      <c r="H788" t="str">
        <f t="shared" si="25"/>
        <v>ren "" "1139.jpg"</v>
      </c>
    </row>
    <row r="789" spans="1:8" x14ac:dyDescent="0.25">
      <c r="A789">
        <v>788</v>
      </c>
      <c r="B789" t="s">
        <v>1384</v>
      </c>
      <c r="C789" t="s">
        <v>573</v>
      </c>
      <c r="D789" t="s">
        <v>536</v>
      </c>
      <c r="F789" t="str">
        <f t="shared" si="24"/>
        <v/>
      </c>
      <c r="G789" t="s">
        <v>1388</v>
      </c>
      <c r="H789" t="str">
        <f t="shared" si="25"/>
        <v>ren "" "1140.jpg"</v>
      </c>
    </row>
    <row r="790" spans="1:8" x14ac:dyDescent="0.25">
      <c r="A790">
        <v>789</v>
      </c>
      <c r="B790" t="s">
        <v>1384</v>
      </c>
      <c r="C790" t="s">
        <v>576</v>
      </c>
      <c r="D790" t="s">
        <v>534</v>
      </c>
      <c r="F790" t="str">
        <f t="shared" si="24"/>
        <v/>
      </c>
      <c r="G790" t="s">
        <v>1389</v>
      </c>
      <c r="H790" t="str">
        <f t="shared" si="25"/>
        <v>ren "" "1141.jpg"</v>
      </c>
    </row>
    <row r="791" spans="1:8" x14ac:dyDescent="0.25">
      <c r="A791">
        <v>790</v>
      </c>
      <c r="B791" t="s">
        <v>1384</v>
      </c>
      <c r="C791" t="s">
        <v>576</v>
      </c>
      <c r="D791" t="s">
        <v>536</v>
      </c>
      <c r="F791" t="str">
        <f t="shared" si="24"/>
        <v/>
      </c>
      <c r="G791" t="s">
        <v>1390</v>
      </c>
      <c r="H791" t="str">
        <f t="shared" si="25"/>
        <v>ren "" "1142.jpg"</v>
      </c>
    </row>
    <row r="792" spans="1:8" x14ac:dyDescent="0.25">
      <c r="A792">
        <v>791</v>
      </c>
      <c r="B792" t="s">
        <v>1384</v>
      </c>
      <c r="C792" t="s">
        <v>579</v>
      </c>
      <c r="D792" t="s">
        <v>534</v>
      </c>
      <c r="F792" t="str">
        <f t="shared" si="24"/>
        <v/>
      </c>
      <c r="G792" t="s">
        <v>1391</v>
      </c>
      <c r="H792" t="str">
        <f t="shared" si="25"/>
        <v>ren "" "1143.jpg"</v>
      </c>
    </row>
    <row r="793" spans="1:8" x14ac:dyDescent="0.25">
      <c r="A793">
        <v>792</v>
      </c>
      <c r="B793" t="s">
        <v>1384</v>
      </c>
      <c r="C793" t="s">
        <v>579</v>
      </c>
      <c r="D793" t="s">
        <v>536</v>
      </c>
      <c r="F793" t="str">
        <f t="shared" si="24"/>
        <v/>
      </c>
      <c r="G793" t="s">
        <v>1392</v>
      </c>
      <c r="H793" t="str">
        <f t="shared" si="25"/>
        <v>ren "" "1144.jpg"</v>
      </c>
    </row>
    <row r="794" spans="1:8" x14ac:dyDescent="0.25">
      <c r="A794">
        <v>793</v>
      </c>
      <c r="B794" t="s">
        <v>1384</v>
      </c>
      <c r="C794" t="s">
        <v>582</v>
      </c>
      <c r="D794" t="s">
        <v>534</v>
      </c>
      <c r="F794" t="str">
        <f t="shared" si="24"/>
        <v/>
      </c>
      <c r="G794" t="s">
        <v>1393</v>
      </c>
      <c r="H794" t="str">
        <f t="shared" si="25"/>
        <v>ren "" "1145.jpg"</v>
      </c>
    </row>
    <row r="795" spans="1:8" x14ac:dyDescent="0.25">
      <c r="A795">
        <v>794</v>
      </c>
      <c r="B795" t="s">
        <v>1384</v>
      </c>
      <c r="C795" t="s">
        <v>582</v>
      </c>
      <c r="D795" t="s">
        <v>536</v>
      </c>
      <c r="F795" t="str">
        <f t="shared" si="24"/>
        <v/>
      </c>
      <c r="G795" t="s">
        <v>1394</v>
      </c>
      <c r="H795" t="str">
        <f t="shared" si="25"/>
        <v>ren "" "1146.jpg"</v>
      </c>
    </row>
    <row r="796" spans="1:8" x14ac:dyDescent="0.25">
      <c r="A796">
        <v>795</v>
      </c>
      <c r="B796" t="s">
        <v>1384</v>
      </c>
      <c r="C796" t="s">
        <v>585</v>
      </c>
      <c r="D796" t="s">
        <v>534</v>
      </c>
      <c r="F796" t="str">
        <f t="shared" si="24"/>
        <v/>
      </c>
      <c r="G796" t="s">
        <v>1395</v>
      </c>
      <c r="H796" t="str">
        <f t="shared" si="25"/>
        <v>ren "" "1147.jpg"</v>
      </c>
    </row>
    <row r="797" spans="1:8" x14ac:dyDescent="0.25">
      <c r="A797">
        <v>796</v>
      </c>
      <c r="B797" t="s">
        <v>1384</v>
      </c>
      <c r="C797" t="s">
        <v>585</v>
      </c>
      <c r="D797" t="s">
        <v>536</v>
      </c>
      <c r="F797" t="str">
        <f t="shared" si="24"/>
        <v/>
      </c>
      <c r="G797" t="s">
        <v>1396</v>
      </c>
      <c r="H797" t="str">
        <f t="shared" si="25"/>
        <v>ren "" "1148.jpg"</v>
      </c>
    </row>
    <row r="798" spans="1:8" x14ac:dyDescent="0.25">
      <c r="A798">
        <v>797</v>
      </c>
      <c r="B798" t="s">
        <v>1384</v>
      </c>
      <c r="C798" t="s">
        <v>588</v>
      </c>
      <c r="D798" t="s">
        <v>534</v>
      </c>
      <c r="F798" t="str">
        <f t="shared" si="24"/>
        <v/>
      </c>
      <c r="G798" t="s">
        <v>1397</v>
      </c>
      <c r="H798" t="str">
        <f t="shared" si="25"/>
        <v>ren "" "1149.jpg"</v>
      </c>
    </row>
    <row r="799" spans="1:8" x14ac:dyDescent="0.25">
      <c r="A799">
        <v>798</v>
      </c>
      <c r="B799" t="s">
        <v>1384</v>
      </c>
      <c r="C799" t="s">
        <v>588</v>
      </c>
      <c r="D799" t="s">
        <v>536</v>
      </c>
      <c r="F799" t="str">
        <f t="shared" si="24"/>
        <v/>
      </c>
      <c r="G799" t="s">
        <v>1398</v>
      </c>
      <c r="H799" t="str">
        <f t="shared" si="25"/>
        <v>ren "" "1150.jpg"</v>
      </c>
    </row>
    <row r="800" spans="1:8" x14ac:dyDescent="0.25">
      <c r="A800">
        <v>799</v>
      </c>
      <c r="B800" t="s">
        <v>1384</v>
      </c>
      <c r="C800" t="s">
        <v>591</v>
      </c>
      <c r="D800" t="s">
        <v>534</v>
      </c>
      <c r="F800" t="str">
        <f t="shared" si="24"/>
        <v/>
      </c>
      <c r="G800" t="s">
        <v>1399</v>
      </c>
      <c r="H800" t="str">
        <f t="shared" si="25"/>
        <v>ren "" "1151.jpg"</v>
      </c>
    </row>
    <row r="801" spans="1:8" x14ac:dyDescent="0.25">
      <c r="A801">
        <v>800</v>
      </c>
      <c r="B801" t="s">
        <v>1384</v>
      </c>
      <c r="C801" t="s">
        <v>591</v>
      </c>
      <c r="D801" t="s">
        <v>536</v>
      </c>
      <c r="F801" t="str">
        <f t="shared" si="24"/>
        <v/>
      </c>
      <c r="G801" t="s">
        <v>1400</v>
      </c>
      <c r="H801" t="str">
        <f t="shared" si="25"/>
        <v>ren "" "1152.jpg"</v>
      </c>
    </row>
    <row r="802" spans="1:8" x14ac:dyDescent="0.25">
      <c r="A802">
        <v>801</v>
      </c>
      <c r="B802" t="s">
        <v>1401</v>
      </c>
      <c r="C802" t="s">
        <v>570</v>
      </c>
      <c r="D802" t="s">
        <v>534</v>
      </c>
      <c r="F802" t="str">
        <f t="shared" si="24"/>
        <v/>
      </c>
      <c r="G802" t="s">
        <v>1402</v>
      </c>
      <c r="H802" t="str">
        <f t="shared" si="25"/>
        <v>ren "" "1153.jpg"</v>
      </c>
    </row>
    <row r="803" spans="1:8" x14ac:dyDescent="0.25">
      <c r="A803">
        <v>802</v>
      </c>
      <c r="B803" t="s">
        <v>1401</v>
      </c>
      <c r="C803" t="s">
        <v>570</v>
      </c>
      <c r="D803" t="s">
        <v>536</v>
      </c>
      <c r="F803" t="str">
        <f t="shared" si="24"/>
        <v/>
      </c>
      <c r="G803" t="s">
        <v>1403</v>
      </c>
      <c r="H803" t="str">
        <f t="shared" si="25"/>
        <v>ren "" "1154.jpg"</v>
      </c>
    </row>
    <row r="804" spans="1:8" x14ac:dyDescent="0.25">
      <c r="A804">
        <v>803</v>
      </c>
      <c r="B804" t="s">
        <v>1401</v>
      </c>
      <c r="C804" t="s">
        <v>573</v>
      </c>
      <c r="D804" t="s">
        <v>534</v>
      </c>
      <c r="F804" t="str">
        <f t="shared" si="24"/>
        <v/>
      </c>
      <c r="G804" t="s">
        <v>1404</v>
      </c>
      <c r="H804" t="str">
        <f t="shared" si="25"/>
        <v>ren "" "1155.jpg"</v>
      </c>
    </row>
    <row r="805" spans="1:8" x14ac:dyDescent="0.25">
      <c r="A805">
        <v>804</v>
      </c>
      <c r="B805" t="s">
        <v>1401</v>
      </c>
      <c r="C805" t="s">
        <v>573</v>
      </c>
      <c r="D805" t="s">
        <v>536</v>
      </c>
      <c r="F805" t="str">
        <f t="shared" si="24"/>
        <v/>
      </c>
      <c r="G805" t="s">
        <v>1405</v>
      </c>
      <c r="H805" t="str">
        <f t="shared" si="25"/>
        <v>ren "" "1156.jpg"</v>
      </c>
    </row>
    <row r="806" spans="1:8" x14ac:dyDescent="0.25">
      <c r="A806">
        <v>805</v>
      </c>
      <c r="B806" t="s">
        <v>1401</v>
      </c>
      <c r="C806" t="s">
        <v>576</v>
      </c>
      <c r="D806" t="s">
        <v>534</v>
      </c>
      <c r="F806" t="str">
        <f t="shared" si="24"/>
        <v/>
      </c>
      <c r="G806" t="s">
        <v>1406</v>
      </c>
      <c r="H806" t="str">
        <f t="shared" si="25"/>
        <v>ren "" "1157.jpg"</v>
      </c>
    </row>
    <row r="807" spans="1:8" x14ac:dyDescent="0.25">
      <c r="A807">
        <v>806</v>
      </c>
      <c r="B807" t="s">
        <v>1401</v>
      </c>
      <c r="C807" t="s">
        <v>576</v>
      </c>
      <c r="D807" t="s">
        <v>536</v>
      </c>
      <c r="F807" t="str">
        <f t="shared" si="24"/>
        <v/>
      </c>
      <c r="G807" t="s">
        <v>1407</v>
      </c>
      <c r="H807" t="str">
        <f t="shared" si="25"/>
        <v>ren "" "1158.jpg"</v>
      </c>
    </row>
    <row r="808" spans="1:8" x14ac:dyDescent="0.25">
      <c r="A808">
        <v>807</v>
      </c>
      <c r="B808" t="s">
        <v>1401</v>
      </c>
      <c r="C808" t="s">
        <v>579</v>
      </c>
      <c r="D808" t="s">
        <v>534</v>
      </c>
      <c r="F808" t="str">
        <f t="shared" si="24"/>
        <v/>
      </c>
      <c r="G808" t="s">
        <v>1408</v>
      </c>
      <c r="H808" t="str">
        <f t="shared" si="25"/>
        <v>ren "" "1159.jpg"</v>
      </c>
    </row>
    <row r="809" spans="1:8" x14ac:dyDescent="0.25">
      <c r="A809">
        <v>808</v>
      </c>
      <c r="B809" t="s">
        <v>1401</v>
      </c>
      <c r="C809" t="s">
        <v>579</v>
      </c>
      <c r="D809" t="s">
        <v>536</v>
      </c>
      <c r="F809" t="str">
        <f t="shared" si="24"/>
        <v/>
      </c>
      <c r="G809" t="s">
        <v>1409</v>
      </c>
      <c r="H809" t="str">
        <f t="shared" si="25"/>
        <v>ren "" "1160.jpg"</v>
      </c>
    </row>
    <row r="810" spans="1:8" x14ac:dyDescent="0.25">
      <c r="A810">
        <v>809</v>
      </c>
      <c r="B810" t="s">
        <v>1401</v>
      </c>
      <c r="C810" t="s">
        <v>582</v>
      </c>
      <c r="D810" t="s">
        <v>534</v>
      </c>
      <c r="F810" t="str">
        <f t="shared" si="24"/>
        <v/>
      </c>
      <c r="G810" t="s">
        <v>1410</v>
      </c>
      <c r="H810" t="str">
        <f t="shared" si="25"/>
        <v>ren "" "1161.jpg"</v>
      </c>
    </row>
    <row r="811" spans="1:8" x14ac:dyDescent="0.25">
      <c r="A811">
        <v>810</v>
      </c>
      <c r="B811" t="s">
        <v>1401</v>
      </c>
      <c r="C811" t="s">
        <v>582</v>
      </c>
      <c r="D811" t="s">
        <v>536</v>
      </c>
      <c r="F811" t="str">
        <f t="shared" si="24"/>
        <v/>
      </c>
      <c r="G811" t="s">
        <v>1411</v>
      </c>
      <c r="H811" t="str">
        <f t="shared" si="25"/>
        <v>ren "" "1162.jpg"</v>
      </c>
    </row>
    <row r="812" spans="1:8" x14ac:dyDescent="0.25">
      <c r="A812">
        <v>811</v>
      </c>
      <c r="B812" t="s">
        <v>1401</v>
      </c>
      <c r="C812" t="s">
        <v>585</v>
      </c>
      <c r="D812" t="s">
        <v>534</v>
      </c>
      <c r="F812" t="str">
        <f t="shared" si="24"/>
        <v/>
      </c>
      <c r="G812" t="s">
        <v>1412</v>
      </c>
      <c r="H812" t="str">
        <f t="shared" si="25"/>
        <v>ren "" "1163.jpg"</v>
      </c>
    </row>
    <row r="813" spans="1:8" x14ac:dyDescent="0.25">
      <c r="A813">
        <v>812</v>
      </c>
      <c r="B813" t="s">
        <v>1401</v>
      </c>
      <c r="C813" t="s">
        <v>585</v>
      </c>
      <c r="D813" t="s">
        <v>536</v>
      </c>
      <c r="F813" t="str">
        <f t="shared" si="24"/>
        <v/>
      </c>
      <c r="G813" t="s">
        <v>1413</v>
      </c>
      <c r="H813" t="str">
        <f t="shared" si="25"/>
        <v>ren "" "1164.jpg"</v>
      </c>
    </row>
    <row r="814" spans="1:8" x14ac:dyDescent="0.25">
      <c r="A814">
        <v>813</v>
      </c>
      <c r="B814" t="s">
        <v>1401</v>
      </c>
      <c r="C814" t="s">
        <v>588</v>
      </c>
      <c r="D814" t="s">
        <v>534</v>
      </c>
      <c r="F814" t="str">
        <f t="shared" si="24"/>
        <v/>
      </c>
      <c r="G814" t="s">
        <v>1414</v>
      </c>
      <c r="H814" t="str">
        <f t="shared" si="25"/>
        <v>ren "" "1165.jpg"</v>
      </c>
    </row>
    <row r="815" spans="1:8" x14ac:dyDescent="0.25">
      <c r="A815">
        <v>814</v>
      </c>
      <c r="B815" t="s">
        <v>1401</v>
      </c>
      <c r="C815" t="s">
        <v>588</v>
      </c>
      <c r="D815" t="s">
        <v>536</v>
      </c>
      <c r="F815" t="str">
        <f t="shared" si="24"/>
        <v/>
      </c>
      <c r="G815" t="s">
        <v>1415</v>
      </c>
      <c r="H815" t="str">
        <f t="shared" si="25"/>
        <v>ren "" "1166.jpg"</v>
      </c>
    </row>
    <row r="816" spans="1:8" x14ac:dyDescent="0.25">
      <c r="A816">
        <v>815</v>
      </c>
      <c r="B816" t="s">
        <v>1401</v>
      </c>
      <c r="C816" t="s">
        <v>591</v>
      </c>
      <c r="D816" t="s">
        <v>534</v>
      </c>
      <c r="F816" t="str">
        <f t="shared" si="24"/>
        <v/>
      </c>
      <c r="G816" t="s">
        <v>1416</v>
      </c>
      <c r="H816" t="str">
        <f t="shared" si="25"/>
        <v>ren "" "1167.jpg"</v>
      </c>
    </row>
    <row r="817" spans="1:8" x14ac:dyDescent="0.25">
      <c r="A817">
        <v>816</v>
      </c>
      <c r="B817" t="s">
        <v>1401</v>
      </c>
      <c r="C817" t="s">
        <v>591</v>
      </c>
      <c r="D817" t="s">
        <v>536</v>
      </c>
      <c r="F817" t="str">
        <f t="shared" si="24"/>
        <v/>
      </c>
      <c r="G817" t="s">
        <v>1417</v>
      </c>
      <c r="H817" t="str">
        <f t="shared" si="25"/>
        <v>ren "" "1168.jpg"</v>
      </c>
    </row>
    <row r="818" spans="1:8" x14ac:dyDescent="0.25">
      <c r="A818">
        <v>817</v>
      </c>
      <c r="B818" t="s">
        <v>1418</v>
      </c>
      <c r="C818" t="s">
        <v>570</v>
      </c>
      <c r="D818" t="s">
        <v>534</v>
      </c>
      <c r="F818" t="str">
        <f t="shared" si="24"/>
        <v/>
      </c>
      <c r="G818" t="s">
        <v>1419</v>
      </c>
      <c r="H818" t="str">
        <f t="shared" si="25"/>
        <v>ren "" "1169.jpg"</v>
      </c>
    </row>
    <row r="819" spans="1:8" x14ac:dyDescent="0.25">
      <c r="A819">
        <v>818</v>
      </c>
      <c r="B819" t="s">
        <v>1418</v>
      </c>
      <c r="C819" t="s">
        <v>570</v>
      </c>
      <c r="D819" t="s">
        <v>536</v>
      </c>
      <c r="F819" t="str">
        <f t="shared" si="24"/>
        <v/>
      </c>
      <c r="G819" t="s">
        <v>1420</v>
      </c>
      <c r="H819" t="str">
        <f t="shared" si="25"/>
        <v>ren "" "1170.jpg"</v>
      </c>
    </row>
    <row r="820" spans="1:8" x14ac:dyDescent="0.25">
      <c r="A820">
        <v>819</v>
      </c>
      <c r="B820" t="s">
        <v>1418</v>
      </c>
      <c r="C820" t="s">
        <v>573</v>
      </c>
      <c r="D820" t="s">
        <v>534</v>
      </c>
      <c r="F820" t="str">
        <f t="shared" si="24"/>
        <v/>
      </c>
      <c r="G820" t="s">
        <v>1421</v>
      </c>
      <c r="H820" t="str">
        <f t="shared" si="25"/>
        <v>ren "" "1171.jpg"</v>
      </c>
    </row>
    <row r="821" spans="1:8" x14ac:dyDescent="0.25">
      <c r="A821">
        <v>820</v>
      </c>
      <c r="B821" t="s">
        <v>1418</v>
      </c>
      <c r="C821" t="s">
        <v>573</v>
      </c>
      <c r="D821" t="s">
        <v>536</v>
      </c>
      <c r="F821" t="str">
        <f t="shared" si="24"/>
        <v/>
      </c>
      <c r="G821" t="s">
        <v>1422</v>
      </c>
      <c r="H821" t="str">
        <f t="shared" si="25"/>
        <v>ren "" "1172.jpg"</v>
      </c>
    </row>
    <row r="822" spans="1:8" x14ac:dyDescent="0.25">
      <c r="A822">
        <v>821</v>
      </c>
      <c r="B822" t="s">
        <v>1418</v>
      </c>
      <c r="C822" t="s">
        <v>576</v>
      </c>
      <c r="D822" t="s">
        <v>534</v>
      </c>
      <c r="F822" t="str">
        <f t="shared" si="24"/>
        <v/>
      </c>
      <c r="G822" t="s">
        <v>1423</v>
      </c>
      <c r="H822" t="str">
        <f t="shared" si="25"/>
        <v>ren "" "1173.jpg"</v>
      </c>
    </row>
    <row r="823" spans="1:8" x14ac:dyDescent="0.25">
      <c r="A823">
        <v>822</v>
      </c>
      <c r="B823" t="s">
        <v>1418</v>
      </c>
      <c r="C823" t="s">
        <v>576</v>
      </c>
      <c r="D823" t="s">
        <v>536</v>
      </c>
      <c r="F823" t="str">
        <f t="shared" si="24"/>
        <v/>
      </c>
      <c r="G823" t="s">
        <v>1424</v>
      </c>
      <c r="H823" t="str">
        <f t="shared" si="25"/>
        <v>ren "" "1174.jpg"</v>
      </c>
    </row>
    <row r="824" spans="1:8" x14ac:dyDescent="0.25">
      <c r="A824">
        <v>823</v>
      </c>
      <c r="B824" t="s">
        <v>1418</v>
      </c>
      <c r="C824" t="s">
        <v>579</v>
      </c>
      <c r="D824" t="s">
        <v>534</v>
      </c>
      <c r="F824" t="str">
        <f t="shared" si="24"/>
        <v/>
      </c>
      <c r="G824" t="s">
        <v>1425</v>
      </c>
      <c r="H824" t="str">
        <f t="shared" si="25"/>
        <v>ren "" "1175.jpg"</v>
      </c>
    </row>
    <row r="825" spans="1:8" x14ac:dyDescent="0.25">
      <c r="A825">
        <v>824</v>
      </c>
      <c r="B825" t="s">
        <v>1418</v>
      </c>
      <c r="C825" t="s">
        <v>579</v>
      </c>
      <c r="D825" t="s">
        <v>536</v>
      </c>
      <c r="F825" t="str">
        <f t="shared" si="24"/>
        <v/>
      </c>
      <c r="G825" t="s">
        <v>1426</v>
      </c>
      <c r="H825" t="str">
        <f t="shared" si="25"/>
        <v>ren "" "1176.jpg"</v>
      </c>
    </row>
    <row r="826" spans="1:8" x14ac:dyDescent="0.25">
      <c r="A826">
        <v>825</v>
      </c>
      <c r="B826" t="s">
        <v>1418</v>
      </c>
      <c r="C826" t="s">
        <v>582</v>
      </c>
      <c r="D826" t="s">
        <v>534</v>
      </c>
      <c r="F826" t="str">
        <f t="shared" si="24"/>
        <v/>
      </c>
      <c r="G826" t="s">
        <v>1427</v>
      </c>
      <c r="H826" t="str">
        <f t="shared" si="25"/>
        <v>ren "" "1177.jpg"</v>
      </c>
    </row>
    <row r="827" spans="1:8" x14ac:dyDescent="0.25">
      <c r="A827">
        <v>826</v>
      </c>
      <c r="B827" t="s">
        <v>1418</v>
      </c>
      <c r="C827" t="s">
        <v>582</v>
      </c>
      <c r="D827" t="s">
        <v>536</v>
      </c>
      <c r="F827" t="str">
        <f t="shared" si="24"/>
        <v/>
      </c>
      <c r="G827" t="s">
        <v>1428</v>
      </c>
      <c r="H827" t="str">
        <f t="shared" si="25"/>
        <v>ren "" "1178.jpg"</v>
      </c>
    </row>
    <row r="828" spans="1:8" x14ac:dyDescent="0.25">
      <c r="A828">
        <v>827</v>
      </c>
      <c r="B828" t="s">
        <v>1418</v>
      </c>
      <c r="C828" t="s">
        <v>585</v>
      </c>
      <c r="D828" t="s">
        <v>534</v>
      </c>
      <c r="F828" t="str">
        <f t="shared" si="24"/>
        <v/>
      </c>
      <c r="G828" t="s">
        <v>1429</v>
      </c>
      <c r="H828" t="str">
        <f t="shared" si="25"/>
        <v>ren "" "1179.jpg"</v>
      </c>
    </row>
    <row r="829" spans="1:8" x14ac:dyDescent="0.25">
      <c r="A829">
        <v>828</v>
      </c>
      <c r="B829" t="s">
        <v>1418</v>
      </c>
      <c r="C829" t="s">
        <v>585</v>
      </c>
      <c r="D829" t="s">
        <v>536</v>
      </c>
      <c r="F829" t="str">
        <f t="shared" si="24"/>
        <v/>
      </c>
      <c r="G829" t="s">
        <v>1430</v>
      </c>
      <c r="H829" t="str">
        <f t="shared" si="25"/>
        <v>ren "" "1180.jpg"</v>
      </c>
    </row>
    <row r="830" spans="1:8" x14ac:dyDescent="0.25">
      <c r="A830">
        <v>829</v>
      </c>
      <c r="B830" t="s">
        <v>1418</v>
      </c>
      <c r="C830" t="s">
        <v>588</v>
      </c>
      <c r="D830" t="s">
        <v>534</v>
      </c>
      <c r="F830" t="str">
        <f t="shared" si="24"/>
        <v/>
      </c>
      <c r="G830" t="s">
        <v>1431</v>
      </c>
      <c r="H830" t="str">
        <f t="shared" si="25"/>
        <v>ren "" "1181.jpg"</v>
      </c>
    </row>
    <row r="831" spans="1:8" x14ac:dyDescent="0.25">
      <c r="A831">
        <v>830</v>
      </c>
      <c r="B831" t="s">
        <v>1418</v>
      </c>
      <c r="C831" t="s">
        <v>588</v>
      </c>
      <c r="D831" t="s">
        <v>536</v>
      </c>
      <c r="F831" t="str">
        <f t="shared" si="24"/>
        <v/>
      </c>
      <c r="G831" t="s">
        <v>1432</v>
      </c>
      <c r="H831" t="str">
        <f t="shared" si="25"/>
        <v>ren "" "1182.jpg"</v>
      </c>
    </row>
    <row r="832" spans="1:8" x14ac:dyDescent="0.25">
      <c r="A832">
        <v>831</v>
      </c>
      <c r="B832" t="s">
        <v>1418</v>
      </c>
      <c r="C832" t="s">
        <v>591</v>
      </c>
      <c r="D832" t="s">
        <v>534</v>
      </c>
      <c r="F832" t="str">
        <f t="shared" si="24"/>
        <v/>
      </c>
      <c r="G832" t="s">
        <v>1433</v>
      </c>
      <c r="H832" t="str">
        <f t="shared" si="25"/>
        <v>ren "" "1183.jpg"</v>
      </c>
    </row>
    <row r="833" spans="1:8" x14ac:dyDescent="0.25">
      <c r="A833">
        <v>832</v>
      </c>
      <c r="B833" t="s">
        <v>1418</v>
      </c>
      <c r="C833" t="s">
        <v>591</v>
      </c>
      <c r="D833" t="s">
        <v>536</v>
      </c>
      <c r="F833" t="str">
        <f t="shared" si="24"/>
        <v/>
      </c>
      <c r="G833" t="s">
        <v>1434</v>
      </c>
      <c r="H833" t="str">
        <f t="shared" si="25"/>
        <v>ren "" "1184.jpg"</v>
      </c>
    </row>
    <row r="834" spans="1:8" x14ac:dyDescent="0.25">
      <c r="A834">
        <v>833</v>
      </c>
      <c r="B834" t="s">
        <v>1435</v>
      </c>
      <c r="C834" t="s">
        <v>570</v>
      </c>
      <c r="D834" t="s">
        <v>534</v>
      </c>
      <c r="F834" t="str">
        <f t="shared" ref="F834:F897" si="26">IF(E834="", "", TRIM(RIGHT(SUBSTITUTE(E834, "\", REPT(" ", LEN(E834))), LEN(E834))))</f>
        <v/>
      </c>
      <c r="G834" t="s">
        <v>1436</v>
      </c>
      <c r="H834" t="str">
        <f t="shared" ref="H834:H897" si="27">"ren """ &amp; F834 &amp; """ """ &amp; G834 &amp; """"</f>
        <v>ren "" "1185.jpg"</v>
      </c>
    </row>
    <row r="835" spans="1:8" x14ac:dyDescent="0.25">
      <c r="A835">
        <v>834</v>
      </c>
      <c r="B835" t="s">
        <v>1435</v>
      </c>
      <c r="C835" t="s">
        <v>570</v>
      </c>
      <c r="D835" t="s">
        <v>536</v>
      </c>
      <c r="F835" t="str">
        <f t="shared" si="26"/>
        <v/>
      </c>
      <c r="G835" t="s">
        <v>1437</v>
      </c>
      <c r="H835" t="str">
        <f t="shared" si="27"/>
        <v>ren "" "1186.jpg"</v>
      </c>
    </row>
    <row r="836" spans="1:8" x14ac:dyDescent="0.25">
      <c r="A836">
        <v>835</v>
      </c>
      <c r="B836" t="s">
        <v>1435</v>
      </c>
      <c r="C836" t="s">
        <v>573</v>
      </c>
      <c r="D836" t="s">
        <v>534</v>
      </c>
      <c r="F836" t="str">
        <f t="shared" si="26"/>
        <v/>
      </c>
      <c r="G836" t="s">
        <v>1438</v>
      </c>
      <c r="H836" t="str">
        <f t="shared" si="27"/>
        <v>ren "" "1187.jpg"</v>
      </c>
    </row>
    <row r="837" spans="1:8" x14ac:dyDescent="0.25">
      <c r="A837">
        <v>836</v>
      </c>
      <c r="B837" t="s">
        <v>1435</v>
      </c>
      <c r="C837" t="s">
        <v>573</v>
      </c>
      <c r="D837" t="s">
        <v>536</v>
      </c>
      <c r="F837" t="str">
        <f t="shared" si="26"/>
        <v/>
      </c>
      <c r="G837" t="s">
        <v>1439</v>
      </c>
      <c r="H837" t="str">
        <f t="shared" si="27"/>
        <v>ren "" "1188.jpg"</v>
      </c>
    </row>
    <row r="838" spans="1:8" x14ac:dyDescent="0.25">
      <c r="A838">
        <v>837</v>
      </c>
      <c r="B838" t="s">
        <v>1435</v>
      </c>
      <c r="C838" t="s">
        <v>576</v>
      </c>
      <c r="D838" t="s">
        <v>534</v>
      </c>
      <c r="F838" t="str">
        <f t="shared" si="26"/>
        <v/>
      </c>
      <c r="G838" t="s">
        <v>1440</v>
      </c>
      <c r="H838" t="str">
        <f t="shared" si="27"/>
        <v>ren "" "1189.jpg"</v>
      </c>
    </row>
    <row r="839" spans="1:8" x14ac:dyDescent="0.25">
      <c r="A839">
        <v>838</v>
      </c>
      <c r="B839" t="s">
        <v>1435</v>
      </c>
      <c r="C839" t="s">
        <v>576</v>
      </c>
      <c r="D839" t="s">
        <v>536</v>
      </c>
      <c r="F839" t="str">
        <f t="shared" si="26"/>
        <v/>
      </c>
      <c r="G839" t="s">
        <v>1441</v>
      </c>
      <c r="H839" t="str">
        <f t="shared" si="27"/>
        <v>ren "" "1190.jpg"</v>
      </c>
    </row>
    <row r="840" spans="1:8" x14ac:dyDescent="0.25">
      <c r="A840">
        <v>839</v>
      </c>
      <c r="B840" t="s">
        <v>1435</v>
      </c>
      <c r="C840" t="s">
        <v>579</v>
      </c>
      <c r="D840" t="s">
        <v>534</v>
      </c>
      <c r="F840" t="str">
        <f t="shared" si="26"/>
        <v/>
      </c>
      <c r="G840" t="s">
        <v>1442</v>
      </c>
      <c r="H840" t="str">
        <f t="shared" si="27"/>
        <v>ren "" "1191.jpg"</v>
      </c>
    </row>
    <row r="841" spans="1:8" x14ac:dyDescent="0.25">
      <c r="A841">
        <v>840</v>
      </c>
      <c r="B841" t="s">
        <v>1435</v>
      </c>
      <c r="C841" t="s">
        <v>579</v>
      </c>
      <c r="D841" t="s">
        <v>536</v>
      </c>
      <c r="F841" t="str">
        <f t="shared" si="26"/>
        <v/>
      </c>
      <c r="G841" t="s">
        <v>1443</v>
      </c>
      <c r="H841" t="str">
        <f t="shared" si="27"/>
        <v>ren "" "1192.jpg"</v>
      </c>
    </row>
    <row r="842" spans="1:8" x14ac:dyDescent="0.25">
      <c r="A842">
        <v>841</v>
      </c>
      <c r="B842" t="s">
        <v>1435</v>
      </c>
      <c r="C842" t="s">
        <v>582</v>
      </c>
      <c r="D842" t="s">
        <v>534</v>
      </c>
      <c r="F842" t="str">
        <f t="shared" si="26"/>
        <v/>
      </c>
      <c r="G842" t="s">
        <v>1444</v>
      </c>
      <c r="H842" t="str">
        <f t="shared" si="27"/>
        <v>ren "" "1193.jpg"</v>
      </c>
    </row>
    <row r="843" spans="1:8" x14ac:dyDescent="0.25">
      <c r="A843">
        <v>842</v>
      </c>
      <c r="B843" t="s">
        <v>1435</v>
      </c>
      <c r="C843" t="s">
        <v>582</v>
      </c>
      <c r="D843" t="s">
        <v>536</v>
      </c>
      <c r="F843" t="str">
        <f t="shared" si="26"/>
        <v/>
      </c>
      <c r="G843" t="s">
        <v>1445</v>
      </c>
      <c r="H843" t="str">
        <f t="shared" si="27"/>
        <v>ren "" "1194.jpg"</v>
      </c>
    </row>
    <row r="844" spans="1:8" x14ac:dyDescent="0.25">
      <c r="A844">
        <v>843</v>
      </c>
      <c r="B844" t="s">
        <v>1435</v>
      </c>
      <c r="C844" t="s">
        <v>585</v>
      </c>
      <c r="D844" t="s">
        <v>534</v>
      </c>
      <c r="F844" t="str">
        <f t="shared" si="26"/>
        <v/>
      </c>
      <c r="G844" t="s">
        <v>1446</v>
      </c>
      <c r="H844" t="str">
        <f t="shared" si="27"/>
        <v>ren "" "1195.jpg"</v>
      </c>
    </row>
    <row r="845" spans="1:8" x14ac:dyDescent="0.25">
      <c r="A845">
        <v>844</v>
      </c>
      <c r="B845" t="s">
        <v>1435</v>
      </c>
      <c r="C845" t="s">
        <v>585</v>
      </c>
      <c r="D845" t="s">
        <v>536</v>
      </c>
      <c r="F845" t="str">
        <f t="shared" si="26"/>
        <v/>
      </c>
      <c r="G845" t="s">
        <v>1447</v>
      </c>
      <c r="H845" t="str">
        <f t="shared" si="27"/>
        <v>ren "" "1196.jpg"</v>
      </c>
    </row>
    <row r="846" spans="1:8" x14ac:dyDescent="0.25">
      <c r="A846">
        <v>845</v>
      </c>
      <c r="B846" t="s">
        <v>1435</v>
      </c>
      <c r="C846" t="s">
        <v>588</v>
      </c>
      <c r="D846" t="s">
        <v>534</v>
      </c>
      <c r="F846" t="str">
        <f t="shared" si="26"/>
        <v/>
      </c>
      <c r="G846" t="s">
        <v>1448</v>
      </c>
      <c r="H846" t="str">
        <f t="shared" si="27"/>
        <v>ren "" "1197.jpg"</v>
      </c>
    </row>
    <row r="847" spans="1:8" x14ac:dyDescent="0.25">
      <c r="A847">
        <v>846</v>
      </c>
      <c r="B847" t="s">
        <v>1435</v>
      </c>
      <c r="C847" t="s">
        <v>588</v>
      </c>
      <c r="D847" t="s">
        <v>536</v>
      </c>
      <c r="F847" t="str">
        <f t="shared" si="26"/>
        <v/>
      </c>
      <c r="G847" t="s">
        <v>1449</v>
      </c>
      <c r="H847" t="str">
        <f t="shared" si="27"/>
        <v>ren "" "1198.jpg"</v>
      </c>
    </row>
    <row r="848" spans="1:8" x14ac:dyDescent="0.25">
      <c r="A848">
        <v>847</v>
      </c>
      <c r="B848" t="s">
        <v>1435</v>
      </c>
      <c r="C848" t="s">
        <v>591</v>
      </c>
      <c r="D848" t="s">
        <v>534</v>
      </c>
      <c r="F848" t="str">
        <f t="shared" si="26"/>
        <v/>
      </c>
      <c r="G848" t="s">
        <v>1450</v>
      </c>
      <c r="H848" t="str">
        <f t="shared" si="27"/>
        <v>ren "" "1199.jpg"</v>
      </c>
    </row>
    <row r="849" spans="1:8" x14ac:dyDescent="0.25">
      <c r="A849">
        <v>848</v>
      </c>
      <c r="B849" t="s">
        <v>1435</v>
      </c>
      <c r="C849" t="s">
        <v>591</v>
      </c>
      <c r="D849" t="s">
        <v>536</v>
      </c>
      <c r="F849" t="str">
        <f t="shared" si="26"/>
        <v/>
      </c>
      <c r="G849" t="s">
        <v>1451</v>
      </c>
      <c r="H849" t="str">
        <f t="shared" si="27"/>
        <v>ren "" "1200.jpg"</v>
      </c>
    </row>
    <row r="850" spans="1:8" x14ac:dyDescent="0.25">
      <c r="A850">
        <v>849</v>
      </c>
      <c r="B850" t="s">
        <v>1452</v>
      </c>
      <c r="C850" t="s">
        <v>1453</v>
      </c>
      <c r="D850" t="s">
        <v>534</v>
      </c>
      <c r="F850" t="str">
        <f t="shared" si="26"/>
        <v/>
      </c>
      <c r="G850" t="s">
        <v>1454</v>
      </c>
      <c r="H850" t="str">
        <f t="shared" si="27"/>
        <v>ren "" "1501.jpg"</v>
      </c>
    </row>
    <row r="851" spans="1:8" x14ac:dyDescent="0.25">
      <c r="A851">
        <v>850</v>
      </c>
      <c r="B851" t="s">
        <v>1452</v>
      </c>
      <c r="C851" t="s">
        <v>1453</v>
      </c>
      <c r="D851" t="s">
        <v>536</v>
      </c>
      <c r="F851" t="str">
        <f t="shared" si="26"/>
        <v/>
      </c>
      <c r="G851" t="s">
        <v>1455</v>
      </c>
      <c r="H851" t="str">
        <f t="shared" si="27"/>
        <v>ren "" "1502.jpg"</v>
      </c>
    </row>
    <row r="852" spans="1:8" x14ac:dyDescent="0.25">
      <c r="A852">
        <v>851</v>
      </c>
      <c r="B852" t="s">
        <v>1452</v>
      </c>
      <c r="C852" t="s">
        <v>1456</v>
      </c>
      <c r="D852" t="s">
        <v>534</v>
      </c>
      <c r="F852" t="str">
        <f t="shared" si="26"/>
        <v/>
      </c>
      <c r="G852" t="s">
        <v>1457</v>
      </c>
      <c r="H852" t="str">
        <f t="shared" si="27"/>
        <v>ren "" "1503.jpg"</v>
      </c>
    </row>
    <row r="853" spans="1:8" x14ac:dyDescent="0.25">
      <c r="A853">
        <v>852</v>
      </c>
      <c r="B853" t="s">
        <v>1452</v>
      </c>
      <c r="C853" t="s">
        <v>1456</v>
      </c>
      <c r="D853" t="s">
        <v>536</v>
      </c>
      <c r="F853" t="str">
        <f t="shared" si="26"/>
        <v/>
      </c>
      <c r="G853" t="s">
        <v>1458</v>
      </c>
      <c r="H853" t="str">
        <f t="shared" si="27"/>
        <v>ren "" "1504.jpg"</v>
      </c>
    </row>
    <row r="854" spans="1:8" x14ac:dyDescent="0.25">
      <c r="A854">
        <v>853</v>
      </c>
      <c r="B854" t="s">
        <v>1452</v>
      </c>
      <c r="C854" t="s">
        <v>1459</v>
      </c>
      <c r="D854" t="s">
        <v>534</v>
      </c>
      <c r="F854" t="str">
        <f t="shared" si="26"/>
        <v/>
      </c>
      <c r="G854" t="s">
        <v>1460</v>
      </c>
      <c r="H854" t="str">
        <f t="shared" si="27"/>
        <v>ren "" "1505.jpg"</v>
      </c>
    </row>
    <row r="855" spans="1:8" x14ac:dyDescent="0.25">
      <c r="A855">
        <v>854</v>
      </c>
      <c r="B855" t="s">
        <v>1452</v>
      </c>
      <c r="C855" t="s">
        <v>1459</v>
      </c>
      <c r="D855" t="s">
        <v>536</v>
      </c>
      <c r="F855" t="str">
        <f t="shared" si="26"/>
        <v/>
      </c>
      <c r="G855" t="s">
        <v>1461</v>
      </c>
      <c r="H855" t="str">
        <f t="shared" si="27"/>
        <v>ren "" "1506.jpg"</v>
      </c>
    </row>
    <row r="856" spans="1:8" x14ac:dyDescent="0.25">
      <c r="A856">
        <v>855</v>
      </c>
      <c r="B856" t="s">
        <v>1452</v>
      </c>
      <c r="C856" t="s">
        <v>1462</v>
      </c>
      <c r="D856" t="s">
        <v>534</v>
      </c>
      <c r="F856" t="str">
        <f t="shared" si="26"/>
        <v/>
      </c>
      <c r="G856" t="s">
        <v>1463</v>
      </c>
      <c r="H856" t="str">
        <f t="shared" si="27"/>
        <v>ren "" "1507.jpg"</v>
      </c>
    </row>
    <row r="857" spans="1:8" x14ac:dyDescent="0.25">
      <c r="A857">
        <v>856</v>
      </c>
      <c r="B857" t="s">
        <v>1452</v>
      </c>
      <c r="C857" t="s">
        <v>1462</v>
      </c>
      <c r="D857" t="s">
        <v>536</v>
      </c>
      <c r="F857" t="str">
        <f t="shared" si="26"/>
        <v/>
      </c>
      <c r="G857" t="s">
        <v>1464</v>
      </c>
      <c r="H857" t="str">
        <f t="shared" si="27"/>
        <v>ren "" "1508.jpg"</v>
      </c>
    </row>
    <row r="858" spans="1:8" x14ac:dyDescent="0.25">
      <c r="A858">
        <v>857</v>
      </c>
      <c r="B858" t="s">
        <v>1452</v>
      </c>
      <c r="C858" t="s">
        <v>1465</v>
      </c>
      <c r="D858" t="s">
        <v>534</v>
      </c>
      <c r="F858" t="str">
        <f t="shared" si="26"/>
        <v/>
      </c>
      <c r="G858" t="s">
        <v>1466</v>
      </c>
      <c r="H858" t="str">
        <f t="shared" si="27"/>
        <v>ren "" "1509.jpg"</v>
      </c>
    </row>
    <row r="859" spans="1:8" x14ac:dyDescent="0.25">
      <c r="A859">
        <v>858</v>
      </c>
      <c r="B859" t="s">
        <v>1452</v>
      </c>
      <c r="C859" t="s">
        <v>1465</v>
      </c>
      <c r="D859" t="s">
        <v>536</v>
      </c>
      <c r="F859" t="str">
        <f t="shared" si="26"/>
        <v/>
      </c>
      <c r="G859" t="s">
        <v>1467</v>
      </c>
      <c r="H859" t="str">
        <f t="shared" si="27"/>
        <v>ren "" "1510.jpg"</v>
      </c>
    </row>
    <row r="860" spans="1:8" x14ac:dyDescent="0.25">
      <c r="A860">
        <v>859</v>
      </c>
      <c r="B860" t="s">
        <v>1452</v>
      </c>
      <c r="C860" t="s">
        <v>1468</v>
      </c>
      <c r="D860" t="s">
        <v>534</v>
      </c>
      <c r="F860" t="str">
        <f t="shared" si="26"/>
        <v/>
      </c>
      <c r="G860" t="s">
        <v>1469</v>
      </c>
      <c r="H860" t="str">
        <f t="shared" si="27"/>
        <v>ren "" "1511.jpg"</v>
      </c>
    </row>
    <row r="861" spans="1:8" x14ac:dyDescent="0.25">
      <c r="A861">
        <v>860</v>
      </c>
      <c r="B861" t="s">
        <v>1452</v>
      </c>
      <c r="C861" t="s">
        <v>1468</v>
      </c>
      <c r="D861" t="s">
        <v>536</v>
      </c>
      <c r="F861" t="str">
        <f t="shared" si="26"/>
        <v/>
      </c>
      <c r="G861" t="s">
        <v>1470</v>
      </c>
      <c r="H861" t="str">
        <f t="shared" si="27"/>
        <v>ren "" "1512.jpg"</v>
      </c>
    </row>
    <row r="862" spans="1:8" x14ac:dyDescent="0.25">
      <c r="A862">
        <v>861</v>
      </c>
      <c r="B862" t="s">
        <v>1452</v>
      </c>
      <c r="C862" t="s">
        <v>1471</v>
      </c>
      <c r="D862" t="s">
        <v>534</v>
      </c>
      <c r="F862" t="str">
        <f t="shared" si="26"/>
        <v/>
      </c>
      <c r="G862" t="s">
        <v>1472</v>
      </c>
      <c r="H862" t="str">
        <f t="shared" si="27"/>
        <v>ren "" "1513.jpg"</v>
      </c>
    </row>
    <row r="863" spans="1:8" x14ac:dyDescent="0.25">
      <c r="A863">
        <v>862</v>
      </c>
      <c r="B863" t="s">
        <v>1452</v>
      </c>
      <c r="C863" t="s">
        <v>1471</v>
      </c>
      <c r="D863" t="s">
        <v>536</v>
      </c>
      <c r="F863" t="str">
        <f t="shared" si="26"/>
        <v/>
      </c>
      <c r="G863" t="s">
        <v>1473</v>
      </c>
      <c r="H863" t="str">
        <f t="shared" si="27"/>
        <v>ren "" "1514.jpg"</v>
      </c>
    </row>
    <row r="864" spans="1:8" x14ac:dyDescent="0.25">
      <c r="A864">
        <v>863</v>
      </c>
      <c r="B864" t="s">
        <v>1452</v>
      </c>
      <c r="C864" t="s">
        <v>1474</v>
      </c>
      <c r="D864" t="s">
        <v>534</v>
      </c>
      <c r="F864" t="str">
        <f t="shared" si="26"/>
        <v/>
      </c>
      <c r="G864" t="s">
        <v>1475</v>
      </c>
      <c r="H864" t="str">
        <f t="shared" si="27"/>
        <v>ren "" "1515.jpg"</v>
      </c>
    </row>
    <row r="865" spans="1:8" x14ac:dyDescent="0.25">
      <c r="A865">
        <v>864</v>
      </c>
      <c r="B865" t="s">
        <v>1452</v>
      </c>
      <c r="C865" t="s">
        <v>1474</v>
      </c>
      <c r="D865" t="s">
        <v>536</v>
      </c>
      <c r="F865" t="str">
        <f t="shared" si="26"/>
        <v/>
      </c>
      <c r="G865" t="s">
        <v>1476</v>
      </c>
      <c r="H865" t="str">
        <f t="shared" si="27"/>
        <v>ren "" "1516.jpg"</v>
      </c>
    </row>
    <row r="866" spans="1:8" x14ac:dyDescent="0.25">
      <c r="A866">
        <v>865</v>
      </c>
      <c r="B866" t="s">
        <v>1477</v>
      </c>
      <c r="C866" t="s">
        <v>1453</v>
      </c>
      <c r="D866" t="s">
        <v>534</v>
      </c>
      <c r="F866" t="str">
        <f t="shared" si="26"/>
        <v/>
      </c>
      <c r="G866" t="s">
        <v>1478</v>
      </c>
      <c r="H866" t="str">
        <f t="shared" si="27"/>
        <v>ren "" "1517.jpg"</v>
      </c>
    </row>
    <row r="867" spans="1:8" x14ac:dyDescent="0.25">
      <c r="A867">
        <v>866</v>
      </c>
      <c r="B867" t="s">
        <v>1477</v>
      </c>
      <c r="C867" t="s">
        <v>1453</v>
      </c>
      <c r="D867" t="s">
        <v>536</v>
      </c>
      <c r="F867" t="str">
        <f t="shared" si="26"/>
        <v/>
      </c>
      <c r="G867" t="s">
        <v>1479</v>
      </c>
      <c r="H867" t="str">
        <f t="shared" si="27"/>
        <v>ren "" "1518.jpg"</v>
      </c>
    </row>
    <row r="868" spans="1:8" x14ac:dyDescent="0.25">
      <c r="A868">
        <v>867</v>
      </c>
      <c r="B868" t="s">
        <v>1477</v>
      </c>
      <c r="C868" t="s">
        <v>1456</v>
      </c>
      <c r="D868" t="s">
        <v>534</v>
      </c>
      <c r="F868" t="str">
        <f t="shared" si="26"/>
        <v/>
      </c>
      <c r="G868" t="s">
        <v>1480</v>
      </c>
      <c r="H868" t="str">
        <f t="shared" si="27"/>
        <v>ren "" "1519.jpg"</v>
      </c>
    </row>
    <row r="869" spans="1:8" x14ac:dyDescent="0.25">
      <c r="A869">
        <v>868</v>
      </c>
      <c r="B869" t="s">
        <v>1477</v>
      </c>
      <c r="C869" t="s">
        <v>1456</v>
      </c>
      <c r="D869" t="s">
        <v>536</v>
      </c>
      <c r="F869" t="str">
        <f t="shared" si="26"/>
        <v/>
      </c>
      <c r="G869" t="s">
        <v>1481</v>
      </c>
      <c r="H869" t="str">
        <f t="shared" si="27"/>
        <v>ren "" "1520.jpg"</v>
      </c>
    </row>
    <row r="870" spans="1:8" x14ac:dyDescent="0.25">
      <c r="A870">
        <v>869</v>
      </c>
      <c r="B870" t="s">
        <v>1477</v>
      </c>
      <c r="C870" t="s">
        <v>1459</v>
      </c>
      <c r="D870" t="s">
        <v>534</v>
      </c>
      <c r="F870" t="str">
        <f t="shared" si="26"/>
        <v/>
      </c>
      <c r="G870" t="s">
        <v>1482</v>
      </c>
      <c r="H870" t="str">
        <f t="shared" si="27"/>
        <v>ren "" "1521.jpg"</v>
      </c>
    </row>
    <row r="871" spans="1:8" x14ac:dyDescent="0.25">
      <c r="A871">
        <v>870</v>
      </c>
      <c r="B871" t="s">
        <v>1477</v>
      </c>
      <c r="C871" t="s">
        <v>1459</v>
      </c>
      <c r="D871" t="s">
        <v>536</v>
      </c>
      <c r="F871" t="str">
        <f t="shared" si="26"/>
        <v/>
      </c>
      <c r="G871" t="s">
        <v>1483</v>
      </c>
      <c r="H871" t="str">
        <f t="shared" si="27"/>
        <v>ren "" "1522.jpg"</v>
      </c>
    </row>
    <row r="872" spans="1:8" x14ac:dyDescent="0.25">
      <c r="A872">
        <v>871</v>
      </c>
      <c r="B872" t="s">
        <v>1477</v>
      </c>
      <c r="C872" t="s">
        <v>1462</v>
      </c>
      <c r="D872" t="s">
        <v>534</v>
      </c>
      <c r="F872" t="str">
        <f t="shared" si="26"/>
        <v/>
      </c>
      <c r="G872" t="s">
        <v>1484</v>
      </c>
      <c r="H872" t="str">
        <f t="shared" si="27"/>
        <v>ren "" "1523.jpg"</v>
      </c>
    </row>
    <row r="873" spans="1:8" x14ac:dyDescent="0.25">
      <c r="A873">
        <v>872</v>
      </c>
      <c r="B873" t="s">
        <v>1477</v>
      </c>
      <c r="C873" t="s">
        <v>1462</v>
      </c>
      <c r="D873" t="s">
        <v>536</v>
      </c>
      <c r="F873" t="str">
        <f t="shared" si="26"/>
        <v/>
      </c>
      <c r="G873" t="s">
        <v>1485</v>
      </c>
      <c r="H873" t="str">
        <f t="shared" si="27"/>
        <v>ren "" "1524.jpg"</v>
      </c>
    </row>
    <row r="874" spans="1:8" x14ac:dyDescent="0.25">
      <c r="A874">
        <v>873</v>
      </c>
      <c r="B874" t="s">
        <v>1477</v>
      </c>
      <c r="C874" t="s">
        <v>1465</v>
      </c>
      <c r="D874" t="s">
        <v>534</v>
      </c>
      <c r="F874" t="str">
        <f t="shared" si="26"/>
        <v/>
      </c>
      <c r="G874" t="s">
        <v>1486</v>
      </c>
      <c r="H874" t="str">
        <f t="shared" si="27"/>
        <v>ren "" "1525.jpg"</v>
      </c>
    </row>
    <row r="875" spans="1:8" x14ac:dyDescent="0.25">
      <c r="A875">
        <v>874</v>
      </c>
      <c r="B875" t="s">
        <v>1477</v>
      </c>
      <c r="C875" t="s">
        <v>1465</v>
      </c>
      <c r="D875" t="s">
        <v>536</v>
      </c>
      <c r="F875" t="str">
        <f t="shared" si="26"/>
        <v/>
      </c>
      <c r="G875" t="s">
        <v>1487</v>
      </c>
      <c r="H875" t="str">
        <f t="shared" si="27"/>
        <v>ren "" "1526.jpg"</v>
      </c>
    </row>
    <row r="876" spans="1:8" x14ac:dyDescent="0.25">
      <c r="A876">
        <v>875</v>
      </c>
      <c r="B876" t="s">
        <v>1477</v>
      </c>
      <c r="C876" t="s">
        <v>1468</v>
      </c>
      <c r="D876" t="s">
        <v>534</v>
      </c>
      <c r="F876" t="str">
        <f t="shared" si="26"/>
        <v/>
      </c>
      <c r="G876" t="s">
        <v>1488</v>
      </c>
      <c r="H876" t="str">
        <f t="shared" si="27"/>
        <v>ren "" "1527.jpg"</v>
      </c>
    </row>
    <row r="877" spans="1:8" x14ac:dyDescent="0.25">
      <c r="A877">
        <v>876</v>
      </c>
      <c r="B877" t="s">
        <v>1477</v>
      </c>
      <c r="C877" t="s">
        <v>1468</v>
      </c>
      <c r="D877" t="s">
        <v>536</v>
      </c>
      <c r="F877" t="str">
        <f t="shared" si="26"/>
        <v/>
      </c>
      <c r="G877" t="s">
        <v>1489</v>
      </c>
      <c r="H877" t="str">
        <f t="shared" si="27"/>
        <v>ren "" "1528.jpg"</v>
      </c>
    </row>
    <row r="878" spans="1:8" x14ac:dyDescent="0.25">
      <c r="A878">
        <v>877</v>
      </c>
      <c r="B878" t="s">
        <v>1477</v>
      </c>
      <c r="C878" t="s">
        <v>1471</v>
      </c>
      <c r="D878" t="s">
        <v>534</v>
      </c>
      <c r="F878" t="str">
        <f t="shared" si="26"/>
        <v/>
      </c>
      <c r="G878" t="s">
        <v>1490</v>
      </c>
      <c r="H878" t="str">
        <f t="shared" si="27"/>
        <v>ren "" "1529.jpg"</v>
      </c>
    </row>
    <row r="879" spans="1:8" x14ac:dyDescent="0.25">
      <c r="A879">
        <v>878</v>
      </c>
      <c r="B879" t="s">
        <v>1477</v>
      </c>
      <c r="C879" t="s">
        <v>1471</v>
      </c>
      <c r="D879" t="s">
        <v>536</v>
      </c>
      <c r="F879" t="str">
        <f t="shared" si="26"/>
        <v/>
      </c>
      <c r="G879" t="s">
        <v>1491</v>
      </c>
      <c r="H879" t="str">
        <f t="shared" si="27"/>
        <v>ren "" "1530.jpg"</v>
      </c>
    </row>
    <row r="880" spans="1:8" x14ac:dyDescent="0.25">
      <c r="A880">
        <v>879</v>
      </c>
      <c r="B880" t="s">
        <v>1477</v>
      </c>
      <c r="C880" t="s">
        <v>1474</v>
      </c>
      <c r="D880" t="s">
        <v>534</v>
      </c>
      <c r="F880" t="str">
        <f t="shared" si="26"/>
        <v/>
      </c>
      <c r="G880" t="s">
        <v>1492</v>
      </c>
      <c r="H880" t="str">
        <f t="shared" si="27"/>
        <v>ren "" "1531.jpg"</v>
      </c>
    </row>
    <row r="881" spans="1:8" x14ac:dyDescent="0.25">
      <c r="A881">
        <v>880</v>
      </c>
      <c r="B881" t="s">
        <v>1477</v>
      </c>
      <c r="C881" t="s">
        <v>1474</v>
      </c>
      <c r="D881" t="s">
        <v>536</v>
      </c>
      <c r="F881" t="str">
        <f t="shared" si="26"/>
        <v/>
      </c>
      <c r="G881" t="s">
        <v>1493</v>
      </c>
      <c r="H881" t="str">
        <f t="shared" si="27"/>
        <v>ren "" "1532.jpg"</v>
      </c>
    </row>
    <row r="882" spans="1:8" x14ac:dyDescent="0.25">
      <c r="A882">
        <v>881</v>
      </c>
      <c r="B882" t="s">
        <v>1494</v>
      </c>
      <c r="C882" t="s">
        <v>1453</v>
      </c>
      <c r="D882" t="s">
        <v>534</v>
      </c>
      <c r="F882" t="str">
        <f t="shared" si="26"/>
        <v/>
      </c>
      <c r="G882" t="s">
        <v>1495</v>
      </c>
      <c r="H882" t="str">
        <f t="shared" si="27"/>
        <v>ren "" "1533.jpg"</v>
      </c>
    </row>
    <row r="883" spans="1:8" x14ac:dyDescent="0.25">
      <c r="A883">
        <v>882</v>
      </c>
      <c r="B883" t="s">
        <v>1494</v>
      </c>
      <c r="C883" t="s">
        <v>1453</v>
      </c>
      <c r="D883" t="s">
        <v>536</v>
      </c>
      <c r="F883" t="str">
        <f t="shared" si="26"/>
        <v/>
      </c>
      <c r="G883" t="s">
        <v>1496</v>
      </c>
      <c r="H883" t="str">
        <f t="shared" si="27"/>
        <v>ren "" "1534.jpg"</v>
      </c>
    </row>
    <row r="884" spans="1:8" x14ac:dyDescent="0.25">
      <c r="A884">
        <v>883</v>
      </c>
      <c r="B884" t="s">
        <v>1494</v>
      </c>
      <c r="C884" t="s">
        <v>1497</v>
      </c>
      <c r="D884" t="s">
        <v>534</v>
      </c>
      <c r="F884" t="str">
        <f t="shared" si="26"/>
        <v/>
      </c>
      <c r="G884" t="s">
        <v>1498</v>
      </c>
      <c r="H884" t="str">
        <f t="shared" si="27"/>
        <v>ren "" "1535.jpg"</v>
      </c>
    </row>
    <row r="885" spans="1:8" x14ac:dyDescent="0.25">
      <c r="A885">
        <v>884</v>
      </c>
      <c r="B885" t="s">
        <v>1494</v>
      </c>
      <c r="C885" t="s">
        <v>1497</v>
      </c>
      <c r="D885" t="s">
        <v>536</v>
      </c>
      <c r="F885" t="str">
        <f t="shared" si="26"/>
        <v/>
      </c>
      <c r="G885" t="s">
        <v>1499</v>
      </c>
      <c r="H885" t="str">
        <f t="shared" si="27"/>
        <v>ren "" "1536.jpg"</v>
      </c>
    </row>
    <row r="886" spans="1:8" x14ac:dyDescent="0.25">
      <c r="A886">
        <v>885</v>
      </c>
      <c r="B886" t="s">
        <v>1494</v>
      </c>
      <c r="C886" t="s">
        <v>1500</v>
      </c>
      <c r="D886" t="s">
        <v>534</v>
      </c>
      <c r="F886" t="str">
        <f t="shared" si="26"/>
        <v/>
      </c>
      <c r="G886" t="s">
        <v>1501</v>
      </c>
      <c r="H886" t="str">
        <f t="shared" si="27"/>
        <v>ren "" "1537.jpg"</v>
      </c>
    </row>
    <row r="887" spans="1:8" x14ac:dyDescent="0.25">
      <c r="A887">
        <v>886</v>
      </c>
      <c r="B887" t="s">
        <v>1494</v>
      </c>
      <c r="C887" t="s">
        <v>1500</v>
      </c>
      <c r="D887" t="s">
        <v>536</v>
      </c>
      <c r="F887" t="str">
        <f t="shared" si="26"/>
        <v/>
      </c>
      <c r="G887" t="s">
        <v>1502</v>
      </c>
      <c r="H887" t="str">
        <f t="shared" si="27"/>
        <v>ren "" "1538.jpg"</v>
      </c>
    </row>
    <row r="888" spans="1:8" x14ac:dyDescent="0.25">
      <c r="A888">
        <v>887</v>
      </c>
      <c r="B888" t="s">
        <v>1494</v>
      </c>
      <c r="C888" t="s">
        <v>1468</v>
      </c>
      <c r="D888" t="s">
        <v>534</v>
      </c>
      <c r="F888" t="str">
        <f t="shared" si="26"/>
        <v/>
      </c>
      <c r="G888" t="s">
        <v>1503</v>
      </c>
      <c r="H888" t="str">
        <f t="shared" si="27"/>
        <v>ren "" "1539.jpg"</v>
      </c>
    </row>
    <row r="889" spans="1:8" x14ac:dyDescent="0.25">
      <c r="A889">
        <v>888</v>
      </c>
      <c r="B889" t="s">
        <v>1494</v>
      </c>
      <c r="C889" t="s">
        <v>1468</v>
      </c>
      <c r="D889" t="s">
        <v>536</v>
      </c>
      <c r="F889" t="str">
        <f t="shared" si="26"/>
        <v/>
      </c>
      <c r="G889" t="s">
        <v>1504</v>
      </c>
      <c r="H889" t="str">
        <f t="shared" si="27"/>
        <v>ren "" "1540.jpg"</v>
      </c>
    </row>
    <row r="890" spans="1:8" x14ac:dyDescent="0.25">
      <c r="A890">
        <v>889</v>
      </c>
      <c r="B890" t="s">
        <v>1494</v>
      </c>
      <c r="C890" t="s">
        <v>1505</v>
      </c>
      <c r="D890" t="s">
        <v>534</v>
      </c>
      <c r="F890" t="str">
        <f t="shared" si="26"/>
        <v/>
      </c>
      <c r="G890" t="s">
        <v>1506</v>
      </c>
      <c r="H890" t="str">
        <f t="shared" si="27"/>
        <v>ren "" "1541.jpg"</v>
      </c>
    </row>
    <row r="891" spans="1:8" x14ac:dyDescent="0.25">
      <c r="A891">
        <v>890</v>
      </c>
      <c r="B891" t="s">
        <v>1494</v>
      </c>
      <c r="C891" t="s">
        <v>1505</v>
      </c>
      <c r="D891" t="s">
        <v>536</v>
      </c>
      <c r="F891" t="str">
        <f t="shared" si="26"/>
        <v/>
      </c>
      <c r="G891" t="s">
        <v>1507</v>
      </c>
      <c r="H891" t="str">
        <f t="shared" si="27"/>
        <v>ren "" "1542.jpg"</v>
      </c>
    </row>
    <row r="892" spans="1:8" x14ac:dyDescent="0.25">
      <c r="A892">
        <v>891</v>
      </c>
      <c r="B892" t="s">
        <v>1494</v>
      </c>
      <c r="C892" t="s">
        <v>1508</v>
      </c>
      <c r="D892" t="s">
        <v>534</v>
      </c>
      <c r="F892" t="str">
        <f t="shared" si="26"/>
        <v/>
      </c>
      <c r="G892" t="s">
        <v>1509</v>
      </c>
      <c r="H892" t="str">
        <f t="shared" si="27"/>
        <v>ren "" "1543.jpg"</v>
      </c>
    </row>
    <row r="893" spans="1:8" x14ac:dyDescent="0.25">
      <c r="A893">
        <v>892</v>
      </c>
      <c r="B893" t="s">
        <v>1494</v>
      </c>
      <c r="C893" t="s">
        <v>1508</v>
      </c>
      <c r="D893" t="s">
        <v>536</v>
      </c>
      <c r="F893" t="str">
        <f t="shared" si="26"/>
        <v/>
      </c>
      <c r="G893" t="s">
        <v>1510</v>
      </c>
      <c r="H893" t="str">
        <f t="shared" si="27"/>
        <v>ren "" "1544.jpg"</v>
      </c>
    </row>
    <row r="894" spans="1:8" x14ac:dyDescent="0.25">
      <c r="A894">
        <v>893</v>
      </c>
      <c r="B894" t="s">
        <v>1494</v>
      </c>
      <c r="C894" t="s">
        <v>1474</v>
      </c>
      <c r="D894" t="s">
        <v>534</v>
      </c>
      <c r="F894" t="str">
        <f t="shared" si="26"/>
        <v/>
      </c>
      <c r="G894" t="s">
        <v>1511</v>
      </c>
      <c r="H894" t="str">
        <f t="shared" si="27"/>
        <v>ren "" "1545.jpg"</v>
      </c>
    </row>
    <row r="895" spans="1:8" x14ac:dyDescent="0.25">
      <c r="A895">
        <v>894</v>
      </c>
      <c r="B895" t="s">
        <v>1494</v>
      </c>
      <c r="C895" t="s">
        <v>1474</v>
      </c>
      <c r="D895" t="s">
        <v>536</v>
      </c>
      <c r="F895" t="str">
        <f t="shared" si="26"/>
        <v/>
      </c>
      <c r="G895" t="s">
        <v>1512</v>
      </c>
      <c r="H895" t="str">
        <f t="shared" si="27"/>
        <v>ren "" "1546.jpg"</v>
      </c>
    </row>
    <row r="896" spans="1:8" x14ac:dyDescent="0.25">
      <c r="A896">
        <v>895</v>
      </c>
      <c r="B896" t="s">
        <v>1494</v>
      </c>
      <c r="C896" t="s">
        <v>1513</v>
      </c>
      <c r="D896" t="s">
        <v>534</v>
      </c>
      <c r="F896" t="str">
        <f t="shared" si="26"/>
        <v/>
      </c>
      <c r="G896" t="s">
        <v>1514</v>
      </c>
      <c r="H896" t="str">
        <f t="shared" si="27"/>
        <v>ren "" "1547.jpg"</v>
      </c>
    </row>
    <row r="897" spans="1:8" x14ac:dyDescent="0.25">
      <c r="A897">
        <v>896</v>
      </c>
      <c r="B897" t="s">
        <v>1494</v>
      </c>
      <c r="C897" t="s">
        <v>1513</v>
      </c>
      <c r="D897" t="s">
        <v>536</v>
      </c>
      <c r="F897" t="str">
        <f t="shared" si="26"/>
        <v/>
      </c>
      <c r="G897" t="s">
        <v>1515</v>
      </c>
      <c r="H897" t="str">
        <f t="shared" si="27"/>
        <v>ren "" "1548.jpg"</v>
      </c>
    </row>
    <row r="898" spans="1:8" x14ac:dyDescent="0.25">
      <c r="A898">
        <v>897</v>
      </c>
      <c r="B898" t="s">
        <v>1516</v>
      </c>
      <c r="C898" t="s">
        <v>1453</v>
      </c>
      <c r="D898" t="s">
        <v>534</v>
      </c>
      <c r="F898" t="str">
        <f t="shared" ref="F898:F905" si="28">IF(E898="", "", TRIM(RIGHT(SUBSTITUTE(E898, "\", REPT(" ", LEN(E898))), LEN(E898))))</f>
        <v/>
      </c>
      <c r="G898" t="s">
        <v>1517</v>
      </c>
      <c r="H898" t="str">
        <f t="shared" ref="H898:H905" si="29">"ren """ &amp; F898 &amp; """ """ &amp; G898 &amp; """"</f>
        <v>ren "" "1549.jpg"</v>
      </c>
    </row>
    <row r="899" spans="1:8" x14ac:dyDescent="0.25">
      <c r="A899">
        <v>898</v>
      </c>
      <c r="B899" t="s">
        <v>1516</v>
      </c>
      <c r="C899" t="s">
        <v>1453</v>
      </c>
      <c r="D899" t="s">
        <v>536</v>
      </c>
      <c r="F899" t="str">
        <f t="shared" si="28"/>
        <v/>
      </c>
      <c r="G899" t="s">
        <v>1518</v>
      </c>
      <c r="H899" t="str">
        <f t="shared" si="29"/>
        <v>ren "" "1550.jpg"</v>
      </c>
    </row>
    <row r="900" spans="1:8" x14ac:dyDescent="0.25">
      <c r="A900">
        <v>899</v>
      </c>
      <c r="B900" t="s">
        <v>1519</v>
      </c>
      <c r="C900" t="s">
        <v>1453</v>
      </c>
      <c r="D900" t="s">
        <v>534</v>
      </c>
      <c r="F900" t="str">
        <f t="shared" si="28"/>
        <v/>
      </c>
      <c r="G900" t="s">
        <v>1520</v>
      </c>
      <c r="H900" t="str">
        <f t="shared" si="29"/>
        <v>ren "" "1551.jpg"</v>
      </c>
    </row>
    <row r="901" spans="1:8" x14ac:dyDescent="0.25">
      <c r="A901">
        <v>900</v>
      </c>
      <c r="B901" t="s">
        <v>1519</v>
      </c>
      <c r="C901" t="s">
        <v>1453</v>
      </c>
      <c r="D901" t="s">
        <v>536</v>
      </c>
      <c r="F901" t="str">
        <f t="shared" si="28"/>
        <v/>
      </c>
      <c r="G901" t="s">
        <v>1521</v>
      </c>
      <c r="H901" t="str">
        <f t="shared" si="29"/>
        <v>ren "" "1552.jpg"</v>
      </c>
    </row>
    <row r="902" spans="1:8" x14ac:dyDescent="0.25">
      <c r="A902">
        <v>901</v>
      </c>
      <c r="B902" t="s">
        <v>1522</v>
      </c>
      <c r="C902" t="s">
        <v>1453</v>
      </c>
      <c r="D902" t="s">
        <v>534</v>
      </c>
      <c r="F902" t="str">
        <f t="shared" si="28"/>
        <v/>
      </c>
      <c r="G902" t="s">
        <v>1523</v>
      </c>
      <c r="H902" t="str">
        <f t="shared" si="29"/>
        <v>ren "" "1553.jpg"</v>
      </c>
    </row>
    <row r="903" spans="1:8" x14ac:dyDescent="0.25">
      <c r="A903">
        <v>902</v>
      </c>
      <c r="B903" t="s">
        <v>1522</v>
      </c>
      <c r="C903" t="s">
        <v>1453</v>
      </c>
      <c r="D903" t="s">
        <v>536</v>
      </c>
      <c r="F903" t="str">
        <f t="shared" si="28"/>
        <v/>
      </c>
      <c r="G903" t="s">
        <v>1524</v>
      </c>
      <c r="H903" t="str">
        <f t="shared" si="29"/>
        <v>ren "" "1554.jpg"</v>
      </c>
    </row>
    <row r="904" spans="1:8" x14ac:dyDescent="0.25">
      <c r="A904">
        <v>903</v>
      </c>
      <c r="B904" t="s">
        <v>1525</v>
      </c>
      <c r="C904" t="s">
        <v>1526</v>
      </c>
      <c r="D904" t="s">
        <v>534</v>
      </c>
      <c r="F904" t="str">
        <f t="shared" si="28"/>
        <v/>
      </c>
      <c r="G904" t="s">
        <v>1527</v>
      </c>
      <c r="H904" t="str">
        <f t="shared" si="29"/>
        <v>ren "" "1555.jpg"</v>
      </c>
    </row>
    <row r="905" spans="1:8" x14ac:dyDescent="0.25">
      <c r="A905">
        <v>904</v>
      </c>
      <c r="B905" t="s">
        <v>1525</v>
      </c>
      <c r="C905" t="s">
        <v>1526</v>
      </c>
      <c r="D905" t="s">
        <v>536</v>
      </c>
      <c r="F905" t="str">
        <f t="shared" si="28"/>
        <v/>
      </c>
      <c r="G905" t="s">
        <v>1528</v>
      </c>
      <c r="H905" t="str">
        <f t="shared" si="29"/>
        <v>ren "" "1556.jpg"</v>
      </c>
    </row>
    <row r="906" spans="1:8" x14ac:dyDescent="0.25">
      <c r="A906">
        <v>905</v>
      </c>
    </row>
    <row r="907" spans="1:8" x14ac:dyDescent="0.25">
      <c r="A907">
        <v>906</v>
      </c>
    </row>
  </sheetData>
  <autoFilter ref="A1:H907" xr:uid="{00000000-0009-0000-0000-000000000000}">
    <sortState xmlns:xlrd2="http://schemas.microsoft.com/office/spreadsheetml/2017/richdata2" ref="A2:H907">
      <sortCondition ref="A2:A907"/>
    </sortState>
  </autoFilter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2"/>
  <sheetViews>
    <sheetView workbookViewId="0">
      <selection sqref="A1:XFD1048576"/>
    </sheetView>
  </sheetViews>
  <sheetFormatPr defaultRowHeight="15" x14ac:dyDescent="0.25"/>
  <cols>
    <col min="2" max="2" width="15.5703125" bestFit="1" customWidth="1"/>
    <col min="3" max="3" width="29" bestFit="1" customWidth="1"/>
    <col min="4" max="4" width="16.7109375" customWidth="1"/>
    <col min="5" max="5" width="24.5703125" customWidth="1"/>
    <col min="6" max="6" width="29" customWidth="1"/>
    <col min="7" max="7" width="14.85546875" bestFit="1" customWidth="1"/>
    <col min="8" max="8" width="22.5703125" bestFit="1" customWidth="1"/>
    <col min="9" max="9" width="29" bestFit="1" customWidth="1"/>
    <col min="10" max="10" width="27.85546875" bestFit="1" customWidth="1"/>
    <col min="11" max="11" width="13.5703125" bestFit="1" customWidth="1"/>
    <col min="12" max="12" width="18.42578125" bestFit="1" customWidth="1"/>
    <col min="13" max="13" width="7.42578125" bestFit="1" customWidth="1"/>
    <col min="14" max="14" width="9.7109375" bestFit="1" customWidth="1"/>
    <col min="15" max="15" width="13.7109375" bestFit="1" customWidth="1"/>
    <col min="17" max="17" width="18.42578125" bestFit="1" customWidth="1"/>
    <col min="18" max="18" width="10.7109375" bestFit="1" customWidth="1"/>
    <col min="19" max="19" width="19" bestFit="1" customWidth="1"/>
    <col min="20" max="20" width="12.42578125" bestFit="1" customWidth="1"/>
    <col min="21" max="21" width="11.85546875" bestFit="1" customWidth="1"/>
    <col min="22" max="22" width="9.7109375" bestFit="1" customWidth="1"/>
    <col min="23" max="23" width="8" bestFit="1" customWidth="1"/>
    <col min="24" max="24" width="11.85546875" bestFit="1" customWidth="1"/>
    <col min="25" max="25" width="17.28515625" bestFit="1" customWidth="1"/>
    <col min="26" max="26" width="18.85546875" bestFit="1" customWidth="1"/>
    <col min="27" max="27" width="29" bestFit="1" customWidth="1"/>
    <col min="28" max="28" width="13.7109375" bestFit="1" customWidth="1"/>
    <col min="29" max="29" width="15.42578125" bestFit="1" customWidth="1"/>
    <col min="30" max="30" width="14.85546875" bestFit="1" customWidth="1"/>
    <col min="31" max="32" width="16.85546875" bestFit="1" customWidth="1"/>
    <col min="33" max="33" width="99.7109375" bestFit="1" customWidth="1"/>
  </cols>
  <sheetData>
    <row r="1" spans="1:23" x14ac:dyDescent="0.25">
      <c r="A1" t="s">
        <v>243</v>
      </c>
      <c r="B1" t="s">
        <v>525</v>
      </c>
      <c r="C1" t="s">
        <v>526</v>
      </c>
      <c r="D1" t="s">
        <v>527</v>
      </c>
      <c r="E1" t="s">
        <v>528</v>
      </c>
      <c r="F1" s="4" t="s">
        <v>529</v>
      </c>
      <c r="G1" t="s">
        <v>530</v>
      </c>
      <c r="H1" t="s">
        <v>531</v>
      </c>
    </row>
    <row r="2" spans="1:23" x14ac:dyDescent="0.25">
      <c r="A2">
        <v>1</v>
      </c>
      <c r="B2" s="4" t="s">
        <v>1529</v>
      </c>
      <c r="C2" s="4" t="s">
        <v>1453</v>
      </c>
      <c r="D2" t="s">
        <v>534</v>
      </c>
      <c r="F2" t="str">
        <f t="shared" ref="F2:F33" si="0">IF(E2="", "", TRIM(RIGHT(SUBSTITUTE(E2, "\", REPT(" ", LEN(E2))), LEN(E2))))</f>
        <v/>
      </c>
      <c r="G2" t="s">
        <v>535</v>
      </c>
      <c r="H2" t="str">
        <f t="shared" ref="H2:H33" si="1">"ren """ &amp; F2 &amp; """ """ &amp; G2 &amp; """"</f>
        <v>ren "" "1.jpg"</v>
      </c>
      <c r="K2" s="4" t="s">
        <v>1529</v>
      </c>
      <c r="L2" s="4" t="s">
        <v>1453</v>
      </c>
      <c r="M2" t="s">
        <v>535</v>
      </c>
    </row>
    <row r="3" spans="1:23" x14ac:dyDescent="0.25">
      <c r="A3">
        <v>2</v>
      </c>
      <c r="B3" s="4" t="s">
        <v>1529</v>
      </c>
      <c r="C3" s="4" t="s">
        <v>1453</v>
      </c>
      <c r="D3" t="s">
        <v>536</v>
      </c>
      <c r="F3" t="str">
        <f t="shared" si="0"/>
        <v/>
      </c>
      <c r="G3" t="s">
        <v>537</v>
      </c>
      <c r="H3" t="str">
        <f t="shared" si="1"/>
        <v>ren "" "2.jpg"</v>
      </c>
      <c r="K3" s="4" t="s">
        <v>1529</v>
      </c>
      <c r="L3" s="4" t="s">
        <v>1453</v>
      </c>
      <c r="M3" t="s">
        <v>537</v>
      </c>
      <c r="V3" s="1"/>
      <c r="W3" s="2"/>
    </row>
    <row r="4" spans="1:23" x14ac:dyDescent="0.25">
      <c r="A4">
        <v>3</v>
      </c>
      <c r="B4" s="4" t="s">
        <v>1529</v>
      </c>
      <c r="C4" s="4" t="s">
        <v>1497</v>
      </c>
      <c r="D4" t="s">
        <v>534</v>
      </c>
      <c r="F4" t="str">
        <f t="shared" si="0"/>
        <v/>
      </c>
      <c r="G4" t="s">
        <v>539</v>
      </c>
      <c r="H4" t="str">
        <f t="shared" si="1"/>
        <v>ren "" "3.jpg"</v>
      </c>
      <c r="K4" s="4" t="s">
        <v>1529</v>
      </c>
      <c r="L4" s="4" t="s">
        <v>1497</v>
      </c>
      <c r="M4" t="s">
        <v>539</v>
      </c>
      <c r="V4" s="1"/>
      <c r="W4" s="2"/>
    </row>
    <row r="5" spans="1:23" x14ac:dyDescent="0.25">
      <c r="A5">
        <v>4</v>
      </c>
      <c r="B5" s="4" t="s">
        <v>1529</v>
      </c>
      <c r="C5" s="4" t="s">
        <v>1497</v>
      </c>
      <c r="D5" t="s">
        <v>536</v>
      </c>
      <c r="F5" t="str">
        <f t="shared" si="0"/>
        <v/>
      </c>
      <c r="G5" t="s">
        <v>540</v>
      </c>
      <c r="H5" t="str">
        <f t="shared" si="1"/>
        <v>ren "" "4.jpg"</v>
      </c>
      <c r="K5" s="4" t="s">
        <v>1529</v>
      </c>
      <c r="L5" s="4" t="s">
        <v>1497</v>
      </c>
      <c r="M5" t="s">
        <v>540</v>
      </c>
      <c r="V5" s="1"/>
      <c r="W5" s="2"/>
    </row>
    <row r="6" spans="1:23" x14ac:dyDescent="0.25">
      <c r="A6">
        <v>5</v>
      </c>
      <c r="B6" s="4" t="s">
        <v>1529</v>
      </c>
      <c r="C6" s="4" t="s">
        <v>1530</v>
      </c>
      <c r="D6" t="s">
        <v>534</v>
      </c>
      <c r="F6" t="str">
        <f t="shared" si="0"/>
        <v/>
      </c>
      <c r="G6" t="s">
        <v>542</v>
      </c>
      <c r="H6" t="str">
        <f t="shared" si="1"/>
        <v>ren "" "5.jpg"</v>
      </c>
      <c r="K6" s="4" t="s">
        <v>1529</v>
      </c>
      <c r="L6" s="4" t="s">
        <v>1530</v>
      </c>
      <c r="M6" t="s">
        <v>542</v>
      </c>
      <c r="V6" s="1"/>
      <c r="W6" s="2"/>
    </row>
    <row r="7" spans="1:23" x14ac:dyDescent="0.25">
      <c r="A7">
        <v>6</v>
      </c>
      <c r="B7" s="4" t="s">
        <v>1529</v>
      </c>
      <c r="C7" s="4" t="s">
        <v>1530</v>
      </c>
      <c r="D7" t="s">
        <v>536</v>
      </c>
      <c r="F7" t="str">
        <f t="shared" si="0"/>
        <v/>
      </c>
      <c r="G7" t="s">
        <v>543</v>
      </c>
      <c r="H7" t="str">
        <f t="shared" si="1"/>
        <v>ren "" "6.jpg"</v>
      </c>
      <c r="K7" s="4" t="s">
        <v>1529</v>
      </c>
      <c r="L7" s="4" t="s">
        <v>1530</v>
      </c>
      <c r="M7" t="s">
        <v>543</v>
      </c>
      <c r="V7" s="1"/>
      <c r="W7" s="2"/>
    </row>
    <row r="8" spans="1:23" x14ac:dyDescent="0.25">
      <c r="A8">
        <v>7</v>
      </c>
      <c r="B8" s="4" t="s">
        <v>1529</v>
      </c>
      <c r="C8" s="4" t="s">
        <v>1531</v>
      </c>
      <c r="D8" t="s">
        <v>534</v>
      </c>
      <c r="F8" t="str">
        <f t="shared" si="0"/>
        <v/>
      </c>
      <c r="G8" t="s">
        <v>545</v>
      </c>
      <c r="H8" t="str">
        <f t="shared" si="1"/>
        <v>ren "" "7.jpg"</v>
      </c>
      <c r="K8" s="4" t="s">
        <v>1529</v>
      </c>
      <c r="L8" s="4" t="s">
        <v>1531</v>
      </c>
      <c r="M8" t="s">
        <v>545</v>
      </c>
      <c r="V8" s="1"/>
      <c r="W8" s="2"/>
    </row>
    <row r="9" spans="1:23" x14ac:dyDescent="0.25">
      <c r="A9">
        <v>8</v>
      </c>
      <c r="B9" s="4" t="s">
        <v>1529</v>
      </c>
      <c r="C9" s="4" t="s">
        <v>1531</v>
      </c>
      <c r="D9" t="s">
        <v>536</v>
      </c>
      <c r="F9" t="str">
        <f t="shared" si="0"/>
        <v/>
      </c>
      <c r="G9" t="s">
        <v>546</v>
      </c>
      <c r="H9" t="str">
        <f t="shared" si="1"/>
        <v>ren "" "8.jpg"</v>
      </c>
      <c r="K9" s="4" t="s">
        <v>1529</v>
      </c>
      <c r="L9" s="4" t="s">
        <v>1531</v>
      </c>
      <c r="M9" t="s">
        <v>546</v>
      </c>
      <c r="V9" s="1"/>
      <c r="W9" s="2"/>
    </row>
    <row r="10" spans="1:23" x14ac:dyDescent="0.25">
      <c r="A10">
        <v>9</v>
      </c>
      <c r="B10" s="4" t="s">
        <v>1529</v>
      </c>
      <c r="C10" s="4" t="s">
        <v>1532</v>
      </c>
      <c r="D10" t="s">
        <v>534</v>
      </c>
      <c r="F10" t="str">
        <f t="shared" si="0"/>
        <v/>
      </c>
      <c r="G10" t="s">
        <v>548</v>
      </c>
      <c r="H10" t="str">
        <f t="shared" si="1"/>
        <v>ren "" "9.jpg"</v>
      </c>
      <c r="K10" s="4" t="s">
        <v>1529</v>
      </c>
      <c r="L10" s="4" t="s">
        <v>1532</v>
      </c>
      <c r="M10" t="s">
        <v>548</v>
      </c>
      <c r="V10" s="1"/>
      <c r="W10" s="2"/>
    </row>
    <row r="11" spans="1:23" x14ac:dyDescent="0.25">
      <c r="A11">
        <v>10</v>
      </c>
      <c r="B11" s="4" t="s">
        <v>1529</v>
      </c>
      <c r="C11" s="4" t="s">
        <v>1532</v>
      </c>
      <c r="D11" t="s">
        <v>536</v>
      </c>
      <c r="F11" t="str">
        <f t="shared" si="0"/>
        <v/>
      </c>
      <c r="G11" t="s">
        <v>549</v>
      </c>
      <c r="H11" t="str">
        <f t="shared" si="1"/>
        <v>ren "" "10.jpg"</v>
      </c>
      <c r="K11" s="4" t="s">
        <v>1529</v>
      </c>
      <c r="L11" s="4" t="s">
        <v>1532</v>
      </c>
      <c r="M11" t="s">
        <v>549</v>
      </c>
      <c r="V11" s="1"/>
      <c r="W11" s="2"/>
    </row>
    <row r="12" spans="1:23" x14ac:dyDescent="0.25">
      <c r="A12">
        <v>11</v>
      </c>
      <c r="B12" s="4" t="s">
        <v>1529</v>
      </c>
      <c r="C12" s="4" t="s">
        <v>1533</v>
      </c>
      <c r="D12" t="s">
        <v>534</v>
      </c>
      <c r="F12" t="str">
        <f t="shared" si="0"/>
        <v/>
      </c>
      <c r="G12" t="s">
        <v>551</v>
      </c>
      <c r="H12" t="str">
        <f t="shared" si="1"/>
        <v>ren "" "11.jpg"</v>
      </c>
      <c r="K12" s="4" t="s">
        <v>1529</v>
      </c>
      <c r="L12" s="4" t="s">
        <v>1533</v>
      </c>
      <c r="M12" t="s">
        <v>551</v>
      </c>
      <c r="V12" s="1"/>
      <c r="W12" s="2"/>
    </row>
    <row r="13" spans="1:23" x14ac:dyDescent="0.25">
      <c r="A13">
        <v>12</v>
      </c>
      <c r="B13" s="4" t="s">
        <v>1529</v>
      </c>
      <c r="C13" s="4" t="s">
        <v>1533</v>
      </c>
      <c r="D13" t="s">
        <v>536</v>
      </c>
      <c r="F13" t="str">
        <f t="shared" si="0"/>
        <v/>
      </c>
      <c r="G13" t="s">
        <v>552</v>
      </c>
      <c r="H13" t="str">
        <f t="shared" si="1"/>
        <v>ren "" "12.jpg"</v>
      </c>
      <c r="K13" s="4" t="s">
        <v>1529</v>
      </c>
      <c r="L13" s="4" t="s">
        <v>1533</v>
      </c>
      <c r="M13" t="s">
        <v>552</v>
      </c>
      <c r="V13" s="1"/>
      <c r="W13" s="2"/>
    </row>
    <row r="14" spans="1:23" x14ac:dyDescent="0.25">
      <c r="A14">
        <v>13</v>
      </c>
      <c r="B14" s="4" t="s">
        <v>1534</v>
      </c>
      <c r="C14" s="4" t="s">
        <v>576</v>
      </c>
      <c r="D14" t="s">
        <v>534</v>
      </c>
      <c r="F14" t="str">
        <f t="shared" si="0"/>
        <v/>
      </c>
      <c r="G14" t="s">
        <v>554</v>
      </c>
      <c r="H14" t="str">
        <f t="shared" si="1"/>
        <v>ren "" "13.jpg"</v>
      </c>
      <c r="K14" s="4" t="s">
        <v>1534</v>
      </c>
      <c r="L14" s="4" t="s">
        <v>576</v>
      </c>
      <c r="M14" t="s">
        <v>554</v>
      </c>
      <c r="V14" s="1"/>
      <c r="W14" s="2"/>
    </row>
    <row r="15" spans="1:23" x14ac:dyDescent="0.25">
      <c r="A15">
        <v>14</v>
      </c>
      <c r="B15" s="4" t="s">
        <v>1534</v>
      </c>
      <c r="C15" s="4" t="s">
        <v>576</v>
      </c>
      <c r="D15" t="s">
        <v>536</v>
      </c>
      <c r="F15" t="str">
        <f t="shared" si="0"/>
        <v/>
      </c>
      <c r="G15" t="s">
        <v>555</v>
      </c>
      <c r="H15" t="str">
        <f t="shared" si="1"/>
        <v>ren "" "14.jpg"</v>
      </c>
      <c r="K15" s="4" t="s">
        <v>1534</v>
      </c>
      <c r="L15" s="4" t="s">
        <v>576</v>
      </c>
      <c r="M15" t="s">
        <v>555</v>
      </c>
      <c r="V15" s="1"/>
      <c r="W15" s="2"/>
    </row>
    <row r="16" spans="1:23" x14ac:dyDescent="0.25">
      <c r="A16">
        <v>15</v>
      </c>
      <c r="B16" s="4" t="s">
        <v>1534</v>
      </c>
      <c r="C16" s="4" t="s">
        <v>585</v>
      </c>
      <c r="D16" t="s">
        <v>534</v>
      </c>
      <c r="F16" t="str">
        <f t="shared" si="0"/>
        <v/>
      </c>
      <c r="G16" t="s">
        <v>557</v>
      </c>
      <c r="H16" t="str">
        <f t="shared" si="1"/>
        <v>ren "" "15.jpg"</v>
      </c>
      <c r="K16" s="4" t="s">
        <v>1534</v>
      </c>
      <c r="L16" s="4" t="s">
        <v>585</v>
      </c>
      <c r="M16" t="s">
        <v>557</v>
      </c>
      <c r="V16" s="1"/>
      <c r="W16" s="2"/>
    </row>
    <row r="17" spans="1:23" x14ac:dyDescent="0.25">
      <c r="A17">
        <v>16</v>
      </c>
      <c r="B17" s="4" t="s">
        <v>1534</v>
      </c>
      <c r="C17" s="4" t="s">
        <v>585</v>
      </c>
      <c r="D17" t="s">
        <v>536</v>
      </c>
      <c r="F17" t="str">
        <f t="shared" si="0"/>
        <v/>
      </c>
      <c r="G17" t="s">
        <v>558</v>
      </c>
      <c r="H17" t="str">
        <f t="shared" si="1"/>
        <v>ren "" "16.jpg"</v>
      </c>
      <c r="K17" s="4" t="s">
        <v>1534</v>
      </c>
      <c r="L17" s="4" t="s">
        <v>585</v>
      </c>
      <c r="M17" t="s">
        <v>558</v>
      </c>
      <c r="V17" s="1"/>
      <c r="W17" s="2"/>
    </row>
    <row r="18" spans="1:23" x14ac:dyDescent="0.25">
      <c r="A18">
        <v>17</v>
      </c>
      <c r="B18" s="4" t="s">
        <v>1535</v>
      </c>
      <c r="C18" s="4" t="s">
        <v>576</v>
      </c>
      <c r="D18" t="s">
        <v>534</v>
      </c>
      <c r="F18" t="str">
        <f t="shared" si="0"/>
        <v/>
      </c>
      <c r="G18" t="s">
        <v>559</v>
      </c>
      <c r="H18" t="str">
        <f t="shared" si="1"/>
        <v>ren "" "17.jpg"</v>
      </c>
      <c r="K18" s="4" t="s">
        <v>1535</v>
      </c>
      <c r="L18" s="4" t="s">
        <v>576</v>
      </c>
      <c r="M18" t="s">
        <v>559</v>
      </c>
      <c r="V18" s="1"/>
      <c r="W18" s="2"/>
    </row>
    <row r="19" spans="1:23" x14ac:dyDescent="0.25">
      <c r="A19">
        <v>18</v>
      </c>
      <c r="B19" s="4" t="s">
        <v>1535</v>
      </c>
      <c r="C19" s="4" t="s">
        <v>576</v>
      </c>
      <c r="D19" t="s">
        <v>536</v>
      </c>
      <c r="F19" t="str">
        <f t="shared" si="0"/>
        <v/>
      </c>
      <c r="G19" t="s">
        <v>560</v>
      </c>
      <c r="H19" t="str">
        <f t="shared" si="1"/>
        <v>ren "" "18.jpg"</v>
      </c>
      <c r="K19" s="4" t="s">
        <v>1535</v>
      </c>
      <c r="L19" s="4" t="s">
        <v>576</v>
      </c>
      <c r="M19" t="s">
        <v>560</v>
      </c>
      <c r="V19" s="1"/>
      <c r="W19" s="2"/>
    </row>
    <row r="20" spans="1:23" x14ac:dyDescent="0.25">
      <c r="A20">
        <v>19</v>
      </c>
      <c r="B20" s="4" t="s">
        <v>1535</v>
      </c>
      <c r="C20" s="4" t="s">
        <v>585</v>
      </c>
      <c r="D20" t="s">
        <v>534</v>
      </c>
      <c r="F20" t="str">
        <f t="shared" si="0"/>
        <v/>
      </c>
      <c r="G20" t="s">
        <v>561</v>
      </c>
      <c r="H20" t="str">
        <f t="shared" si="1"/>
        <v>ren "" "19.jpg"</v>
      </c>
      <c r="K20" s="4" t="s">
        <v>1535</v>
      </c>
      <c r="L20" s="4" t="s">
        <v>585</v>
      </c>
      <c r="M20" t="s">
        <v>561</v>
      </c>
      <c r="V20" s="1"/>
      <c r="W20" s="2"/>
    </row>
    <row r="21" spans="1:23" x14ac:dyDescent="0.25">
      <c r="A21">
        <v>20</v>
      </c>
      <c r="B21" s="4" t="s">
        <v>1535</v>
      </c>
      <c r="C21" s="4" t="s">
        <v>585</v>
      </c>
      <c r="D21" t="s">
        <v>536</v>
      </c>
      <c r="F21" t="str">
        <f t="shared" si="0"/>
        <v/>
      </c>
      <c r="G21" t="s">
        <v>562</v>
      </c>
      <c r="H21" t="str">
        <f t="shared" si="1"/>
        <v>ren "" "20.jpg"</v>
      </c>
      <c r="K21" s="4" t="s">
        <v>1535</v>
      </c>
      <c r="L21" s="4" t="s">
        <v>585</v>
      </c>
      <c r="M21" t="s">
        <v>562</v>
      </c>
      <c r="V21" s="1"/>
      <c r="W21" s="2"/>
    </row>
    <row r="22" spans="1:23" x14ac:dyDescent="0.25">
      <c r="A22">
        <v>21</v>
      </c>
      <c r="B22" s="4" t="s">
        <v>1536</v>
      </c>
      <c r="C22" s="4" t="s">
        <v>576</v>
      </c>
      <c r="D22" t="s">
        <v>534</v>
      </c>
      <c r="F22" t="str">
        <f t="shared" si="0"/>
        <v/>
      </c>
      <c r="G22" t="s">
        <v>564</v>
      </c>
      <c r="H22" t="str">
        <f t="shared" si="1"/>
        <v>ren "" "21.jpg"</v>
      </c>
      <c r="K22" s="4" t="s">
        <v>1536</v>
      </c>
      <c r="L22" s="4" t="s">
        <v>576</v>
      </c>
      <c r="M22" t="s">
        <v>564</v>
      </c>
      <c r="V22" s="1"/>
      <c r="W22" s="2"/>
    </row>
    <row r="23" spans="1:23" x14ac:dyDescent="0.25">
      <c r="A23">
        <v>22</v>
      </c>
      <c r="B23" s="4" t="s">
        <v>1536</v>
      </c>
      <c r="C23" s="4" t="s">
        <v>576</v>
      </c>
      <c r="D23" t="s">
        <v>536</v>
      </c>
      <c r="F23" t="str">
        <f t="shared" si="0"/>
        <v/>
      </c>
      <c r="G23" t="s">
        <v>565</v>
      </c>
      <c r="H23" t="str">
        <f t="shared" si="1"/>
        <v>ren "" "22.jpg"</v>
      </c>
      <c r="K23" s="4" t="s">
        <v>1536</v>
      </c>
      <c r="L23" s="4" t="s">
        <v>576</v>
      </c>
      <c r="M23" t="s">
        <v>565</v>
      </c>
      <c r="V23" s="1"/>
      <c r="W23" s="2"/>
    </row>
    <row r="24" spans="1:23" x14ac:dyDescent="0.25">
      <c r="A24">
        <v>23</v>
      </c>
      <c r="B24" s="4" t="s">
        <v>1536</v>
      </c>
      <c r="C24" s="4" t="s">
        <v>585</v>
      </c>
      <c r="D24" t="s">
        <v>534</v>
      </c>
      <c r="F24" t="str">
        <f t="shared" si="0"/>
        <v/>
      </c>
      <c r="G24" t="s">
        <v>567</v>
      </c>
      <c r="H24" t="str">
        <f t="shared" si="1"/>
        <v>ren "" "23.jpg"</v>
      </c>
      <c r="K24" s="4" t="s">
        <v>1536</v>
      </c>
      <c r="L24" s="4" t="s">
        <v>585</v>
      </c>
      <c r="M24" t="s">
        <v>567</v>
      </c>
      <c r="V24" s="1"/>
      <c r="W24" s="2"/>
    </row>
    <row r="25" spans="1:23" x14ac:dyDescent="0.25">
      <c r="A25">
        <v>24</v>
      </c>
      <c r="B25" s="4" t="s">
        <v>1536</v>
      </c>
      <c r="C25" s="4" t="s">
        <v>585</v>
      </c>
      <c r="D25" t="s">
        <v>536</v>
      </c>
      <c r="F25" t="str">
        <f t="shared" si="0"/>
        <v/>
      </c>
      <c r="G25" t="s">
        <v>568</v>
      </c>
      <c r="H25" t="str">
        <f t="shared" si="1"/>
        <v>ren "" "24.jpg"</v>
      </c>
      <c r="K25" s="4" t="s">
        <v>1536</v>
      </c>
      <c r="L25" s="4" t="s">
        <v>585</v>
      </c>
      <c r="M25" t="s">
        <v>568</v>
      </c>
      <c r="V25" s="1"/>
      <c r="W25" s="2"/>
    </row>
    <row r="26" spans="1:23" x14ac:dyDescent="0.25">
      <c r="A26">
        <v>25</v>
      </c>
      <c r="B26" s="4" t="s">
        <v>1537</v>
      </c>
      <c r="C26" s="4" t="s">
        <v>576</v>
      </c>
      <c r="D26" t="s">
        <v>534</v>
      </c>
      <c r="F26" t="str">
        <f t="shared" si="0"/>
        <v/>
      </c>
      <c r="G26" t="s">
        <v>1538</v>
      </c>
      <c r="H26" t="str">
        <f t="shared" si="1"/>
        <v>ren "" "25.jpg"</v>
      </c>
      <c r="K26" s="4" t="s">
        <v>1537</v>
      </c>
      <c r="L26" s="4" t="s">
        <v>576</v>
      </c>
      <c r="M26" t="s">
        <v>1538</v>
      </c>
      <c r="V26" s="1"/>
      <c r="W26" s="2"/>
    </row>
    <row r="27" spans="1:23" x14ac:dyDescent="0.25">
      <c r="A27">
        <v>26</v>
      </c>
      <c r="B27" s="4" t="s">
        <v>1537</v>
      </c>
      <c r="C27" s="4" t="s">
        <v>576</v>
      </c>
      <c r="D27" t="s">
        <v>536</v>
      </c>
      <c r="F27" t="str">
        <f t="shared" si="0"/>
        <v/>
      </c>
      <c r="G27" t="s">
        <v>1539</v>
      </c>
      <c r="H27" t="str">
        <f t="shared" si="1"/>
        <v>ren "" "26.jpg"</v>
      </c>
      <c r="K27" s="4" t="s">
        <v>1537</v>
      </c>
      <c r="L27" s="4" t="s">
        <v>576</v>
      </c>
      <c r="M27" t="s">
        <v>1539</v>
      </c>
      <c r="V27" s="1"/>
      <c r="W27" s="2"/>
    </row>
    <row r="28" spans="1:23" x14ac:dyDescent="0.25">
      <c r="A28">
        <v>27</v>
      </c>
      <c r="B28" s="4" t="s">
        <v>1537</v>
      </c>
      <c r="C28" s="4" t="s">
        <v>585</v>
      </c>
      <c r="D28" t="s">
        <v>534</v>
      </c>
      <c r="F28" t="str">
        <f t="shared" si="0"/>
        <v/>
      </c>
      <c r="G28" t="s">
        <v>1540</v>
      </c>
      <c r="H28" t="str">
        <f t="shared" si="1"/>
        <v>ren "" "27.jpg"</v>
      </c>
      <c r="K28" s="4" t="s">
        <v>1537</v>
      </c>
      <c r="L28" s="4" t="s">
        <v>585</v>
      </c>
      <c r="M28" t="s">
        <v>1540</v>
      </c>
      <c r="V28" s="1"/>
      <c r="W28" s="2"/>
    </row>
    <row r="29" spans="1:23" x14ac:dyDescent="0.25">
      <c r="A29">
        <v>28</v>
      </c>
      <c r="B29" s="4" t="s">
        <v>1537</v>
      </c>
      <c r="C29" s="4" t="s">
        <v>585</v>
      </c>
      <c r="D29" t="s">
        <v>536</v>
      </c>
      <c r="F29" t="str">
        <f t="shared" si="0"/>
        <v/>
      </c>
      <c r="G29" t="s">
        <v>1541</v>
      </c>
      <c r="H29" t="str">
        <f t="shared" si="1"/>
        <v>ren "" "28.jpg"</v>
      </c>
      <c r="K29" s="4" t="s">
        <v>1537</v>
      </c>
      <c r="L29" s="4" t="s">
        <v>585</v>
      </c>
      <c r="M29" t="s">
        <v>1541</v>
      </c>
      <c r="V29" s="1"/>
      <c r="W29" s="2"/>
    </row>
    <row r="30" spans="1:23" x14ac:dyDescent="0.25">
      <c r="A30">
        <v>29</v>
      </c>
      <c r="B30" s="4" t="s">
        <v>1542</v>
      </c>
      <c r="C30" s="4" t="s">
        <v>576</v>
      </c>
      <c r="D30" t="s">
        <v>534</v>
      </c>
      <c r="F30" t="str">
        <f t="shared" si="0"/>
        <v/>
      </c>
      <c r="G30" t="s">
        <v>1543</v>
      </c>
      <c r="H30" t="str">
        <f t="shared" si="1"/>
        <v>ren "" "29.jpg"</v>
      </c>
      <c r="K30" s="4" t="s">
        <v>1542</v>
      </c>
      <c r="L30" s="4" t="s">
        <v>576</v>
      </c>
      <c r="M30" t="s">
        <v>1543</v>
      </c>
      <c r="V30" s="1"/>
      <c r="W30" s="2"/>
    </row>
    <row r="31" spans="1:23" x14ac:dyDescent="0.25">
      <c r="A31">
        <v>30</v>
      </c>
      <c r="B31" s="4" t="s">
        <v>1542</v>
      </c>
      <c r="C31" s="4" t="s">
        <v>576</v>
      </c>
      <c r="D31" t="s">
        <v>536</v>
      </c>
      <c r="F31" t="str">
        <f t="shared" si="0"/>
        <v/>
      </c>
      <c r="G31" t="s">
        <v>1544</v>
      </c>
      <c r="H31" t="str">
        <f t="shared" si="1"/>
        <v>ren "" "30.jpg"</v>
      </c>
      <c r="K31" s="4" t="s">
        <v>1542</v>
      </c>
      <c r="L31" s="4" t="s">
        <v>576</v>
      </c>
      <c r="M31" t="s">
        <v>1544</v>
      </c>
      <c r="V31" s="1"/>
      <c r="W31" s="2"/>
    </row>
    <row r="32" spans="1:23" x14ac:dyDescent="0.25">
      <c r="A32">
        <v>31</v>
      </c>
      <c r="B32" s="4" t="s">
        <v>1542</v>
      </c>
      <c r="C32" s="4" t="s">
        <v>585</v>
      </c>
      <c r="D32" t="s">
        <v>534</v>
      </c>
      <c r="F32" t="str">
        <f t="shared" si="0"/>
        <v/>
      </c>
      <c r="G32" t="s">
        <v>1545</v>
      </c>
      <c r="H32" t="str">
        <f t="shared" si="1"/>
        <v>ren "" "31.jpg"</v>
      </c>
      <c r="K32" s="4" t="s">
        <v>1542</v>
      </c>
      <c r="L32" s="4" t="s">
        <v>585</v>
      </c>
      <c r="M32" t="s">
        <v>1545</v>
      </c>
      <c r="V32" s="1"/>
      <c r="W32" s="2"/>
    </row>
    <row r="33" spans="1:23" x14ac:dyDescent="0.25">
      <c r="A33">
        <v>32</v>
      </c>
      <c r="B33" s="4" t="s">
        <v>1542</v>
      </c>
      <c r="C33" s="4" t="s">
        <v>585</v>
      </c>
      <c r="D33" t="s">
        <v>536</v>
      </c>
      <c r="F33" t="str">
        <f t="shared" si="0"/>
        <v/>
      </c>
      <c r="G33" t="s">
        <v>1546</v>
      </c>
      <c r="H33" t="str">
        <f t="shared" si="1"/>
        <v>ren "" "32.jpg"</v>
      </c>
      <c r="K33" s="4" t="s">
        <v>1542</v>
      </c>
      <c r="L33" s="4" t="s">
        <v>585</v>
      </c>
      <c r="M33" t="s">
        <v>1546</v>
      </c>
      <c r="V33" s="1"/>
      <c r="W33" s="2"/>
    </row>
    <row r="34" spans="1:23" x14ac:dyDescent="0.25">
      <c r="A34">
        <v>33</v>
      </c>
      <c r="B34" s="4" t="s">
        <v>1547</v>
      </c>
      <c r="C34" s="4" t="s">
        <v>576</v>
      </c>
      <c r="D34" t="s">
        <v>534</v>
      </c>
      <c r="F34" t="str">
        <f t="shared" ref="F34:F65" si="2">IF(E34="", "", TRIM(RIGHT(SUBSTITUTE(E34, "\", REPT(" ", LEN(E34))), LEN(E34))))</f>
        <v/>
      </c>
      <c r="G34" t="s">
        <v>1548</v>
      </c>
      <c r="H34" t="str">
        <f t="shared" ref="H34:H65" si="3">"ren """ &amp; F34 &amp; """ """ &amp; G34 &amp; """"</f>
        <v>ren "" "33.jpg"</v>
      </c>
      <c r="K34" s="4" t="s">
        <v>1547</v>
      </c>
      <c r="L34" s="4" t="s">
        <v>576</v>
      </c>
      <c r="M34" t="s">
        <v>1548</v>
      </c>
      <c r="V34" s="1"/>
      <c r="W34" s="2"/>
    </row>
    <row r="35" spans="1:23" x14ac:dyDescent="0.25">
      <c r="A35">
        <v>34</v>
      </c>
      <c r="B35" s="4" t="s">
        <v>1547</v>
      </c>
      <c r="C35" s="4" t="s">
        <v>576</v>
      </c>
      <c r="D35" t="s">
        <v>536</v>
      </c>
      <c r="F35" t="str">
        <f t="shared" si="2"/>
        <v/>
      </c>
      <c r="G35" t="s">
        <v>1549</v>
      </c>
      <c r="H35" t="str">
        <f t="shared" si="3"/>
        <v>ren "" "34.jpg"</v>
      </c>
      <c r="K35" s="4" t="s">
        <v>1547</v>
      </c>
      <c r="L35" s="4" t="s">
        <v>576</v>
      </c>
      <c r="M35" t="s">
        <v>1549</v>
      </c>
      <c r="V35" s="1"/>
      <c r="W35" s="2"/>
    </row>
    <row r="36" spans="1:23" x14ac:dyDescent="0.25">
      <c r="A36">
        <v>35</v>
      </c>
      <c r="B36" s="4" t="s">
        <v>1547</v>
      </c>
      <c r="C36" s="4" t="s">
        <v>585</v>
      </c>
      <c r="D36" t="s">
        <v>534</v>
      </c>
      <c r="F36" t="str">
        <f t="shared" si="2"/>
        <v/>
      </c>
      <c r="G36" t="s">
        <v>1550</v>
      </c>
      <c r="H36" t="str">
        <f t="shared" si="3"/>
        <v>ren "" "35.jpg"</v>
      </c>
      <c r="K36" s="4" t="s">
        <v>1547</v>
      </c>
      <c r="L36" s="4" t="s">
        <v>585</v>
      </c>
      <c r="M36" t="s">
        <v>1550</v>
      </c>
      <c r="V36" s="1"/>
      <c r="W36" s="2"/>
    </row>
    <row r="37" spans="1:23" x14ac:dyDescent="0.25">
      <c r="A37">
        <v>36</v>
      </c>
      <c r="B37" s="4" t="s">
        <v>1547</v>
      </c>
      <c r="C37" s="4" t="s">
        <v>585</v>
      </c>
      <c r="D37" t="s">
        <v>536</v>
      </c>
      <c r="F37" t="str">
        <f t="shared" si="2"/>
        <v/>
      </c>
      <c r="G37" t="s">
        <v>1551</v>
      </c>
      <c r="H37" t="str">
        <f t="shared" si="3"/>
        <v>ren "" "36.jpg"</v>
      </c>
      <c r="K37" s="4" t="s">
        <v>1547</v>
      </c>
      <c r="L37" s="4" t="s">
        <v>585</v>
      </c>
      <c r="M37" t="s">
        <v>1551</v>
      </c>
      <c r="V37" s="1"/>
      <c r="W37" s="2"/>
    </row>
    <row r="38" spans="1:23" x14ac:dyDescent="0.25">
      <c r="A38">
        <v>37</v>
      </c>
      <c r="B38" s="4" t="s">
        <v>1552</v>
      </c>
      <c r="C38" s="4" t="s">
        <v>576</v>
      </c>
      <c r="D38" t="s">
        <v>534</v>
      </c>
      <c r="F38" t="str">
        <f t="shared" si="2"/>
        <v/>
      </c>
      <c r="G38" t="s">
        <v>1553</v>
      </c>
      <c r="H38" t="str">
        <f t="shared" si="3"/>
        <v>ren "" "37.jpg"</v>
      </c>
      <c r="K38" s="4" t="s">
        <v>1552</v>
      </c>
      <c r="L38" s="4" t="s">
        <v>576</v>
      </c>
      <c r="M38" t="s">
        <v>1553</v>
      </c>
      <c r="V38" s="1"/>
      <c r="W38" s="2"/>
    </row>
    <row r="39" spans="1:23" x14ac:dyDescent="0.25">
      <c r="A39">
        <v>38</v>
      </c>
      <c r="B39" s="4" t="s">
        <v>1552</v>
      </c>
      <c r="C39" s="4" t="s">
        <v>576</v>
      </c>
      <c r="D39" t="s">
        <v>536</v>
      </c>
      <c r="F39" t="str">
        <f t="shared" si="2"/>
        <v/>
      </c>
      <c r="G39" t="s">
        <v>1554</v>
      </c>
      <c r="H39" t="str">
        <f t="shared" si="3"/>
        <v>ren "" "38.jpg"</v>
      </c>
      <c r="K39" s="4" t="s">
        <v>1552</v>
      </c>
      <c r="L39" s="4" t="s">
        <v>576</v>
      </c>
      <c r="M39" t="s">
        <v>1554</v>
      </c>
      <c r="V39" s="1"/>
      <c r="W39" s="2"/>
    </row>
    <row r="40" spans="1:23" x14ac:dyDescent="0.25">
      <c r="A40">
        <v>39</v>
      </c>
      <c r="B40" s="4" t="s">
        <v>1552</v>
      </c>
      <c r="C40" s="4" t="s">
        <v>585</v>
      </c>
      <c r="D40" t="s">
        <v>534</v>
      </c>
      <c r="F40" t="str">
        <f t="shared" si="2"/>
        <v/>
      </c>
      <c r="G40" t="s">
        <v>1555</v>
      </c>
      <c r="H40" t="str">
        <f t="shared" si="3"/>
        <v>ren "" "39.jpg"</v>
      </c>
      <c r="K40" s="4" t="s">
        <v>1552</v>
      </c>
      <c r="L40" s="4" t="s">
        <v>585</v>
      </c>
      <c r="M40" t="s">
        <v>1555</v>
      </c>
      <c r="V40" s="1"/>
      <c r="W40" s="2"/>
    </row>
    <row r="41" spans="1:23" x14ac:dyDescent="0.25">
      <c r="A41">
        <v>40</v>
      </c>
      <c r="B41" s="4" t="s">
        <v>1552</v>
      </c>
      <c r="C41" s="4" t="s">
        <v>585</v>
      </c>
      <c r="D41" t="s">
        <v>536</v>
      </c>
      <c r="F41" t="str">
        <f t="shared" si="2"/>
        <v/>
      </c>
      <c r="G41" t="s">
        <v>1556</v>
      </c>
      <c r="H41" t="str">
        <f t="shared" si="3"/>
        <v>ren "" "40.jpg"</v>
      </c>
      <c r="K41" s="4" t="s">
        <v>1552</v>
      </c>
      <c r="L41" s="4" t="s">
        <v>585</v>
      </c>
      <c r="M41" t="s">
        <v>1556</v>
      </c>
      <c r="V41" s="1"/>
      <c r="W41" s="2"/>
    </row>
    <row r="42" spans="1:23" x14ac:dyDescent="0.25">
      <c r="A42">
        <v>41</v>
      </c>
      <c r="B42" s="4" t="s">
        <v>1557</v>
      </c>
      <c r="C42" s="4" t="s">
        <v>576</v>
      </c>
      <c r="D42" t="s">
        <v>534</v>
      </c>
      <c r="F42" t="str">
        <f t="shared" si="2"/>
        <v/>
      </c>
      <c r="G42" t="s">
        <v>1558</v>
      </c>
      <c r="H42" t="str">
        <f t="shared" si="3"/>
        <v>ren "" "41.jpg"</v>
      </c>
      <c r="K42" s="4" t="s">
        <v>1557</v>
      </c>
      <c r="L42" s="4" t="s">
        <v>576</v>
      </c>
      <c r="M42" t="s">
        <v>1558</v>
      </c>
      <c r="V42" s="1"/>
      <c r="W42" s="2"/>
    </row>
    <row r="43" spans="1:23" x14ac:dyDescent="0.25">
      <c r="A43">
        <v>42</v>
      </c>
      <c r="B43" s="4" t="s">
        <v>1557</v>
      </c>
      <c r="C43" s="4" t="s">
        <v>576</v>
      </c>
      <c r="D43" t="s">
        <v>536</v>
      </c>
      <c r="F43" t="str">
        <f t="shared" si="2"/>
        <v/>
      </c>
      <c r="G43" t="s">
        <v>1559</v>
      </c>
      <c r="H43" t="str">
        <f t="shared" si="3"/>
        <v>ren "" "42.jpg"</v>
      </c>
      <c r="K43" s="4" t="s">
        <v>1557</v>
      </c>
      <c r="L43" s="4" t="s">
        <v>576</v>
      </c>
      <c r="M43" t="s">
        <v>1559</v>
      </c>
      <c r="V43" s="1"/>
      <c r="W43" s="2"/>
    </row>
    <row r="44" spans="1:23" x14ac:dyDescent="0.25">
      <c r="A44">
        <v>43</v>
      </c>
      <c r="B44" s="4" t="s">
        <v>1557</v>
      </c>
      <c r="C44" s="4" t="s">
        <v>585</v>
      </c>
      <c r="D44" t="s">
        <v>534</v>
      </c>
      <c r="F44" t="str">
        <f t="shared" si="2"/>
        <v/>
      </c>
      <c r="G44" t="s">
        <v>1560</v>
      </c>
      <c r="H44" t="str">
        <f t="shared" si="3"/>
        <v>ren "" "43.jpg"</v>
      </c>
      <c r="K44" s="4" t="s">
        <v>1557</v>
      </c>
      <c r="L44" s="4" t="s">
        <v>585</v>
      </c>
      <c r="M44" t="s">
        <v>1560</v>
      </c>
      <c r="V44" s="1"/>
      <c r="W44" s="2"/>
    </row>
    <row r="45" spans="1:23" x14ac:dyDescent="0.25">
      <c r="A45">
        <v>44</v>
      </c>
      <c r="B45" s="4" t="s">
        <v>1557</v>
      </c>
      <c r="C45" s="4" t="s">
        <v>585</v>
      </c>
      <c r="D45" t="s">
        <v>536</v>
      </c>
      <c r="F45" t="str">
        <f t="shared" si="2"/>
        <v/>
      </c>
      <c r="G45" t="s">
        <v>1561</v>
      </c>
      <c r="H45" t="str">
        <f t="shared" si="3"/>
        <v>ren "" "44.jpg"</v>
      </c>
      <c r="K45" s="4" t="s">
        <v>1557</v>
      </c>
      <c r="L45" s="4" t="s">
        <v>585</v>
      </c>
      <c r="M45" t="s">
        <v>1561</v>
      </c>
      <c r="V45" s="1"/>
      <c r="W45" s="2"/>
    </row>
    <row r="46" spans="1:23" x14ac:dyDescent="0.25">
      <c r="A46">
        <v>45</v>
      </c>
      <c r="B46" s="4" t="s">
        <v>1562</v>
      </c>
      <c r="C46" s="4" t="s">
        <v>576</v>
      </c>
      <c r="D46" t="s">
        <v>534</v>
      </c>
      <c r="F46" t="str">
        <f t="shared" si="2"/>
        <v/>
      </c>
      <c r="G46" t="s">
        <v>1563</v>
      </c>
      <c r="H46" t="str">
        <f t="shared" si="3"/>
        <v>ren "" "45.jpg"</v>
      </c>
      <c r="K46" s="4" t="s">
        <v>1562</v>
      </c>
      <c r="L46" s="4" t="s">
        <v>576</v>
      </c>
      <c r="M46" t="s">
        <v>1563</v>
      </c>
      <c r="V46" s="1"/>
      <c r="W46" s="2"/>
    </row>
    <row r="47" spans="1:23" x14ac:dyDescent="0.25">
      <c r="A47">
        <v>46</v>
      </c>
      <c r="B47" s="4" t="s">
        <v>1562</v>
      </c>
      <c r="C47" s="4" t="s">
        <v>576</v>
      </c>
      <c r="D47" t="s">
        <v>536</v>
      </c>
      <c r="F47" t="str">
        <f t="shared" si="2"/>
        <v/>
      </c>
      <c r="G47" t="s">
        <v>1564</v>
      </c>
      <c r="H47" t="str">
        <f t="shared" si="3"/>
        <v>ren "" "46.jpg"</v>
      </c>
      <c r="K47" s="4" t="s">
        <v>1562</v>
      </c>
      <c r="L47" s="4" t="s">
        <v>576</v>
      </c>
      <c r="M47" t="s">
        <v>1564</v>
      </c>
      <c r="V47" s="1"/>
      <c r="W47" s="2"/>
    </row>
    <row r="48" spans="1:23" x14ac:dyDescent="0.25">
      <c r="A48">
        <v>47</v>
      </c>
      <c r="B48" s="4" t="s">
        <v>1562</v>
      </c>
      <c r="C48" s="4" t="s">
        <v>585</v>
      </c>
      <c r="D48" t="s">
        <v>534</v>
      </c>
      <c r="F48" t="str">
        <f t="shared" si="2"/>
        <v/>
      </c>
      <c r="G48" t="s">
        <v>1565</v>
      </c>
      <c r="H48" t="str">
        <f t="shared" si="3"/>
        <v>ren "" "47.jpg"</v>
      </c>
      <c r="K48" s="4" t="s">
        <v>1562</v>
      </c>
      <c r="L48" s="4" t="s">
        <v>585</v>
      </c>
      <c r="M48" t="s">
        <v>1565</v>
      </c>
      <c r="V48" s="1"/>
      <c r="W48" s="2"/>
    </row>
    <row r="49" spans="1:23" x14ac:dyDescent="0.25">
      <c r="A49">
        <v>48</v>
      </c>
      <c r="B49" s="4" t="s">
        <v>1562</v>
      </c>
      <c r="C49" s="4" t="s">
        <v>585</v>
      </c>
      <c r="D49" t="s">
        <v>536</v>
      </c>
      <c r="F49" t="str">
        <f t="shared" si="2"/>
        <v/>
      </c>
      <c r="G49" t="s">
        <v>1566</v>
      </c>
      <c r="H49" t="str">
        <f t="shared" si="3"/>
        <v>ren "" "48.jpg"</v>
      </c>
      <c r="K49" s="4" t="s">
        <v>1562</v>
      </c>
      <c r="L49" s="4" t="s">
        <v>585</v>
      </c>
      <c r="M49" t="s">
        <v>1566</v>
      </c>
      <c r="V49" s="1"/>
      <c r="W49" s="2"/>
    </row>
    <row r="50" spans="1:23" x14ac:dyDescent="0.25">
      <c r="A50">
        <v>49</v>
      </c>
      <c r="B50" s="4" t="s">
        <v>1567</v>
      </c>
      <c r="C50" s="4" t="s">
        <v>576</v>
      </c>
      <c r="D50" t="s">
        <v>534</v>
      </c>
      <c r="F50" t="str">
        <f t="shared" si="2"/>
        <v/>
      </c>
      <c r="G50" t="s">
        <v>1568</v>
      </c>
      <c r="H50" t="str">
        <f t="shared" si="3"/>
        <v>ren "" "49.jpg"</v>
      </c>
      <c r="K50" s="4" t="s">
        <v>1567</v>
      </c>
      <c r="L50" s="4" t="s">
        <v>576</v>
      </c>
      <c r="M50" t="s">
        <v>1568</v>
      </c>
      <c r="V50" s="1"/>
      <c r="W50" s="2"/>
    </row>
    <row r="51" spans="1:23" x14ac:dyDescent="0.25">
      <c r="A51">
        <v>50</v>
      </c>
      <c r="B51" s="4" t="s">
        <v>1567</v>
      </c>
      <c r="C51" s="4" t="s">
        <v>576</v>
      </c>
      <c r="D51" t="s">
        <v>536</v>
      </c>
      <c r="F51" t="str">
        <f t="shared" si="2"/>
        <v/>
      </c>
      <c r="G51" t="s">
        <v>1569</v>
      </c>
      <c r="H51" t="str">
        <f t="shared" si="3"/>
        <v>ren "" "50.jpg"</v>
      </c>
      <c r="K51" s="4" t="s">
        <v>1567</v>
      </c>
      <c r="L51" s="4" t="s">
        <v>576</v>
      </c>
      <c r="M51" t="s">
        <v>1569</v>
      </c>
      <c r="V51" s="1"/>
      <c r="W51" s="2"/>
    </row>
    <row r="52" spans="1:23" x14ac:dyDescent="0.25">
      <c r="A52">
        <v>51</v>
      </c>
      <c r="B52" s="4" t="s">
        <v>1567</v>
      </c>
      <c r="C52" s="4" t="s">
        <v>585</v>
      </c>
      <c r="D52" t="s">
        <v>534</v>
      </c>
      <c r="F52" t="str">
        <f t="shared" si="2"/>
        <v/>
      </c>
      <c r="G52" t="s">
        <v>571</v>
      </c>
      <c r="H52" t="str">
        <f t="shared" si="3"/>
        <v>ren "" "51.jpg"</v>
      </c>
      <c r="K52" s="4" t="s">
        <v>1567</v>
      </c>
      <c r="L52" s="4" t="s">
        <v>585</v>
      </c>
      <c r="M52" t="s">
        <v>571</v>
      </c>
      <c r="V52" s="1"/>
      <c r="W52" s="2"/>
    </row>
    <row r="53" spans="1:23" x14ac:dyDescent="0.25">
      <c r="A53">
        <v>52</v>
      </c>
      <c r="B53" s="4" t="s">
        <v>1567</v>
      </c>
      <c r="C53" s="4" t="s">
        <v>585</v>
      </c>
      <c r="D53" t="s">
        <v>536</v>
      </c>
      <c r="F53" t="str">
        <f t="shared" si="2"/>
        <v/>
      </c>
      <c r="G53" t="s">
        <v>572</v>
      </c>
      <c r="H53" t="str">
        <f t="shared" si="3"/>
        <v>ren "" "52.jpg"</v>
      </c>
      <c r="K53" s="4" t="s">
        <v>1567</v>
      </c>
      <c r="L53" s="4" t="s">
        <v>585</v>
      </c>
      <c r="M53" t="s">
        <v>572</v>
      </c>
      <c r="V53" s="1"/>
      <c r="W53" s="2"/>
    </row>
    <row r="54" spans="1:23" x14ac:dyDescent="0.25">
      <c r="A54">
        <v>53</v>
      </c>
      <c r="B54" s="4" t="s">
        <v>1570</v>
      </c>
      <c r="C54" s="4" t="s">
        <v>1453</v>
      </c>
      <c r="D54" t="s">
        <v>534</v>
      </c>
      <c r="F54" t="str">
        <f t="shared" si="2"/>
        <v/>
      </c>
      <c r="G54" t="s">
        <v>574</v>
      </c>
      <c r="H54" t="str">
        <f t="shared" si="3"/>
        <v>ren "" "53.jpg"</v>
      </c>
      <c r="K54" s="4" t="s">
        <v>1570</v>
      </c>
      <c r="L54" s="4" t="s">
        <v>1453</v>
      </c>
      <c r="M54" t="s">
        <v>574</v>
      </c>
      <c r="V54" s="1"/>
      <c r="W54" s="2"/>
    </row>
    <row r="55" spans="1:23" x14ac:dyDescent="0.25">
      <c r="A55">
        <v>54</v>
      </c>
      <c r="B55" s="4" t="s">
        <v>1570</v>
      </c>
      <c r="C55" s="4" t="s">
        <v>1453</v>
      </c>
      <c r="D55" t="s">
        <v>536</v>
      </c>
      <c r="F55" t="str">
        <f t="shared" si="2"/>
        <v/>
      </c>
      <c r="G55" t="s">
        <v>575</v>
      </c>
      <c r="H55" t="str">
        <f t="shared" si="3"/>
        <v>ren "" "54.jpg"</v>
      </c>
      <c r="K55" s="4" t="s">
        <v>1570</v>
      </c>
      <c r="L55" s="4" t="s">
        <v>1453</v>
      </c>
      <c r="M55" t="s">
        <v>575</v>
      </c>
      <c r="V55" s="1"/>
      <c r="W55" s="2"/>
    </row>
    <row r="56" spans="1:23" x14ac:dyDescent="0.25">
      <c r="A56">
        <v>55</v>
      </c>
      <c r="B56" s="4" t="s">
        <v>1570</v>
      </c>
      <c r="C56" s="4" t="s">
        <v>1497</v>
      </c>
      <c r="D56" t="s">
        <v>534</v>
      </c>
      <c r="F56" t="str">
        <f t="shared" si="2"/>
        <v/>
      </c>
      <c r="G56" t="s">
        <v>577</v>
      </c>
      <c r="H56" t="str">
        <f t="shared" si="3"/>
        <v>ren "" "55.jpg"</v>
      </c>
      <c r="K56" s="4" t="s">
        <v>1570</v>
      </c>
      <c r="L56" s="4" t="s">
        <v>1497</v>
      </c>
      <c r="M56" t="s">
        <v>577</v>
      </c>
      <c r="V56" s="1"/>
      <c r="W56" s="2"/>
    </row>
    <row r="57" spans="1:23" x14ac:dyDescent="0.25">
      <c r="A57">
        <v>56</v>
      </c>
      <c r="B57" s="4" t="s">
        <v>1570</v>
      </c>
      <c r="C57" s="4" t="s">
        <v>1497</v>
      </c>
      <c r="D57" t="s">
        <v>536</v>
      </c>
      <c r="F57" t="str">
        <f t="shared" si="2"/>
        <v/>
      </c>
      <c r="G57" t="s">
        <v>578</v>
      </c>
      <c r="H57" t="str">
        <f t="shared" si="3"/>
        <v>ren "" "56.jpg"</v>
      </c>
      <c r="K57" s="4" t="s">
        <v>1570</v>
      </c>
      <c r="L57" s="4" t="s">
        <v>1497</v>
      </c>
      <c r="M57" t="s">
        <v>578</v>
      </c>
      <c r="V57" s="1"/>
      <c r="W57" s="2"/>
    </row>
    <row r="58" spans="1:23" x14ac:dyDescent="0.25">
      <c r="A58">
        <v>57</v>
      </c>
      <c r="B58" s="4" t="s">
        <v>1570</v>
      </c>
      <c r="C58" s="4" t="s">
        <v>1571</v>
      </c>
      <c r="D58" t="s">
        <v>534</v>
      </c>
      <c r="F58" t="str">
        <f t="shared" si="2"/>
        <v/>
      </c>
      <c r="G58" t="s">
        <v>580</v>
      </c>
      <c r="H58" t="str">
        <f t="shared" si="3"/>
        <v>ren "" "57.jpg"</v>
      </c>
      <c r="K58" s="4" t="s">
        <v>1570</v>
      </c>
      <c r="L58" s="4" t="s">
        <v>1571</v>
      </c>
      <c r="M58" t="s">
        <v>580</v>
      </c>
      <c r="V58" s="1"/>
      <c r="W58" s="2"/>
    </row>
    <row r="59" spans="1:23" x14ac:dyDescent="0.25">
      <c r="A59">
        <v>58</v>
      </c>
      <c r="B59" s="4" t="s">
        <v>1570</v>
      </c>
      <c r="C59" s="4" t="s">
        <v>1571</v>
      </c>
      <c r="D59" t="s">
        <v>536</v>
      </c>
      <c r="F59" t="str">
        <f t="shared" si="2"/>
        <v/>
      </c>
      <c r="G59" t="s">
        <v>581</v>
      </c>
      <c r="H59" t="str">
        <f t="shared" si="3"/>
        <v>ren "" "58.jpg"</v>
      </c>
      <c r="K59" s="4" t="s">
        <v>1570</v>
      </c>
      <c r="L59" s="4" t="s">
        <v>1571</v>
      </c>
      <c r="M59" t="s">
        <v>581</v>
      </c>
      <c r="V59" s="1"/>
      <c r="W59" s="2"/>
    </row>
    <row r="60" spans="1:23" x14ac:dyDescent="0.25">
      <c r="A60">
        <v>59</v>
      </c>
      <c r="B60" s="4" t="s">
        <v>1570</v>
      </c>
      <c r="C60" s="4" t="s">
        <v>1572</v>
      </c>
      <c r="D60" t="s">
        <v>534</v>
      </c>
      <c r="F60" t="str">
        <f t="shared" si="2"/>
        <v/>
      </c>
      <c r="G60" t="s">
        <v>583</v>
      </c>
      <c r="H60" t="str">
        <f t="shared" si="3"/>
        <v>ren "" "59.jpg"</v>
      </c>
      <c r="K60" s="4" t="s">
        <v>1570</v>
      </c>
      <c r="L60" s="4" t="s">
        <v>1572</v>
      </c>
      <c r="M60" t="s">
        <v>583</v>
      </c>
      <c r="V60" s="1"/>
      <c r="W60" s="2"/>
    </row>
    <row r="61" spans="1:23" x14ac:dyDescent="0.25">
      <c r="A61">
        <v>60</v>
      </c>
      <c r="B61" s="4" t="s">
        <v>1570</v>
      </c>
      <c r="C61" s="4" t="s">
        <v>1572</v>
      </c>
      <c r="D61" t="s">
        <v>536</v>
      </c>
      <c r="F61" t="str">
        <f t="shared" si="2"/>
        <v/>
      </c>
      <c r="G61" t="s">
        <v>584</v>
      </c>
      <c r="H61" t="str">
        <f t="shared" si="3"/>
        <v>ren "" "60.jpg"</v>
      </c>
      <c r="K61" s="4" t="s">
        <v>1570</v>
      </c>
      <c r="L61" s="4" t="s">
        <v>1572</v>
      </c>
      <c r="M61" t="s">
        <v>584</v>
      </c>
      <c r="V61" s="1"/>
      <c r="W61" s="2"/>
    </row>
    <row r="62" spans="1:23" x14ac:dyDescent="0.25">
      <c r="A62">
        <v>61</v>
      </c>
      <c r="B62" s="4" t="s">
        <v>1570</v>
      </c>
      <c r="C62" s="4" t="s">
        <v>1573</v>
      </c>
      <c r="D62" t="s">
        <v>534</v>
      </c>
      <c r="F62" t="str">
        <f t="shared" si="2"/>
        <v/>
      </c>
      <c r="G62" t="s">
        <v>586</v>
      </c>
      <c r="H62" t="str">
        <f t="shared" si="3"/>
        <v>ren "" "61.jpg"</v>
      </c>
      <c r="K62" s="4" t="s">
        <v>1570</v>
      </c>
      <c r="L62" s="4" t="s">
        <v>1573</v>
      </c>
      <c r="M62" t="s">
        <v>586</v>
      </c>
      <c r="V62" s="1"/>
      <c r="W62" s="2"/>
    </row>
    <row r="63" spans="1:23" x14ac:dyDescent="0.25">
      <c r="A63">
        <v>62</v>
      </c>
      <c r="B63" s="4" t="s">
        <v>1570</v>
      </c>
      <c r="C63" s="4" t="s">
        <v>1573</v>
      </c>
      <c r="D63" t="s">
        <v>536</v>
      </c>
      <c r="F63" t="str">
        <f t="shared" si="2"/>
        <v/>
      </c>
      <c r="G63" t="s">
        <v>587</v>
      </c>
      <c r="H63" t="str">
        <f t="shared" si="3"/>
        <v>ren "" "62.jpg"</v>
      </c>
      <c r="K63" s="4" t="s">
        <v>1570</v>
      </c>
      <c r="L63" s="4" t="s">
        <v>1573</v>
      </c>
      <c r="M63" t="s">
        <v>587</v>
      </c>
      <c r="V63" s="1"/>
      <c r="W63" s="2"/>
    </row>
    <row r="64" spans="1:23" x14ac:dyDescent="0.25">
      <c r="A64">
        <v>63</v>
      </c>
      <c r="B64" s="4" t="s">
        <v>1570</v>
      </c>
      <c r="C64" s="4" t="s">
        <v>1571</v>
      </c>
      <c r="D64" t="s">
        <v>534</v>
      </c>
      <c r="F64" t="str">
        <f t="shared" si="2"/>
        <v/>
      </c>
      <c r="G64" t="s">
        <v>589</v>
      </c>
      <c r="H64" t="str">
        <f t="shared" si="3"/>
        <v>ren "" "63.jpg"</v>
      </c>
      <c r="K64" s="4" t="s">
        <v>1570</v>
      </c>
      <c r="L64" s="4" t="s">
        <v>1571</v>
      </c>
      <c r="M64" t="s">
        <v>589</v>
      </c>
      <c r="V64" s="1"/>
      <c r="W64" s="2"/>
    </row>
    <row r="65" spans="1:23" x14ac:dyDescent="0.25">
      <c r="A65">
        <v>64</v>
      </c>
      <c r="B65" s="4" t="s">
        <v>1570</v>
      </c>
      <c r="C65" s="4" t="s">
        <v>1571</v>
      </c>
      <c r="D65" t="s">
        <v>536</v>
      </c>
      <c r="F65" t="str">
        <f t="shared" si="2"/>
        <v/>
      </c>
      <c r="G65" t="s">
        <v>590</v>
      </c>
      <c r="H65" t="str">
        <f t="shared" si="3"/>
        <v>ren "" "64.jpg"</v>
      </c>
      <c r="K65" s="4" t="s">
        <v>1570</v>
      </c>
      <c r="L65" s="4" t="s">
        <v>1571</v>
      </c>
      <c r="M65" t="s">
        <v>590</v>
      </c>
      <c r="V65" s="1"/>
      <c r="W65" s="2"/>
    </row>
    <row r="66" spans="1:23" x14ac:dyDescent="0.25">
      <c r="A66">
        <v>65</v>
      </c>
      <c r="B66" s="4" t="s">
        <v>1570</v>
      </c>
      <c r="C66" s="4" t="s">
        <v>1572</v>
      </c>
      <c r="D66" t="s">
        <v>534</v>
      </c>
      <c r="F66" t="str">
        <f t="shared" ref="F66:F97" si="4">IF(E66="", "", TRIM(RIGHT(SUBSTITUTE(E66, "\", REPT(" ", LEN(E66))), LEN(E66))))</f>
        <v/>
      </c>
      <c r="G66" t="s">
        <v>592</v>
      </c>
      <c r="H66" t="str">
        <f t="shared" ref="H66:H97" si="5">"ren """ &amp; F66 &amp; """ """ &amp; G66 &amp; """"</f>
        <v>ren "" "65.jpg"</v>
      </c>
      <c r="K66" s="4" t="s">
        <v>1570</v>
      </c>
      <c r="L66" s="4" t="s">
        <v>1572</v>
      </c>
      <c r="M66" t="s">
        <v>592</v>
      </c>
      <c r="V66" s="1"/>
      <c r="W66" s="2"/>
    </row>
    <row r="67" spans="1:23" x14ac:dyDescent="0.25">
      <c r="A67">
        <v>66</v>
      </c>
      <c r="B67" s="4" t="s">
        <v>1570</v>
      </c>
      <c r="C67" s="4" t="s">
        <v>1572</v>
      </c>
      <c r="D67" t="s">
        <v>536</v>
      </c>
      <c r="F67" t="str">
        <f t="shared" si="4"/>
        <v/>
      </c>
      <c r="G67" t="s">
        <v>593</v>
      </c>
      <c r="H67" t="str">
        <f t="shared" si="5"/>
        <v>ren "" "66.jpg"</v>
      </c>
      <c r="K67" s="4" t="s">
        <v>1570</v>
      </c>
      <c r="L67" s="4" t="s">
        <v>1572</v>
      </c>
      <c r="M67" t="s">
        <v>593</v>
      </c>
      <c r="V67" s="1"/>
      <c r="W67" s="2"/>
    </row>
    <row r="68" spans="1:23" x14ac:dyDescent="0.25">
      <c r="A68">
        <v>67</v>
      </c>
      <c r="B68" s="4" t="s">
        <v>1570</v>
      </c>
      <c r="C68" s="4" t="s">
        <v>1573</v>
      </c>
      <c r="D68" t="s">
        <v>534</v>
      </c>
      <c r="F68" t="str">
        <f t="shared" si="4"/>
        <v/>
      </c>
      <c r="G68" t="s">
        <v>595</v>
      </c>
      <c r="H68" t="str">
        <f t="shared" si="5"/>
        <v>ren "" "67.jpg"</v>
      </c>
      <c r="K68" s="4" t="s">
        <v>1570</v>
      </c>
      <c r="L68" s="4" t="s">
        <v>1573</v>
      </c>
      <c r="M68" t="s">
        <v>595</v>
      </c>
      <c r="V68" s="1"/>
      <c r="W68" s="2"/>
    </row>
    <row r="69" spans="1:23" x14ac:dyDescent="0.25">
      <c r="A69">
        <v>68</v>
      </c>
      <c r="B69" s="4" t="s">
        <v>1570</v>
      </c>
      <c r="C69" s="4" t="s">
        <v>1573</v>
      </c>
      <c r="D69" t="s">
        <v>536</v>
      </c>
      <c r="F69" t="str">
        <f t="shared" si="4"/>
        <v/>
      </c>
      <c r="G69" t="s">
        <v>596</v>
      </c>
      <c r="H69" t="str">
        <f t="shared" si="5"/>
        <v>ren "" "68.jpg"</v>
      </c>
      <c r="K69" s="4" t="s">
        <v>1570</v>
      </c>
      <c r="L69" s="4" t="s">
        <v>1573</v>
      </c>
      <c r="M69" t="s">
        <v>596</v>
      </c>
      <c r="V69" s="1"/>
      <c r="W69" s="2"/>
    </row>
    <row r="70" spans="1:23" x14ac:dyDescent="0.25">
      <c r="A70">
        <v>69</v>
      </c>
      <c r="B70" s="4" t="s">
        <v>1574</v>
      </c>
      <c r="C70" s="4" t="s">
        <v>1453</v>
      </c>
      <c r="D70" t="s">
        <v>534</v>
      </c>
      <c r="F70" t="str">
        <f t="shared" si="4"/>
        <v/>
      </c>
      <c r="G70" t="s">
        <v>597</v>
      </c>
      <c r="H70" t="str">
        <f t="shared" si="5"/>
        <v>ren "" "69.jpg"</v>
      </c>
      <c r="K70" s="4" t="s">
        <v>1574</v>
      </c>
      <c r="L70" s="4" t="s">
        <v>1453</v>
      </c>
      <c r="M70" t="s">
        <v>597</v>
      </c>
      <c r="V70" s="1"/>
      <c r="W70" s="2"/>
    </row>
    <row r="71" spans="1:23" x14ac:dyDescent="0.25">
      <c r="A71">
        <v>70</v>
      </c>
      <c r="B71" s="4" t="s">
        <v>1574</v>
      </c>
      <c r="C71" s="4" t="s">
        <v>1453</v>
      </c>
      <c r="D71" t="s">
        <v>536</v>
      </c>
      <c r="F71" t="str">
        <f t="shared" si="4"/>
        <v/>
      </c>
      <c r="G71" t="s">
        <v>598</v>
      </c>
      <c r="H71" t="str">
        <f t="shared" si="5"/>
        <v>ren "" "70.jpg"</v>
      </c>
      <c r="K71" s="4" t="s">
        <v>1574</v>
      </c>
      <c r="L71" s="4" t="s">
        <v>1453</v>
      </c>
      <c r="M71" t="s">
        <v>598</v>
      </c>
      <c r="V71" s="1"/>
      <c r="W71" s="2"/>
    </row>
    <row r="72" spans="1:23" x14ac:dyDescent="0.25">
      <c r="A72">
        <v>71</v>
      </c>
      <c r="B72" s="4" t="s">
        <v>1574</v>
      </c>
      <c r="C72" s="4" t="s">
        <v>1497</v>
      </c>
      <c r="D72" t="s">
        <v>534</v>
      </c>
      <c r="F72" t="str">
        <f t="shared" si="4"/>
        <v/>
      </c>
      <c r="G72" t="s">
        <v>599</v>
      </c>
      <c r="H72" t="str">
        <f t="shared" si="5"/>
        <v>ren "" "71.jpg"</v>
      </c>
      <c r="K72" s="4" t="s">
        <v>1574</v>
      </c>
      <c r="L72" s="4" t="s">
        <v>1497</v>
      </c>
      <c r="M72" t="s">
        <v>599</v>
      </c>
      <c r="V72" s="1"/>
      <c r="W72" s="2"/>
    </row>
    <row r="73" spans="1:23" x14ac:dyDescent="0.25">
      <c r="A73">
        <v>72</v>
      </c>
      <c r="B73" s="4" t="s">
        <v>1574</v>
      </c>
      <c r="C73" s="4" t="s">
        <v>1497</v>
      </c>
      <c r="D73" t="s">
        <v>536</v>
      </c>
      <c r="F73" t="str">
        <f t="shared" si="4"/>
        <v/>
      </c>
      <c r="G73" t="s">
        <v>600</v>
      </c>
      <c r="H73" t="str">
        <f t="shared" si="5"/>
        <v>ren "" "72.jpg"</v>
      </c>
      <c r="K73" s="4" t="s">
        <v>1574</v>
      </c>
      <c r="L73" s="4" t="s">
        <v>1497</v>
      </c>
      <c r="M73" t="s">
        <v>600</v>
      </c>
      <c r="V73" s="1"/>
      <c r="W73" s="2"/>
    </row>
    <row r="74" spans="1:23" x14ac:dyDescent="0.25">
      <c r="A74">
        <v>73</v>
      </c>
      <c r="B74" s="4" t="s">
        <v>1574</v>
      </c>
      <c r="C74" s="4" t="s">
        <v>1571</v>
      </c>
      <c r="D74" t="s">
        <v>534</v>
      </c>
      <c r="F74" t="str">
        <f t="shared" si="4"/>
        <v/>
      </c>
      <c r="G74" t="s">
        <v>601</v>
      </c>
      <c r="H74" t="str">
        <f t="shared" si="5"/>
        <v>ren "" "73.jpg"</v>
      </c>
      <c r="K74" s="4" t="s">
        <v>1574</v>
      </c>
      <c r="L74" s="4" t="s">
        <v>1571</v>
      </c>
      <c r="M74" t="s">
        <v>601</v>
      </c>
      <c r="V74" s="1"/>
      <c r="W74" s="2"/>
    </row>
    <row r="75" spans="1:23" x14ac:dyDescent="0.25">
      <c r="A75">
        <v>74</v>
      </c>
      <c r="B75" s="4" t="s">
        <v>1574</v>
      </c>
      <c r="C75" s="4" t="s">
        <v>1571</v>
      </c>
      <c r="D75" t="s">
        <v>536</v>
      </c>
      <c r="F75" t="str">
        <f t="shared" si="4"/>
        <v/>
      </c>
      <c r="G75" t="s">
        <v>602</v>
      </c>
      <c r="H75" t="str">
        <f t="shared" si="5"/>
        <v>ren "" "74.jpg"</v>
      </c>
      <c r="K75" s="4" t="s">
        <v>1574</v>
      </c>
      <c r="L75" s="4" t="s">
        <v>1571</v>
      </c>
      <c r="M75" t="s">
        <v>602</v>
      </c>
      <c r="V75" s="1"/>
      <c r="W75" s="2"/>
    </row>
    <row r="76" spans="1:23" x14ac:dyDescent="0.25">
      <c r="A76">
        <v>75</v>
      </c>
      <c r="B76" s="4" t="s">
        <v>1574</v>
      </c>
      <c r="C76" s="4" t="s">
        <v>1572</v>
      </c>
      <c r="D76" t="s">
        <v>534</v>
      </c>
      <c r="F76" t="str">
        <f t="shared" si="4"/>
        <v/>
      </c>
      <c r="G76" t="s">
        <v>603</v>
      </c>
      <c r="H76" t="str">
        <f t="shared" si="5"/>
        <v>ren "" "75.jpg"</v>
      </c>
      <c r="K76" s="4" t="s">
        <v>1574</v>
      </c>
      <c r="L76" s="4" t="s">
        <v>1572</v>
      </c>
      <c r="M76" t="s">
        <v>603</v>
      </c>
      <c r="V76" s="1"/>
      <c r="W76" s="2"/>
    </row>
    <row r="77" spans="1:23" x14ac:dyDescent="0.25">
      <c r="A77">
        <v>76</v>
      </c>
      <c r="B77" s="4" t="s">
        <v>1574</v>
      </c>
      <c r="C77" s="4" t="s">
        <v>1572</v>
      </c>
      <c r="D77" t="s">
        <v>536</v>
      </c>
      <c r="F77" t="str">
        <f t="shared" si="4"/>
        <v/>
      </c>
      <c r="G77" t="s">
        <v>604</v>
      </c>
      <c r="H77" t="str">
        <f t="shared" si="5"/>
        <v>ren "" "76.jpg"</v>
      </c>
      <c r="K77" s="4" t="s">
        <v>1574</v>
      </c>
      <c r="L77" s="4" t="s">
        <v>1572</v>
      </c>
      <c r="M77" t="s">
        <v>604</v>
      </c>
      <c r="V77" s="1"/>
      <c r="W77" s="2"/>
    </row>
    <row r="78" spans="1:23" x14ac:dyDescent="0.25">
      <c r="A78">
        <v>77</v>
      </c>
      <c r="B78" s="4" t="s">
        <v>1574</v>
      </c>
      <c r="C78" s="4" t="s">
        <v>1573</v>
      </c>
      <c r="D78" t="s">
        <v>534</v>
      </c>
      <c r="F78" t="str">
        <f t="shared" si="4"/>
        <v/>
      </c>
      <c r="G78" t="s">
        <v>605</v>
      </c>
      <c r="H78" t="str">
        <f t="shared" si="5"/>
        <v>ren "" "77.jpg"</v>
      </c>
      <c r="K78" s="4" t="s">
        <v>1574</v>
      </c>
      <c r="L78" s="4" t="s">
        <v>1573</v>
      </c>
      <c r="M78" t="s">
        <v>605</v>
      </c>
      <c r="V78" s="1"/>
      <c r="W78" s="2"/>
    </row>
    <row r="79" spans="1:23" x14ac:dyDescent="0.25">
      <c r="A79">
        <v>78</v>
      </c>
      <c r="B79" s="4" t="s">
        <v>1574</v>
      </c>
      <c r="C79" s="4" t="s">
        <v>1573</v>
      </c>
      <c r="D79" t="s">
        <v>536</v>
      </c>
      <c r="F79" t="str">
        <f t="shared" si="4"/>
        <v/>
      </c>
      <c r="G79" t="s">
        <v>606</v>
      </c>
      <c r="H79" t="str">
        <f t="shared" si="5"/>
        <v>ren "" "78.jpg"</v>
      </c>
      <c r="K79" s="4" t="s">
        <v>1574</v>
      </c>
      <c r="L79" s="4" t="s">
        <v>1573</v>
      </c>
      <c r="M79" t="s">
        <v>606</v>
      </c>
      <c r="V79" s="1"/>
      <c r="W79" s="2"/>
    </row>
    <row r="80" spans="1:23" x14ac:dyDescent="0.25">
      <c r="A80">
        <v>79</v>
      </c>
      <c r="B80" s="4" t="s">
        <v>1574</v>
      </c>
      <c r="C80" s="4" t="s">
        <v>1571</v>
      </c>
      <c r="D80" t="s">
        <v>534</v>
      </c>
      <c r="F80" t="str">
        <f t="shared" si="4"/>
        <v/>
      </c>
      <c r="G80" t="s">
        <v>607</v>
      </c>
      <c r="H80" t="str">
        <f t="shared" si="5"/>
        <v>ren "" "79.jpg"</v>
      </c>
      <c r="K80" s="4" t="s">
        <v>1574</v>
      </c>
      <c r="L80" s="4" t="s">
        <v>1571</v>
      </c>
      <c r="M80" t="s">
        <v>607</v>
      </c>
      <c r="V80" s="1"/>
      <c r="W80" s="2"/>
    </row>
    <row r="81" spans="1:23" x14ac:dyDescent="0.25">
      <c r="A81">
        <v>80</v>
      </c>
      <c r="B81" s="4" t="s">
        <v>1574</v>
      </c>
      <c r="C81" s="4" t="s">
        <v>1571</v>
      </c>
      <c r="D81" t="s">
        <v>536</v>
      </c>
      <c r="F81" t="str">
        <f t="shared" si="4"/>
        <v/>
      </c>
      <c r="G81" t="s">
        <v>608</v>
      </c>
      <c r="H81" t="str">
        <f t="shared" si="5"/>
        <v>ren "" "80.jpg"</v>
      </c>
      <c r="K81" s="4" t="s">
        <v>1574</v>
      </c>
      <c r="L81" s="4" t="s">
        <v>1571</v>
      </c>
      <c r="M81" t="s">
        <v>608</v>
      </c>
      <c r="V81" s="1"/>
      <c r="W81" s="2"/>
    </row>
    <row r="82" spans="1:23" x14ac:dyDescent="0.25">
      <c r="A82">
        <v>81</v>
      </c>
      <c r="B82" s="4" t="s">
        <v>1574</v>
      </c>
      <c r="C82" s="4" t="s">
        <v>1572</v>
      </c>
      <c r="D82" t="s">
        <v>534</v>
      </c>
      <c r="F82" t="str">
        <f t="shared" si="4"/>
        <v/>
      </c>
      <c r="G82" t="s">
        <v>609</v>
      </c>
      <c r="H82" t="str">
        <f t="shared" si="5"/>
        <v>ren "" "81.jpg"</v>
      </c>
      <c r="K82" s="4" t="s">
        <v>1574</v>
      </c>
      <c r="L82" s="4" t="s">
        <v>1572</v>
      </c>
      <c r="M82" t="s">
        <v>609</v>
      </c>
      <c r="V82" s="1"/>
      <c r="W82" s="2"/>
    </row>
    <row r="83" spans="1:23" x14ac:dyDescent="0.25">
      <c r="A83">
        <v>82</v>
      </c>
      <c r="B83" s="4" t="s">
        <v>1574</v>
      </c>
      <c r="C83" s="4" t="s">
        <v>1572</v>
      </c>
      <c r="D83" t="s">
        <v>536</v>
      </c>
      <c r="F83" t="str">
        <f t="shared" si="4"/>
        <v/>
      </c>
      <c r="G83" t="s">
        <v>610</v>
      </c>
      <c r="H83" t="str">
        <f t="shared" si="5"/>
        <v>ren "" "82.jpg"</v>
      </c>
      <c r="K83" s="4" t="s">
        <v>1574</v>
      </c>
      <c r="L83" s="4" t="s">
        <v>1572</v>
      </c>
      <c r="M83" t="s">
        <v>610</v>
      </c>
      <c r="V83" s="1"/>
      <c r="W83" s="2"/>
    </row>
    <row r="84" spans="1:23" x14ac:dyDescent="0.25">
      <c r="A84">
        <v>83</v>
      </c>
      <c r="B84" s="4" t="s">
        <v>1574</v>
      </c>
      <c r="C84" s="4" t="s">
        <v>1573</v>
      </c>
      <c r="D84" t="s">
        <v>534</v>
      </c>
      <c r="F84" t="str">
        <f t="shared" si="4"/>
        <v/>
      </c>
      <c r="G84" t="s">
        <v>612</v>
      </c>
      <c r="H84" t="str">
        <f t="shared" si="5"/>
        <v>ren "" "83.jpg"</v>
      </c>
      <c r="K84" s="4" t="s">
        <v>1574</v>
      </c>
      <c r="L84" s="4" t="s">
        <v>1573</v>
      </c>
      <c r="M84" t="s">
        <v>612</v>
      </c>
      <c r="V84" s="1"/>
      <c r="W84" s="2"/>
    </row>
    <row r="85" spans="1:23" x14ac:dyDescent="0.25">
      <c r="A85">
        <v>84</v>
      </c>
      <c r="B85" s="4" t="s">
        <v>1574</v>
      </c>
      <c r="C85" s="4" t="s">
        <v>1573</v>
      </c>
      <c r="D85" t="s">
        <v>536</v>
      </c>
      <c r="F85" t="str">
        <f t="shared" si="4"/>
        <v/>
      </c>
      <c r="G85" t="s">
        <v>613</v>
      </c>
      <c r="H85" t="str">
        <f t="shared" si="5"/>
        <v>ren "" "84.jpg"</v>
      </c>
      <c r="K85" s="4" t="s">
        <v>1574</v>
      </c>
      <c r="L85" s="4" t="s">
        <v>1573</v>
      </c>
      <c r="M85" t="s">
        <v>613</v>
      </c>
      <c r="V85" s="1"/>
      <c r="W85" s="2"/>
    </row>
    <row r="86" spans="1:23" x14ac:dyDescent="0.25">
      <c r="A86">
        <v>85</v>
      </c>
      <c r="B86" s="4" t="s">
        <v>1575</v>
      </c>
      <c r="C86" s="4" t="s">
        <v>1453</v>
      </c>
      <c r="D86" t="s">
        <v>534</v>
      </c>
      <c r="F86" t="str">
        <f t="shared" si="4"/>
        <v/>
      </c>
      <c r="G86" t="s">
        <v>614</v>
      </c>
      <c r="H86" t="str">
        <f t="shared" si="5"/>
        <v>ren "" "85.jpg"</v>
      </c>
      <c r="K86" s="4" t="s">
        <v>1575</v>
      </c>
      <c r="L86" s="4" t="s">
        <v>1453</v>
      </c>
      <c r="M86" t="s">
        <v>614</v>
      </c>
      <c r="V86" s="1"/>
      <c r="W86" s="2"/>
    </row>
    <row r="87" spans="1:23" x14ac:dyDescent="0.25">
      <c r="A87">
        <v>86</v>
      </c>
      <c r="B87" s="4" t="s">
        <v>1575</v>
      </c>
      <c r="C87" s="4" t="s">
        <v>1453</v>
      </c>
      <c r="D87" t="s">
        <v>536</v>
      </c>
      <c r="F87" t="str">
        <f t="shared" si="4"/>
        <v/>
      </c>
      <c r="G87" t="s">
        <v>615</v>
      </c>
      <c r="H87" t="str">
        <f t="shared" si="5"/>
        <v>ren "" "86.jpg"</v>
      </c>
      <c r="K87" s="4" t="s">
        <v>1575</v>
      </c>
      <c r="L87" s="4" t="s">
        <v>1453</v>
      </c>
      <c r="M87" t="s">
        <v>615</v>
      </c>
      <c r="V87" s="1"/>
      <c r="W87" s="2"/>
    </row>
    <row r="88" spans="1:23" x14ac:dyDescent="0.25">
      <c r="A88">
        <v>87</v>
      </c>
      <c r="B88" s="4" t="s">
        <v>1576</v>
      </c>
      <c r="C88" s="4" t="s">
        <v>1453</v>
      </c>
      <c r="D88" t="s">
        <v>534</v>
      </c>
      <c r="F88" t="str">
        <f t="shared" si="4"/>
        <v/>
      </c>
      <c r="G88" t="s">
        <v>616</v>
      </c>
      <c r="H88" t="str">
        <f t="shared" si="5"/>
        <v>ren "" "87.jpg"</v>
      </c>
      <c r="K88" s="4" t="s">
        <v>1576</v>
      </c>
      <c r="L88" s="4" t="s">
        <v>1453</v>
      </c>
      <c r="M88" t="s">
        <v>616</v>
      </c>
      <c r="V88" s="1"/>
      <c r="W88" s="2"/>
    </row>
    <row r="89" spans="1:23" x14ac:dyDescent="0.25">
      <c r="A89">
        <v>88</v>
      </c>
      <c r="B89" s="4" t="s">
        <v>1576</v>
      </c>
      <c r="C89" s="4" t="s">
        <v>1453</v>
      </c>
      <c r="D89" t="s">
        <v>536</v>
      </c>
      <c r="F89" t="str">
        <f t="shared" si="4"/>
        <v/>
      </c>
      <c r="G89" t="s">
        <v>617</v>
      </c>
      <c r="H89" t="str">
        <f t="shared" si="5"/>
        <v>ren "" "88.jpg"</v>
      </c>
      <c r="K89" s="4" t="s">
        <v>1576</v>
      </c>
      <c r="L89" s="4" t="s">
        <v>1453</v>
      </c>
      <c r="M89" t="s">
        <v>617</v>
      </c>
      <c r="V89" s="1"/>
      <c r="W89" s="2"/>
    </row>
    <row r="90" spans="1:23" x14ac:dyDescent="0.25">
      <c r="A90">
        <v>89</v>
      </c>
      <c r="B90" s="4" t="s">
        <v>1577</v>
      </c>
      <c r="C90" s="4" t="s">
        <v>1453</v>
      </c>
      <c r="D90" t="s">
        <v>534</v>
      </c>
      <c r="F90" t="str">
        <f t="shared" si="4"/>
        <v/>
      </c>
      <c r="G90" t="s">
        <v>618</v>
      </c>
      <c r="H90" t="str">
        <f t="shared" si="5"/>
        <v>ren "" "89.jpg"</v>
      </c>
      <c r="K90" s="4" t="s">
        <v>1577</v>
      </c>
      <c r="L90" s="4" t="s">
        <v>1453</v>
      </c>
      <c r="M90" t="s">
        <v>618</v>
      </c>
      <c r="V90" s="1"/>
      <c r="W90" s="2"/>
    </row>
    <row r="91" spans="1:23" x14ac:dyDescent="0.25">
      <c r="A91">
        <v>90</v>
      </c>
      <c r="B91" s="4" t="s">
        <v>1577</v>
      </c>
      <c r="C91" s="4" t="s">
        <v>1453</v>
      </c>
      <c r="D91" t="s">
        <v>536</v>
      </c>
      <c r="F91" t="str">
        <f t="shared" si="4"/>
        <v/>
      </c>
      <c r="G91" t="s">
        <v>619</v>
      </c>
      <c r="H91" t="str">
        <f t="shared" si="5"/>
        <v>ren "" "90.jpg"</v>
      </c>
      <c r="K91" s="4" t="s">
        <v>1577</v>
      </c>
      <c r="L91" s="4" t="s">
        <v>1453</v>
      </c>
      <c r="M91" t="s">
        <v>619</v>
      </c>
      <c r="V91" s="1"/>
      <c r="W91" s="2"/>
    </row>
    <row r="92" spans="1:23" x14ac:dyDescent="0.25">
      <c r="A92">
        <v>91</v>
      </c>
      <c r="B92" s="4" t="s">
        <v>1578</v>
      </c>
      <c r="C92" s="4" t="s">
        <v>1453</v>
      </c>
      <c r="D92" t="s">
        <v>534</v>
      </c>
      <c r="F92" t="str">
        <f t="shared" si="4"/>
        <v/>
      </c>
      <c r="G92" t="s">
        <v>620</v>
      </c>
      <c r="H92" t="str">
        <f t="shared" si="5"/>
        <v>ren "" "91.jpg"</v>
      </c>
      <c r="K92" s="4" t="s">
        <v>1578</v>
      </c>
      <c r="L92" s="4" t="s">
        <v>1453</v>
      </c>
      <c r="M92" t="s">
        <v>620</v>
      </c>
      <c r="V92" s="1"/>
      <c r="W92" s="2"/>
    </row>
    <row r="93" spans="1:23" x14ac:dyDescent="0.25">
      <c r="A93">
        <v>92</v>
      </c>
      <c r="B93" s="4" t="s">
        <v>1578</v>
      </c>
      <c r="C93" s="4" t="s">
        <v>1453</v>
      </c>
      <c r="D93" t="s">
        <v>536</v>
      </c>
      <c r="F93" t="str">
        <f t="shared" si="4"/>
        <v/>
      </c>
      <c r="G93" t="s">
        <v>621</v>
      </c>
      <c r="H93" t="str">
        <f t="shared" si="5"/>
        <v>ren "" "92.jpg"</v>
      </c>
      <c r="K93" s="4" t="s">
        <v>1578</v>
      </c>
      <c r="L93" s="4" t="s">
        <v>1453</v>
      </c>
      <c r="M93" t="s">
        <v>621</v>
      </c>
      <c r="V93" s="1"/>
      <c r="W93" s="2"/>
    </row>
    <row r="94" spans="1:23" x14ac:dyDescent="0.25">
      <c r="A94">
        <v>93</v>
      </c>
      <c r="B94" s="4" t="s">
        <v>1519</v>
      </c>
      <c r="C94" s="4" t="s">
        <v>1453</v>
      </c>
      <c r="D94" t="s">
        <v>534</v>
      </c>
      <c r="F94" t="str">
        <f t="shared" si="4"/>
        <v/>
      </c>
      <c r="G94" t="s">
        <v>622</v>
      </c>
      <c r="H94" t="str">
        <f t="shared" si="5"/>
        <v>ren "" "93.jpg"</v>
      </c>
      <c r="K94" s="4" t="s">
        <v>1519</v>
      </c>
      <c r="L94" s="4" t="s">
        <v>1453</v>
      </c>
      <c r="M94" t="s">
        <v>622</v>
      </c>
      <c r="V94" s="1"/>
      <c r="W94" s="2"/>
    </row>
    <row r="95" spans="1:23" x14ac:dyDescent="0.25">
      <c r="A95">
        <v>94</v>
      </c>
      <c r="B95" s="4" t="s">
        <v>1519</v>
      </c>
      <c r="C95" s="4" t="s">
        <v>1453</v>
      </c>
      <c r="D95" t="s">
        <v>536</v>
      </c>
      <c r="F95" t="str">
        <f t="shared" si="4"/>
        <v/>
      </c>
      <c r="G95" t="s">
        <v>623</v>
      </c>
      <c r="H95" t="str">
        <f t="shared" si="5"/>
        <v>ren "" "94.jpg"</v>
      </c>
      <c r="K95" s="4" t="s">
        <v>1519</v>
      </c>
      <c r="L95" s="4" t="s">
        <v>1453</v>
      </c>
      <c r="M95" t="s">
        <v>623</v>
      </c>
      <c r="V95" s="1"/>
      <c r="W95" s="2"/>
    </row>
    <row r="96" spans="1:23" x14ac:dyDescent="0.25">
      <c r="A96">
        <v>95</v>
      </c>
      <c r="B96" s="4" t="s">
        <v>1522</v>
      </c>
      <c r="C96" s="4" t="s">
        <v>1453</v>
      </c>
      <c r="D96" t="s">
        <v>534</v>
      </c>
      <c r="F96" t="str">
        <f t="shared" si="4"/>
        <v/>
      </c>
      <c r="G96" t="s">
        <v>624</v>
      </c>
      <c r="H96" t="str">
        <f t="shared" si="5"/>
        <v>ren "" "95.jpg"</v>
      </c>
      <c r="K96" s="4" t="s">
        <v>1522</v>
      </c>
      <c r="L96" s="4" t="s">
        <v>1453</v>
      </c>
      <c r="M96" t="s">
        <v>624</v>
      </c>
      <c r="V96" s="1"/>
      <c r="W96" s="2"/>
    </row>
    <row r="97" spans="1:23" x14ac:dyDescent="0.25">
      <c r="A97">
        <v>96</v>
      </c>
      <c r="B97" s="4" t="s">
        <v>1522</v>
      </c>
      <c r="C97" s="4" t="s">
        <v>1453</v>
      </c>
      <c r="D97" t="s">
        <v>536</v>
      </c>
      <c r="F97" t="str">
        <f t="shared" si="4"/>
        <v/>
      </c>
      <c r="G97" t="s">
        <v>625</v>
      </c>
      <c r="H97" t="str">
        <f t="shared" si="5"/>
        <v>ren "" "96.jpg"</v>
      </c>
      <c r="K97" s="4" t="s">
        <v>1522</v>
      </c>
      <c r="L97" s="4" t="s">
        <v>1453</v>
      </c>
      <c r="M97" t="s">
        <v>625</v>
      </c>
      <c r="V97" s="1"/>
      <c r="W97" s="2"/>
    </row>
    <row r="98" spans="1:23" x14ac:dyDescent="0.25">
      <c r="A98">
        <v>97</v>
      </c>
      <c r="B98" s="4" t="s">
        <v>1579</v>
      </c>
      <c r="C98" s="4" t="s">
        <v>1453</v>
      </c>
      <c r="D98" t="s">
        <v>534</v>
      </c>
      <c r="F98" t="str">
        <f t="shared" ref="F98:F101" si="6">IF(E98="", "", TRIM(RIGHT(SUBSTITUTE(E98, "\", REPT(" ", LEN(E98))), LEN(E98))))</f>
        <v/>
      </c>
      <c r="G98" t="s">
        <v>626</v>
      </c>
      <c r="H98" t="str">
        <f t="shared" ref="H98:H101" si="7">"ren """ &amp; F98 &amp; """ """ &amp; G98 &amp; """"</f>
        <v>ren "" "97.jpg"</v>
      </c>
      <c r="K98" s="4" t="s">
        <v>1579</v>
      </c>
      <c r="L98" s="4" t="s">
        <v>1453</v>
      </c>
      <c r="M98" t="s">
        <v>626</v>
      </c>
      <c r="V98" s="1"/>
      <c r="W98" s="2"/>
    </row>
    <row r="99" spans="1:23" x14ac:dyDescent="0.25">
      <c r="A99">
        <v>98</v>
      </c>
      <c r="B99" s="4" t="s">
        <v>1579</v>
      </c>
      <c r="C99" s="4" t="s">
        <v>1453</v>
      </c>
      <c r="D99" t="s">
        <v>536</v>
      </c>
      <c r="F99" t="str">
        <f t="shared" si="6"/>
        <v/>
      </c>
      <c r="G99" t="s">
        <v>627</v>
      </c>
      <c r="H99" t="str">
        <f t="shared" si="7"/>
        <v>ren "" "98.jpg"</v>
      </c>
      <c r="K99" s="4" t="s">
        <v>1579</v>
      </c>
      <c r="L99" s="4" t="s">
        <v>1453</v>
      </c>
      <c r="M99" t="s">
        <v>627</v>
      </c>
      <c r="V99" s="1"/>
      <c r="W99" s="2"/>
    </row>
    <row r="100" spans="1:23" x14ac:dyDescent="0.25">
      <c r="A100">
        <v>99</v>
      </c>
      <c r="B100" s="4" t="s">
        <v>1580</v>
      </c>
      <c r="C100" s="4" t="s">
        <v>1453</v>
      </c>
      <c r="D100" t="s">
        <v>534</v>
      </c>
      <c r="F100" t="str">
        <f t="shared" si="6"/>
        <v/>
      </c>
      <c r="G100" t="s">
        <v>629</v>
      </c>
      <c r="H100" t="str">
        <f t="shared" si="7"/>
        <v>ren "" "99.jpg"</v>
      </c>
      <c r="K100" s="4" t="s">
        <v>1580</v>
      </c>
      <c r="L100" s="4" t="s">
        <v>1453</v>
      </c>
      <c r="M100" t="s">
        <v>629</v>
      </c>
      <c r="V100" s="1"/>
      <c r="W100" s="2"/>
    </row>
    <row r="101" spans="1:23" x14ac:dyDescent="0.25">
      <c r="A101">
        <v>100</v>
      </c>
      <c r="B101" s="4" t="s">
        <v>1580</v>
      </c>
      <c r="C101" s="4" t="s">
        <v>1453</v>
      </c>
      <c r="D101" t="s">
        <v>536</v>
      </c>
      <c r="F101" t="str">
        <f t="shared" si="6"/>
        <v/>
      </c>
      <c r="G101" t="s">
        <v>630</v>
      </c>
      <c r="H101" t="str">
        <f t="shared" si="7"/>
        <v>ren "" "100.jpg"</v>
      </c>
      <c r="K101" s="4" t="s">
        <v>1580</v>
      </c>
      <c r="L101" s="4" t="s">
        <v>1453</v>
      </c>
      <c r="M101" t="s">
        <v>630</v>
      </c>
      <c r="V101" s="1"/>
      <c r="W101" s="2"/>
    </row>
    <row r="102" spans="1:23" x14ac:dyDescent="0.25">
      <c r="B102" s="4"/>
      <c r="V102" s="1"/>
      <c r="W102" s="2"/>
    </row>
    <row r="103" spans="1:23" x14ac:dyDescent="0.25">
      <c r="B103" s="4"/>
      <c r="V103" s="1"/>
      <c r="W103" s="2"/>
    </row>
    <row r="104" spans="1:23" x14ac:dyDescent="0.25">
      <c r="V104" s="1"/>
      <c r="W104" s="2"/>
    </row>
    <row r="105" spans="1:23" x14ac:dyDescent="0.25">
      <c r="V105" s="1"/>
      <c r="W105" s="2"/>
    </row>
    <row r="106" spans="1:23" x14ac:dyDescent="0.25">
      <c r="V106" s="1"/>
      <c r="W106" s="2"/>
    </row>
    <row r="107" spans="1:23" x14ac:dyDescent="0.25">
      <c r="V107" s="1"/>
      <c r="W107" s="2"/>
    </row>
    <row r="108" spans="1:23" x14ac:dyDescent="0.25">
      <c r="V108" s="1"/>
      <c r="W108" s="2"/>
    </row>
    <row r="109" spans="1:23" x14ac:dyDescent="0.25">
      <c r="V109" s="1"/>
      <c r="W109" s="2"/>
    </row>
    <row r="110" spans="1:23" x14ac:dyDescent="0.25">
      <c r="V110" s="1"/>
      <c r="W110" s="2"/>
    </row>
    <row r="111" spans="1:23" x14ac:dyDescent="0.25">
      <c r="V111" s="1"/>
      <c r="W111" s="2"/>
    </row>
    <row r="112" spans="1:23" x14ac:dyDescent="0.25">
      <c r="V112" s="1"/>
      <c r="W112" s="2"/>
    </row>
    <row r="113" spans="22:23" x14ac:dyDescent="0.25">
      <c r="V113" s="1"/>
      <c r="W113" s="2"/>
    </row>
    <row r="114" spans="22:23" x14ac:dyDescent="0.25">
      <c r="V114" s="1"/>
      <c r="W114" s="2"/>
    </row>
    <row r="115" spans="22:23" x14ac:dyDescent="0.25">
      <c r="V115" s="1"/>
      <c r="W115" s="2"/>
    </row>
    <row r="116" spans="22:23" x14ac:dyDescent="0.25">
      <c r="V116" s="1"/>
      <c r="W116" s="2"/>
    </row>
    <row r="117" spans="22:23" x14ac:dyDescent="0.25">
      <c r="V117" s="1"/>
      <c r="W117" s="2"/>
    </row>
    <row r="118" spans="22:23" x14ac:dyDescent="0.25">
      <c r="V118" s="1"/>
      <c r="W118" s="2"/>
    </row>
    <row r="119" spans="22:23" x14ac:dyDescent="0.25">
      <c r="V119" s="1"/>
      <c r="W119" s="2"/>
    </row>
    <row r="120" spans="22:23" x14ac:dyDescent="0.25">
      <c r="V120" s="1"/>
      <c r="W120" s="2"/>
    </row>
    <row r="121" spans="22:23" x14ac:dyDescent="0.25">
      <c r="V121" s="1"/>
      <c r="W121" s="2"/>
    </row>
    <row r="122" spans="22:23" x14ac:dyDescent="0.25">
      <c r="V122" s="1"/>
      <c r="W122" s="2"/>
    </row>
    <row r="123" spans="22:23" x14ac:dyDescent="0.25">
      <c r="V123" s="1"/>
      <c r="W123" s="2"/>
    </row>
    <row r="124" spans="22:23" x14ac:dyDescent="0.25">
      <c r="V124" s="1"/>
      <c r="W124" s="2"/>
    </row>
    <row r="125" spans="22:23" x14ac:dyDescent="0.25">
      <c r="V125" s="1"/>
      <c r="W125" s="2"/>
    </row>
    <row r="126" spans="22:23" x14ac:dyDescent="0.25">
      <c r="V126" s="1"/>
      <c r="W126" s="2"/>
    </row>
    <row r="127" spans="22:23" x14ac:dyDescent="0.25">
      <c r="V127" s="1"/>
      <c r="W127" s="2"/>
    </row>
    <row r="128" spans="22:23" x14ac:dyDescent="0.25">
      <c r="V128" s="1"/>
      <c r="W128" s="2"/>
    </row>
    <row r="129" spans="22:23" x14ac:dyDescent="0.25">
      <c r="V129" s="1"/>
      <c r="W129" s="2"/>
    </row>
    <row r="130" spans="22:23" x14ac:dyDescent="0.25">
      <c r="V130" s="1"/>
      <c r="W130" s="2"/>
    </row>
    <row r="131" spans="22:23" x14ac:dyDescent="0.25">
      <c r="V131" s="1"/>
      <c r="W131" s="2"/>
    </row>
    <row r="132" spans="22:23" x14ac:dyDescent="0.25">
      <c r="V132" s="1"/>
      <c r="W132" s="2"/>
    </row>
    <row r="133" spans="22:23" x14ac:dyDescent="0.25">
      <c r="V133" s="1"/>
      <c r="W133" s="2"/>
    </row>
    <row r="134" spans="22:23" x14ac:dyDescent="0.25">
      <c r="V134" s="1"/>
      <c r="W134" s="2"/>
    </row>
    <row r="135" spans="22:23" x14ac:dyDescent="0.25">
      <c r="V135" s="1"/>
      <c r="W135" s="2"/>
    </row>
    <row r="136" spans="22:23" x14ac:dyDescent="0.25">
      <c r="V136" s="1"/>
      <c r="W136" s="2"/>
    </row>
    <row r="137" spans="22:23" x14ac:dyDescent="0.25">
      <c r="V137" s="1"/>
      <c r="W137" s="2"/>
    </row>
    <row r="138" spans="22:23" x14ac:dyDescent="0.25">
      <c r="V138" s="1"/>
      <c r="W138" s="2"/>
    </row>
    <row r="139" spans="22:23" x14ac:dyDescent="0.25">
      <c r="V139" s="1"/>
      <c r="W139" s="2"/>
    </row>
    <row r="140" spans="22:23" x14ac:dyDescent="0.25">
      <c r="V140" s="1"/>
      <c r="W140" s="2"/>
    </row>
    <row r="141" spans="22:23" x14ac:dyDescent="0.25">
      <c r="V141" s="1"/>
      <c r="W141" s="2"/>
    </row>
    <row r="142" spans="22:23" x14ac:dyDescent="0.25">
      <c r="V142" s="1"/>
      <c r="W142" s="2"/>
    </row>
    <row r="143" spans="22:23" x14ac:dyDescent="0.25">
      <c r="V143" s="1"/>
      <c r="W143" s="2"/>
    </row>
    <row r="144" spans="22:23" x14ac:dyDescent="0.25">
      <c r="V144" s="1"/>
      <c r="W144" s="2"/>
    </row>
    <row r="145" spans="22:23" x14ac:dyDescent="0.25">
      <c r="V145" s="1"/>
      <c r="W145" s="2"/>
    </row>
    <row r="146" spans="22:23" x14ac:dyDescent="0.25">
      <c r="V146" s="1"/>
      <c r="W146" s="2"/>
    </row>
    <row r="147" spans="22:23" x14ac:dyDescent="0.25">
      <c r="V147" s="1"/>
      <c r="W147" s="2"/>
    </row>
    <row r="148" spans="22:23" x14ac:dyDescent="0.25">
      <c r="V148" s="1"/>
      <c r="W148" s="2"/>
    </row>
    <row r="149" spans="22:23" x14ac:dyDescent="0.25">
      <c r="V149" s="1"/>
      <c r="W149" s="2"/>
    </row>
    <row r="150" spans="22:23" x14ac:dyDescent="0.25">
      <c r="V150" s="1"/>
      <c r="W150" s="2"/>
    </row>
    <row r="151" spans="22:23" x14ac:dyDescent="0.25">
      <c r="V151" s="1"/>
      <c r="W151" s="2"/>
    </row>
    <row r="152" spans="22:23" x14ac:dyDescent="0.25">
      <c r="V152" s="1"/>
      <c r="W152" s="2"/>
    </row>
    <row r="153" spans="22:23" x14ac:dyDescent="0.25">
      <c r="V153" s="1"/>
      <c r="W153" s="2"/>
    </row>
    <row r="154" spans="22:23" x14ac:dyDescent="0.25">
      <c r="V154" s="1"/>
      <c r="W154" s="2"/>
    </row>
    <row r="155" spans="22:23" x14ac:dyDescent="0.25">
      <c r="V155" s="1"/>
      <c r="W155" s="2"/>
    </row>
    <row r="156" spans="22:23" x14ac:dyDescent="0.25">
      <c r="V156" s="1"/>
      <c r="W156" s="2"/>
    </row>
    <row r="157" spans="22:23" x14ac:dyDescent="0.25">
      <c r="V157" s="1"/>
      <c r="W157" s="2"/>
    </row>
    <row r="158" spans="22:23" x14ac:dyDescent="0.25">
      <c r="V158" s="1"/>
      <c r="W158" s="2"/>
    </row>
    <row r="159" spans="22:23" x14ac:dyDescent="0.25">
      <c r="V159" s="1"/>
      <c r="W159" s="2"/>
    </row>
    <row r="160" spans="22:23" x14ac:dyDescent="0.25">
      <c r="V160" s="1"/>
      <c r="W160" s="2"/>
    </row>
    <row r="161" spans="22:23" x14ac:dyDescent="0.25">
      <c r="V161" s="1"/>
      <c r="W161" s="2"/>
    </row>
    <row r="162" spans="22:23" x14ac:dyDescent="0.25">
      <c r="V162" s="1"/>
      <c r="W162" s="2"/>
    </row>
    <row r="163" spans="22:23" x14ac:dyDescent="0.25">
      <c r="V163" s="1"/>
      <c r="W163" s="2"/>
    </row>
    <row r="164" spans="22:23" x14ac:dyDescent="0.25">
      <c r="V164" s="1"/>
      <c r="W164" s="2"/>
    </row>
    <row r="165" spans="22:23" x14ac:dyDescent="0.25">
      <c r="V165" s="1"/>
      <c r="W165" s="2"/>
    </row>
    <row r="166" spans="22:23" x14ac:dyDescent="0.25">
      <c r="V166" s="1"/>
      <c r="W166" s="2"/>
    </row>
    <row r="167" spans="22:23" x14ac:dyDescent="0.25">
      <c r="V167" s="1"/>
      <c r="W167" s="2"/>
    </row>
    <row r="168" spans="22:23" x14ac:dyDescent="0.25">
      <c r="V168" s="1"/>
      <c r="W168" s="2"/>
    </row>
    <row r="169" spans="22:23" x14ac:dyDescent="0.25">
      <c r="V169" s="1"/>
      <c r="W169" s="2"/>
    </row>
    <row r="170" spans="22:23" x14ac:dyDescent="0.25">
      <c r="V170" s="1"/>
      <c r="W170" s="2"/>
    </row>
    <row r="171" spans="22:23" x14ac:dyDescent="0.25">
      <c r="V171" s="1"/>
      <c r="W171" s="2"/>
    </row>
    <row r="172" spans="22:23" x14ac:dyDescent="0.25">
      <c r="V172" s="1"/>
      <c r="W172" s="2"/>
    </row>
    <row r="173" spans="22:23" x14ac:dyDescent="0.25">
      <c r="V173" s="1"/>
      <c r="W173" s="2"/>
    </row>
    <row r="174" spans="22:23" x14ac:dyDescent="0.25">
      <c r="V174" s="1"/>
      <c r="W174" s="2"/>
    </row>
    <row r="175" spans="22:23" x14ac:dyDescent="0.25">
      <c r="V175" s="1"/>
      <c r="W175" s="2"/>
    </row>
    <row r="176" spans="22:23" x14ac:dyDescent="0.25">
      <c r="V176" s="1"/>
      <c r="W176" s="2"/>
    </row>
    <row r="177" spans="22:23" x14ac:dyDescent="0.25">
      <c r="V177" s="1"/>
      <c r="W177" s="2"/>
    </row>
    <row r="178" spans="22:23" x14ac:dyDescent="0.25">
      <c r="V178" s="1"/>
      <c r="W178" s="2"/>
    </row>
    <row r="179" spans="22:23" x14ac:dyDescent="0.25">
      <c r="V179" s="1"/>
      <c r="W179" s="2"/>
    </row>
    <row r="180" spans="22:23" x14ac:dyDescent="0.25">
      <c r="V180" s="1"/>
      <c r="W180" s="2"/>
    </row>
    <row r="181" spans="22:23" x14ac:dyDescent="0.25">
      <c r="V181" s="1"/>
      <c r="W181" s="2"/>
    </row>
    <row r="182" spans="22:23" x14ac:dyDescent="0.25">
      <c r="V182" s="1"/>
      <c r="W182" s="2"/>
    </row>
    <row r="183" spans="22:23" x14ac:dyDescent="0.25">
      <c r="V183" s="1"/>
      <c r="W183" s="2"/>
    </row>
    <row r="184" spans="22:23" x14ac:dyDescent="0.25">
      <c r="V184" s="1"/>
      <c r="W184" s="2"/>
    </row>
    <row r="185" spans="22:23" x14ac:dyDescent="0.25">
      <c r="V185" s="1"/>
      <c r="W185" s="2"/>
    </row>
    <row r="186" spans="22:23" x14ac:dyDescent="0.25">
      <c r="V186" s="1"/>
      <c r="W186" s="2"/>
    </row>
    <row r="187" spans="22:23" x14ac:dyDescent="0.25">
      <c r="V187" s="1"/>
      <c r="W187" s="2"/>
    </row>
    <row r="188" spans="22:23" x14ac:dyDescent="0.25">
      <c r="V188" s="1"/>
      <c r="W188" s="2"/>
    </row>
    <row r="189" spans="22:23" x14ac:dyDescent="0.25">
      <c r="V189" s="1"/>
      <c r="W189" s="2"/>
    </row>
    <row r="190" spans="22:23" x14ac:dyDescent="0.25">
      <c r="V190" s="1"/>
      <c r="W190" s="2"/>
    </row>
    <row r="191" spans="22:23" x14ac:dyDescent="0.25">
      <c r="V191" s="1"/>
      <c r="W191" s="2"/>
    </row>
    <row r="192" spans="22:23" x14ac:dyDescent="0.25">
      <c r="V192" s="1"/>
      <c r="W192" s="2"/>
    </row>
    <row r="193" spans="22:23" x14ac:dyDescent="0.25">
      <c r="V193" s="1"/>
      <c r="W193" s="2"/>
    </row>
    <row r="194" spans="22:23" x14ac:dyDescent="0.25">
      <c r="V194" s="1"/>
      <c r="W194" s="2"/>
    </row>
    <row r="195" spans="22:23" x14ac:dyDescent="0.25">
      <c r="V195" s="1"/>
      <c r="W195" s="2"/>
    </row>
    <row r="196" spans="22:23" x14ac:dyDescent="0.25">
      <c r="V196" s="1"/>
      <c r="W196" s="2"/>
    </row>
    <row r="197" spans="22:23" x14ac:dyDescent="0.25">
      <c r="V197" s="1"/>
      <c r="W197" s="2"/>
    </row>
    <row r="198" spans="22:23" x14ac:dyDescent="0.25">
      <c r="V198" s="1"/>
      <c r="W198" s="2"/>
    </row>
    <row r="199" spans="22:23" x14ac:dyDescent="0.25">
      <c r="V199" s="1"/>
      <c r="W199" s="2"/>
    </row>
    <row r="200" spans="22:23" x14ac:dyDescent="0.25">
      <c r="V200" s="1"/>
      <c r="W200" s="2"/>
    </row>
    <row r="201" spans="22:23" x14ac:dyDescent="0.25">
      <c r="V201" s="1"/>
      <c r="W201" s="2"/>
    </row>
    <row r="202" spans="22:23" x14ac:dyDescent="0.25">
      <c r="V202" s="1"/>
      <c r="W202" s="2"/>
    </row>
    <row r="203" spans="22:23" x14ac:dyDescent="0.25">
      <c r="V203" s="1"/>
      <c r="W203" s="2"/>
    </row>
    <row r="204" spans="22:23" x14ac:dyDescent="0.25">
      <c r="V204" s="1"/>
      <c r="W204" s="2"/>
    </row>
    <row r="205" spans="22:23" x14ac:dyDescent="0.25">
      <c r="V205" s="1"/>
      <c r="W205" s="2"/>
    </row>
    <row r="206" spans="22:23" x14ac:dyDescent="0.25">
      <c r="V206" s="1"/>
      <c r="W206" s="2"/>
    </row>
    <row r="207" spans="22:23" x14ac:dyDescent="0.25">
      <c r="V207" s="1"/>
      <c r="W207" s="2"/>
    </row>
    <row r="208" spans="22:23" x14ac:dyDescent="0.25">
      <c r="V208" s="1"/>
      <c r="W208" s="2"/>
    </row>
    <row r="209" spans="22:23" x14ac:dyDescent="0.25">
      <c r="V209" s="1"/>
      <c r="W209" s="2"/>
    </row>
    <row r="210" spans="22:23" x14ac:dyDescent="0.25">
      <c r="V210" s="1"/>
      <c r="W210" s="2"/>
    </row>
    <row r="211" spans="22:23" x14ac:dyDescent="0.25">
      <c r="V211" s="1"/>
      <c r="W211" s="2"/>
    </row>
    <row r="212" spans="22:23" x14ac:dyDescent="0.25">
      <c r="V212" s="1"/>
      <c r="W212" s="2"/>
    </row>
    <row r="213" spans="22:23" x14ac:dyDescent="0.25">
      <c r="V213" s="1"/>
      <c r="W213" s="2"/>
    </row>
    <row r="214" spans="22:23" x14ac:dyDescent="0.25">
      <c r="V214" s="1"/>
      <c r="W214" s="2"/>
    </row>
    <row r="215" spans="22:23" x14ac:dyDescent="0.25">
      <c r="V215" s="1"/>
      <c r="W215" s="2"/>
    </row>
    <row r="216" spans="22:23" x14ac:dyDescent="0.25">
      <c r="V216" s="1"/>
      <c r="W216" s="2"/>
    </row>
    <row r="217" spans="22:23" x14ac:dyDescent="0.25">
      <c r="V217" s="1"/>
      <c r="W217" s="2"/>
    </row>
    <row r="218" spans="22:23" x14ac:dyDescent="0.25">
      <c r="V218" s="1"/>
      <c r="W218" s="2"/>
    </row>
    <row r="219" spans="22:23" x14ac:dyDescent="0.25">
      <c r="V219" s="1"/>
      <c r="W219" s="2"/>
    </row>
    <row r="220" spans="22:23" x14ac:dyDescent="0.25">
      <c r="V220" s="1"/>
      <c r="W220" s="2"/>
    </row>
    <row r="221" spans="22:23" x14ac:dyDescent="0.25">
      <c r="V221" s="1"/>
      <c r="W221" s="2"/>
    </row>
    <row r="222" spans="22:23" x14ac:dyDescent="0.25">
      <c r="V222" s="1"/>
      <c r="W222" s="2"/>
    </row>
    <row r="223" spans="22:23" x14ac:dyDescent="0.25">
      <c r="V223" s="1"/>
      <c r="W223" s="2"/>
    </row>
    <row r="224" spans="22:23" x14ac:dyDescent="0.25">
      <c r="V224" s="1"/>
      <c r="W224" s="2"/>
    </row>
    <row r="225" spans="22:23" x14ac:dyDescent="0.25">
      <c r="V225" s="1"/>
      <c r="W225" s="2"/>
    </row>
    <row r="226" spans="22:23" x14ac:dyDescent="0.25">
      <c r="V226" s="1"/>
      <c r="W226" s="2"/>
    </row>
    <row r="227" spans="22:23" x14ac:dyDescent="0.25">
      <c r="V227" s="1"/>
      <c r="W227" s="2"/>
    </row>
    <row r="228" spans="22:23" x14ac:dyDescent="0.25">
      <c r="V228" s="1"/>
      <c r="W228" s="2"/>
    </row>
    <row r="229" spans="22:23" x14ac:dyDescent="0.25">
      <c r="V229" s="1"/>
      <c r="W229" s="2"/>
    </row>
    <row r="230" spans="22:23" x14ac:dyDescent="0.25">
      <c r="V230" s="1"/>
      <c r="W230" s="2"/>
    </row>
    <row r="231" spans="22:23" x14ac:dyDescent="0.25">
      <c r="V231" s="1"/>
      <c r="W231" s="2"/>
    </row>
    <row r="232" spans="22:23" x14ac:dyDescent="0.25">
      <c r="V232" s="1"/>
      <c r="W232" s="2"/>
    </row>
    <row r="233" spans="22:23" x14ac:dyDescent="0.25">
      <c r="V233" s="1"/>
      <c r="W233" s="2"/>
    </row>
    <row r="234" spans="22:23" x14ac:dyDescent="0.25">
      <c r="V234" s="1"/>
      <c r="W234" s="2"/>
    </row>
    <row r="235" spans="22:23" x14ac:dyDescent="0.25">
      <c r="V235" s="1"/>
      <c r="W235" s="2"/>
    </row>
    <row r="236" spans="22:23" x14ac:dyDescent="0.25">
      <c r="V236" s="1"/>
      <c r="W236" s="2"/>
    </row>
    <row r="237" spans="22:23" x14ac:dyDescent="0.25">
      <c r="V237" s="1"/>
      <c r="W237" s="2"/>
    </row>
    <row r="238" spans="22:23" x14ac:dyDescent="0.25">
      <c r="V238" s="1"/>
      <c r="W238" s="2"/>
    </row>
    <row r="239" spans="22:23" x14ac:dyDescent="0.25">
      <c r="V239" s="1"/>
      <c r="W239" s="2"/>
    </row>
    <row r="240" spans="22:23" x14ac:dyDescent="0.25">
      <c r="V240" s="1"/>
      <c r="W240" s="2"/>
    </row>
    <row r="241" spans="22:23" x14ac:dyDescent="0.25">
      <c r="V241" s="1"/>
      <c r="W241" s="2"/>
    </row>
    <row r="242" spans="22:23" x14ac:dyDescent="0.25">
      <c r="V242" s="1"/>
      <c r="W242" s="2"/>
    </row>
    <row r="243" spans="22:23" x14ac:dyDescent="0.25">
      <c r="V243" s="1"/>
      <c r="W243" s="2"/>
    </row>
    <row r="244" spans="22:23" x14ac:dyDescent="0.25">
      <c r="V244" s="1"/>
      <c r="W244" s="2"/>
    </row>
    <row r="245" spans="22:23" x14ac:dyDescent="0.25">
      <c r="V245" s="1"/>
      <c r="W245" s="2"/>
    </row>
    <row r="246" spans="22:23" x14ac:dyDescent="0.25">
      <c r="V246" s="1"/>
      <c r="W246" s="2"/>
    </row>
    <row r="247" spans="22:23" x14ac:dyDescent="0.25">
      <c r="V247" s="1"/>
      <c r="W247" s="2"/>
    </row>
    <row r="248" spans="22:23" x14ac:dyDescent="0.25">
      <c r="V248" s="1"/>
      <c r="W248" s="2"/>
    </row>
    <row r="249" spans="22:23" x14ac:dyDescent="0.25">
      <c r="V249" s="1"/>
      <c r="W249" s="2"/>
    </row>
    <row r="250" spans="22:23" x14ac:dyDescent="0.25">
      <c r="V250" s="1"/>
      <c r="W250" s="2"/>
    </row>
    <row r="251" spans="22:23" x14ac:dyDescent="0.25">
      <c r="V251" s="1"/>
      <c r="W251" s="2"/>
    </row>
    <row r="252" spans="22:23" x14ac:dyDescent="0.25">
      <c r="V252" s="1"/>
      <c r="W252" s="2"/>
    </row>
    <row r="253" spans="22:23" x14ac:dyDescent="0.25">
      <c r="V253" s="1"/>
      <c r="W253" s="2"/>
    </row>
    <row r="254" spans="22:23" x14ac:dyDescent="0.25">
      <c r="V254" s="1"/>
      <c r="W254" s="2"/>
    </row>
    <row r="255" spans="22:23" x14ac:dyDescent="0.25">
      <c r="V255" s="1"/>
      <c r="W255" s="2"/>
    </row>
    <row r="256" spans="22:23" x14ac:dyDescent="0.25">
      <c r="V256" s="1"/>
      <c r="W256" s="2"/>
    </row>
    <row r="257" spans="22:23" x14ac:dyDescent="0.25">
      <c r="V257" s="1"/>
      <c r="W257" s="2"/>
    </row>
    <row r="258" spans="22:23" x14ac:dyDescent="0.25">
      <c r="V258" s="1"/>
      <c r="W258" s="2"/>
    </row>
    <row r="259" spans="22:23" x14ac:dyDescent="0.25">
      <c r="V259" s="1"/>
      <c r="W259" s="2"/>
    </row>
    <row r="260" spans="22:23" x14ac:dyDescent="0.25">
      <c r="V260" s="1"/>
      <c r="W260" s="2"/>
    </row>
    <row r="261" spans="22:23" x14ac:dyDescent="0.25">
      <c r="V261" s="1"/>
      <c r="W261" s="2"/>
    </row>
    <row r="262" spans="22:23" x14ac:dyDescent="0.25">
      <c r="V262" s="1"/>
      <c r="W262" s="2"/>
    </row>
    <row r="263" spans="22:23" x14ac:dyDescent="0.25">
      <c r="V263" s="1"/>
      <c r="W263" s="2"/>
    </row>
    <row r="264" spans="22:23" x14ac:dyDescent="0.25">
      <c r="V264" s="1"/>
      <c r="W264" s="2"/>
    </row>
    <row r="265" spans="22:23" x14ac:dyDescent="0.25">
      <c r="V265" s="1"/>
      <c r="W265" s="2"/>
    </row>
    <row r="266" spans="22:23" x14ac:dyDescent="0.25">
      <c r="V266" s="1"/>
      <c r="W266" s="2"/>
    </row>
    <row r="267" spans="22:23" x14ac:dyDescent="0.25">
      <c r="V267" s="1"/>
      <c r="W267" s="2"/>
    </row>
    <row r="268" spans="22:23" x14ac:dyDescent="0.25">
      <c r="V268" s="1"/>
      <c r="W268" s="2"/>
    </row>
    <row r="269" spans="22:23" x14ac:dyDescent="0.25">
      <c r="V269" s="1"/>
      <c r="W269" s="2"/>
    </row>
    <row r="270" spans="22:23" x14ac:dyDescent="0.25">
      <c r="V270" s="1"/>
      <c r="W270" s="2"/>
    </row>
    <row r="271" spans="22:23" x14ac:dyDescent="0.25">
      <c r="V271" s="1"/>
      <c r="W271" s="2"/>
    </row>
    <row r="272" spans="22:23" x14ac:dyDescent="0.25">
      <c r="V272" s="1"/>
      <c r="W272" s="2"/>
    </row>
    <row r="273" spans="22:23" x14ac:dyDescent="0.25">
      <c r="V273" s="1"/>
      <c r="W273" s="2"/>
    </row>
    <row r="274" spans="22:23" x14ac:dyDescent="0.25">
      <c r="V274" s="1"/>
      <c r="W274" s="2"/>
    </row>
    <row r="275" spans="22:23" x14ac:dyDescent="0.25">
      <c r="V275" s="1"/>
      <c r="W275" s="2"/>
    </row>
    <row r="276" spans="22:23" x14ac:dyDescent="0.25">
      <c r="V276" s="1"/>
      <c r="W276" s="2"/>
    </row>
    <row r="277" spans="22:23" x14ac:dyDescent="0.25">
      <c r="V277" s="1"/>
      <c r="W277" s="2"/>
    </row>
    <row r="278" spans="22:23" x14ac:dyDescent="0.25">
      <c r="V278" s="1"/>
      <c r="W278" s="2"/>
    </row>
    <row r="279" spans="22:23" x14ac:dyDescent="0.25">
      <c r="V279" s="1"/>
      <c r="W279" s="2"/>
    </row>
    <row r="280" spans="22:23" x14ac:dyDescent="0.25">
      <c r="V280" s="1"/>
      <c r="W280" s="2"/>
    </row>
    <row r="281" spans="22:23" x14ac:dyDescent="0.25">
      <c r="V281" s="1"/>
      <c r="W281" s="2"/>
    </row>
    <row r="282" spans="22:23" x14ac:dyDescent="0.25">
      <c r="V282" s="1"/>
      <c r="W282" s="2"/>
    </row>
    <row r="283" spans="22:23" x14ac:dyDescent="0.25">
      <c r="V283" s="1"/>
      <c r="W283" s="2"/>
    </row>
    <row r="284" spans="22:23" x14ac:dyDescent="0.25">
      <c r="V284" s="1"/>
      <c r="W284" s="2"/>
    </row>
    <row r="285" spans="22:23" x14ac:dyDescent="0.25">
      <c r="V285" s="1"/>
      <c r="W285" s="2"/>
    </row>
    <row r="286" spans="22:23" x14ac:dyDescent="0.25">
      <c r="V286" s="1"/>
      <c r="W286" s="2"/>
    </row>
    <row r="287" spans="22:23" x14ac:dyDescent="0.25">
      <c r="V287" s="1"/>
      <c r="W287" s="2"/>
    </row>
    <row r="288" spans="22:23" x14ac:dyDescent="0.25">
      <c r="V288" s="1"/>
      <c r="W288" s="2"/>
    </row>
    <row r="289" spans="22:23" x14ac:dyDescent="0.25">
      <c r="V289" s="1"/>
      <c r="W289" s="2"/>
    </row>
    <row r="290" spans="22:23" x14ac:dyDescent="0.25">
      <c r="V290" s="1"/>
      <c r="W290" s="2"/>
    </row>
    <row r="291" spans="22:23" x14ac:dyDescent="0.25">
      <c r="V291" s="1"/>
      <c r="W291" s="2"/>
    </row>
    <row r="292" spans="22:23" x14ac:dyDescent="0.25">
      <c r="V292" s="1"/>
      <c r="W292" s="2"/>
    </row>
    <row r="293" spans="22:23" x14ac:dyDescent="0.25">
      <c r="V293" s="1"/>
      <c r="W293" s="2"/>
    </row>
    <row r="294" spans="22:23" x14ac:dyDescent="0.25">
      <c r="V294" s="1"/>
      <c r="W294" s="2"/>
    </row>
    <row r="295" spans="22:23" x14ac:dyDescent="0.25">
      <c r="V295" s="1"/>
      <c r="W295" s="2"/>
    </row>
    <row r="296" spans="22:23" x14ac:dyDescent="0.25">
      <c r="V296" s="1"/>
      <c r="W296" s="2"/>
    </row>
    <row r="297" spans="22:23" x14ac:dyDescent="0.25">
      <c r="V297" s="1"/>
      <c r="W297" s="2"/>
    </row>
    <row r="298" spans="22:23" x14ac:dyDescent="0.25">
      <c r="V298" s="1"/>
      <c r="W298" s="2"/>
    </row>
    <row r="299" spans="22:23" x14ac:dyDescent="0.25">
      <c r="V299" s="1"/>
      <c r="W299" s="2"/>
    </row>
    <row r="300" spans="22:23" x14ac:dyDescent="0.25">
      <c r="V300" s="1"/>
      <c r="W300" s="2"/>
    </row>
    <row r="301" spans="22:23" x14ac:dyDescent="0.25">
      <c r="V301" s="1"/>
      <c r="W301" s="2"/>
    </row>
    <row r="302" spans="22:23" x14ac:dyDescent="0.25">
      <c r="V302" s="1"/>
      <c r="W302" s="2"/>
    </row>
    <row r="303" spans="22:23" x14ac:dyDescent="0.25">
      <c r="V303" s="1"/>
      <c r="W303" s="2"/>
    </row>
    <row r="304" spans="22:23" x14ac:dyDescent="0.25">
      <c r="V304" s="1"/>
      <c r="W304" s="2"/>
    </row>
    <row r="305" spans="22:23" x14ac:dyDescent="0.25">
      <c r="V305" s="1"/>
      <c r="W305" s="2"/>
    </row>
    <row r="306" spans="22:23" x14ac:dyDescent="0.25">
      <c r="V306" s="1"/>
      <c r="W306" s="2"/>
    </row>
    <row r="307" spans="22:23" x14ac:dyDescent="0.25">
      <c r="V307" s="1"/>
      <c r="W307" s="2"/>
    </row>
    <row r="308" spans="22:23" x14ac:dyDescent="0.25">
      <c r="V308" s="1"/>
      <c r="W308" s="2"/>
    </row>
    <row r="309" spans="22:23" x14ac:dyDescent="0.25">
      <c r="V309" s="1"/>
      <c r="W309" s="2"/>
    </row>
    <row r="310" spans="22:23" x14ac:dyDescent="0.25">
      <c r="V310" s="1"/>
      <c r="W310" s="2"/>
    </row>
    <row r="311" spans="22:23" x14ac:dyDescent="0.25">
      <c r="V311" s="1"/>
      <c r="W311" s="2"/>
    </row>
    <row r="312" spans="22:23" x14ac:dyDescent="0.25">
      <c r="V312" s="1"/>
      <c r="W312" s="2"/>
    </row>
    <row r="313" spans="22:23" x14ac:dyDescent="0.25">
      <c r="V313" s="1"/>
      <c r="W313" s="2"/>
    </row>
    <row r="314" spans="22:23" x14ac:dyDescent="0.25">
      <c r="V314" s="1"/>
      <c r="W314" s="2"/>
    </row>
    <row r="315" spans="22:23" x14ac:dyDescent="0.25">
      <c r="V315" s="1"/>
      <c r="W315" s="2"/>
    </row>
    <row r="316" spans="22:23" x14ac:dyDescent="0.25">
      <c r="V316" s="1"/>
      <c r="W316" s="2"/>
    </row>
    <row r="317" spans="22:23" x14ac:dyDescent="0.25">
      <c r="V317" s="1"/>
      <c r="W317" s="2"/>
    </row>
    <row r="318" spans="22:23" x14ac:dyDescent="0.25">
      <c r="V318" s="1"/>
      <c r="W318" s="2"/>
    </row>
    <row r="319" spans="22:23" x14ac:dyDescent="0.25">
      <c r="V319" s="1"/>
      <c r="W319" s="2"/>
    </row>
    <row r="320" spans="22:23" x14ac:dyDescent="0.25">
      <c r="V320" s="1"/>
      <c r="W320" s="2"/>
    </row>
    <row r="321" spans="22:23" x14ac:dyDescent="0.25">
      <c r="V321" s="1"/>
      <c r="W321" s="2"/>
    </row>
    <row r="322" spans="22:23" x14ac:dyDescent="0.25">
      <c r="V322" s="1"/>
      <c r="W322" s="2"/>
    </row>
    <row r="323" spans="22:23" x14ac:dyDescent="0.25">
      <c r="V323" s="1"/>
      <c r="W323" s="2"/>
    </row>
    <row r="324" spans="22:23" x14ac:dyDescent="0.25">
      <c r="V324" s="1"/>
      <c r="W324" s="2"/>
    </row>
    <row r="325" spans="22:23" x14ac:dyDescent="0.25">
      <c r="V325" s="1"/>
      <c r="W325" s="2"/>
    </row>
    <row r="326" spans="22:23" x14ac:dyDescent="0.25">
      <c r="V326" s="1"/>
      <c r="W326" s="2"/>
    </row>
    <row r="327" spans="22:23" x14ac:dyDescent="0.25">
      <c r="V327" s="1"/>
      <c r="W327" s="2"/>
    </row>
    <row r="328" spans="22:23" x14ac:dyDescent="0.25">
      <c r="V328" s="1"/>
      <c r="W328" s="2"/>
    </row>
    <row r="329" spans="22:23" x14ac:dyDescent="0.25">
      <c r="V329" s="1"/>
      <c r="W329" s="2"/>
    </row>
    <row r="330" spans="22:23" x14ac:dyDescent="0.25">
      <c r="V330" s="1"/>
      <c r="W330" s="2"/>
    </row>
    <row r="331" spans="22:23" x14ac:dyDescent="0.25">
      <c r="V331" s="1"/>
      <c r="W331" s="2"/>
    </row>
    <row r="332" spans="22:23" x14ac:dyDescent="0.25">
      <c r="V332" s="1"/>
      <c r="W332" s="2"/>
    </row>
    <row r="333" spans="22:23" x14ac:dyDescent="0.25">
      <c r="V333" s="1"/>
      <c r="W333" s="2"/>
    </row>
    <row r="334" spans="22:23" x14ac:dyDescent="0.25">
      <c r="V334" s="1"/>
      <c r="W334" s="2"/>
    </row>
    <row r="335" spans="22:23" x14ac:dyDescent="0.25">
      <c r="V335" s="1"/>
      <c r="W335" s="2"/>
    </row>
    <row r="336" spans="22:23" x14ac:dyDescent="0.25">
      <c r="V336" s="1"/>
      <c r="W336" s="2"/>
    </row>
    <row r="337" spans="22:23" x14ac:dyDescent="0.25">
      <c r="V337" s="1"/>
      <c r="W337" s="2"/>
    </row>
    <row r="338" spans="22:23" x14ac:dyDescent="0.25">
      <c r="V338" s="1"/>
      <c r="W338" s="2"/>
    </row>
    <row r="339" spans="22:23" x14ac:dyDescent="0.25">
      <c r="V339" s="1"/>
      <c r="W339" s="2"/>
    </row>
    <row r="340" spans="22:23" x14ac:dyDescent="0.25">
      <c r="V340" s="1"/>
      <c r="W340" s="2"/>
    </row>
    <row r="341" spans="22:23" x14ac:dyDescent="0.25">
      <c r="V341" s="1"/>
      <c r="W341" s="2"/>
    </row>
    <row r="342" spans="22:23" x14ac:dyDescent="0.25">
      <c r="V342" s="1"/>
      <c r="W342" s="2"/>
    </row>
    <row r="343" spans="22:23" x14ac:dyDescent="0.25">
      <c r="V343" s="1"/>
      <c r="W343" s="2"/>
    </row>
    <row r="344" spans="22:23" x14ac:dyDescent="0.25">
      <c r="V344" s="1"/>
      <c r="W344" s="2"/>
    </row>
    <row r="345" spans="22:23" x14ac:dyDescent="0.25">
      <c r="V345" s="1"/>
      <c r="W345" s="2"/>
    </row>
    <row r="346" spans="22:23" x14ac:dyDescent="0.25">
      <c r="V346" s="1"/>
      <c r="W346" s="2"/>
    </row>
    <row r="347" spans="22:23" x14ac:dyDescent="0.25">
      <c r="V347" s="1"/>
      <c r="W347" s="2"/>
    </row>
    <row r="348" spans="22:23" x14ac:dyDescent="0.25">
      <c r="V348" s="1"/>
      <c r="W348" s="2"/>
    </row>
    <row r="349" spans="22:23" x14ac:dyDescent="0.25">
      <c r="V349" s="1"/>
      <c r="W349" s="2"/>
    </row>
    <row r="350" spans="22:23" x14ac:dyDescent="0.25">
      <c r="V350" s="1"/>
      <c r="W350" s="2"/>
    </row>
    <row r="351" spans="22:23" x14ac:dyDescent="0.25">
      <c r="V351" s="1"/>
      <c r="W351" s="2"/>
    </row>
    <row r="352" spans="22:23" x14ac:dyDescent="0.25">
      <c r="V352" s="1"/>
      <c r="W352" s="2"/>
    </row>
    <row r="353" spans="22:23" x14ac:dyDescent="0.25">
      <c r="V353" s="1"/>
      <c r="W353" s="2"/>
    </row>
    <row r="354" spans="22:23" x14ac:dyDescent="0.25">
      <c r="V354" s="1"/>
      <c r="W354" s="2"/>
    </row>
    <row r="355" spans="22:23" x14ac:dyDescent="0.25">
      <c r="V355" s="1"/>
      <c r="W355" s="2"/>
    </row>
    <row r="356" spans="22:23" x14ac:dyDescent="0.25">
      <c r="V356" s="1"/>
      <c r="W356" s="2"/>
    </row>
    <row r="357" spans="22:23" x14ac:dyDescent="0.25">
      <c r="V357" s="1"/>
      <c r="W357" s="2"/>
    </row>
    <row r="358" spans="22:23" x14ac:dyDescent="0.25">
      <c r="V358" s="1"/>
      <c r="W358" s="2"/>
    </row>
    <row r="359" spans="22:23" x14ac:dyDescent="0.25">
      <c r="V359" s="1"/>
      <c r="W359" s="2"/>
    </row>
    <row r="360" spans="22:23" x14ac:dyDescent="0.25">
      <c r="V360" s="1"/>
      <c r="W360" s="2"/>
    </row>
    <row r="361" spans="22:23" x14ac:dyDescent="0.25">
      <c r="V361" s="1"/>
      <c r="W361" s="2"/>
    </row>
    <row r="362" spans="22:23" x14ac:dyDescent="0.25">
      <c r="V362" s="1"/>
      <c r="W362" s="2"/>
    </row>
    <row r="363" spans="22:23" x14ac:dyDescent="0.25">
      <c r="V363" s="1"/>
      <c r="W363" s="2"/>
    </row>
    <row r="364" spans="22:23" x14ac:dyDescent="0.25">
      <c r="V364" s="1"/>
      <c r="W364" s="2"/>
    </row>
    <row r="365" spans="22:23" x14ac:dyDescent="0.25">
      <c r="V365" s="1"/>
      <c r="W365" s="2"/>
    </row>
    <row r="366" spans="22:23" x14ac:dyDescent="0.25">
      <c r="V366" s="1"/>
      <c r="W366" s="2"/>
    </row>
    <row r="367" spans="22:23" x14ac:dyDescent="0.25">
      <c r="V367" s="1"/>
      <c r="W367" s="2"/>
    </row>
    <row r="368" spans="22:23" x14ac:dyDescent="0.25">
      <c r="V368" s="1"/>
      <c r="W368" s="2"/>
    </row>
    <row r="369" spans="22:23" x14ac:dyDescent="0.25">
      <c r="V369" s="1"/>
      <c r="W369" s="2"/>
    </row>
    <row r="370" spans="22:23" x14ac:dyDescent="0.25">
      <c r="V370" s="1"/>
      <c r="W370" s="2"/>
    </row>
    <row r="371" spans="22:23" x14ac:dyDescent="0.25">
      <c r="V371" s="1"/>
      <c r="W371" s="2"/>
    </row>
    <row r="372" spans="22:23" x14ac:dyDescent="0.25">
      <c r="V372" s="1"/>
      <c r="W372" s="2"/>
    </row>
    <row r="373" spans="22:23" x14ac:dyDescent="0.25">
      <c r="V373" s="1"/>
      <c r="W373" s="2"/>
    </row>
    <row r="374" spans="22:23" x14ac:dyDescent="0.25">
      <c r="V374" s="1"/>
      <c r="W374" s="2"/>
    </row>
    <row r="375" spans="22:23" x14ac:dyDescent="0.25">
      <c r="V375" s="1"/>
      <c r="W375" s="2"/>
    </row>
    <row r="376" spans="22:23" x14ac:dyDescent="0.25">
      <c r="V376" s="1"/>
      <c r="W376" s="2"/>
    </row>
    <row r="377" spans="22:23" x14ac:dyDescent="0.25">
      <c r="V377" s="1"/>
      <c r="W377" s="2"/>
    </row>
    <row r="378" spans="22:23" x14ac:dyDescent="0.25">
      <c r="V378" s="1"/>
      <c r="W378" s="2"/>
    </row>
    <row r="379" spans="22:23" x14ac:dyDescent="0.25">
      <c r="V379" s="1"/>
      <c r="W379" s="2"/>
    </row>
    <row r="380" spans="22:23" x14ac:dyDescent="0.25">
      <c r="V380" s="1"/>
      <c r="W380" s="2"/>
    </row>
    <row r="381" spans="22:23" x14ac:dyDescent="0.25">
      <c r="V381" s="1"/>
      <c r="W381" s="2"/>
    </row>
    <row r="382" spans="22:23" x14ac:dyDescent="0.25">
      <c r="V382" s="1"/>
      <c r="W382" s="2"/>
    </row>
    <row r="383" spans="22:23" x14ac:dyDescent="0.25">
      <c r="V383" s="1"/>
      <c r="W383" s="2"/>
    </row>
    <row r="384" spans="22:23" x14ac:dyDescent="0.25">
      <c r="V384" s="1"/>
      <c r="W384" s="2"/>
    </row>
    <row r="385" spans="22:23" x14ac:dyDescent="0.25">
      <c r="V385" s="1"/>
      <c r="W385" s="2"/>
    </row>
    <row r="386" spans="22:23" x14ac:dyDescent="0.25">
      <c r="V386" s="1"/>
      <c r="W386" s="2"/>
    </row>
    <row r="387" spans="22:23" x14ac:dyDescent="0.25">
      <c r="V387" s="1"/>
      <c r="W387" s="2"/>
    </row>
    <row r="388" spans="22:23" x14ac:dyDescent="0.25">
      <c r="V388" s="1"/>
      <c r="W388" s="2"/>
    </row>
    <row r="389" spans="22:23" x14ac:dyDescent="0.25">
      <c r="V389" s="1"/>
      <c r="W389" s="2"/>
    </row>
    <row r="390" spans="22:23" x14ac:dyDescent="0.25">
      <c r="V390" s="1"/>
      <c r="W390" s="2"/>
    </row>
    <row r="391" spans="22:23" x14ac:dyDescent="0.25">
      <c r="V391" s="1"/>
      <c r="W391" s="2"/>
    </row>
    <row r="392" spans="22:23" x14ac:dyDescent="0.25">
      <c r="V392" s="1"/>
      <c r="W392" s="2"/>
    </row>
    <row r="393" spans="22:23" x14ac:dyDescent="0.25">
      <c r="V393" s="1"/>
      <c r="W393" s="2"/>
    </row>
    <row r="394" spans="22:23" x14ac:dyDescent="0.25">
      <c r="V394" s="1"/>
      <c r="W394" s="2"/>
    </row>
    <row r="395" spans="22:23" x14ac:dyDescent="0.25">
      <c r="V395" s="1"/>
      <c r="W395" s="2"/>
    </row>
    <row r="396" spans="22:23" x14ac:dyDescent="0.25">
      <c r="V396" s="1"/>
      <c r="W396" s="2"/>
    </row>
    <row r="397" spans="22:23" x14ac:dyDescent="0.25">
      <c r="V397" s="1"/>
      <c r="W397" s="2"/>
    </row>
    <row r="398" spans="22:23" x14ac:dyDescent="0.25">
      <c r="V398" s="1"/>
      <c r="W398" s="2"/>
    </row>
    <row r="399" spans="22:23" x14ac:dyDescent="0.25">
      <c r="V399" s="1"/>
      <c r="W399" s="2"/>
    </row>
    <row r="400" spans="22:23" x14ac:dyDescent="0.25">
      <c r="V400" s="1"/>
      <c r="W400" s="2"/>
    </row>
    <row r="401" spans="22:23" x14ac:dyDescent="0.25">
      <c r="V401" s="1"/>
      <c r="W401" s="2"/>
    </row>
    <row r="402" spans="22:23" x14ac:dyDescent="0.25">
      <c r="V402" s="1"/>
      <c r="W402" s="2"/>
    </row>
    <row r="403" spans="22:23" x14ac:dyDescent="0.25">
      <c r="V403" s="1"/>
      <c r="W403" s="2"/>
    </row>
    <row r="404" spans="22:23" x14ac:dyDescent="0.25">
      <c r="V404" s="1"/>
      <c r="W404" s="2"/>
    </row>
    <row r="405" spans="22:23" x14ac:dyDescent="0.25">
      <c r="V405" s="1"/>
      <c r="W405" s="2"/>
    </row>
    <row r="406" spans="22:23" x14ac:dyDescent="0.25">
      <c r="V406" s="1"/>
      <c r="W406" s="2"/>
    </row>
    <row r="407" spans="22:23" x14ac:dyDescent="0.25">
      <c r="V407" s="1"/>
      <c r="W407" s="2"/>
    </row>
    <row r="408" spans="22:23" x14ac:dyDescent="0.25">
      <c r="V408" s="1"/>
      <c r="W408" s="2"/>
    </row>
    <row r="409" spans="22:23" x14ac:dyDescent="0.25">
      <c r="V409" s="1"/>
      <c r="W409" s="2"/>
    </row>
    <row r="410" spans="22:23" x14ac:dyDescent="0.25">
      <c r="V410" s="1"/>
      <c r="W410" s="2"/>
    </row>
    <row r="411" spans="22:23" x14ac:dyDescent="0.25">
      <c r="V411" s="1"/>
      <c r="W411" s="2"/>
    </row>
    <row r="412" spans="22:23" x14ac:dyDescent="0.25">
      <c r="V412" s="1"/>
      <c r="W412" s="2"/>
    </row>
    <row r="413" spans="22:23" x14ac:dyDescent="0.25">
      <c r="V413" s="1"/>
      <c r="W413" s="2"/>
    </row>
    <row r="414" spans="22:23" x14ac:dyDescent="0.25">
      <c r="V414" s="1"/>
      <c r="W414" s="2"/>
    </row>
    <row r="415" spans="22:23" x14ac:dyDescent="0.25">
      <c r="V415" s="1"/>
      <c r="W415" s="2"/>
    </row>
    <row r="416" spans="22:23" x14ac:dyDescent="0.25">
      <c r="V416" s="1"/>
      <c r="W416" s="2"/>
    </row>
    <row r="417" spans="22:23" x14ac:dyDescent="0.25">
      <c r="V417" s="1"/>
      <c r="W417" s="2"/>
    </row>
    <row r="418" spans="22:23" x14ac:dyDescent="0.25">
      <c r="V418" s="1"/>
      <c r="W418" s="2"/>
    </row>
    <row r="419" spans="22:23" x14ac:dyDescent="0.25">
      <c r="V419" s="1"/>
      <c r="W419" s="2"/>
    </row>
    <row r="420" spans="22:23" x14ac:dyDescent="0.25">
      <c r="V420" s="1"/>
      <c r="W420" s="2"/>
    </row>
    <row r="421" spans="22:23" x14ac:dyDescent="0.25">
      <c r="V421" s="1"/>
      <c r="W421" s="2"/>
    </row>
    <row r="422" spans="22:23" x14ac:dyDescent="0.25">
      <c r="V422" s="1"/>
      <c r="W422" s="2"/>
    </row>
    <row r="423" spans="22:23" x14ac:dyDescent="0.25">
      <c r="V423" s="1"/>
      <c r="W423" s="2"/>
    </row>
    <row r="424" spans="22:23" x14ac:dyDescent="0.25">
      <c r="V424" s="1"/>
      <c r="W424" s="2"/>
    </row>
    <row r="425" spans="22:23" x14ac:dyDescent="0.25">
      <c r="V425" s="1"/>
      <c r="W425" s="2"/>
    </row>
    <row r="426" spans="22:23" x14ac:dyDescent="0.25">
      <c r="V426" s="1"/>
      <c r="W426" s="2"/>
    </row>
    <row r="427" spans="22:23" x14ac:dyDescent="0.25">
      <c r="V427" s="1"/>
      <c r="W427" s="2"/>
    </row>
    <row r="428" spans="22:23" x14ac:dyDescent="0.25">
      <c r="V428" s="1"/>
      <c r="W428" s="2"/>
    </row>
    <row r="429" spans="22:23" x14ac:dyDescent="0.25">
      <c r="V429" s="1"/>
      <c r="W429" s="2"/>
    </row>
    <row r="430" spans="22:23" x14ac:dyDescent="0.25">
      <c r="V430" s="1"/>
      <c r="W430" s="2"/>
    </row>
    <row r="431" spans="22:23" x14ac:dyDescent="0.25">
      <c r="V431" s="1"/>
      <c r="W431" s="2"/>
    </row>
    <row r="432" spans="22:23" x14ac:dyDescent="0.25">
      <c r="V432" s="1"/>
      <c r="W432" s="2"/>
    </row>
    <row r="433" spans="22:23" x14ac:dyDescent="0.25">
      <c r="V433" s="1"/>
      <c r="W433" s="2"/>
    </row>
    <row r="434" spans="22:23" x14ac:dyDescent="0.25">
      <c r="V434" s="1"/>
      <c r="W434" s="2"/>
    </row>
    <row r="435" spans="22:23" x14ac:dyDescent="0.25">
      <c r="V435" s="1"/>
      <c r="W435" s="2"/>
    </row>
    <row r="436" spans="22:23" x14ac:dyDescent="0.25">
      <c r="V436" s="1"/>
      <c r="W436" s="2"/>
    </row>
    <row r="437" spans="22:23" x14ac:dyDescent="0.25">
      <c r="V437" s="1"/>
      <c r="W437" s="2"/>
    </row>
    <row r="438" spans="22:23" x14ac:dyDescent="0.25">
      <c r="V438" s="1"/>
      <c r="W438" s="2"/>
    </row>
    <row r="439" spans="22:23" x14ac:dyDescent="0.25">
      <c r="V439" s="1"/>
      <c r="W439" s="2"/>
    </row>
    <row r="440" spans="22:23" x14ac:dyDescent="0.25">
      <c r="V440" s="1"/>
      <c r="W440" s="2"/>
    </row>
    <row r="441" spans="22:23" x14ac:dyDescent="0.25">
      <c r="V441" s="1"/>
      <c r="W441" s="2"/>
    </row>
    <row r="442" spans="22:23" x14ac:dyDescent="0.25">
      <c r="V442" s="1"/>
      <c r="W442" s="2"/>
    </row>
    <row r="443" spans="22:23" x14ac:dyDescent="0.25">
      <c r="V443" s="1"/>
      <c r="W443" s="2"/>
    </row>
    <row r="444" spans="22:23" x14ac:dyDescent="0.25">
      <c r="V444" s="1"/>
      <c r="W444" s="2"/>
    </row>
    <row r="445" spans="22:23" x14ac:dyDescent="0.25">
      <c r="V445" s="1"/>
      <c r="W445" s="2"/>
    </row>
    <row r="446" spans="22:23" x14ac:dyDescent="0.25">
      <c r="V446" s="1"/>
      <c r="W446" s="2"/>
    </row>
    <row r="447" spans="22:23" x14ac:dyDescent="0.25">
      <c r="V447" s="1"/>
      <c r="W447" s="2"/>
    </row>
    <row r="448" spans="22:23" x14ac:dyDescent="0.25">
      <c r="V448" s="1"/>
      <c r="W448" s="2"/>
    </row>
    <row r="449" spans="5:23" x14ac:dyDescent="0.25">
      <c r="V449" s="1"/>
      <c r="W449" s="2"/>
    </row>
    <row r="450" spans="5:23" x14ac:dyDescent="0.25">
      <c r="V450" s="1"/>
      <c r="W450" s="2"/>
    </row>
    <row r="451" spans="5:23" x14ac:dyDescent="0.25">
      <c r="V451" s="1"/>
      <c r="W451" s="2"/>
    </row>
    <row r="452" spans="5:23" x14ac:dyDescent="0.25">
      <c r="V452" s="1"/>
      <c r="W452" s="2"/>
    </row>
    <row r="453" spans="5:23" x14ac:dyDescent="0.25">
      <c r="V453" s="1"/>
      <c r="W453" s="2"/>
    </row>
    <row r="454" spans="5:23" x14ac:dyDescent="0.25">
      <c r="E454" s="11"/>
      <c r="V454" s="1"/>
      <c r="W454" s="2"/>
    </row>
    <row r="455" spans="5:23" x14ac:dyDescent="0.25">
      <c r="V455" s="1"/>
      <c r="W455" s="2"/>
    </row>
    <row r="456" spans="5:23" x14ac:dyDescent="0.25">
      <c r="V456" s="1"/>
      <c r="W456" s="2"/>
    </row>
    <row r="457" spans="5:23" x14ac:dyDescent="0.25">
      <c r="V457" s="1"/>
      <c r="W457" s="2"/>
    </row>
    <row r="458" spans="5:23" x14ac:dyDescent="0.25">
      <c r="V458" s="1"/>
      <c r="W458" s="2"/>
    </row>
    <row r="459" spans="5:23" x14ac:dyDescent="0.25">
      <c r="V459" s="1"/>
      <c r="W459" s="2"/>
    </row>
    <row r="460" spans="5:23" x14ac:dyDescent="0.25">
      <c r="V460" s="1"/>
      <c r="W460" s="2"/>
    </row>
    <row r="461" spans="5:23" x14ac:dyDescent="0.25">
      <c r="V461" s="1"/>
      <c r="W461" s="2"/>
    </row>
    <row r="462" spans="5:23" x14ac:dyDescent="0.25">
      <c r="V462" s="1"/>
      <c r="W462" s="2"/>
    </row>
    <row r="463" spans="5:23" x14ac:dyDescent="0.25">
      <c r="V463" s="1"/>
      <c r="W463" s="2"/>
    </row>
    <row r="464" spans="5:23" x14ac:dyDescent="0.25">
      <c r="V464" s="1"/>
      <c r="W464" s="2"/>
    </row>
    <row r="465" spans="22:23" x14ac:dyDescent="0.25">
      <c r="V465" s="1"/>
      <c r="W465" s="2"/>
    </row>
    <row r="466" spans="22:23" x14ac:dyDescent="0.25">
      <c r="V466" s="1"/>
      <c r="W466" s="2"/>
    </row>
    <row r="467" spans="22:23" x14ac:dyDescent="0.25">
      <c r="V467" s="1"/>
      <c r="W467" s="2"/>
    </row>
    <row r="468" spans="22:23" x14ac:dyDescent="0.25">
      <c r="V468" s="1"/>
      <c r="W468" s="2"/>
    </row>
    <row r="469" spans="22:23" x14ac:dyDescent="0.25">
      <c r="V469" s="1"/>
      <c r="W469" s="2"/>
    </row>
    <row r="470" spans="22:23" x14ac:dyDescent="0.25">
      <c r="V470" s="1"/>
      <c r="W470" s="2"/>
    </row>
    <row r="471" spans="22:23" x14ac:dyDescent="0.25">
      <c r="V471" s="1"/>
      <c r="W471" s="2"/>
    </row>
    <row r="472" spans="22:23" x14ac:dyDescent="0.25">
      <c r="V472" s="1"/>
      <c r="W472" s="2"/>
    </row>
    <row r="473" spans="22:23" x14ac:dyDescent="0.25">
      <c r="V473" s="1"/>
      <c r="W473" s="2"/>
    </row>
    <row r="474" spans="22:23" x14ac:dyDescent="0.25">
      <c r="V474" s="1"/>
      <c r="W474" s="2"/>
    </row>
    <row r="475" spans="22:23" x14ac:dyDescent="0.25">
      <c r="V475" s="1"/>
      <c r="W475" s="2"/>
    </row>
    <row r="476" spans="22:23" x14ac:dyDescent="0.25">
      <c r="V476" s="1"/>
      <c r="W476" s="2"/>
    </row>
    <row r="477" spans="22:23" x14ac:dyDescent="0.25">
      <c r="V477" s="1"/>
      <c r="W477" s="2"/>
    </row>
    <row r="478" spans="22:23" x14ac:dyDescent="0.25">
      <c r="V478" s="1"/>
      <c r="W478" s="2"/>
    </row>
    <row r="479" spans="22:23" x14ac:dyDescent="0.25">
      <c r="V479" s="1"/>
      <c r="W479" s="2"/>
    </row>
    <row r="480" spans="22:23" x14ac:dyDescent="0.25">
      <c r="V480" s="1"/>
      <c r="W480" s="2"/>
    </row>
    <row r="481" spans="22:23" x14ac:dyDescent="0.25">
      <c r="V481" s="1"/>
      <c r="W481" s="2"/>
    </row>
    <row r="482" spans="22:23" x14ac:dyDescent="0.25">
      <c r="V482" s="1"/>
      <c r="W482" s="2"/>
    </row>
    <row r="483" spans="22:23" x14ac:dyDescent="0.25">
      <c r="V483" s="1"/>
      <c r="W483" s="2"/>
    </row>
    <row r="484" spans="22:23" x14ac:dyDescent="0.25">
      <c r="V484" s="1"/>
      <c r="W484" s="2"/>
    </row>
    <row r="485" spans="22:23" x14ac:dyDescent="0.25">
      <c r="V485" s="1"/>
      <c r="W485" s="2"/>
    </row>
    <row r="502" spans="5:5" x14ac:dyDescent="0.25">
      <c r="E50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13"/>
  <sheetViews>
    <sheetView topLeftCell="F1" workbookViewId="0">
      <selection activeCell="I1" sqref="I1:I1048576"/>
    </sheetView>
  </sheetViews>
  <sheetFormatPr defaultRowHeight="15" x14ac:dyDescent="0.25"/>
  <cols>
    <col min="2" max="2" width="15.5703125" bestFit="1" customWidth="1"/>
    <col min="3" max="3" width="29" style="36" bestFit="1" customWidth="1"/>
    <col min="4" max="4" width="29" style="36" hidden="1" customWidth="1"/>
    <col min="5" max="5" width="13.7109375" hidden="1" customWidth="1"/>
    <col min="6" max="6" width="47" customWidth="1"/>
    <col min="7" max="7" width="29" customWidth="1"/>
    <col min="8" max="8" width="14.85546875" bestFit="1" customWidth="1"/>
    <col min="9" max="9" width="22.5703125" bestFit="1" customWidth="1"/>
    <col min="10" max="10" width="29" bestFit="1" customWidth="1"/>
    <col min="11" max="11" width="27.85546875" bestFit="1" customWidth="1"/>
    <col min="12" max="12" width="12.140625" bestFit="1" customWidth="1"/>
    <col min="13" max="13" width="16.85546875" bestFit="1" customWidth="1"/>
    <col min="14" max="14" width="7.7109375" bestFit="1" customWidth="1"/>
    <col min="15" max="15" width="9.7109375" bestFit="1" customWidth="1"/>
    <col min="16" max="16" width="13.7109375" bestFit="1" customWidth="1"/>
    <col min="18" max="18" width="18.42578125" bestFit="1" customWidth="1"/>
    <col min="19" max="19" width="10.7109375" bestFit="1" customWidth="1"/>
    <col min="20" max="20" width="19" bestFit="1" customWidth="1"/>
    <col min="21" max="21" width="12.42578125" bestFit="1" customWidth="1"/>
    <col min="22" max="22" width="11.85546875" bestFit="1" customWidth="1"/>
    <col min="23" max="23" width="9.7109375" bestFit="1" customWidth="1"/>
    <col min="24" max="24" width="8" bestFit="1" customWidth="1"/>
    <col min="25" max="25" width="11.85546875" bestFit="1" customWidth="1"/>
    <col min="26" max="26" width="17.28515625" bestFit="1" customWidth="1"/>
    <col min="27" max="27" width="18.85546875" bestFit="1" customWidth="1"/>
    <col min="28" max="28" width="29" bestFit="1" customWidth="1"/>
    <col min="29" max="29" width="13.7109375" bestFit="1" customWidth="1"/>
    <col min="30" max="30" width="15.42578125" bestFit="1" customWidth="1"/>
    <col min="31" max="31" width="14.85546875" bestFit="1" customWidth="1"/>
    <col min="32" max="33" width="16.85546875" bestFit="1" customWidth="1"/>
    <col min="34" max="34" width="99.7109375" bestFit="1" customWidth="1"/>
  </cols>
  <sheetData>
    <row r="1" spans="1:24" x14ac:dyDescent="0.25">
      <c r="A1" s="24" t="s">
        <v>243</v>
      </c>
      <c r="B1" s="24" t="s">
        <v>525</v>
      </c>
      <c r="C1" s="37" t="s">
        <v>526</v>
      </c>
      <c r="D1" s="37"/>
      <c r="E1" s="24" t="s">
        <v>527</v>
      </c>
      <c r="F1" s="24" t="s">
        <v>528</v>
      </c>
      <c r="G1" s="6" t="s">
        <v>529</v>
      </c>
      <c r="H1" s="24" t="s">
        <v>530</v>
      </c>
      <c r="I1" s="24" t="s">
        <v>531</v>
      </c>
    </row>
    <row r="2" spans="1:24" x14ac:dyDescent="0.25">
      <c r="A2" s="24">
        <v>25</v>
      </c>
      <c r="B2" s="6" t="s">
        <v>1534</v>
      </c>
      <c r="C2" s="37" t="s">
        <v>570</v>
      </c>
      <c r="D2" s="37"/>
      <c r="E2" s="24" t="s">
        <v>534</v>
      </c>
      <c r="F2" s="24" t="s">
        <v>1581</v>
      </c>
      <c r="G2" s="24" t="str">
        <f t="shared" ref="G2:G65" si="0">IF(F2="", "", TRIM(RIGHT(SUBSTITUTE(F2, "\", REPT(" ", LEN(F2))), LEN(F2))))</f>
        <v>FLIR0173- photo.jpg</v>
      </c>
      <c r="H2" s="24" t="s">
        <v>1538</v>
      </c>
      <c r="I2" s="24" t="str">
        <f t="shared" ref="I2:I65" si="1">"ren """ &amp; G2 &amp; """ """ &amp; H2 &amp; """"</f>
        <v>ren "FLIR0173- photo.jpg" "25.jpg"</v>
      </c>
      <c r="K2" s="24"/>
    </row>
    <row r="3" spans="1:24" x14ac:dyDescent="0.25">
      <c r="A3" s="24">
        <v>26</v>
      </c>
      <c r="B3" s="6" t="s">
        <v>1534</v>
      </c>
      <c r="C3" s="37" t="s">
        <v>570</v>
      </c>
      <c r="D3" s="37"/>
      <c r="E3" s="24" t="s">
        <v>536</v>
      </c>
      <c r="F3" s="24" t="s">
        <v>1582</v>
      </c>
      <c r="G3" s="24" t="str">
        <f t="shared" si="0"/>
        <v>FLIR0173.jpg</v>
      </c>
      <c r="H3" s="24" t="s">
        <v>1539</v>
      </c>
      <c r="I3" s="24" t="str">
        <f t="shared" si="1"/>
        <v>ren "FLIR0173.jpg" "26.jpg"</v>
      </c>
      <c r="K3" s="24"/>
      <c r="W3" s="1"/>
      <c r="X3" s="2"/>
    </row>
    <row r="4" spans="1:24" x14ac:dyDescent="0.25">
      <c r="A4" s="24">
        <v>41</v>
      </c>
      <c r="B4" s="6" t="s">
        <v>1535</v>
      </c>
      <c r="C4" s="37" t="s">
        <v>570</v>
      </c>
      <c r="D4" s="37"/>
      <c r="E4" s="24" t="s">
        <v>534</v>
      </c>
      <c r="F4" s="24" t="s">
        <v>1583</v>
      </c>
      <c r="G4" s="24" t="str">
        <f t="shared" si="0"/>
        <v>FLIR0174- photo.jpg</v>
      </c>
      <c r="H4" s="24" t="s">
        <v>1558</v>
      </c>
      <c r="I4" s="24" t="str">
        <f t="shared" si="1"/>
        <v>ren "FLIR0174- photo.jpg" "41.jpg"</v>
      </c>
      <c r="K4" s="24"/>
      <c r="W4" s="1"/>
      <c r="X4" s="2"/>
    </row>
    <row r="5" spans="1:24" x14ac:dyDescent="0.25">
      <c r="A5" s="24">
        <v>42</v>
      </c>
      <c r="B5" s="6" t="s">
        <v>1535</v>
      </c>
      <c r="C5" s="37" t="s">
        <v>570</v>
      </c>
      <c r="D5" s="37"/>
      <c r="E5" s="24" t="s">
        <v>536</v>
      </c>
      <c r="F5" s="24" t="s">
        <v>1584</v>
      </c>
      <c r="G5" s="24" t="str">
        <f t="shared" si="0"/>
        <v>FLIR0174.jpg</v>
      </c>
      <c r="H5" s="24" t="s">
        <v>1559</v>
      </c>
      <c r="I5" s="24" t="str">
        <f t="shared" si="1"/>
        <v>ren "FLIR0174.jpg" "42.jpg"</v>
      </c>
      <c r="K5" s="24"/>
      <c r="W5" s="1"/>
      <c r="X5" s="2"/>
    </row>
    <row r="6" spans="1:24" x14ac:dyDescent="0.25">
      <c r="A6" s="24">
        <v>57</v>
      </c>
      <c r="B6" s="6" t="s">
        <v>1536</v>
      </c>
      <c r="C6" s="37" t="s">
        <v>570</v>
      </c>
      <c r="D6" s="37"/>
      <c r="E6" s="24" t="s">
        <v>534</v>
      </c>
      <c r="F6" s="24" t="s">
        <v>1585</v>
      </c>
      <c r="G6" s="24" t="str">
        <f t="shared" si="0"/>
        <v>FLIR0175- photo.jpg</v>
      </c>
      <c r="H6" s="24" t="s">
        <v>580</v>
      </c>
      <c r="I6" s="24" t="str">
        <f t="shared" si="1"/>
        <v>ren "FLIR0175- photo.jpg" "57.jpg"</v>
      </c>
      <c r="K6" s="24"/>
      <c r="W6" s="1"/>
      <c r="X6" s="2"/>
    </row>
    <row r="7" spans="1:24" x14ac:dyDescent="0.25">
      <c r="A7" s="24">
        <v>58</v>
      </c>
      <c r="B7" s="6" t="s">
        <v>1536</v>
      </c>
      <c r="C7" s="37" t="s">
        <v>570</v>
      </c>
      <c r="D7" s="37"/>
      <c r="E7" s="24" t="s">
        <v>536</v>
      </c>
      <c r="F7" s="24" t="s">
        <v>1586</v>
      </c>
      <c r="G7" s="24" t="str">
        <f t="shared" si="0"/>
        <v>FLIR0175.jpg</v>
      </c>
      <c r="H7" s="24" t="s">
        <v>581</v>
      </c>
      <c r="I7" s="24" t="str">
        <f t="shared" si="1"/>
        <v>ren "FLIR0175.jpg" "58.jpg"</v>
      </c>
      <c r="K7" s="24"/>
      <c r="W7" s="1"/>
      <c r="X7" s="2"/>
    </row>
    <row r="8" spans="1:24" x14ac:dyDescent="0.25">
      <c r="A8" s="24">
        <v>73</v>
      </c>
      <c r="B8" s="6" t="s">
        <v>1537</v>
      </c>
      <c r="C8" s="37" t="s">
        <v>570</v>
      </c>
      <c r="D8" s="37"/>
      <c r="E8" s="24" t="s">
        <v>534</v>
      </c>
      <c r="F8" s="24"/>
      <c r="G8" s="24" t="str">
        <f t="shared" si="0"/>
        <v/>
      </c>
      <c r="H8" s="24" t="s">
        <v>601</v>
      </c>
      <c r="I8" s="24" t="str">
        <f t="shared" si="1"/>
        <v>ren "" "73.jpg"</v>
      </c>
      <c r="K8" s="24"/>
      <c r="W8" s="1"/>
      <c r="X8" s="2"/>
    </row>
    <row r="9" spans="1:24" x14ac:dyDescent="0.25">
      <c r="A9" s="24">
        <v>74</v>
      </c>
      <c r="B9" s="6" t="s">
        <v>1537</v>
      </c>
      <c r="C9" s="37" t="s">
        <v>570</v>
      </c>
      <c r="D9" s="37"/>
      <c r="E9" s="24" t="s">
        <v>536</v>
      </c>
      <c r="F9" s="24"/>
      <c r="G9" s="24" t="str">
        <f t="shared" si="0"/>
        <v/>
      </c>
      <c r="H9" s="24" t="s">
        <v>602</v>
      </c>
      <c r="I9" s="24" t="str">
        <f t="shared" si="1"/>
        <v>ren "" "74.jpg"</v>
      </c>
      <c r="K9" s="24"/>
      <c r="W9" s="1"/>
      <c r="X9" s="2"/>
    </row>
    <row r="10" spans="1:24" x14ac:dyDescent="0.25">
      <c r="A10" s="24">
        <v>89</v>
      </c>
      <c r="B10" s="6" t="s">
        <v>1542</v>
      </c>
      <c r="C10" s="37" t="s">
        <v>570</v>
      </c>
      <c r="D10" s="37"/>
      <c r="E10" s="24" t="s">
        <v>534</v>
      </c>
      <c r="F10" s="24"/>
      <c r="G10" s="24" t="str">
        <f t="shared" si="0"/>
        <v/>
      </c>
      <c r="H10" s="24" t="s">
        <v>618</v>
      </c>
      <c r="I10" s="24" t="str">
        <f t="shared" si="1"/>
        <v>ren "" "89.jpg"</v>
      </c>
      <c r="K10" s="24"/>
      <c r="W10" s="1"/>
      <c r="X10" s="2"/>
    </row>
    <row r="11" spans="1:24" x14ac:dyDescent="0.25">
      <c r="A11" s="24">
        <v>90</v>
      </c>
      <c r="B11" s="6" t="s">
        <v>1542</v>
      </c>
      <c r="C11" s="37" t="s">
        <v>570</v>
      </c>
      <c r="D11" s="37"/>
      <c r="E11" s="24" t="s">
        <v>536</v>
      </c>
      <c r="F11" s="24"/>
      <c r="G11" s="24" t="str">
        <f t="shared" si="0"/>
        <v/>
      </c>
      <c r="H11" s="24" t="s">
        <v>619</v>
      </c>
      <c r="I11" s="24" t="str">
        <f t="shared" si="1"/>
        <v>ren "" "90.jpg"</v>
      </c>
      <c r="K11" s="24"/>
      <c r="W11" s="1"/>
      <c r="X11" s="2"/>
    </row>
    <row r="12" spans="1:24" x14ac:dyDescent="0.25">
      <c r="A12" s="24">
        <v>105</v>
      </c>
      <c r="B12" s="6" t="s">
        <v>1547</v>
      </c>
      <c r="C12" s="37" t="s">
        <v>570</v>
      </c>
      <c r="D12" s="37"/>
      <c r="E12" s="24" t="s">
        <v>534</v>
      </c>
      <c r="F12" s="24"/>
      <c r="G12" s="24" t="str">
        <f t="shared" si="0"/>
        <v/>
      </c>
      <c r="H12" s="24" t="s">
        <v>635</v>
      </c>
      <c r="I12" s="24" t="str">
        <f t="shared" si="1"/>
        <v>ren "" "105.jpg"</v>
      </c>
      <c r="K12" s="24"/>
      <c r="W12" s="1"/>
      <c r="X12" s="2"/>
    </row>
    <row r="13" spans="1:24" x14ac:dyDescent="0.25">
      <c r="A13" s="24">
        <v>106</v>
      </c>
      <c r="B13" s="6" t="s">
        <v>1547</v>
      </c>
      <c r="C13" s="37" t="s">
        <v>570</v>
      </c>
      <c r="D13" s="37"/>
      <c r="E13" s="24" t="s">
        <v>536</v>
      </c>
      <c r="F13" s="24"/>
      <c r="G13" s="24" t="str">
        <f t="shared" si="0"/>
        <v/>
      </c>
      <c r="H13" s="24" t="s">
        <v>636</v>
      </c>
      <c r="I13" s="24" t="str">
        <f t="shared" si="1"/>
        <v>ren "" "106.jpg"</v>
      </c>
      <c r="K13" s="24"/>
      <c r="W13" s="1"/>
      <c r="X13" s="2"/>
    </row>
    <row r="14" spans="1:24" x14ac:dyDescent="0.25">
      <c r="A14" s="24">
        <v>121</v>
      </c>
      <c r="B14" s="6" t="s">
        <v>1552</v>
      </c>
      <c r="C14" s="37" t="s">
        <v>570</v>
      </c>
      <c r="D14" s="37"/>
      <c r="E14" s="24" t="s">
        <v>534</v>
      </c>
      <c r="F14" s="24"/>
      <c r="G14" s="24" t="str">
        <f t="shared" si="0"/>
        <v/>
      </c>
      <c r="H14" s="24" t="s">
        <v>652</v>
      </c>
      <c r="I14" s="24" t="str">
        <f t="shared" si="1"/>
        <v>ren "" "121.jpg"</v>
      </c>
      <c r="K14" s="24"/>
      <c r="W14" s="1"/>
      <c r="X14" s="2"/>
    </row>
    <row r="15" spans="1:24" x14ac:dyDescent="0.25">
      <c r="A15" s="24">
        <v>122</v>
      </c>
      <c r="B15" s="6" t="s">
        <v>1552</v>
      </c>
      <c r="C15" s="37" t="s">
        <v>570</v>
      </c>
      <c r="D15" s="37"/>
      <c r="E15" s="24" t="s">
        <v>536</v>
      </c>
      <c r="F15" s="24"/>
      <c r="G15" s="24" t="str">
        <f t="shared" si="0"/>
        <v/>
      </c>
      <c r="H15" s="24" t="s">
        <v>653</v>
      </c>
      <c r="I15" s="24" t="str">
        <f t="shared" si="1"/>
        <v>ren "" "122.jpg"</v>
      </c>
      <c r="K15" s="24"/>
      <c r="W15" s="1"/>
      <c r="X15" s="2"/>
    </row>
    <row r="16" spans="1:24" x14ac:dyDescent="0.25">
      <c r="A16" s="24">
        <v>137</v>
      </c>
      <c r="B16" s="6" t="s">
        <v>1557</v>
      </c>
      <c r="C16" s="37" t="s">
        <v>570</v>
      </c>
      <c r="D16" s="37"/>
      <c r="E16" s="24" t="s">
        <v>534</v>
      </c>
      <c r="F16" s="24"/>
      <c r="G16" s="24" t="str">
        <f t="shared" si="0"/>
        <v/>
      </c>
      <c r="H16" s="24" t="s">
        <v>669</v>
      </c>
      <c r="I16" s="24" t="str">
        <f t="shared" si="1"/>
        <v>ren "" "137.jpg"</v>
      </c>
      <c r="K16" s="24"/>
      <c r="W16" s="1"/>
      <c r="X16" s="2"/>
    </row>
    <row r="17" spans="1:24" x14ac:dyDescent="0.25">
      <c r="A17" s="24">
        <v>138</v>
      </c>
      <c r="B17" s="6" t="s">
        <v>1557</v>
      </c>
      <c r="C17" s="37" t="s">
        <v>570</v>
      </c>
      <c r="D17" s="37"/>
      <c r="E17" s="24" t="s">
        <v>536</v>
      </c>
      <c r="F17" s="24"/>
      <c r="G17" s="24" t="str">
        <f t="shared" si="0"/>
        <v/>
      </c>
      <c r="H17" s="24" t="s">
        <v>670</v>
      </c>
      <c r="I17" s="24" t="str">
        <f t="shared" si="1"/>
        <v>ren "" "138.jpg"</v>
      </c>
      <c r="K17" s="24"/>
      <c r="W17" s="1"/>
      <c r="X17" s="2"/>
    </row>
    <row r="18" spans="1:24" x14ac:dyDescent="0.25">
      <c r="A18" s="24">
        <v>153</v>
      </c>
      <c r="B18" s="6" t="s">
        <v>1562</v>
      </c>
      <c r="C18" s="37" t="s">
        <v>570</v>
      </c>
      <c r="D18" s="37"/>
      <c r="E18" s="24" t="s">
        <v>534</v>
      </c>
      <c r="F18" s="24"/>
      <c r="G18" s="24" t="str">
        <f t="shared" si="0"/>
        <v/>
      </c>
      <c r="H18" s="24" t="s">
        <v>686</v>
      </c>
      <c r="I18" s="24" t="str">
        <f t="shared" si="1"/>
        <v>ren "" "153.jpg"</v>
      </c>
      <c r="K18" s="24"/>
      <c r="W18" s="1"/>
      <c r="X18" s="2"/>
    </row>
    <row r="19" spans="1:24" x14ac:dyDescent="0.25">
      <c r="A19" s="24">
        <v>154</v>
      </c>
      <c r="B19" s="6" t="s">
        <v>1562</v>
      </c>
      <c r="C19" s="37" t="s">
        <v>570</v>
      </c>
      <c r="D19" s="37"/>
      <c r="E19" s="24" t="s">
        <v>536</v>
      </c>
      <c r="F19" s="24"/>
      <c r="G19" s="24" t="str">
        <f t="shared" si="0"/>
        <v/>
      </c>
      <c r="H19" s="24" t="s">
        <v>687</v>
      </c>
      <c r="I19" s="24" t="str">
        <f t="shared" si="1"/>
        <v>ren "" "154.jpg"</v>
      </c>
      <c r="K19" s="24"/>
      <c r="W19" s="1"/>
      <c r="X19" s="2"/>
    </row>
    <row r="20" spans="1:24" x14ac:dyDescent="0.25">
      <c r="A20" s="24">
        <v>169</v>
      </c>
      <c r="B20" s="6" t="s">
        <v>1567</v>
      </c>
      <c r="C20" s="37" t="s">
        <v>570</v>
      </c>
      <c r="D20" s="37"/>
      <c r="E20" s="24" t="s">
        <v>534</v>
      </c>
      <c r="F20" s="24"/>
      <c r="G20" s="24" t="str">
        <f t="shared" si="0"/>
        <v/>
      </c>
      <c r="H20" s="24" t="s">
        <v>703</v>
      </c>
      <c r="I20" s="24" t="str">
        <f t="shared" si="1"/>
        <v>ren "" "169.jpg"</v>
      </c>
      <c r="K20" s="24"/>
      <c r="W20" s="1"/>
      <c r="X20" s="2"/>
    </row>
    <row r="21" spans="1:24" x14ac:dyDescent="0.25">
      <c r="A21" s="24">
        <v>170</v>
      </c>
      <c r="B21" s="6" t="s">
        <v>1567</v>
      </c>
      <c r="C21" s="37" t="s">
        <v>570</v>
      </c>
      <c r="D21" s="37"/>
      <c r="E21" s="24" t="s">
        <v>536</v>
      </c>
      <c r="F21" s="24"/>
      <c r="G21" s="24" t="str">
        <f t="shared" si="0"/>
        <v/>
      </c>
      <c r="H21" s="24" t="s">
        <v>704</v>
      </c>
      <c r="I21" s="24" t="str">
        <f t="shared" si="1"/>
        <v>ren "" "170.jpg"</v>
      </c>
      <c r="K21" s="24"/>
      <c r="W21" s="1"/>
      <c r="X21" s="2"/>
    </row>
    <row r="22" spans="1:24" x14ac:dyDescent="0.25">
      <c r="A22" s="24">
        <v>185</v>
      </c>
      <c r="B22" s="6" t="s">
        <v>1587</v>
      </c>
      <c r="C22" s="37" t="s">
        <v>570</v>
      </c>
      <c r="D22" s="37"/>
      <c r="E22" s="24" t="s">
        <v>534</v>
      </c>
      <c r="F22" s="24"/>
      <c r="G22" s="24" t="str">
        <f t="shared" si="0"/>
        <v/>
      </c>
      <c r="H22" s="24" t="s">
        <v>720</v>
      </c>
      <c r="I22" s="24" t="str">
        <f t="shared" si="1"/>
        <v>ren "" "185.jpg"</v>
      </c>
      <c r="K22" s="24"/>
      <c r="W22" s="1"/>
      <c r="X22" s="2"/>
    </row>
    <row r="23" spans="1:24" x14ac:dyDescent="0.25">
      <c r="A23" s="24">
        <v>186</v>
      </c>
      <c r="B23" s="6" t="s">
        <v>1587</v>
      </c>
      <c r="C23" s="37" t="s">
        <v>570</v>
      </c>
      <c r="D23" s="37"/>
      <c r="E23" s="24" t="s">
        <v>536</v>
      </c>
      <c r="F23" s="24"/>
      <c r="G23" s="24" t="str">
        <f t="shared" si="0"/>
        <v/>
      </c>
      <c r="H23" s="24" t="s">
        <v>721</v>
      </c>
      <c r="I23" s="24" t="str">
        <f t="shared" si="1"/>
        <v>ren "" "186.jpg"</v>
      </c>
      <c r="K23" s="24"/>
      <c r="W23" s="1"/>
      <c r="X23" s="2"/>
    </row>
    <row r="24" spans="1:24" x14ac:dyDescent="0.25">
      <c r="A24" s="24">
        <v>201</v>
      </c>
      <c r="B24" s="6" t="s">
        <v>1588</v>
      </c>
      <c r="C24" s="37" t="s">
        <v>570</v>
      </c>
      <c r="D24" s="37"/>
      <c r="E24" s="24" t="s">
        <v>534</v>
      </c>
      <c r="F24" s="24"/>
      <c r="G24" s="24" t="str">
        <f t="shared" si="0"/>
        <v/>
      </c>
      <c r="H24" s="24" t="s">
        <v>737</v>
      </c>
      <c r="I24" s="24" t="str">
        <f t="shared" si="1"/>
        <v>ren "" "201.jpg"</v>
      </c>
      <c r="K24" s="24"/>
      <c r="W24" s="1"/>
      <c r="X24" s="2"/>
    </row>
    <row r="25" spans="1:24" x14ac:dyDescent="0.25">
      <c r="A25" s="24">
        <v>202</v>
      </c>
      <c r="B25" s="6" t="s">
        <v>1588</v>
      </c>
      <c r="C25" s="37" t="s">
        <v>570</v>
      </c>
      <c r="D25" s="37"/>
      <c r="E25" s="24" t="s">
        <v>536</v>
      </c>
      <c r="F25" s="24"/>
      <c r="G25" s="24" t="str">
        <f t="shared" si="0"/>
        <v/>
      </c>
      <c r="H25" s="24" t="s">
        <v>738</v>
      </c>
      <c r="I25" s="24" t="str">
        <f t="shared" si="1"/>
        <v>ren "" "202.jpg"</v>
      </c>
      <c r="K25" s="24"/>
      <c r="W25" s="1"/>
      <c r="X25" s="2"/>
    </row>
    <row r="26" spans="1:24" x14ac:dyDescent="0.25">
      <c r="A26" s="24">
        <v>217</v>
      </c>
      <c r="B26" s="6" t="s">
        <v>1589</v>
      </c>
      <c r="C26" s="37" t="s">
        <v>570</v>
      </c>
      <c r="D26" s="37"/>
      <c r="E26" s="24" t="s">
        <v>534</v>
      </c>
      <c r="F26" s="24"/>
      <c r="G26" s="24" t="str">
        <f t="shared" si="0"/>
        <v/>
      </c>
      <c r="H26" s="24" t="s">
        <v>754</v>
      </c>
      <c r="I26" s="24" t="str">
        <f t="shared" si="1"/>
        <v>ren "" "217.jpg"</v>
      </c>
      <c r="K26" s="24"/>
      <c r="W26" s="1"/>
      <c r="X26" s="2"/>
    </row>
    <row r="27" spans="1:24" x14ac:dyDescent="0.25">
      <c r="A27" s="24">
        <v>218</v>
      </c>
      <c r="B27" s="6" t="s">
        <v>1589</v>
      </c>
      <c r="C27" s="37" t="s">
        <v>570</v>
      </c>
      <c r="D27" s="37"/>
      <c r="E27" s="24" t="s">
        <v>536</v>
      </c>
      <c r="F27" s="24"/>
      <c r="G27" s="24" t="str">
        <f t="shared" si="0"/>
        <v/>
      </c>
      <c r="H27" s="24" t="s">
        <v>755</v>
      </c>
      <c r="I27" s="24" t="str">
        <f t="shared" si="1"/>
        <v>ren "" "218.jpg"</v>
      </c>
      <c r="K27" s="24"/>
      <c r="W27" s="1"/>
      <c r="X27" s="2"/>
    </row>
    <row r="28" spans="1:24" x14ac:dyDescent="0.25">
      <c r="A28" s="24">
        <v>233</v>
      </c>
      <c r="B28" s="6" t="s">
        <v>1590</v>
      </c>
      <c r="C28" s="37" t="s">
        <v>570</v>
      </c>
      <c r="D28" s="37"/>
      <c r="E28" s="24" t="s">
        <v>534</v>
      </c>
      <c r="F28" s="24"/>
      <c r="G28" s="24" t="str">
        <f t="shared" si="0"/>
        <v/>
      </c>
      <c r="H28" s="24" t="s">
        <v>771</v>
      </c>
      <c r="I28" s="24" t="str">
        <f t="shared" si="1"/>
        <v>ren "" "233.jpg"</v>
      </c>
      <c r="K28" s="24"/>
      <c r="W28" s="1"/>
      <c r="X28" s="2"/>
    </row>
    <row r="29" spans="1:24" x14ac:dyDescent="0.25">
      <c r="A29" s="24">
        <v>234</v>
      </c>
      <c r="B29" s="6" t="s">
        <v>1590</v>
      </c>
      <c r="C29" s="37" t="s">
        <v>570</v>
      </c>
      <c r="D29" s="37"/>
      <c r="E29" s="24" t="s">
        <v>536</v>
      </c>
      <c r="F29" s="24"/>
      <c r="G29" s="24" t="str">
        <f t="shared" si="0"/>
        <v/>
      </c>
      <c r="H29" s="24" t="s">
        <v>772</v>
      </c>
      <c r="I29" s="24" t="str">
        <f t="shared" si="1"/>
        <v>ren "" "234.jpg"</v>
      </c>
      <c r="K29" s="24"/>
      <c r="W29" s="1"/>
      <c r="X29" s="2"/>
    </row>
    <row r="30" spans="1:24" x14ac:dyDescent="0.25">
      <c r="A30" s="24">
        <v>249</v>
      </c>
      <c r="B30" s="6" t="s">
        <v>1591</v>
      </c>
      <c r="C30" s="37" t="s">
        <v>570</v>
      </c>
      <c r="D30" s="37"/>
      <c r="E30" s="24" t="s">
        <v>534</v>
      </c>
      <c r="F30" s="24"/>
      <c r="G30" s="24" t="str">
        <f t="shared" si="0"/>
        <v/>
      </c>
      <c r="H30" s="24" t="s">
        <v>788</v>
      </c>
      <c r="I30" s="24" t="str">
        <f t="shared" si="1"/>
        <v>ren "" "249.jpg"</v>
      </c>
      <c r="K30" s="24"/>
      <c r="W30" s="1"/>
      <c r="X30" s="2"/>
    </row>
    <row r="31" spans="1:24" x14ac:dyDescent="0.25">
      <c r="A31" s="24">
        <v>250</v>
      </c>
      <c r="B31" s="6" t="s">
        <v>1591</v>
      </c>
      <c r="C31" s="37" t="s">
        <v>570</v>
      </c>
      <c r="D31" s="37"/>
      <c r="E31" s="24" t="s">
        <v>536</v>
      </c>
      <c r="F31" s="24"/>
      <c r="G31" s="24" t="str">
        <f t="shared" si="0"/>
        <v/>
      </c>
      <c r="H31" s="24" t="s">
        <v>789</v>
      </c>
      <c r="I31" s="24" t="str">
        <f t="shared" si="1"/>
        <v>ren "" "250.jpg"</v>
      </c>
      <c r="K31" s="24"/>
      <c r="W31" s="1"/>
      <c r="X31" s="2"/>
    </row>
    <row r="32" spans="1:24" x14ac:dyDescent="0.25">
      <c r="A32" s="24">
        <v>31</v>
      </c>
      <c r="B32" s="6" t="s">
        <v>1534</v>
      </c>
      <c r="C32" s="37" t="s">
        <v>579</v>
      </c>
      <c r="D32" s="37"/>
      <c r="E32" s="24" t="s">
        <v>534</v>
      </c>
      <c r="F32" s="24" t="s">
        <v>1592</v>
      </c>
      <c r="G32" s="24" t="str">
        <f t="shared" si="0"/>
        <v>FLIR0181- photo.jpg</v>
      </c>
      <c r="H32" s="24" t="s">
        <v>1545</v>
      </c>
      <c r="I32" s="24" t="str">
        <f t="shared" si="1"/>
        <v>ren "FLIR0181- photo.jpg" "31.jpg"</v>
      </c>
      <c r="K32" s="24" t="s">
        <v>1593</v>
      </c>
      <c r="W32" s="1"/>
      <c r="X32" s="2"/>
    </row>
    <row r="33" spans="1:24" x14ac:dyDescent="0.25">
      <c r="A33" s="24">
        <v>32</v>
      </c>
      <c r="B33" s="6" t="s">
        <v>1534</v>
      </c>
      <c r="C33" s="37" t="s">
        <v>579</v>
      </c>
      <c r="D33" s="37"/>
      <c r="E33" s="24" t="s">
        <v>536</v>
      </c>
      <c r="F33" s="24" t="s">
        <v>1594</v>
      </c>
      <c r="G33" s="24" t="str">
        <f t="shared" si="0"/>
        <v>FLIR0181.jpg</v>
      </c>
      <c r="H33" s="24" t="s">
        <v>1546</v>
      </c>
      <c r="I33" s="24" t="str">
        <f t="shared" si="1"/>
        <v>ren "FLIR0181.jpg" "32.jpg"</v>
      </c>
      <c r="K33" s="24" t="s">
        <v>1595</v>
      </c>
      <c r="W33" s="1"/>
      <c r="X33" s="2"/>
    </row>
    <row r="34" spans="1:24" x14ac:dyDescent="0.25">
      <c r="A34" s="24">
        <v>47</v>
      </c>
      <c r="B34" s="6" t="s">
        <v>1535</v>
      </c>
      <c r="C34" s="37" t="s">
        <v>579</v>
      </c>
      <c r="D34" s="37"/>
      <c r="E34" s="24" t="s">
        <v>534</v>
      </c>
      <c r="F34" s="24" t="s">
        <v>1596</v>
      </c>
      <c r="G34" s="24" t="str">
        <f t="shared" si="0"/>
        <v>FLIR0182- photo.jpg</v>
      </c>
      <c r="H34" s="24" t="s">
        <v>1565</v>
      </c>
      <c r="I34" s="24" t="str">
        <f t="shared" si="1"/>
        <v>ren "FLIR0182- photo.jpg" "47.jpg"</v>
      </c>
      <c r="K34" s="24" t="s">
        <v>1597</v>
      </c>
      <c r="W34" s="1"/>
      <c r="X34" s="2"/>
    </row>
    <row r="35" spans="1:24" x14ac:dyDescent="0.25">
      <c r="A35" s="24">
        <v>48</v>
      </c>
      <c r="B35" s="6" t="s">
        <v>1535</v>
      </c>
      <c r="C35" s="37" t="s">
        <v>579</v>
      </c>
      <c r="D35" s="37"/>
      <c r="E35" s="24" t="s">
        <v>536</v>
      </c>
      <c r="F35" s="24" t="s">
        <v>1598</v>
      </c>
      <c r="G35" s="24" t="str">
        <f t="shared" si="0"/>
        <v>FLIR0182.jpg</v>
      </c>
      <c r="H35" s="24" t="s">
        <v>1566</v>
      </c>
      <c r="I35" s="24" t="str">
        <f t="shared" si="1"/>
        <v>ren "FLIR0182.jpg" "48.jpg"</v>
      </c>
      <c r="K35" s="24" t="s">
        <v>1599</v>
      </c>
      <c r="W35" s="1"/>
      <c r="X35" s="2"/>
    </row>
    <row r="36" spans="1:24" x14ac:dyDescent="0.25">
      <c r="A36" s="24">
        <v>63</v>
      </c>
      <c r="B36" s="6" t="s">
        <v>1536</v>
      </c>
      <c r="C36" s="37" t="s">
        <v>579</v>
      </c>
      <c r="D36" s="37"/>
      <c r="E36" s="24" t="s">
        <v>534</v>
      </c>
      <c r="F36" s="24" t="s">
        <v>1600</v>
      </c>
      <c r="G36" s="24" t="str">
        <f t="shared" si="0"/>
        <v>FLIR0183- photo.jpg</v>
      </c>
      <c r="H36" s="24" t="s">
        <v>589</v>
      </c>
      <c r="I36" s="24" t="str">
        <f t="shared" si="1"/>
        <v>ren "FLIR0183- photo.jpg" "63.jpg"</v>
      </c>
      <c r="K36" s="24" t="s">
        <v>1601</v>
      </c>
      <c r="W36" s="1"/>
      <c r="X36" s="2"/>
    </row>
    <row r="37" spans="1:24" x14ac:dyDescent="0.25">
      <c r="A37" s="24">
        <v>64</v>
      </c>
      <c r="B37" s="6" t="s">
        <v>1536</v>
      </c>
      <c r="C37" s="37" t="s">
        <v>579</v>
      </c>
      <c r="D37" s="37"/>
      <c r="E37" s="24" t="s">
        <v>536</v>
      </c>
      <c r="F37" s="24" t="s">
        <v>1602</v>
      </c>
      <c r="G37" s="24" t="str">
        <f t="shared" si="0"/>
        <v>FLIR0183.jpg</v>
      </c>
      <c r="H37" s="24" t="s">
        <v>590</v>
      </c>
      <c r="I37" s="24" t="str">
        <f t="shared" si="1"/>
        <v>ren "FLIR0183.jpg" "64.jpg"</v>
      </c>
      <c r="K37" s="24" t="s">
        <v>1603</v>
      </c>
      <c r="W37" s="1"/>
      <c r="X37" s="2"/>
    </row>
    <row r="38" spans="1:24" x14ac:dyDescent="0.25">
      <c r="A38" s="24">
        <v>79</v>
      </c>
      <c r="B38" s="6" t="s">
        <v>1537</v>
      </c>
      <c r="C38" s="37" t="s">
        <v>579</v>
      </c>
      <c r="D38" s="37"/>
      <c r="E38" s="24" t="s">
        <v>534</v>
      </c>
      <c r="F38" s="24"/>
      <c r="G38" s="24" t="str">
        <f t="shared" si="0"/>
        <v/>
      </c>
      <c r="H38" s="24" t="s">
        <v>607</v>
      </c>
      <c r="I38" s="24" t="str">
        <f t="shared" si="1"/>
        <v>ren "" "79.jpg"</v>
      </c>
      <c r="K38" s="24" t="s">
        <v>1604</v>
      </c>
      <c r="W38" s="1"/>
      <c r="X38" s="2"/>
    </row>
    <row r="39" spans="1:24" x14ac:dyDescent="0.25">
      <c r="A39" s="24">
        <v>80</v>
      </c>
      <c r="B39" s="6" t="s">
        <v>1537</v>
      </c>
      <c r="C39" s="37" t="s">
        <v>579</v>
      </c>
      <c r="D39" s="37"/>
      <c r="E39" s="24" t="s">
        <v>536</v>
      </c>
      <c r="F39" s="24"/>
      <c r="G39" s="24" t="str">
        <f t="shared" si="0"/>
        <v/>
      </c>
      <c r="H39" s="24" t="s">
        <v>608</v>
      </c>
      <c r="I39" s="24" t="str">
        <f t="shared" si="1"/>
        <v>ren "" "80.jpg"</v>
      </c>
      <c r="K39" s="24" t="s">
        <v>1605</v>
      </c>
      <c r="W39" s="1"/>
      <c r="X39" s="2"/>
    </row>
    <row r="40" spans="1:24" x14ac:dyDescent="0.25">
      <c r="A40" s="24">
        <v>95</v>
      </c>
      <c r="B40" s="6" t="s">
        <v>1542</v>
      </c>
      <c r="C40" s="37" t="s">
        <v>579</v>
      </c>
      <c r="D40" s="37"/>
      <c r="E40" s="24" t="s">
        <v>534</v>
      </c>
      <c r="F40" s="24"/>
      <c r="G40" s="24" t="str">
        <f t="shared" si="0"/>
        <v/>
      </c>
      <c r="H40" s="24" t="s">
        <v>624</v>
      </c>
      <c r="I40" s="24" t="str">
        <f t="shared" si="1"/>
        <v>ren "" "95.jpg"</v>
      </c>
      <c r="K40" s="24" t="s">
        <v>1606</v>
      </c>
      <c r="W40" s="1"/>
      <c r="X40" s="2"/>
    </row>
    <row r="41" spans="1:24" x14ac:dyDescent="0.25">
      <c r="A41" s="24">
        <v>96</v>
      </c>
      <c r="B41" s="6" t="s">
        <v>1542</v>
      </c>
      <c r="C41" s="37" t="s">
        <v>579</v>
      </c>
      <c r="D41" s="37"/>
      <c r="E41" s="24" t="s">
        <v>536</v>
      </c>
      <c r="F41" s="24"/>
      <c r="G41" s="24" t="str">
        <f t="shared" si="0"/>
        <v/>
      </c>
      <c r="H41" s="24" t="s">
        <v>625</v>
      </c>
      <c r="I41" s="24" t="str">
        <f t="shared" si="1"/>
        <v>ren "" "96.jpg"</v>
      </c>
      <c r="K41" s="24" t="s">
        <v>1607</v>
      </c>
      <c r="W41" s="1"/>
      <c r="X41" s="2"/>
    </row>
    <row r="42" spans="1:24" x14ac:dyDescent="0.25">
      <c r="A42" s="24">
        <v>111</v>
      </c>
      <c r="B42" s="6" t="s">
        <v>1547</v>
      </c>
      <c r="C42" s="37" t="s">
        <v>579</v>
      </c>
      <c r="D42" s="37"/>
      <c r="E42" s="24" t="s">
        <v>534</v>
      </c>
      <c r="F42" s="24"/>
      <c r="G42" s="24" t="str">
        <f t="shared" si="0"/>
        <v/>
      </c>
      <c r="H42" s="24" t="s">
        <v>641</v>
      </c>
      <c r="I42" s="24" t="str">
        <f t="shared" si="1"/>
        <v>ren "" "111.jpg"</v>
      </c>
      <c r="K42" s="24" t="s">
        <v>1608</v>
      </c>
      <c r="W42" s="1"/>
      <c r="X42" s="2"/>
    </row>
    <row r="43" spans="1:24" x14ac:dyDescent="0.25">
      <c r="A43" s="24">
        <v>112</v>
      </c>
      <c r="B43" s="6" t="s">
        <v>1547</v>
      </c>
      <c r="C43" s="37" t="s">
        <v>579</v>
      </c>
      <c r="D43" s="37"/>
      <c r="E43" s="24" t="s">
        <v>536</v>
      </c>
      <c r="F43" s="24"/>
      <c r="G43" s="24" t="str">
        <f t="shared" si="0"/>
        <v/>
      </c>
      <c r="H43" s="24" t="s">
        <v>642</v>
      </c>
      <c r="I43" s="24" t="str">
        <f t="shared" si="1"/>
        <v>ren "" "112.jpg"</v>
      </c>
      <c r="K43" s="24" t="s">
        <v>1609</v>
      </c>
      <c r="W43" s="1"/>
      <c r="X43" s="2"/>
    </row>
    <row r="44" spans="1:24" x14ac:dyDescent="0.25">
      <c r="A44" s="24">
        <v>127</v>
      </c>
      <c r="B44" s="6" t="s">
        <v>1552</v>
      </c>
      <c r="C44" s="37" t="s">
        <v>579</v>
      </c>
      <c r="D44" s="37"/>
      <c r="E44" s="24" t="s">
        <v>534</v>
      </c>
      <c r="F44" s="24"/>
      <c r="G44" s="24" t="str">
        <f t="shared" si="0"/>
        <v/>
      </c>
      <c r="H44" s="24" t="s">
        <v>658</v>
      </c>
      <c r="I44" s="24" t="str">
        <f t="shared" si="1"/>
        <v>ren "" "127.jpg"</v>
      </c>
      <c r="K44" s="24" t="s">
        <v>1610</v>
      </c>
      <c r="W44" s="1"/>
      <c r="X44" s="2"/>
    </row>
    <row r="45" spans="1:24" x14ac:dyDescent="0.25">
      <c r="A45" s="24">
        <v>128</v>
      </c>
      <c r="B45" s="6" t="s">
        <v>1552</v>
      </c>
      <c r="C45" s="37" t="s">
        <v>579</v>
      </c>
      <c r="D45" s="37"/>
      <c r="E45" s="24" t="s">
        <v>536</v>
      </c>
      <c r="F45" s="24"/>
      <c r="G45" s="24" t="str">
        <f t="shared" si="0"/>
        <v/>
      </c>
      <c r="H45" s="24" t="s">
        <v>659</v>
      </c>
      <c r="I45" s="24" t="str">
        <f t="shared" si="1"/>
        <v>ren "" "128.jpg"</v>
      </c>
      <c r="K45" s="24" t="s">
        <v>1611</v>
      </c>
      <c r="W45" s="1"/>
      <c r="X45" s="2"/>
    </row>
    <row r="46" spans="1:24" x14ac:dyDescent="0.25">
      <c r="A46" s="24">
        <v>143</v>
      </c>
      <c r="B46" s="6" t="s">
        <v>1557</v>
      </c>
      <c r="C46" s="37" t="s">
        <v>579</v>
      </c>
      <c r="D46" s="37"/>
      <c r="E46" s="24" t="s">
        <v>534</v>
      </c>
      <c r="F46" s="24"/>
      <c r="G46" s="24" t="str">
        <f t="shared" si="0"/>
        <v/>
      </c>
      <c r="H46" s="24" t="s">
        <v>675</v>
      </c>
      <c r="I46" s="24" t="str">
        <f t="shared" si="1"/>
        <v>ren "" "143.jpg"</v>
      </c>
      <c r="K46" s="24" t="s">
        <v>1612</v>
      </c>
      <c r="W46" s="1"/>
      <c r="X46" s="2"/>
    </row>
    <row r="47" spans="1:24" x14ac:dyDescent="0.25">
      <c r="A47" s="24">
        <v>144</v>
      </c>
      <c r="B47" s="6" t="s">
        <v>1557</v>
      </c>
      <c r="C47" s="37" t="s">
        <v>579</v>
      </c>
      <c r="D47" s="37"/>
      <c r="E47" s="24" t="s">
        <v>536</v>
      </c>
      <c r="F47" s="24"/>
      <c r="G47" s="24" t="str">
        <f t="shared" si="0"/>
        <v/>
      </c>
      <c r="H47" s="24" t="s">
        <v>676</v>
      </c>
      <c r="I47" s="24" t="str">
        <f t="shared" si="1"/>
        <v>ren "" "144.jpg"</v>
      </c>
      <c r="K47" s="24" t="s">
        <v>1613</v>
      </c>
      <c r="W47" s="1"/>
      <c r="X47" s="2"/>
    </row>
    <row r="48" spans="1:24" x14ac:dyDescent="0.25">
      <c r="A48" s="24">
        <v>159</v>
      </c>
      <c r="B48" s="6" t="s">
        <v>1562</v>
      </c>
      <c r="C48" s="37" t="s">
        <v>579</v>
      </c>
      <c r="D48" s="37"/>
      <c r="E48" s="24" t="s">
        <v>534</v>
      </c>
      <c r="F48" s="24"/>
      <c r="G48" s="24" t="str">
        <f t="shared" si="0"/>
        <v/>
      </c>
      <c r="H48" s="24" t="s">
        <v>692</v>
      </c>
      <c r="I48" s="24" t="str">
        <f t="shared" si="1"/>
        <v>ren "" "159.jpg"</v>
      </c>
      <c r="K48" s="24"/>
      <c r="W48" s="1"/>
      <c r="X48" s="2"/>
    </row>
    <row r="49" spans="1:24" x14ac:dyDescent="0.25">
      <c r="A49" s="24">
        <v>160</v>
      </c>
      <c r="B49" s="6" t="s">
        <v>1562</v>
      </c>
      <c r="C49" s="37" t="s">
        <v>579</v>
      </c>
      <c r="D49" s="37"/>
      <c r="E49" s="24" t="s">
        <v>536</v>
      </c>
      <c r="F49" s="24"/>
      <c r="G49" s="24" t="str">
        <f t="shared" si="0"/>
        <v/>
      </c>
      <c r="H49" s="24" t="s">
        <v>693</v>
      </c>
      <c r="I49" s="24" t="str">
        <f t="shared" si="1"/>
        <v>ren "" "160.jpg"</v>
      </c>
      <c r="K49" s="24"/>
      <c r="W49" s="1"/>
      <c r="X49" s="2"/>
    </row>
    <row r="50" spans="1:24" x14ac:dyDescent="0.25">
      <c r="A50" s="24">
        <v>175</v>
      </c>
      <c r="B50" s="6" t="s">
        <v>1567</v>
      </c>
      <c r="C50" s="37" t="s">
        <v>579</v>
      </c>
      <c r="D50" s="37"/>
      <c r="E50" s="24" t="s">
        <v>534</v>
      </c>
      <c r="F50" s="24"/>
      <c r="G50" s="24" t="str">
        <f t="shared" si="0"/>
        <v/>
      </c>
      <c r="H50" s="24" t="s">
        <v>709</v>
      </c>
      <c r="I50" s="24" t="str">
        <f t="shared" si="1"/>
        <v>ren "" "175.jpg"</v>
      </c>
      <c r="K50" s="24"/>
      <c r="W50" s="1"/>
      <c r="X50" s="2"/>
    </row>
    <row r="51" spans="1:24" x14ac:dyDescent="0.25">
      <c r="A51" s="24">
        <v>176</v>
      </c>
      <c r="B51" s="6" t="s">
        <v>1567</v>
      </c>
      <c r="C51" s="37" t="s">
        <v>579</v>
      </c>
      <c r="D51" s="37"/>
      <c r="E51" s="24" t="s">
        <v>536</v>
      </c>
      <c r="F51" s="24"/>
      <c r="G51" s="24" t="str">
        <f t="shared" si="0"/>
        <v/>
      </c>
      <c r="H51" s="24" t="s">
        <v>710</v>
      </c>
      <c r="I51" s="24" t="str">
        <f t="shared" si="1"/>
        <v>ren "" "176.jpg"</v>
      </c>
      <c r="K51" s="24"/>
      <c r="W51" s="1"/>
      <c r="X51" s="2"/>
    </row>
    <row r="52" spans="1:24" x14ac:dyDescent="0.25">
      <c r="A52" s="24">
        <v>191</v>
      </c>
      <c r="B52" s="6" t="s">
        <v>1587</v>
      </c>
      <c r="C52" s="37" t="s">
        <v>579</v>
      </c>
      <c r="D52" s="37"/>
      <c r="E52" s="24" t="s">
        <v>534</v>
      </c>
      <c r="F52" s="24"/>
      <c r="G52" s="24" t="str">
        <f t="shared" si="0"/>
        <v/>
      </c>
      <c r="H52" s="24" t="s">
        <v>726</v>
      </c>
      <c r="I52" s="24" t="str">
        <f t="shared" si="1"/>
        <v>ren "" "191.jpg"</v>
      </c>
      <c r="K52" s="24"/>
      <c r="W52" s="1"/>
      <c r="X52" s="2"/>
    </row>
    <row r="53" spans="1:24" x14ac:dyDescent="0.25">
      <c r="A53" s="24">
        <v>192</v>
      </c>
      <c r="B53" s="6" t="s">
        <v>1587</v>
      </c>
      <c r="C53" s="37" t="s">
        <v>579</v>
      </c>
      <c r="D53" s="37"/>
      <c r="E53" s="24" t="s">
        <v>536</v>
      </c>
      <c r="F53" s="24"/>
      <c r="G53" s="24" t="str">
        <f t="shared" si="0"/>
        <v/>
      </c>
      <c r="H53" s="24" t="s">
        <v>727</v>
      </c>
      <c r="I53" s="24" t="str">
        <f t="shared" si="1"/>
        <v>ren "" "192.jpg"</v>
      </c>
      <c r="K53" s="24"/>
      <c r="W53" s="1"/>
      <c r="X53" s="2"/>
    </row>
    <row r="54" spans="1:24" x14ac:dyDescent="0.25">
      <c r="A54" s="24">
        <v>207</v>
      </c>
      <c r="B54" s="6" t="s">
        <v>1588</v>
      </c>
      <c r="C54" s="37" t="s">
        <v>579</v>
      </c>
      <c r="D54" s="37"/>
      <c r="E54" s="24" t="s">
        <v>534</v>
      </c>
      <c r="F54" s="24"/>
      <c r="G54" s="24" t="str">
        <f t="shared" si="0"/>
        <v/>
      </c>
      <c r="H54" s="24" t="s">
        <v>743</v>
      </c>
      <c r="I54" s="24" t="str">
        <f t="shared" si="1"/>
        <v>ren "" "207.jpg"</v>
      </c>
      <c r="K54" s="24"/>
      <c r="W54" s="1"/>
      <c r="X54" s="2"/>
    </row>
    <row r="55" spans="1:24" x14ac:dyDescent="0.25">
      <c r="A55" s="24">
        <v>208</v>
      </c>
      <c r="B55" s="6" t="s">
        <v>1588</v>
      </c>
      <c r="C55" s="37" t="s">
        <v>579</v>
      </c>
      <c r="D55" s="37"/>
      <c r="E55" s="24" t="s">
        <v>536</v>
      </c>
      <c r="F55" s="24"/>
      <c r="G55" s="24" t="str">
        <f t="shared" si="0"/>
        <v/>
      </c>
      <c r="H55" s="24" t="s">
        <v>744</v>
      </c>
      <c r="I55" s="24" t="str">
        <f t="shared" si="1"/>
        <v>ren "" "208.jpg"</v>
      </c>
      <c r="K55" s="24"/>
      <c r="W55" s="1"/>
      <c r="X55" s="2"/>
    </row>
    <row r="56" spans="1:24" x14ac:dyDescent="0.25">
      <c r="A56" s="24">
        <v>223</v>
      </c>
      <c r="B56" s="6" t="s">
        <v>1589</v>
      </c>
      <c r="C56" s="37" t="s">
        <v>579</v>
      </c>
      <c r="D56" s="37"/>
      <c r="E56" s="24" t="s">
        <v>534</v>
      </c>
      <c r="F56" s="24"/>
      <c r="G56" s="24" t="str">
        <f t="shared" si="0"/>
        <v/>
      </c>
      <c r="H56" s="24" t="s">
        <v>760</v>
      </c>
      <c r="I56" s="24" t="str">
        <f t="shared" si="1"/>
        <v>ren "" "223.jpg"</v>
      </c>
      <c r="K56" s="24"/>
      <c r="W56" s="1"/>
      <c r="X56" s="2"/>
    </row>
    <row r="57" spans="1:24" x14ac:dyDescent="0.25">
      <c r="A57" s="24">
        <v>224</v>
      </c>
      <c r="B57" s="6" t="s">
        <v>1589</v>
      </c>
      <c r="C57" s="37" t="s">
        <v>579</v>
      </c>
      <c r="D57" s="37"/>
      <c r="E57" s="24" t="s">
        <v>536</v>
      </c>
      <c r="F57" s="24"/>
      <c r="G57" s="24" t="str">
        <f t="shared" si="0"/>
        <v/>
      </c>
      <c r="H57" s="24" t="s">
        <v>761</v>
      </c>
      <c r="I57" s="24" t="str">
        <f t="shared" si="1"/>
        <v>ren "" "224.jpg"</v>
      </c>
      <c r="K57" s="24"/>
      <c r="W57" s="1"/>
      <c r="X57" s="2"/>
    </row>
    <row r="58" spans="1:24" x14ac:dyDescent="0.25">
      <c r="A58" s="24">
        <v>239</v>
      </c>
      <c r="B58" s="6" t="s">
        <v>1590</v>
      </c>
      <c r="C58" s="37" t="s">
        <v>579</v>
      </c>
      <c r="D58" s="37"/>
      <c r="E58" s="24" t="s">
        <v>534</v>
      </c>
      <c r="F58" s="24"/>
      <c r="G58" s="24" t="str">
        <f t="shared" si="0"/>
        <v/>
      </c>
      <c r="H58" s="24" t="s">
        <v>777</v>
      </c>
      <c r="I58" s="24" t="str">
        <f t="shared" si="1"/>
        <v>ren "" "239.jpg"</v>
      </c>
      <c r="K58" s="24"/>
      <c r="W58" s="1"/>
      <c r="X58" s="2"/>
    </row>
    <row r="59" spans="1:24" x14ac:dyDescent="0.25">
      <c r="A59" s="24">
        <v>240</v>
      </c>
      <c r="B59" s="6" t="s">
        <v>1590</v>
      </c>
      <c r="C59" s="37" t="s">
        <v>579</v>
      </c>
      <c r="D59" s="37"/>
      <c r="E59" s="24" t="s">
        <v>536</v>
      </c>
      <c r="F59" s="24"/>
      <c r="G59" s="24" t="str">
        <f t="shared" si="0"/>
        <v/>
      </c>
      <c r="H59" s="24" t="s">
        <v>778</v>
      </c>
      <c r="I59" s="24" t="str">
        <f t="shared" si="1"/>
        <v>ren "" "240.jpg"</v>
      </c>
      <c r="K59" s="24"/>
      <c r="W59" s="1"/>
      <c r="X59" s="2"/>
    </row>
    <row r="60" spans="1:24" x14ac:dyDescent="0.25">
      <c r="A60" s="24">
        <v>255</v>
      </c>
      <c r="B60" s="6" t="s">
        <v>1591</v>
      </c>
      <c r="C60" s="37" t="s">
        <v>579</v>
      </c>
      <c r="D60" s="37"/>
      <c r="E60" s="24" t="s">
        <v>534</v>
      </c>
      <c r="F60" s="24"/>
      <c r="G60" s="24" t="str">
        <f t="shared" si="0"/>
        <v/>
      </c>
      <c r="H60" s="24" t="s">
        <v>794</v>
      </c>
      <c r="I60" s="24" t="str">
        <f t="shared" si="1"/>
        <v>ren "" "255.jpg"</v>
      </c>
      <c r="K60" s="24"/>
      <c r="W60" s="1"/>
      <c r="X60" s="2"/>
    </row>
    <row r="61" spans="1:24" x14ac:dyDescent="0.25">
      <c r="A61" s="24">
        <v>256</v>
      </c>
      <c r="B61" s="6" t="s">
        <v>1591</v>
      </c>
      <c r="C61" s="37" t="s">
        <v>579</v>
      </c>
      <c r="D61" s="37"/>
      <c r="E61" s="24" t="s">
        <v>536</v>
      </c>
      <c r="F61" s="24"/>
      <c r="G61" s="24" t="str">
        <f t="shared" si="0"/>
        <v/>
      </c>
      <c r="H61" s="24" t="s">
        <v>795</v>
      </c>
      <c r="I61" s="24" t="str">
        <f t="shared" si="1"/>
        <v>ren "" "256.jpg"</v>
      </c>
      <c r="K61" s="24"/>
      <c r="W61" s="1"/>
      <c r="X61" s="2"/>
    </row>
    <row r="62" spans="1:24" x14ac:dyDescent="0.25">
      <c r="A62" s="24">
        <v>27</v>
      </c>
      <c r="B62" s="6" t="s">
        <v>1534</v>
      </c>
      <c r="C62" s="37" t="s">
        <v>573</v>
      </c>
      <c r="D62" s="37"/>
      <c r="E62" s="24" t="s">
        <v>534</v>
      </c>
      <c r="F62" s="24"/>
      <c r="G62" s="24" t="str">
        <f t="shared" si="0"/>
        <v/>
      </c>
      <c r="H62" s="24" t="s">
        <v>1540</v>
      </c>
      <c r="I62" s="24" t="str">
        <f t="shared" si="1"/>
        <v>ren "" "27.jpg"</v>
      </c>
      <c r="K62" s="24"/>
      <c r="W62" s="1"/>
      <c r="X62" s="2"/>
    </row>
    <row r="63" spans="1:24" x14ac:dyDescent="0.25">
      <c r="A63" s="24">
        <v>28</v>
      </c>
      <c r="B63" s="6" t="s">
        <v>1534</v>
      </c>
      <c r="C63" s="37" t="s">
        <v>573</v>
      </c>
      <c r="D63" s="37"/>
      <c r="E63" s="24" t="s">
        <v>536</v>
      </c>
      <c r="F63" s="24"/>
      <c r="G63" s="24" t="str">
        <f t="shared" si="0"/>
        <v/>
      </c>
      <c r="H63" s="24" t="s">
        <v>1541</v>
      </c>
      <c r="I63" s="24" t="str">
        <f t="shared" si="1"/>
        <v>ren "" "28.jpg"</v>
      </c>
      <c r="K63" s="24"/>
      <c r="W63" s="1"/>
      <c r="X63" s="2"/>
    </row>
    <row r="64" spans="1:24" x14ac:dyDescent="0.25">
      <c r="A64" s="24">
        <v>43</v>
      </c>
      <c r="B64" s="6" t="s">
        <v>1535</v>
      </c>
      <c r="C64" s="37" t="s">
        <v>573</v>
      </c>
      <c r="D64" s="37"/>
      <c r="E64" s="24" t="s">
        <v>534</v>
      </c>
      <c r="F64" s="24"/>
      <c r="G64" s="24" t="str">
        <f t="shared" si="0"/>
        <v/>
      </c>
      <c r="H64" s="24" t="s">
        <v>1560</v>
      </c>
      <c r="I64" s="24" t="str">
        <f t="shared" si="1"/>
        <v>ren "" "43.jpg"</v>
      </c>
      <c r="K64" s="24"/>
      <c r="W64" s="1"/>
      <c r="X64" s="2"/>
    </row>
    <row r="65" spans="1:24" x14ac:dyDescent="0.25">
      <c r="A65" s="24">
        <v>44</v>
      </c>
      <c r="B65" s="6" t="s">
        <v>1535</v>
      </c>
      <c r="C65" s="37" t="s">
        <v>573</v>
      </c>
      <c r="D65" s="37"/>
      <c r="E65" s="24" t="s">
        <v>536</v>
      </c>
      <c r="F65" s="24"/>
      <c r="G65" s="24" t="str">
        <f t="shared" si="0"/>
        <v/>
      </c>
      <c r="H65" s="24" t="s">
        <v>1561</v>
      </c>
      <c r="I65" s="24" t="str">
        <f t="shared" si="1"/>
        <v>ren "" "44.jpg"</v>
      </c>
      <c r="K65" s="24"/>
      <c r="W65" s="1"/>
      <c r="X65" s="2"/>
    </row>
    <row r="66" spans="1:24" x14ac:dyDescent="0.25">
      <c r="A66" s="24">
        <v>59</v>
      </c>
      <c r="B66" s="6" t="s">
        <v>1536</v>
      </c>
      <c r="C66" s="37" t="s">
        <v>573</v>
      </c>
      <c r="D66" s="37"/>
      <c r="E66" s="24" t="s">
        <v>534</v>
      </c>
      <c r="F66" s="24"/>
      <c r="G66" s="24" t="str">
        <f t="shared" ref="G66:G129" si="2">IF(F66="", "", TRIM(RIGHT(SUBSTITUTE(F66, "\", REPT(" ", LEN(F66))), LEN(F66))))</f>
        <v/>
      </c>
      <c r="H66" s="24" t="s">
        <v>583</v>
      </c>
      <c r="I66" s="24" t="str">
        <f t="shared" ref="I66:I129" si="3">"ren """ &amp; G66 &amp; """ """ &amp; H66 &amp; """"</f>
        <v>ren "" "59.jpg"</v>
      </c>
      <c r="K66" s="24"/>
      <c r="W66" s="1"/>
      <c r="X66" s="2"/>
    </row>
    <row r="67" spans="1:24" x14ac:dyDescent="0.25">
      <c r="A67" s="24">
        <v>60</v>
      </c>
      <c r="B67" s="6" t="s">
        <v>1536</v>
      </c>
      <c r="C67" s="37" t="s">
        <v>573</v>
      </c>
      <c r="D67" s="37"/>
      <c r="E67" s="24" t="s">
        <v>536</v>
      </c>
      <c r="F67" s="24"/>
      <c r="G67" s="24" t="str">
        <f t="shared" si="2"/>
        <v/>
      </c>
      <c r="H67" s="24" t="s">
        <v>584</v>
      </c>
      <c r="I67" s="24" t="str">
        <f t="shared" si="3"/>
        <v>ren "" "60.jpg"</v>
      </c>
      <c r="K67" s="24"/>
      <c r="W67" s="1"/>
      <c r="X67" s="2"/>
    </row>
    <row r="68" spans="1:24" x14ac:dyDescent="0.25">
      <c r="A68" s="24">
        <v>75</v>
      </c>
      <c r="B68" s="6" t="s">
        <v>1537</v>
      </c>
      <c r="C68" s="37" t="s">
        <v>573</v>
      </c>
      <c r="D68" s="37"/>
      <c r="E68" s="24" t="s">
        <v>534</v>
      </c>
      <c r="F68" s="24"/>
      <c r="G68" s="24" t="str">
        <f t="shared" si="2"/>
        <v/>
      </c>
      <c r="H68" s="24" t="s">
        <v>603</v>
      </c>
      <c r="I68" s="24" t="str">
        <f t="shared" si="3"/>
        <v>ren "" "75.jpg"</v>
      </c>
      <c r="K68" s="24"/>
      <c r="W68" s="1"/>
      <c r="X68" s="2"/>
    </row>
    <row r="69" spans="1:24" x14ac:dyDescent="0.25">
      <c r="A69" s="24">
        <v>76</v>
      </c>
      <c r="B69" s="6" t="s">
        <v>1537</v>
      </c>
      <c r="C69" s="37" t="s">
        <v>573</v>
      </c>
      <c r="D69" s="37"/>
      <c r="E69" s="24" t="s">
        <v>536</v>
      </c>
      <c r="F69" s="24"/>
      <c r="G69" s="24" t="str">
        <f t="shared" si="2"/>
        <v/>
      </c>
      <c r="H69" s="24" t="s">
        <v>604</v>
      </c>
      <c r="I69" s="24" t="str">
        <f t="shared" si="3"/>
        <v>ren "" "76.jpg"</v>
      </c>
      <c r="K69" s="24"/>
      <c r="W69" s="1"/>
      <c r="X69" s="2"/>
    </row>
    <row r="70" spans="1:24" x14ac:dyDescent="0.25">
      <c r="A70" s="24">
        <v>91</v>
      </c>
      <c r="B70" s="6" t="s">
        <v>1542</v>
      </c>
      <c r="C70" s="37" t="s">
        <v>573</v>
      </c>
      <c r="D70" s="37"/>
      <c r="E70" s="24" t="s">
        <v>534</v>
      </c>
      <c r="F70" s="24"/>
      <c r="G70" s="24" t="str">
        <f t="shared" si="2"/>
        <v/>
      </c>
      <c r="H70" s="24" t="s">
        <v>620</v>
      </c>
      <c r="I70" s="24" t="str">
        <f t="shared" si="3"/>
        <v>ren "" "91.jpg"</v>
      </c>
      <c r="K70" s="24"/>
      <c r="W70" s="1"/>
      <c r="X70" s="2"/>
    </row>
    <row r="71" spans="1:24" x14ac:dyDescent="0.25">
      <c r="A71" s="24">
        <v>92</v>
      </c>
      <c r="B71" s="6" t="s">
        <v>1542</v>
      </c>
      <c r="C71" s="37" t="s">
        <v>573</v>
      </c>
      <c r="D71" s="37"/>
      <c r="E71" s="24" t="s">
        <v>536</v>
      </c>
      <c r="F71" s="24"/>
      <c r="G71" s="24" t="str">
        <f t="shared" si="2"/>
        <v/>
      </c>
      <c r="H71" s="24" t="s">
        <v>621</v>
      </c>
      <c r="I71" s="24" t="str">
        <f t="shared" si="3"/>
        <v>ren "" "92.jpg"</v>
      </c>
      <c r="K71" s="24"/>
      <c r="W71" s="1"/>
      <c r="X71" s="2"/>
    </row>
    <row r="72" spans="1:24" x14ac:dyDescent="0.25">
      <c r="A72" s="24">
        <v>107</v>
      </c>
      <c r="B72" s="6" t="s">
        <v>1547</v>
      </c>
      <c r="C72" s="37" t="s">
        <v>573</v>
      </c>
      <c r="D72" s="37"/>
      <c r="E72" s="24" t="s">
        <v>534</v>
      </c>
      <c r="F72" s="24"/>
      <c r="G72" s="24" t="str">
        <f t="shared" si="2"/>
        <v/>
      </c>
      <c r="H72" s="24" t="s">
        <v>637</v>
      </c>
      <c r="I72" s="24" t="str">
        <f t="shared" si="3"/>
        <v>ren "" "107.jpg"</v>
      </c>
      <c r="K72" s="24"/>
      <c r="W72" s="1"/>
      <c r="X72" s="2"/>
    </row>
    <row r="73" spans="1:24" x14ac:dyDescent="0.25">
      <c r="A73" s="24">
        <v>108</v>
      </c>
      <c r="B73" s="6" t="s">
        <v>1547</v>
      </c>
      <c r="C73" s="37" t="s">
        <v>573</v>
      </c>
      <c r="D73" s="37"/>
      <c r="E73" s="24" t="s">
        <v>536</v>
      </c>
      <c r="F73" s="24"/>
      <c r="G73" s="24" t="str">
        <f t="shared" si="2"/>
        <v/>
      </c>
      <c r="H73" s="24" t="s">
        <v>638</v>
      </c>
      <c r="I73" s="24" t="str">
        <f t="shared" si="3"/>
        <v>ren "" "108.jpg"</v>
      </c>
      <c r="K73" s="24"/>
      <c r="W73" s="1"/>
      <c r="X73" s="2"/>
    </row>
    <row r="74" spans="1:24" x14ac:dyDescent="0.25">
      <c r="A74" s="24">
        <v>123</v>
      </c>
      <c r="B74" s="6" t="s">
        <v>1552</v>
      </c>
      <c r="C74" s="37" t="s">
        <v>573</v>
      </c>
      <c r="D74" s="37"/>
      <c r="E74" s="24" t="s">
        <v>534</v>
      </c>
      <c r="F74" s="24"/>
      <c r="G74" s="24" t="str">
        <f t="shared" si="2"/>
        <v/>
      </c>
      <c r="H74" s="24" t="s">
        <v>654</v>
      </c>
      <c r="I74" s="24" t="str">
        <f t="shared" si="3"/>
        <v>ren "" "123.jpg"</v>
      </c>
      <c r="K74" s="24"/>
      <c r="W74" s="1"/>
      <c r="X74" s="2"/>
    </row>
    <row r="75" spans="1:24" x14ac:dyDescent="0.25">
      <c r="A75" s="24">
        <v>124</v>
      </c>
      <c r="B75" s="6" t="s">
        <v>1552</v>
      </c>
      <c r="C75" s="37" t="s">
        <v>573</v>
      </c>
      <c r="D75" s="37"/>
      <c r="E75" s="24" t="s">
        <v>536</v>
      </c>
      <c r="F75" s="24"/>
      <c r="G75" s="24" t="str">
        <f t="shared" si="2"/>
        <v/>
      </c>
      <c r="H75" s="24" t="s">
        <v>655</v>
      </c>
      <c r="I75" s="24" t="str">
        <f t="shared" si="3"/>
        <v>ren "" "124.jpg"</v>
      </c>
      <c r="K75" s="24"/>
      <c r="W75" s="1"/>
      <c r="X75" s="2"/>
    </row>
    <row r="76" spans="1:24" x14ac:dyDescent="0.25">
      <c r="A76" s="24">
        <v>139</v>
      </c>
      <c r="B76" s="6" t="s">
        <v>1557</v>
      </c>
      <c r="C76" s="37" t="s">
        <v>573</v>
      </c>
      <c r="D76" s="37"/>
      <c r="E76" s="24" t="s">
        <v>534</v>
      </c>
      <c r="F76" s="24"/>
      <c r="G76" s="24" t="str">
        <f t="shared" si="2"/>
        <v/>
      </c>
      <c r="H76" s="24" t="s">
        <v>671</v>
      </c>
      <c r="I76" s="24" t="str">
        <f t="shared" si="3"/>
        <v>ren "" "139.jpg"</v>
      </c>
      <c r="K76" s="24"/>
      <c r="W76" s="1"/>
      <c r="X76" s="2"/>
    </row>
    <row r="77" spans="1:24" x14ac:dyDescent="0.25">
      <c r="A77" s="24">
        <v>140</v>
      </c>
      <c r="B77" s="6" t="s">
        <v>1557</v>
      </c>
      <c r="C77" s="37" t="s">
        <v>573</v>
      </c>
      <c r="D77" s="37"/>
      <c r="E77" s="24" t="s">
        <v>536</v>
      </c>
      <c r="F77" s="24"/>
      <c r="G77" s="24" t="str">
        <f t="shared" si="2"/>
        <v/>
      </c>
      <c r="H77" s="24" t="s">
        <v>672</v>
      </c>
      <c r="I77" s="24" t="str">
        <f t="shared" si="3"/>
        <v>ren "" "140.jpg"</v>
      </c>
      <c r="K77" s="24"/>
      <c r="W77" s="1"/>
      <c r="X77" s="2"/>
    </row>
    <row r="78" spans="1:24" x14ac:dyDescent="0.25">
      <c r="A78" s="24">
        <v>155</v>
      </c>
      <c r="B78" s="6" t="s">
        <v>1562</v>
      </c>
      <c r="C78" s="37" t="s">
        <v>573</v>
      </c>
      <c r="D78" s="37"/>
      <c r="E78" s="24" t="s">
        <v>534</v>
      </c>
      <c r="F78" s="24"/>
      <c r="G78" s="24" t="str">
        <f t="shared" si="2"/>
        <v/>
      </c>
      <c r="H78" s="24" t="s">
        <v>688</v>
      </c>
      <c r="I78" s="24" t="str">
        <f t="shared" si="3"/>
        <v>ren "" "155.jpg"</v>
      </c>
      <c r="K78" s="24"/>
      <c r="W78" s="1"/>
      <c r="X78" s="2"/>
    </row>
    <row r="79" spans="1:24" x14ac:dyDescent="0.25">
      <c r="A79" s="24">
        <v>156</v>
      </c>
      <c r="B79" s="6" t="s">
        <v>1562</v>
      </c>
      <c r="C79" s="37" t="s">
        <v>573</v>
      </c>
      <c r="D79" s="37"/>
      <c r="E79" s="24" t="s">
        <v>536</v>
      </c>
      <c r="F79" s="24"/>
      <c r="G79" s="24" t="str">
        <f t="shared" si="2"/>
        <v/>
      </c>
      <c r="H79" s="24" t="s">
        <v>689</v>
      </c>
      <c r="I79" s="24" t="str">
        <f t="shared" si="3"/>
        <v>ren "" "156.jpg"</v>
      </c>
      <c r="K79" s="24"/>
      <c r="W79" s="1"/>
      <c r="X79" s="2"/>
    </row>
    <row r="80" spans="1:24" x14ac:dyDescent="0.25">
      <c r="A80" s="24">
        <v>171</v>
      </c>
      <c r="B80" s="6" t="s">
        <v>1567</v>
      </c>
      <c r="C80" s="37" t="s">
        <v>573</v>
      </c>
      <c r="D80" s="37"/>
      <c r="E80" s="24" t="s">
        <v>534</v>
      </c>
      <c r="F80" s="24"/>
      <c r="G80" s="24" t="str">
        <f t="shared" si="2"/>
        <v/>
      </c>
      <c r="H80" s="24" t="s">
        <v>705</v>
      </c>
      <c r="I80" s="24" t="str">
        <f t="shared" si="3"/>
        <v>ren "" "171.jpg"</v>
      </c>
      <c r="K80" s="24"/>
      <c r="W80" s="1"/>
      <c r="X80" s="2"/>
    </row>
    <row r="81" spans="1:24" x14ac:dyDescent="0.25">
      <c r="A81" s="24">
        <v>172</v>
      </c>
      <c r="B81" s="6" t="s">
        <v>1567</v>
      </c>
      <c r="C81" s="37" t="s">
        <v>573</v>
      </c>
      <c r="D81" s="37"/>
      <c r="E81" s="24" t="s">
        <v>536</v>
      </c>
      <c r="F81" s="24"/>
      <c r="G81" s="24" t="str">
        <f t="shared" si="2"/>
        <v/>
      </c>
      <c r="H81" s="24" t="s">
        <v>706</v>
      </c>
      <c r="I81" s="24" t="str">
        <f t="shared" si="3"/>
        <v>ren "" "172.jpg"</v>
      </c>
      <c r="K81" s="24"/>
      <c r="W81" s="1"/>
      <c r="X81" s="2"/>
    </row>
    <row r="82" spans="1:24" x14ac:dyDescent="0.25">
      <c r="A82" s="24">
        <v>187</v>
      </c>
      <c r="B82" s="6" t="s">
        <v>1587</v>
      </c>
      <c r="C82" s="37" t="s">
        <v>573</v>
      </c>
      <c r="D82" s="37"/>
      <c r="E82" s="24" t="s">
        <v>534</v>
      </c>
      <c r="F82" s="24"/>
      <c r="G82" s="24" t="str">
        <f t="shared" si="2"/>
        <v/>
      </c>
      <c r="H82" s="24" t="s">
        <v>722</v>
      </c>
      <c r="I82" s="24" t="str">
        <f t="shared" si="3"/>
        <v>ren "" "187.jpg"</v>
      </c>
      <c r="K82" s="24"/>
      <c r="W82" s="1"/>
      <c r="X82" s="2"/>
    </row>
    <row r="83" spans="1:24" x14ac:dyDescent="0.25">
      <c r="A83" s="24">
        <v>188</v>
      </c>
      <c r="B83" s="6" t="s">
        <v>1587</v>
      </c>
      <c r="C83" s="37" t="s">
        <v>573</v>
      </c>
      <c r="D83" s="37"/>
      <c r="E83" s="24" t="s">
        <v>536</v>
      </c>
      <c r="F83" s="24"/>
      <c r="G83" s="24" t="str">
        <f t="shared" si="2"/>
        <v/>
      </c>
      <c r="H83" s="24" t="s">
        <v>723</v>
      </c>
      <c r="I83" s="24" t="str">
        <f t="shared" si="3"/>
        <v>ren "" "188.jpg"</v>
      </c>
      <c r="K83" s="24"/>
      <c r="W83" s="1"/>
      <c r="X83" s="2"/>
    </row>
    <row r="84" spans="1:24" x14ac:dyDescent="0.25">
      <c r="A84" s="24">
        <v>203</v>
      </c>
      <c r="B84" s="6" t="s">
        <v>1588</v>
      </c>
      <c r="C84" s="37" t="s">
        <v>573</v>
      </c>
      <c r="D84" s="37"/>
      <c r="E84" s="24" t="s">
        <v>534</v>
      </c>
      <c r="F84" s="24"/>
      <c r="G84" s="24" t="str">
        <f t="shared" si="2"/>
        <v/>
      </c>
      <c r="H84" s="24" t="s">
        <v>739</v>
      </c>
      <c r="I84" s="24" t="str">
        <f t="shared" si="3"/>
        <v>ren "" "203.jpg"</v>
      </c>
      <c r="K84" s="24"/>
      <c r="W84" s="1"/>
      <c r="X84" s="2"/>
    </row>
    <row r="85" spans="1:24" x14ac:dyDescent="0.25">
      <c r="A85" s="24">
        <v>204</v>
      </c>
      <c r="B85" s="6" t="s">
        <v>1588</v>
      </c>
      <c r="C85" s="37" t="s">
        <v>573</v>
      </c>
      <c r="D85" s="37"/>
      <c r="E85" s="24" t="s">
        <v>536</v>
      </c>
      <c r="F85" s="24"/>
      <c r="G85" s="24" t="str">
        <f t="shared" si="2"/>
        <v/>
      </c>
      <c r="H85" s="24" t="s">
        <v>740</v>
      </c>
      <c r="I85" s="24" t="str">
        <f t="shared" si="3"/>
        <v>ren "" "204.jpg"</v>
      </c>
      <c r="K85" s="24"/>
      <c r="W85" s="1"/>
      <c r="X85" s="2"/>
    </row>
    <row r="86" spans="1:24" x14ac:dyDescent="0.25">
      <c r="A86" s="24">
        <v>219</v>
      </c>
      <c r="B86" s="6" t="s">
        <v>1589</v>
      </c>
      <c r="C86" s="37" t="s">
        <v>573</v>
      </c>
      <c r="D86" s="37"/>
      <c r="E86" s="24" t="s">
        <v>534</v>
      </c>
      <c r="F86" s="24"/>
      <c r="G86" s="24" t="str">
        <f t="shared" si="2"/>
        <v/>
      </c>
      <c r="H86" s="24" t="s">
        <v>756</v>
      </c>
      <c r="I86" s="24" t="str">
        <f t="shared" si="3"/>
        <v>ren "" "219.jpg"</v>
      </c>
      <c r="K86" s="24"/>
      <c r="W86" s="1"/>
      <c r="X86" s="2"/>
    </row>
    <row r="87" spans="1:24" x14ac:dyDescent="0.25">
      <c r="A87" s="24">
        <v>220</v>
      </c>
      <c r="B87" s="6" t="s">
        <v>1589</v>
      </c>
      <c r="C87" s="37" t="s">
        <v>573</v>
      </c>
      <c r="D87" s="37"/>
      <c r="E87" s="24" t="s">
        <v>536</v>
      </c>
      <c r="F87" s="24"/>
      <c r="G87" s="24" t="str">
        <f t="shared" si="2"/>
        <v/>
      </c>
      <c r="H87" s="24" t="s">
        <v>757</v>
      </c>
      <c r="I87" s="24" t="str">
        <f t="shared" si="3"/>
        <v>ren "" "220.jpg"</v>
      </c>
      <c r="K87" s="24"/>
      <c r="W87" s="1"/>
      <c r="X87" s="2"/>
    </row>
    <row r="88" spans="1:24" x14ac:dyDescent="0.25">
      <c r="A88" s="24">
        <v>235</v>
      </c>
      <c r="B88" s="6" t="s">
        <v>1590</v>
      </c>
      <c r="C88" s="37" t="s">
        <v>573</v>
      </c>
      <c r="D88" s="37"/>
      <c r="E88" s="24" t="s">
        <v>534</v>
      </c>
      <c r="F88" s="24"/>
      <c r="G88" s="24" t="str">
        <f t="shared" si="2"/>
        <v/>
      </c>
      <c r="H88" s="24" t="s">
        <v>773</v>
      </c>
      <c r="I88" s="24" t="str">
        <f t="shared" si="3"/>
        <v>ren "" "235.jpg"</v>
      </c>
      <c r="K88" s="24"/>
      <c r="W88" s="1"/>
      <c r="X88" s="2"/>
    </row>
    <row r="89" spans="1:24" x14ac:dyDescent="0.25">
      <c r="A89" s="24">
        <v>236</v>
      </c>
      <c r="B89" s="6" t="s">
        <v>1590</v>
      </c>
      <c r="C89" s="37" t="s">
        <v>573</v>
      </c>
      <c r="D89" s="37"/>
      <c r="E89" s="24" t="s">
        <v>536</v>
      </c>
      <c r="F89" s="24"/>
      <c r="G89" s="24" t="str">
        <f t="shared" si="2"/>
        <v/>
      </c>
      <c r="H89" s="24" t="s">
        <v>774</v>
      </c>
      <c r="I89" s="24" t="str">
        <f t="shared" si="3"/>
        <v>ren "" "236.jpg"</v>
      </c>
      <c r="K89" s="24"/>
      <c r="W89" s="1"/>
      <c r="X89" s="2"/>
    </row>
    <row r="90" spans="1:24" x14ac:dyDescent="0.25">
      <c r="A90" s="24">
        <v>251</v>
      </c>
      <c r="B90" s="6" t="s">
        <v>1591</v>
      </c>
      <c r="C90" s="37" t="s">
        <v>573</v>
      </c>
      <c r="D90" s="37"/>
      <c r="E90" s="24" t="s">
        <v>534</v>
      </c>
      <c r="F90" s="24"/>
      <c r="G90" s="24" t="str">
        <f t="shared" si="2"/>
        <v/>
      </c>
      <c r="H90" s="24" t="s">
        <v>790</v>
      </c>
      <c r="I90" s="24" t="str">
        <f t="shared" si="3"/>
        <v>ren "" "251.jpg"</v>
      </c>
      <c r="K90" s="24"/>
      <c r="W90" s="1"/>
      <c r="X90" s="2"/>
    </row>
    <row r="91" spans="1:24" x14ac:dyDescent="0.25">
      <c r="A91" s="24">
        <v>252</v>
      </c>
      <c r="B91" s="6" t="s">
        <v>1591</v>
      </c>
      <c r="C91" s="37" t="s">
        <v>573</v>
      </c>
      <c r="D91" s="37"/>
      <c r="E91" s="24" t="s">
        <v>536</v>
      </c>
      <c r="F91" s="24"/>
      <c r="G91" s="24" t="str">
        <f t="shared" si="2"/>
        <v/>
      </c>
      <c r="H91" s="24" t="s">
        <v>791</v>
      </c>
      <c r="I91" s="24" t="str">
        <f t="shared" si="3"/>
        <v>ren "" "252.jpg"</v>
      </c>
      <c r="K91" s="24"/>
      <c r="W91" s="1"/>
      <c r="X91" s="2"/>
    </row>
    <row r="92" spans="1:24" x14ac:dyDescent="0.25">
      <c r="A92" s="24">
        <v>269</v>
      </c>
      <c r="B92" s="6" t="s">
        <v>1570</v>
      </c>
      <c r="C92" s="6" t="s">
        <v>1571</v>
      </c>
      <c r="D92" s="6"/>
      <c r="E92" s="24" t="s">
        <v>534</v>
      </c>
      <c r="F92" s="24" t="s">
        <v>1614</v>
      </c>
      <c r="G92" s="24" t="str">
        <f t="shared" si="2"/>
        <v>FLIR0166- photo.jpg</v>
      </c>
      <c r="H92" s="24" t="s">
        <v>809</v>
      </c>
      <c r="I92" s="24" t="str">
        <f t="shared" si="3"/>
        <v>ren "FLIR0166- photo.jpg" "269.jpg"</v>
      </c>
      <c r="K92" s="24"/>
      <c r="W92" s="1"/>
      <c r="X92" s="2"/>
    </row>
    <row r="93" spans="1:24" x14ac:dyDescent="0.25">
      <c r="A93" s="24">
        <v>270</v>
      </c>
      <c r="B93" s="6" t="s">
        <v>1570</v>
      </c>
      <c r="C93" s="6" t="s">
        <v>1571</v>
      </c>
      <c r="D93" s="6"/>
      <c r="E93" s="24" t="s">
        <v>536</v>
      </c>
      <c r="F93" s="24" t="s">
        <v>1615</v>
      </c>
      <c r="G93" s="24" t="str">
        <f t="shared" si="2"/>
        <v>FLIR0166.jpg</v>
      </c>
      <c r="H93" s="24" t="s">
        <v>810</v>
      </c>
      <c r="I93" s="24" t="str">
        <f t="shared" si="3"/>
        <v>ren "FLIR0166.jpg" "270.jpg"</v>
      </c>
      <c r="K93" s="24"/>
      <c r="W93" s="1"/>
      <c r="X93" s="2"/>
    </row>
    <row r="94" spans="1:24" x14ac:dyDescent="0.25">
      <c r="A94" s="24">
        <v>275</v>
      </c>
      <c r="B94" s="6" t="s">
        <v>1570</v>
      </c>
      <c r="C94" s="6" t="s">
        <v>1571</v>
      </c>
      <c r="D94" s="6"/>
      <c r="E94" s="24" t="s">
        <v>534</v>
      </c>
      <c r="F94" s="24" t="s">
        <v>1616</v>
      </c>
      <c r="G94" s="24" t="str">
        <f t="shared" si="2"/>
        <v>FLIR0168- photo.jpg</v>
      </c>
      <c r="H94" s="24" t="s">
        <v>816</v>
      </c>
      <c r="I94" s="24" t="str">
        <f t="shared" si="3"/>
        <v>ren "FLIR0168- photo.jpg" "275.jpg"</v>
      </c>
      <c r="K94" s="24"/>
      <c r="W94" s="1"/>
      <c r="X94" s="2"/>
    </row>
    <row r="95" spans="1:24" x14ac:dyDescent="0.25">
      <c r="A95" s="24">
        <v>276</v>
      </c>
      <c r="B95" s="6" t="s">
        <v>1570</v>
      </c>
      <c r="C95" s="6" t="s">
        <v>1571</v>
      </c>
      <c r="D95" s="6"/>
      <c r="E95" s="24" t="s">
        <v>536</v>
      </c>
      <c r="F95" s="24" t="s">
        <v>1617</v>
      </c>
      <c r="G95" s="24" t="str">
        <f t="shared" si="2"/>
        <v>FLIR0168.jpg</v>
      </c>
      <c r="H95" s="24" t="s">
        <v>817</v>
      </c>
      <c r="I95" s="24" t="str">
        <f t="shared" si="3"/>
        <v>ren "FLIR0168.jpg" "276.jpg"</v>
      </c>
      <c r="K95" s="24"/>
      <c r="W95" s="1"/>
      <c r="X95" s="2"/>
    </row>
    <row r="96" spans="1:24" x14ac:dyDescent="0.25">
      <c r="A96" s="24">
        <v>285</v>
      </c>
      <c r="B96" s="6" t="s">
        <v>1574</v>
      </c>
      <c r="C96" s="6" t="s">
        <v>1571</v>
      </c>
      <c r="D96" s="6"/>
      <c r="E96" s="24" t="s">
        <v>534</v>
      </c>
      <c r="F96" s="24"/>
      <c r="G96" s="24" t="str">
        <f t="shared" si="2"/>
        <v/>
      </c>
      <c r="H96" s="24" t="s">
        <v>826</v>
      </c>
      <c r="I96" s="24" t="str">
        <f t="shared" si="3"/>
        <v>ren "" "285.jpg"</v>
      </c>
      <c r="K96" s="24"/>
      <c r="W96" s="1"/>
      <c r="X96" s="2"/>
    </row>
    <row r="97" spans="1:24" x14ac:dyDescent="0.25">
      <c r="A97" s="24">
        <v>286</v>
      </c>
      <c r="B97" s="6" t="s">
        <v>1574</v>
      </c>
      <c r="C97" s="6" t="s">
        <v>1571</v>
      </c>
      <c r="D97" s="6"/>
      <c r="E97" s="24" t="s">
        <v>536</v>
      </c>
      <c r="F97" s="24"/>
      <c r="G97" s="24" t="str">
        <f t="shared" si="2"/>
        <v/>
      </c>
      <c r="H97" s="24" t="s">
        <v>827</v>
      </c>
      <c r="I97" s="24" t="str">
        <f t="shared" si="3"/>
        <v>ren "" "286.jpg"</v>
      </c>
      <c r="K97" s="24"/>
      <c r="W97" s="1"/>
      <c r="X97" s="2"/>
    </row>
    <row r="98" spans="1:24" x14ac:dyDescent="0.25">
      <c r="A98" s="24">
        <v>291</v>
      </c>
      <c r="B98" s="6" t="s">
        <v>1574</v>
      </c>
      <c r="C98" s="6" t="s">
        <v>1571</v>
      </c>
      <c r="D98" s="6"/>
      <c r="E98" s="24" t="s">
        <v>534</v>
      </c>
      <c r="F98" s="24"/>
      <c r="G98" s="24" t="str">
        <f t="shared" si="2"/>
        <v/>
      </c>
      <c r="H98" s="24" t="s">
        <v>833</v>
      </c>
      <c r="I98" s="24" t="str">
        <f t="shared" si="3"/>
        <v>ren "" "291.jpg"</v>
      </c>
      <c r="K98" s="24"/>
      <c r="W98" s="1"/>
      <c r="X98" s="2"/>
    </row>
    <row r="99" spans="1:24" x14ac:dyDescent="0.25">
      <c r="A99" s="24">
        <v>292</v>
      </c>
      <c r="B99" s="6" t="s">
        <v>1574</v>
      </c>
      <c r="C99" s="6" t="s">
        <v>1571</v>
      </c>
      <c r="D99" s="6"/>
      <c r="E99" s="24" t="s">
        <v>536</v>
      </c>
      <c r="F99" s="24"/>
      <c r="G99" s="24" t="str">
        <f t="shared" si="2"/>
        <v/>
      </c>
      <c r="H99" s="24" t="s">
        <v>834</v>
      </c>
      <c r="I99" s="24" t="str">
        <f t="shared" si="3"/>
        <v>ren "" "292.jpg"</v>
      </c>
      <c r="K99" s="24"/>
      <c r="W99" s="1"/>
      <c r="X99" s="2"/>
    </row>
    <row r="100" spans="1:24" x14ac:dyDescent="0.25">
      <c r="A100" s="24">
        <v>271</v>
      </c>
      <c r="B100" s="6" t="s">
        <v>1570</v>
      </c>
      <c r="C100" s="6" t="s">
        <v>1572</v>
      </c>
      <c r="D100" s="6"/>
      <c r="E100" s="24" t="s">
        <v>534</v>
      </c>
      <c r="F100" s="24" t="s">
        <v>1618</v>
      </c>
      <c r="G100" s="24" t="str">
        <f t="shared" si="2"/>
        <v>FLIR0167- photo.jpg</v>
      </c>
      <c r="H100" s="24" t="s">
        <v>811</v>
      </c>
      <c r="I100" s="24" t="str">
        <f t="shared" si="3"/>
        <v>ren "FLIR0167- photo.jpg" "271.jpg"</v>
      </c>
      <c r="K100" s="24"/>
      <c r="W100" s="1"/>
      <c r="X100" s="2"/>
    </row>
    <row r="101" spans="1:24" x14ac:dyDescent="0.25">
      <c r="A101" s="24">
        <v>272</v>
      </c>
      <c r="B101" s="6" t="s">
        <v>1570</v>
      </c>
      <c r="C101" s="6" t="s">
        <v>1572</v>
      </c>
      <c r="D101" s="6"/>
      <c r="E101" s="24" t="s">
        <v>536</v>
      </c>
      <c r="F101" s="24" t="s">
        <v>1619</v>
      </c>
      <c r="G101" s="24" t="str">
        <f t="shared" si="2"/>
        <v>FLIR0167.jpg</v>
      </c>
      <c r="H101" s="24" t="s">
        <v>812</v>
      </c>
      <c r="I101" s="24" t="str">
        <f t="shared" si="3"/>
        <v>ren "FLIR0167.jpg" "272.jpg"</v>
      </c>
      <c r="K101" s="24"/>
      <c r="W101" s="1"/>
      <c r="X101" s="2"/>
    </row>
    <row r="102" spans="1:24" x14ac:dyDescent="0.25">
      <c r="A102" s="24">
        <v>277</v>
      </c>
      <c r="B102" s="6" t="s">
        <v>1570</v>
      </c>
      <c r="C102" s="6" t="s">
        <v>1572</v>
      </c>
      <c r="D102" s="6"/>
      <c r="E102" s="24" t="s">
        <v>534</v>
      </c>
      <c r="F102" s="24" t="s">
        <v>1620</v>
      </c>
      <c r="G102" s="24" t="str">
        <f t="shared" si="2"/>
        <v>FLIR0169- photo.jpg</v>
      </c>
      <c r="H102" s="24" t="s">
        <v>818</v>
      </c>
      <c r="I102" s="24" t="str">
        <f t="shared" si="3"/>
        <v>ren "FLIR0169- photo.jpg" "277.jpg"</v>
      </c>
      <c r="K102" s="24"/>
      <c r="W102" s="1"/>
      <c r="X102" s="2"/>
    </row>
    <row r="103" spans="1:24" x14ac:dyDescent="0.25">
      <c r="A103" s="24">
        <v>278</v>
      </c>
      <c r="B103" s="6" t="s">
        <v>1570</v>
      </c>
      <c r="C103" s="6" t="s">
        <v>1572</v>
      </c>
      <c r="D103" s="6"/>
      <c r="E103" s="24" t="s">
        <v>536</v>
      </c>
      <c r="F103" s="24" t="s">
        <v>1621</v>
      </c>
      <c r="G103" s="24" t="str">
        <f t="shared" si="2"/>
        <v>FLIR0169.jpg</v>
      </c>
      <c r="H103" s="24" t="s">
        <v>819</v>
      </c>
      <c r="I103" s="24" t="str">
        <f t="shared" si="3"/>
        <v>ren "FLIR0169.jpg" "278.jpg"</v>
      </c>
      <c r="K103" s="24"/>
      <c r="W103" s="1"/>
      <c r="X103" s="2"/>
    </row>
    <row r="104" spans="1:24" x14ac:dyDescent="0.25">
      <c r="A104" s="24">
        <v>287</v>
      </c>
      <c r="B104" s="6" t="s">
        <v>1574</v>
      </c>
      <c r="C104" s="6" t="s">
        <v>1572</v>
      </c>
      <c r="D104" s="6"/>
      <c r="E104" s="24" t="s">
        <v>534</v>
      </c>
      <c r="F104" s="24"/>
      <c r="G104" s="24" t="str">
        <f t="shared" si="2"/>
        <v/>
      </c>
      <c r="H104" s="24" t="s">
        <v>828</v>
      </c>
      <c r="I104" s="24" t="str">
        <f t="shared" si="3"/>
        <v>ren "" "287.jpg"</v>
      </c>
      <c r="K104" s="24"/>
      <c r="W104" s="1"/>
      <c r="X104" s="2"/>
    </row>
    <row r="105" spans="1:24" x14ac:dyDescent="0.25">
      <c r="A105" s="24">
        <v>288</v>
      </c>
      <c r="B105" s="6" t="s">
        <v>1574</v>
      </c>
      <c r="C105" s="6" t="s">
        <v>1572</v>
      </c>
      <c r="D105" s="6"/>
      <c r="E105" s="24" t="s">
        <v>536</v>
      </c>
      <c r="F105" s="24"/>
      <c r="G105" s="24" t="str">
        <f t="shared" si="2"/>
        <v/>
      </c>
      <c r="H105" s="24" t="s">
        <v>829</v>
      </c>
      <c r="I105" s="24" t="str">
        <f t="shared" si="3"/>
        <v>ren "" "288.jpg"</v>
      </c>
      <c r="K105" s="24"/>
      <c r="W105" s="1"/>
      <c r="X105" s="2"/>
    </row>
    <row r="106" spans="1:24" x14ac:dyDescent="0.25">
      <c r="A106" s="24">
        <v>293</v>
      </c>
      <c r="B106" s="6" t="s">
        <v>1574</v>
      </c>
      <c r="C106" s="6" t="s">
        <v>1572</v>
      </c>
      <c r="D106" s="6"/>
      <c r="E106" s="24" t="s">
        <v>534</v>
      </c>
      <c r="F106" s="24"/>
      <c r="G106" s="24" t="str">
        <f t="shared" si="2"/>
        <v/>
      </c>
      <c r="H106" s="24" t="s">
        <v>835</v>
      </c>
      <c r="I106" s="24" t="str">
        <f t="shared" si="3"/>
        <v>ren "" "293.jpg"</v>
      </c>
      <c r="K106" s="24"/>
      <c r="W106" s="1"/>
      <c r="X106" s="2"/>
    </row>
    <row r="107" spans="1:24" x14ac:dyDescent="0.25">
      <c r="A107" s="24">
        <v>294</v>
      </c>
      <c r="B107" s="6" t="s">
        <v>1574</v>
      </c>
      <c r="C107" s="6" t="s">
        <v>1572</v>
      </c>
      <c r="D107" s="6"/>
      <c r="E107" s="24" t="s">
        <v>536</v>
      </c>
      <c r="F107" s="24"/>
      <c r="G107" s="24" t="str">
        <f t="shared" si="2"/>
        <v/>
      </c>
      <c r="H107" s="24" t="s">
        <v>836</v>
      </c>
      <c r="I107" s="24" t="str">
        <f t="shared" si="3"/>
        <v>ren "" "294.jpg"</v>
      </c>
      <c r="K107" s="24"/>
      <c r="W107" s="1"/>
      <c r="X107" s="2"/>
    </row>
    <row r="108" spans="1:24" x14ac:dyDescent="0.25">
      <c r="A108" s="24">
        <v>29</v>
      </c>
      <c r="B108" s="6" t="s">
        <v>1534</v>
      </c>
      <c r="C108" s="37" t="s">
        <v>576</v>
      </c>
      <c r="D108" s="37"/>
      <c r="E108" s="24" t="s">
        <v>534</v>
      </c>
      <c r="F108" s="24" t="s">
        <v>1622</v>
      </c>
      <c r="G108" s="24" t="str">
        <f t="shared" si="2"/>
        <v>FLIR0178- photo.jpg</v>
      </c>
      <c r="H108" s="24" t="s">
        <v>1543</v>
      </c>
      <c r="I108" s="24" t="str">
        <f t="shared" si="3"/>
        <v>ren "FLIR0178- photo.jpg" "29.jpg"</v>
      </c>
      <c r="K108" s="24" t="s">
        <v>1623</v>
      </c>
      <c r="W108" s="1"/>
      <c r="X108" s="2"/>
    </row>
    <row r="109" spans="1:24" x14ac:dyDescent="0.25">
      <c r="A109" s="24">
        <v>30</v>
      </c>
      <c r="B109" s="6" t="s">
        <v>1534</v>
      </c>
      <c r="C109" s="37" t="s">
        <v>576</v>
      </c>
      <c r="D109" s="37"/>
      <c r="E109" s="24" t="s">
        <v>536</v>
      </c>
      <c r="F109" s="24" t="s">
        <v>1624</v>
      </c>
      <c r="G109" s="24" t="str">
        <f t="shared" si="2"/>
        <v>FLIR0178.jpg</v>
      </c>
      <c r="H109" s="24" t="s">
        <v>1544</v>
      </c>
      <c r="I109" s="24" t="str">
        <f t="shared" si="3"/>
        <v>ren "FLIR0178.jpg" "30.jpg"</v>
      </c>
      <c r="K109" s="24" t="s">
        <v>1625</v>
      </c>
      <c r="W109" s="1"/>
      <c r="X109" s="2"/>
    </row>
    <row r="110" spans="1:24" x14ac:dyDescent="0.25">
      <c r="A110" s="24">
        <v>45</v>
      </c>
      <c r="B110" s="6" t="s">
        <v>1535</v>
      </c>
      <c r="C110" s="37" t="s">
        <v>576</v>
      </c>
      <c r="D110" s="37"/>
      <c r="E110" s="24" t="s">
        <v>534</v>
      </c>
      <c r="F110" s="24" t="s">
        <v>1626</v>
      </c>
      <c r="G110" s="24" t="str">
        <f t="shared" si="2"/>
        <v>FLIR0179- photo.jpg</v>
      </c>
      <c r="H110" s="24" t="s">
        <v>1563</v>
      </c>
      <c r="I110" s="24" t="str">
        <f t="shared" si="3"/>
        <v>ren "FLIR0179- photo.jpg" "45.jpg"</v>
      </c>
      <c r="K110" s="24" t="s">
        <v>1627</v>
      </c>
      <c r="W110" s="1"/>
      <c r="X110" s="2"/>
    </row>
    <row r="111" spans="1:24" x14ac:dyDescent="0.25">
      <c r="A111" s="24">
        <v>46</v>
      </c>
      <c r="B111" s="6" t="s">
        <v>1535</v>
      </c>
      <c r="C111" s="37" t="s">
        <v>576</v>
      </c>
      <c r="D111" s="37"/>
      <c r="E111" s="24" t="s">
        <v>536</v>
      </c>
      <c r="F111" s="24" t="s">
        <v>1628</v>
      </c>
      <c r="G111" s="24" t="str">
        <f t="shared" si="2"/>
        <v>FLIR0179.jpg</v>
      </c>
      <c r="H111" s="24" t="s">
        <v>1564</v>
      </c>
      <c r="I111" s="24" t="str">
        <f t="shared" si="3"/>
        <v>ren "FLIR0179.jpg" "46.jpg"</v>
      </c>
      <c r="K111" s="24" t="s">
        <v>1629</v>
      </c>
      <c r="W111" s="1"/>
      <c r="X111" s="2"/>
    </row>
    <row r="112" spans="1:24" x14ac:dyDescent="0.25">
      <c r="A112" s="24">
        <v>61</v>
      </c>
      <c r="B112" s="6" t="s">
        <v>1536</v>
      </c>
      <c r="C112" s="37" t="s">
        <v>576</v>
      </c>
      <c r="D112" s="37"/>
      <c r="E112" s="24" t="s">
        <v>534</v>
      </c>
      <c r="F112" s="24" t="s">
        <v>1630</v>
      </c>
      <c r="G112" s="24" t="str">
        <f t="shared" si="2"/>
        <v>FLIR0180- photo.jpg</v>
      </c>
      <c r="H112" s="24" t="s">
        <v>586</v>
      </c>
      <c r="I112" s="24" t="str">
        <f t="shared" si="3"/>
        <v>ren "FLIR0180- photo.jpg" "61.jpg"</v>
      </c>
      <c r="K112" s="24" t="s">
        <v>1631</v>
      </c>
      <c r="W112" s="1"/>
      <c r="X112" s="2"/>
    </row>
    <row r="113" spans="1:24" x14ac:dyDescent="0.25">
      <c r="A113" s="24">
        <v>62</v>
      </c>
      <c r="B113" s="6" t="s">
        <v>1536</v>
      </c>
      <c r="C113" s="37" t="s">
        <v>576</v>
      </c>
      <c r="D113" s="37"/>
      <c r="E113" s="24" t="s">
        <v>536</v>
      </c>
      <c r="F113" s="24" t="s">
        <v>1632</v>
      </c>
      <c r="G113" s="24" t="str">
        <f t="shared" si="2"/>
        <v>FLIR0180.jpg</v>
      </c>
      <c r="H113" s="24" t="s">
        <v>587</v>
      </c>
      <c r="I113" s="24" t="str">
        <f t="shared" si="3"/>
        <v>ren "FLIR0180.jpg" "62.jpg"</v>
      </c>
      <c r="K113" s="24" t="s">
        <v>1633</v>
      </c>
      <c r="W113" s="1"/>
      <c r="X113" s="2"/>
    </row>
    <row r="114" spans="1:24" x14ac:dyDescent="0.25">
      <c r="A114" s="24">
        <v>77</v>
      </c>
      <c r="B114" s="6" t="s">
        <v>1537</v>
      </c>
      <c r="C114" s="37" t="s">
        <v>576</v>
      </c>
      <c r="D114" s="37"/>
      <c r="E114" s="24" t="s">
        <v>534</v>
      </c>
      <c r="F114" s="24"/>
      <c r="G114" s="24" t="str">
        <f t="shared" si="2"/>
        <v/>
      </c>
      <c r="H114" s="24" t="s">
        <v>605</v>
      </c>
      <c r="I114" s="24" t="str">
        <f t="shared" si="3"/>
        <v>ren "" "77.jpg"</v>
      </c>
      <c r="K114" s="24" t="s">
        <v>1634</v>
      </c>
      <c r="W114" s="1"/>
      <c r="X114" s="2"/>
    </row>
    <row r="115" spans="1:24" x14ac:dyDescent="0.25">
      <c r="A115" s="24">
        <v>78</v>
      </c>
      <c r="B115" s="6" t="s">
        <v>1537</v>
      </c>
      <c r="C115" s="37" t="s">
        <v>576</v>
      </c>
      <c r="D115" s="37"/>
      <c r="E115" s="24" t="s">
        <v>536</v>
      </c>
      <c r="F115" s="24"/>
      <c r="G115" s="24" t="str">
        <f t="shared" si="2"/>
        <v/>
      </c>
      <c r="H115" s="24" t="s">
        <v>606</v>
      </c>
      <c r="I115" s="24" t="str">
        <f t="shared" si="3"/>
        <v>ren "" "78.jpg"</v>
      </c>
      <c r="K115" s="24" t="s">
        <v>1635</v>
      </c>
      <c r="W115" s="1"/>
      <c r="X115" s="2"/>
    </row>
    <row r="116" spans="1:24" x14ac:dyDescent="0.25">
      <c r="A116" s="24">
        <v>93</v>
      </c>
      <c r="B116" s="6" t="s">
        <v>1542</v>
      </c>
      <c r="C116" s="37" t="s">
        <v>576</v>
      </c>
      <c r="D116" s="37"/>
      <c r="E116" s="24" t="s">
        <v>534</v>
      </c>
      <c r="F116" s="24"/>
      <c r="G116" s="24" t="str">
        <f t="shared" si="2"/>
        <v/>
      </c>
      <c r="H116" s="24" t="s">
        <v>622</v>
      </c>
      <c r="I116" s="24" t="str">
        <f t="shared" si="3"/>
        <v>ren "" "93.jpg"</v>
      </c>
      <c r="K116" s="24" t="s">
        <v>1636</v>
      </c>
      <c r="W116" s="1"/>
      <c r="X116" s="2"/>
    </row>
    <row r="117" spans="1:24" x14ac:dyDescent="0.25">
      <c r="A117" s="24">
        <v>94</v>
      </c>
      <c r="B117" s="6" t="s">
        <v>1542</v>
      </c>
      <c r="C117" s="37" t="s">
        <v>576</v>
      </c>
      <c r="D117" s="37"/>
      <c r="E117" s="24" t="s">
        <v>536</v>
      </c>
      <c r="F117" s="24"/>
      <c r="G117" s="24" t="str">
        <f t="shared" si="2"/>
        <v/>
      </c>
      <c r="H117" s="24" t="s">
        <v>623</v>
      </c>
      <c r="I117" s="24" t="str">
        <f t="shared" si="3"/>
        <v>ren "" "94.jpg"</v>
      </c>
      <c r="K117" s="24" t="s">
        <v>1637</v>
      </c>
      <c r="W117" s="1"/>
      <c r="X117" s="2"/>
    </row>
    <row r="118" spans="1:24" x14ac:dyDescent="0.25">
      <c r="A118" s="24">
        <v>109</v>
      </c>
      <c r="B118" s="6" t="s">
        <v>1547</v>
      </c>
      <c r="C118" s="37" t="s">
        <v>576</v>
      </c>
      <c r="D118" s="37"/>
      <c r="E118" s="24" t="s">
        <v>534</v>
      </c>
      <c r="F118" s="24"/>
      <c r="G118" s="24" t="str">
        <f t="shared" si="2"/>
        <v/>
      </c>
      <c r="H118" s="24" t="s">
        <v>639</v>
      </c>
      <c r="I118" s="24" t="str">
        <f t="shared" si="3"/>
        <v>ren "" "109.jpg"</v>
      </c>
      <c r="K118" s="24" t="s">
        <v>1638</v>
      </c>
      <c r="W118" s="1"/>
      <c r="X118" s="2"/>
    </row>
    <row r="119" spans="1:24" x14ac:dyDescent="0.25">
      <c r="A119" s="24">
        <v>110</v>
      </c>
      <c r="B119" s="6" t="s">
        <v>1547</v>
      </c>
      <c r="C119" s="37" t="s">
        <v>576</v>
      </c>
      <c r="D119" s="37"/>
      <c r="E119" s="24" t="s">
        <v>536</v>
      </c>
      <c r="F119" s="24"/>
      <c r="G119" s="24" t="str">
        <f t="shared" si="2"/>
        <v/>
      </c>
      <c r="H119" s="24" t="s">
        <v>640</v>
      </c>
      <c r="I119" s="24" t="str">
        <f t="shared" si="3"/>
        <v>ren "" "110.jpg"</v>
      </c>
      <c r="K119" s="24" t="s">
        <v>1639</v>
      </c>
      <c r="W119" s="1"/>
      <c r="X119" s="2"/>
    </row>
    <row r="120" spans="1:24" x14ac:dyDescent="0.25">
      <c r="A120" s="24">
        <v>125</v>
      </c>
      <c r="B120" s="6" t="s">
        <v>1552</v>
      </c>
      <c r="C120" s="37" t="s">
        <v>576</v>
      </c>
      <c r="D120" s="37"/>
      <c r="E120" s="24" t="s">
        <v>534</v>
      </c>
      <c r="F120" s="24"/>
      <c r="G120" s="24" t="str">
        <f t="shared" si="2"/>
        <v/>
      </c>
      <c r="H120" s="24" t="s">
        <v>656</v>
      </c>
      <c r="I120" s="24" t="str">
        <f t="shared" si="3"/>
        <v>ren "" "125.jpg"</v>
      </c>
      <c r="K120" s="24" t="s">
        <v>1640</v>
      </c>
      <c r="W120" s="1"/>
      <c r="X120" s="2"/>
    </row>
    <row r="121" spans="1:24" x14ac:dyDescent="0.25">
      <c r="A121" s="24">
        <v>126</v>
      </c>
      <c r="B121" s="6" t="s">
        <v>1552</v>
      </c>
      <c r="C121" s="37" t="s">
        <v>576</v>
      </c>
      <c r="D121" s="37"/>
      <c r="E121" s="24" t="s">
        <v>536</v>
      </c>
      <c r="F121" s="24"/>
      <c r="G121" s="24" t="str">
        <f t="shared" si="2"/>
        <v/>
      </c>
      <c r="H121" s="24" t="s">
        <v>657</v>
      </c>
      <c r="I121" s="24" t="str">
        <f t="shared" si="3"/>
        <v>ren "" "126.jpg"</v>
      </c>
      <c r="K121" s="24" t="s">
        <v>1641</v>
      </c>
      <c r="W121" s="1"/>
      <c r="X121" s="2"/>
    </row>
    <row r="122" spans="1:24" x14ac:dyDescent="0.25">
      <c r="A122" s="24">
        <v>141</v>
      </c>
      <c r="B122" s="6" t="s">
        <v>1557</v>
      </c>
      <c r="C122" s="37" t="s">
        <v>576</v>
      </c>
      <c r="D122" s="37"/>
      <c r="E122" s="24" t="s">
        <v>534</v>
      </c>
      <c r="F122" s="24"/>
      <c r="G122" s="24" t="str">
        <f t="shared" si="2"/>
        <v/>
      </c>
      <c r="H122" s="24" t="s">
        <v>673</v>
      </c>
      <c r="I122" s="24" t="str">
        <f t="shared" si="3"/>
        <v>ren "" "141.jpg"</v>
      </c>
      <c r="K122" s="24" t="s">
        <v>1642</v>
      </c>
      <c r="W122" s="1"/>
      <c r="X122" s="2"/>
    </row>
    <row r="123" spans="1:24" x14ac:dyDescent="0.25">
      <c r="A123" s="24">
        <v>142</v>
      </c>
      <c r="B123" s="6" t="s">
        <v>1557</v>
      </c>
      <c r="C123" s="37" t="s">
        <v>576</v>
      </c>
      <c r="D123" s="37"/>
      <c r="E123" s="24" t="s">
        <v>536</v>
      </c>
      <c r="F123" s="24"/>
      <c r="G123" s="24" t="str">
        <f t="shared" si="2"/>
        <v/>
      </c>
      <c r="H123" s="24" t="s">
        <v>674</v>
      </c>
      <c r="I123" s="24" t="str">
        <f t="shared" si="3"/>
        <v>ren "" "142.jpg"</v>
      </c>
      <c r="K123" s="24" t="s">
        <v>1643</v>
      </c>
      <c r="W123" s="1"/>
      <c r="X123" s="2"/>
    </row>
    <row r="124" spans="1:24" x14ac:dyDescent="0.25">
      <c r="A124" s="24">
        <v>157</v>
      </c>
      <c r="B124" s="6" t="s">
        <v>1562</v>
      </c>
      <c r="C124" s="37" t="s">
        <v>576</v>
      </c>
      <c r="D124" s="37"/>
      <c r="E124" s="24" t="s">
        <v>534</v>
      </c>
      <c r="F124" s="24"/>
      <c r="G124" s="24" t="str">
        <f t="shared" si="2"/>
        <v/>
      </c>
      <c r="H124" s="24" t="s">
        <v>690</v>
      </c>
      <c r="I124" s="24" t="str">
        <f t="shared" si="3"/>
        <v>ren "" "157.jpg"</v>
      </c>
      <c r="K124" s="24"/>
      <c r="W124" s="1"/>
      <c r="X124" s="2"/>
    </row>
    <row r="125" spans="1:24" x14ac:dyDescent="0.25">
      <c r="A125" s="24">
        <v>158</v>
      </c>
      <c r="B125" s="6" t="s">
        <v>1562</v>
      </c>
      <c r="C125" s="37" t="s">
        <v>576</v>
      </c>
      <c r="D125" s="37"/>
      <c r="E125" s="24" t="s">
        <v>536</v>
      </c>
      <c r="F125" s="24"/>
      <c r="G125" s="24" t="str">
        <f t="shared" si="2"/>
        <v/>
      </c>
      <c r="H125" s="24" t="s">
        <v>691</v>
      </c>
      <c r="I125" s="24" t="str">
        <f t="shared" si="3"/>
        <v>ren "" "158.jpg"</v>
      </c>
      <c r="K125" s="24"/>
      <c r="W125" s="1"/>
      <c r="X125" s="2"/>
    </row>
    <row r="126" spans="1:24" x14ac:dyDescent="0.25">
      <c r="A126" s="24">
        <v>173</v>
      </c>
      <c r="B126" s="6" t="s">
        <v>1567</v>
      </c>
      <c r="C126" s="37" t="s">
        <v>576</v>
      </c>
      <c r="D126" s="37"/>
      <c r="E126" s="24" t="s">
        <v>534</v>
      </c>
      <c r="F126" s="24"/>
      <c r="G126" s="24" t="str">
        <f t="shared" si="2"/>
        <v/>
      </c>
      <c r="H126" s="24" t="s">
        <v>707</v>
      </c>
      <c r="I126" s="24" t="str">
        <f t="shared" si="3"/>
        <v>ren "" "173.jpg"</v>
      </c>
      <c r="K126" s="24"/>
      <c r="W126" s="1"/>
      <c r="X126" s="2"/>
    </row>
    <row r="127" spans="1:24" x14ac:dyDescent="0.25">
      <c r="A127" s="24">
        <v>174</v>
      </c>
      <c r="B127" s="6" t="s">
        <v>1567</v>
      </c>
      <c r="C127" s="37" t="s">
        <v>576</v>
      </c>
      <c r="D127" s="37"/>
      <c r="E127" s="24" t="s">
        <v>536</v>
      </c>
      <c r="F127" s="24"/>
      <c r="G127" s="24" t="str">
        <f t="shared" si="2"/>
        <v/>
      </c>
      <c r="H127" s="24" t="s">
        <v>708</v>
      </c>
      <c r="I127" s="24" t="str">
        <f t="shared" si="3"/>
        <v>ren "" "174.jpg"</v>
      </c>
      <c r="K127" s="24"/>
      <c r="W127" s="1"/>
      <c r="X127" s="2"/>
    </row>
    <row r="128" spans="1:24" x14ac:dyDescent="0.25">
      <c r="A128" s="24">
        <v>189</v>
      </c>
      <c r="B128" s="6" t="s">
        <v>1587</v>
      </c>
      <c r="C128" s="37" t="s">
        <v>576</v>
      </c>
      <c r="D128" s="37"/>
      <c r="E128" s="24" t="s">
        <v>534</v>
      </c>
      <c r="F128" s="24"/>
      <c r="G128" s="24" t="str">
        <f t="shared" si="2"/>
        <v/>
      </c>
      <c r="H128" s="24" t="s">
        <v>724</v>
      </c>
      <c r="I128" s="24" t="str">
        <f t="shared" si="3"/>
        <v>ren "" "189.jpg"</v>
      </c>
      <c r="K128" s="24"/>
      <c r="W128" s="1"/>
      <c r="X128" s="2"/>
    </row>
    <row r="129" spans="1:24" x14ac:dyDescent="0.25">
      <c r="A129" s="24">
        <v>190</v>
      </c>
      <c r="B129" s="6" t="s">
        <v>1587</v>
      </c>
      <c r="C129" s="37" t="s">
        <v>576</v>
      </c>
      <c r="D129" s="37"/>
      <c r="E129" s="24" t="s">
        <v>536</v>
      </c>
      <c r="F129" s="24"/>
      <c r="G129" s="24" t="str">
        <f t="shared" si="2"/>
        <v/>
      </c>
      <c r="H129" s="24" t="s">
        <v>725</v>
      </c>
      <c r="I129" s="24" t="str">
        <f t="shared" si="3"/>
        <v>ren "" "190.jpg"</v>
      </c>
      <c r="K129" s="24"/>
      <c r="W129" s="1"/>
      <c r="X129" s="2"/>
    </row>
    <row r="130" spans="1:24" x14ac:dyDescent="0.25">
      <c r="A130" s="24">
        <v>205</v>
      </c>
      <c r="B130" s="6" t="s">
        <v>1588</v>
      </c>
      <c r="C130" s="37" t="s">
        <v>576</v>
      </c>
      <c r="D130" s="37"/>
      <c r="E130" s="24" t="s">
        <v>534</v>
      </c>
      <c r="F130" s="24"/>
      <c r="G130" s="24" t="str">
        <f t="shared" ref="G130:G193" si="4">IF(F130="", "", TRIM(RIGHT(SUBSTITUTE(F130, "\", REPT(" ", LEN(F130))), LEN(F130))))</f>
        <v/>
      </c>
      <c r="H130" s="24" t="s">
        <v>741</v>
      </c>
      <c r="I130" s="24" t="str">
        <f t="shared" ref="I130:I193" si="5">"ren """ &amp; G130 &amp; """ """ &amp; H130 &amp; """"</f>
        <v>ren "" "205.jpg"</v>
      </c>
      <c r="K130" s="24"/>
      <c r="W130" s="1"/>
      <c r="X130" s="2"/>
    </row>
    <row r="131" spans="1:24" x14ac:dyDescent="0.25">
      <c r="A131" s="24">
        <v>206</v>
      </c>
      <c r="B131" s="6" t="s">
        <v>1588</v>
      </c>
      <c r="C131" s="37" t="s">
        <v>576</v>
      </c>
      <c r="D131" s="37"/>
      <c r="E131" s="24" t="s">
        <v>536</v>
      </c>
      <c r="F131" s="24"/>
      <c r="G131" s="24" t="str">
        <f t="shared" si="4"/>
        <v/>
      </c>
      <c r="H131" s="24" t="s">
        <v>742</v>
      </c>
      <c r="I131" s="24" t="str">
        <f t="shared" si="5"/>
        <v>ren "" "206.jpg"</v>
      </c>
      <c r="K131" s="24"/>
      <c r="W131" s="1"/>
      <c r="X131" s="2"/>
    </row>
    <row r="132" spans="1:24" x14ac:dyDescent="0.25">
      <c r="A132" s="24">
        <v>221</v>
      </c>
      <c r="B132" s="6" t="s">
        <v>1589</v>
      </c>
      <c r="C132" s="37" t="s">
        <v>576</v>
      </c>
      <c r="D132" s="37"/>
      <c r="E132" s="24" t="s">
        <v>534</v>
      </c>
      <c r="F132" s="24"/>
      <c r="G132" s="24" t="str">
        <f t="shared" si="4"/>
        <v/>
      </c>
      <c r="H132" s="24" t="s">
        <v>758</v>
      </c>
      <c r="I132" s="24" t="str">
        <f t="shared" si="5"/>
        <v>ren "" "221.jpg"</v>
      </c>
      <c r="K132" s="24"/>
      <c r="W132" s="1"/>
      <c r="X132" s="2"/>
    </row>
    <row r="133" spans="1:24" x14ac:dyDescent="0.25">
      <c r="A133" s="24">
        <v>222</v>
      </c>
      <c r="B133" s="6" t="s">
        <v>1589</v>
      </c>
      <c r="C133" s="37" t="s">
        <v>576</v>
      </c>
      <c r="D133" s="37"/>
      <c r="E133" s="24" t="s">
        <v>536</v>
      </c>
      <c r="F133" s="24"/>
      <c r="G133" s="24" t="str">
        <f t="shared" si="4"/>
        <v/>
      </c>
      <c r="H133" s="24" t="s">
        <v>759</v>
      </c>
      <c r="I133" s="24" t="str">
        <f t="shared" si="5"/>
        <v>ren "" "222.jpg"</v>
      </c>
      <c r="K133" s="24"/>
      <c r="W133" s="1"/>
      <c r="X133" s="2"/>
    </row>
    <row r="134" spans="1:24" x14ac:dyDescent="0.25">
      <c r="A134" s="24">
        <v>237</v>
      </c>
      <c r="B134" s="6" t="s">
        <v>1590</v>
      </c>
      <c r="C134" s="37" t="s">
        <v>576</v>
      </c>
      <c r="D134" s="37"/>
      <c r="E134" s="24" t="s">
        <v>534</v>
      </c>
      <c r="F134" s="24"/>
      <c r="G134" s="24" t="str">
        <f t="shared" si="4"/>
        <v/>
      </c>
      <c r="H134" s="24" t="s">
        <v>775</v>
      </c>
      <c r="I134" s="24" t="str">
        <f t="shared" si="5"/>
        <v>ren "" "237.jpg"</v>
      </c>
      <c r="K134" s="24"/>
      <c r="W134" s="1"/>
      <c r="X134" s="2"/>
    </row>
    <row r="135" spans="1:24" x14ac:dyDescent="0.25">
      <c r="A135" s="24">
        <v>238</v>
      </c>
      <c r="B135" s="6" t="s">
        <v>1590</v>
      </c>
      <c r="C135" s="37" t="s">
        <v>576</v>
      </c>
      <c r="D135" s="37"/>
      <c r="E135" s="24" t="s">
        <v>536</v>
      </c>
      <c r="F135" s="24"/>
      <c r="G135" s="24" t="str">
        <f t="shared" si="4"/>
        <v/>
      </c>
      <c r="H135" s="24" t="s">
        <v>776</v>
      </c>
      <c r="I135" s="24" t="str">
        <f t="shared" si="5"/>
        <v>ren "" "238.jpg"</v>
      </c>
      <c r="K135" s="24"/>
      <c r="W135" s="1"/>
      <c r="X135" s="2"/>
    </row>
    <row r="136" spans="1:24" x14ac:dyDescent="0.25">
      <c r="A136" s="24">
        <v>253</v>
      </c>
      <c r="B136" s="6" t="s">
        <v>1591</v>
      </c>
      <c r="C136" s="37" t="s">
        <v>576</v>
      </c>
      <c r="D136" s="37"/>
      <c r="E136" s="24" t="s">
        <v>534</v>
      </c>
      <c r="F136" s="24"/>
      <c r="G136" s="24" t="str">
        <f t="shared" si="4"/>
        <v/>
      </c>
      <c r="H136" s="24" t="s">
        <v>792</v>
      </c>
      <c r="I136" s="24" t="str">
        <f t="shared" si="5"/>
        <v>ren "" "253.jpg"</v>
      </c>
      <c r="K136" s="24"/>
      <c r="W136" s="1"/>
      <c r="X136" s="2"/>
    </row>
    <row r="137" spans="1:24" x14ac:dyDescent="0.25">
      <c r="A137" s="24">
        <v>254</v>
      </c>
      <c r="B137" s="6" t="s">
        <v>1591</v>
      </c>
      <c r="C137" s="37" t="s">
        <v>576</v>
      </c>
      <c r="D137" s="37"/>
      <c r="E137" s="24" t="s">
        <v>536</v>
      </c>
      <c r="F137" s="24"/>
      <c r="G137" s="24" t="str">
        <f t="shared" si="4"/>
        <v/>
      </c>
      <c r="H137" s="24" t="s">
        <v>793</v>
      </c>
      <c r="I137" s="24" t="str">
        <f t="shared" si="5"/>
        <v>ren "" "254.jpg"</v>
      </c>
      <c r="K137" s="24"/>
      <c r="W137" s="1"/>
      <c r="X137" s="2"/>
    </row>
    <row r="138" spans="1:24" x14ac:dyDescent="0.25">
      <c r="A138" s="24">
        <v>35</v>
      </c>
      <c r="B138" s="6" t="s">
        <v>1534</v>
      </c>
      <c r="C138" s="37" t="s">
        <v>585</v>
      </c>
      <c r="D138" s="37"/>
      <c r="E138" s="24" t="s">
        <v>534</v>
      </c>
      <c r="F138" s="24"/>
      <c r="G138" s="24" t="str">
        <f t="shared" si="4"/>
        <v/>
      </c>
      <c r="H138" s="24" t="s">
        <v>1550</v>
      </c>
      <c r="I138" s="24" t="str">
        <f t="shared" si="5"/>
        <v>ren "" "35.jpg"</v>
      </c>
      <c r="K138" s="24"/>
      <c r="W138" s="1"/>
      <c r="X138" s="2"/>
    </row>
    <row r="139" spans="1:24" x14ac:dyDescent="0.25">
      <c r="A139" s="24">
        <v>36</v>
      </c>
      <c r="B139" s="6" t="s">
        <v>1534</v>
      </c>
      <c r="C139" s="37" t="s">
        <v>585</v>
      </c>
      <c r="D139" s="37"/>
      <c r="E139" s="24" t="s">
        <v>536</v>
      </c>
      <c r="F139" s="24"/>
      <c r="G139" s="24" t="str">
        <f t="shared" si="4"/>
        <v/>
      </c>
      <c r="H139" s="24" t="s">
        <v>1551</v>
      </c>
      <c r="I139" s="24" t="str">
        <f t="shared" si="5"/>
        <v>ren "" "36.jpg"</v>
      </c>
      <c r="K139" s="24"/>
      <c r="W139" s="1"/>
      <c r="X139" s="2"/>
    </row>
    <row r="140" spans="1:24" x14ac:dyDescent="0.25">
      <c r="A140" s="24">
        <v>51</v>
      </c>
      <c r="B140" s="6" t="s">
        <v>1535</v>
      </c>
      <c r="C140" s="37" t="s">
        <v>585</v>
      </c>
      <c r="D140" s="37"/>
      <c r="E140" s="24" t="s">
        <v>534</v>
      </c>
      <c r="F140" s="24"/>
      <c r="G140" s="24" t="str">
        <f t="shared" si="4"/>
        <v/>
      </c>
      <c r="H140" s="24" t="s">
        <v>571</v>
      </c>
      <c r="I140" s="24" t="str">
        <f t="shared" si="5"/>
        <v>ren "" "51.jpg"</v>
      </c>
      <c r="K140" s="24"/>
      <c r="W140" s="1"/>
      <c r="X140" s="2"/>
    </row>
    <row r="141" spans="1:24" x14ac:dyDescent="0.25">
      <c r="A141" s="24">
        <v>52</v>
      </c>
      <c r="B141" s="6" t="s">
        <v>1535</v>
      </c>
      <c r="C141" s="37" t="s">
        <v>585</v>
      </c>
      <c r="D141" s="37"/>
      <c r="E141" s="24" t="s">
        <v>536</v>
      </c>
      <c r="F141" s="24"/>
      <c r="G141" s="24" t="str">
        <f t="shared" si="4"/>
        <v/>
      </c>
      <c r="H141" s="24" t="s">
        <v>572</v>
      </c>
      <c r="I141" s="24" t="str">
        <f t="shared" si="5"/>
        <v>ren "" "52.jpg"</v>
      </c>
      <c r="K141" s="24"/>
      <c r="W141" s="1"/>
      <c r="X141" s="2"/>
    </row>
    <row r="142" spans="1:24" x14ac:dyDescent="0.25">
      <c r="A142" s="24">
        <v>67</v>
      </c>
      <c r="B142" s="6" t="s">
        <v>1536</v>
      </c>
      <c r="C142" s="37" t="s">
        <v>585</v>
      </c>
      <c r="D142" s="37"/>
      <c r="E142" s="24" t="s">
        <v>534</v>
      </c>
      <c r="F142" s="24"/>
      <c r="G142" s="24" t="str">
        <f t="shared" si="4"/>
        <v/>
      </c>
      <c r="H142" s="24" t="s">
        <v>595</v>
      </c>
      <c r="I142" s="24" t="str">
        <f t="shared" si="5"/>
        <v>ren "" "67.jpg"</v>
      </c>
      <c r="K142" s="24"/>
      <c r="W142" s="1"/>
      <c r="X142" s="2"/>
    </row>
    <row r="143" spans="1:24" x14ac:dyDescent="0.25">
      <c r="A143" s="24">
        <v>68</v>
      </c>
      <c r="B143" s="6" t="s">
        <v>1536</v>
      </c>
      <c r="C143" s="37" t="s">
        <v>585</v>
      </c>
      <c r="D143" s="37"/>
      <c r="E143" s="24" t="s">
        <v>536</v>
      </c>
      <c r="F143" s="24"/>
      <c r="G143" s="24" t="str">
        <f t="shared" si="4"/>
        <v/>
      </c>
      <c r="H143" s="24" t="s">
        <v>596</v>
      </c>
      <c r="I143" s="24" t="str">
        <f t="shared" si="5"/>
        <v>ren "" "68.jpg"</v>
      </c>
      <c r="K143" s="24"/>
      <c r="W143" s="1"/>
      <c r="X143" s="2"/>
    </row>
    <row r="144" spans="1:24" x14ac:dyDescent="0.25">
      <c r="A144" s="24">
        <v>83</v>
      </c>
      <c r="B144" s="6" t="s">
        <v>1537</v>
      </c>
      <c r="C144" s="37" t="s">
        <v>585</v>
      </c>
      <c r="D144" s="37"/>
      <c r="E144" s="24" t="s">
        <v>534</v>
      </c>
      <c r="F144" s="24"/>
      <c r="G144" s="24" t="str">
        <f t="shared" si="4"/>
        <v/>
      </c>
      <c r="H144" s="24" t="s">
        <v>612</v>
      </c>
      <c r="I144" s="24" t="str">
        <f t="shared" si="5"/>
        <v>ren "" "83.jpg"</v>
      </c>
      <c r="K144" s="24"/>
      <c r="W144" s="1"/>
      <c r="X144" s="2"/>
    </row>
    <row r="145" spans="1:24" x14ac:dyDescent="0.25">
      <c r="A145" s="24">
        <v>84</v>
      </c>
      <c r="B145" s="6" t="s">
        <v>1537</v>
      </c>
      <c r="C145" s="37" t="s">
        <v>585</v>
      </c>
      <c r="D145" s="37"/>
      <c r="E145" s="24" t="s">
        <v>536</v>
      </c>
      <c r="F145" s="24"/>
      <c r="G145" s="24" t="str">
        <f t="shared" si="4"/>
        <v/>
      </c>
      <c r="H145" s="24" t="s">
        <v>613</v>
      </c>
      <c r="I145" s="24" t="str">
        <f t="shared" si="5"/>
        <v>ren "" "84.jpg"</v>
      </c>
      <c r="K145" s="24"/>
      <c r="W145" s="1"/>
      <c r="X145" s="2"/>
    </row>
    <row r="146" spans="1:24" x14ac:dyDescent="0.25">
      <c r="A146" s="24">
        <v>99</v>
      </c>
      <c r="B146" s="6" t="s">
        <v>1542</v>
      </c>
      <c r="C146" s="37" t="s">
        <v>585</v>
      </c>
      <c r="D146" s="37"/>
      <c r="E146" s="24" t="s">
        <v>534</v>
      </c>
      <c r="F146" s="24"/>
      <c r="G146" s="24" t="str">
        <f t="shared" si="4"/>
        <v/>
      </c>
      <c r="H146" s="24" t="s">
        <v>629</v>
      </c>
      <c r="I146" s="24" t="str">
        <f t="shared" si="5"/>
        <v>ren "" "99.jpg"</v>
      </c>
      <c r="K146" s="24"/>
      <c r="W146" s="1"/>
      <c r="X146" s="2"/>
    </row>
    <row r="147" spans="1:24" x14ac:dyDescent="0.25">
      <c r="A147" s="24">
        <v>100</v>
      </c>
      <c r="B147" s="6" t="s">
        <v>1542</v>
      </c>
      <c r="C147" s="37" t="s">
        <v>585</v>
      </c>
      <c r="D147" s="37"/>
      <c r="E147" s="24" t="s">
        <v>536</v>
      </c>
      <c r="F147" s="24"/>
      <c r="G147" s="24" t="str">
        <f t="shared" si="4"/>
        <v/>
      </c>
      <c r="H147" s="24" t="s">
        <v>630</v>
      </c>
      <c r="I147" s="24" t="str">
        <f t="shared" si="5"/>
        <v>ren "" "100.jpg"</v>
      </c>
      <c r="K147" s="24"/>
      <c r="W147" s="1"/>
      <c r="X147" s="2"/>
    </row>
    <row r="148" spans="1:24" x14ac:dyDescent="0.25">
      <c r="A148" s="24">
        <v>115</v>
      </c>
      <c r="B148" s="6" t="s">
        <v>1547</v>
      </c>
      <c r="C148" s="37" t="s">
        <v>585</v>
      </c>
      <c r="D148" s="37"/>
      <c r="E148" s="24" t="s">
        <v>534</v>
      </c>
      <c r="F148" s="24"/>
      <c r="G148" s="24" t="str">
        <f t="shared" si="4"/>
        <v/>
      </c>
      <c r="H148" s="24" t="s">
        <v>646</v>
      </c>
      <c r="I148" s="24" t="str">
        <f t="shared" si="5"/>
        <v>ren "" "115.jpg"</v>
      </c>
      <c r="K148" s="24"/>
      <c r="W148" s="1"/>
      <c r="X148" s="2"/>
    </row>
    <row r="149" spans="1:24" x14ac:dyDescent="0.25">
      <c r="A149" s="24">
        <v>116</v>
      </c>
      <c r="B149" s="6" t="s">
        <v>1547</v>
      </c>
      <c r="C149" s="37" t="s">
        <v>585</v>
      </c>
      <c r="D149" s="37"/>
      <c r="E149" s="24" t="s">
        <v>536</v>
      </c>
      <c r="F149" s="24"/>
      <c r="G149" s="24" t="str">
        <f t="shared" si="4"/>
        <v/>
      </c>
      <c r="H149" s="24" t="s">
        <v>647</v>
      </c>
      <c r="I149" s="24" t="str">
        <f t="shared" si="5"/>
        <v>ren "" "116.jpg"</v>
      </c>
      <c r="K149" s="24"/>
      <c r="W149" s="1"/>
      <c r="X149" s="2"/>
    </row>
    <row r="150" spans="1:24" x14ac:dyDescent="0.25">
      <c r="A150" s="24">
        <v>131</v>
      </c>
      <c r="B150" s="6" t="s">
        <v>1552</v>
      </c>
      <c r="C150" s="37" t="s">
        <v>585</v>
      </c>
      <c r="D150" s="37"/>
      <c r="E150" s="24" t="s">
        <v>534</v>
      </c>
      <c r="F150" s="24"/>
      <c r="G150" s="24" t="str">
        <f t="shared" si="4"/>
        <v/>
      </c>
      <c r="H150" s="24" t="s">
        <v>663</v>
      </c>
      <c r="I150" s="24" t="str">
        <f t="shared" si="5"/>
        <v>ren "" "131.jpg"</v>
      </c>
      <c r="K150" s="24"/>
      <c r="W150" s="1"/>
      <c r="X150" s="2"/>
    </row>
    <row r="151" spans="1:24" x14ac:dyDescent="0.25">
      <c r="A151" s="24">
        <v>132</v>
      </c>
      <c r="B151" s="6" t="s">
        <v>1552</v>
      </c>
      <c r="C151" s="37" t="s">
        <v>585</v>
      </c>
      <c r="D151" s="37"/>
      <c r="E151" s="24" t="s">
        <v>536</v>
      </c>
      <c r="F151" s="24"/>
      <c r="G151" s="24" t="str">
        <f t="shared" si="4"/>
        <v/>
      </c>
      <c r="H151" s="24" t="s">
        <v>664</v>
      </c>
      <c r="I151" s="24" t="str">
        <f t="shared" si="5"/>
        <v>ren "" "132.jpg"</v>
      </c>
      <c r="K151" s="24"/>
      <c r="W151" s="1"/>
      <c r="X151" s="2"/>
    </row>
    <row r="152" spans="1:24" x14ac:dyDescent="0.25">
      <c r="A152" s="24">
        <v>147</v>
      </c>
      <c r="B152" s="6" t="s">
        <v>1557</v>
      </c>
      <c r="C152" s="37" t="s">
        <v>585</v>
      </c>
      <c r="D152" s="37"/>
      <c r="E152" s="24" t="s">
        <v>534</v>
      </c>
      <c r="F152" s="24"/>
      <c r="G152" s="24" t="str">
        <f t="shared" si="4"/>
        <v/>
      </c>
      <c r="H152" s="24" t="s">
        <v>680</v>
      </c>
      <c r="I152" s="24" t="str">
        <f t="shared" si="5"/>
        <v>ren "" "147.jpg"</v>
      </c>
      <c r="K152" s="24"/>
      <c r="W152" s="1"/>
      <c r="X152" s="2"/>
    </row>
    <row r="153" spans="1:24" x14ac:dyDescent="0.25">
      <c r="A153" s="24">
        <v>148</v>
      </c>
      <c r="B153" s="6" t="s">
        <v>1557</v>
      </c>
      <c r="C153" s="37" t="s">
        <v>585</v>
      </c>
      <c r="D153" s="37"/>
      <c r="E153" s="24" t="s">
        <v>536</v>
      </c>
      <c r="F153" s="24"/>
      <c r="G153" s="24" t="str">
        <f t="shared" si="4"/>
        <v/>
      </c>
      <c r="H153" s="24" t="s">
        <v>681</v>
      </c>
      <c r="I153" s="24" t="str">
        <f t="shared" si="5"/>
        <v>ren "" "148.jpg"</v>
      </c>
      <c r="K153" s="24"/>
      <c r="W153" s="1"/>
      <c r="X153" s="2"/>
    </row>
    <row r="154" spans="1:24" x14ac:dyDescent="0.25">
      <c r="A154" s="24">
        <v>163</v>
      </c>
      <c r="B154" s="6" t="s">
        <v>1562</v>
      </c>
      <c r="C154" s="37" t="s">
        <v>585</v>
      </c>
      <c r="D154" s="37"/>
      <c r="E154" s="24" t="s">
        <v>534</v>
      </c>
      <c r="F154" s="24"/>
      <c r="G154" s="24" t="str">
        <f t="shared" si="4"/>
        <v/>
      </c>
      <c r="H154" s="24" t="s">
        <v>697</v>
      </c>
      <c r="I154" s="24" t="str">
        <f t="shared" si="5"/>
        <v>ren "" "163.jpg"</v>
      </c>
      <c r="K154" s="24"/>
      <c r="W154" s="1"/>
      <c r="X154" s="2"/>
    </row>
    <row r="155" spans="1:24" x14ac:dyDescent="0.25">
      <c r="A155" s="24">
        <v>164</v>
      </c>
      <c r="B155" s="6" t="s">
        <v>1562</v>
      </c>
      <c r="C155" s="37" t="s">
        <v>585</v>
      </c>
      <c r="D155" s="37"/>
      <c r="E155" s="24" t="s">
        <v>536</v>
      </c>
      <c r="F155" s="24"/>
      <c r="G155" s="24" t="str">
        <f t="shared" si="4"/>
        <v/>
      </c>
      <c r="H155" s="24" t="s">
        <v>698</v>
      </c>
      <c r="I155" s="24" t="str">
        <f t="shared" si="5"/>
        <v>ren "" "164.jpg"</v>
      </c>
      <c r="K155" s="24"/>
      <c r="W155" s="1"/>
      <c r="X155" s="2"/>
    </row>
    <row r="156" spans="1:24" x14ac:dyDescent="0.25">
      <c r="A156" s="24">
        <v>179</v>
      </c>
      <c r="B156" s="6" t="s">
        <v>1567</v>
      </c>
      <c r="C156" s="37" t="s">
        <v>585</v>
      </c>
      <c r="D156" s="37"/>
      <c r="E156" s="24" t="s">
        <v>534</v>
      </c>
      <c r="F156" s="24"/>
      <c r="G156" s="24" t="str">
        <f t="shared" si="4"/>
        <v/>
      </c>
      <c r="H156" s="24" t="s">
        <v>714</v>
      </c>
      <c r="I156" s="24" t="str">
        <f t="shared" si="5"/>
        <v>ren "" "179.jpg"</v>
      </c>
      <c r="K156" s="24"/>
      <c r="W156" s="1"/>
      <c r="X156" s="2"/>
    </row>
    <row r="157" spans="1:24" x14ac:dyDescent="0.25">
      <c r="A157" s="24">
        <v>180</v>
      </c>
      <c r="B157" s="6" t="s">
        <v>1567</v>
      </c>
      <c r="C157" s="37" t="s">
        <v>585</v>
      </c>
      <c r="D157" s="37"/>
      <c r="E157" s="24" t="s">
        <v>536</v>
      </c>
      <c r="F157" s="24"/>
      <c r="G157" s="24" t="str">
        <f t="shared" si="4"/>
        <v/>
      </c>
      <c r="H157" s="24" t="s">
        <v>715</v>
      </c>
      <c r="I157" s="24" t="str">
        <f t="shared" si="5"/>
        <v>ren "" "180.jpg"</v>
      </c>
      <c r="K157" s="24"/>
      <c r="W157" s="1"/>
      <c r="X157" s="2"/>
    </row>
    <row r="158" spans="1:24" x14ac:dyDescent="0.25">
      <c r="A158" s="24">
        <v>195</v>
      </c>
      <c r="B158" s="6" t="s">
        <v>1587</v>
      </c>
      <c r="C158" s="37" t="s">
        <v>585</v>
      </c>
      <c r="D158" s="37"/>
      <c r="E158" s="24" t="s">
        <v>534</v>
      </c>
      <c r="F158" s="24"/>
      <c r="G158" s="24" t="str">
        <f t="shared" si="4"/>
        <v/>
      </c>
      <c r="H158" s="24" t="s">
        <v>731</v>
      </c>
      <c r="I158" s="24" t="str">
        <f t="shared" si="5"/>
        <v>ren "" "195.jpg"</v>
      </c>
      <c r="K158" s="24"/>
      <c r="W158" s="1"/>
      <c r="X158" s="2"/>
    </row>
    <row r="159" spans="1:24" x14ac:dyDescent="0.25">
      <c r="A159" s="24">
        <v>196</v>
      </c>
      <c r="B159" s="6" t="s">
        <v>1587</v>
      </c>
      <c r="C159" s="37" t="s">
        <v>585</v>
      </c>
      <c r="D159" s="37"/>
      <c r="E159" s="24" t="s">
        <v>536</v>
      </c>
      <c r="F159" s="24"/>
      <c r="G159" s="24" t="str">
        <f t="shared" si="4"/>
        <v/>
      </c>
      <c r="H159" s="24" t="s">
        <v>732</v>
      </c>
      <c r="I159" s="24" t="str">
        <f t="shared" si="5"/>
        <v>ren "" "196.jpg"</v>
      </c>
      <c r="K159" s="24"/>
      <c r="W159" s="1"/>
      <c r="X159" s="2"/>
    </row>
    <row r="160" spans="1:24" x14ac:dyDescent="0.25">
      <c r="A160" s="24">
        <v>211</v>
      </c>
      <c r="B160" s="6" t="s">
        <v>1588</v>
      </c>
      <c r="C160" s="37" t="s">
        <v>585</v>
      </c>
      <c r="D160" s="37"/>
      <c r="E160" s="24" t="s">
        <v>534</v>
      </c>
      <c r="F160" s="24"/>
      <c r="G160" s="24" t="str">
        <f t="shared" si="4"/>
        <v/>
      </c>
      <c r="H160" s="24" t="s">
        <v>748</v>
      </c>
      <c r="I160" s="24" t="str">
        <f t="shared" si="5"/>
        <v>ren "" "211.jpg"</v>
      </c>
      <c r="K160" s="24"/>
      <c r="W160" s="1"/>
      <c r="X160" s="2"/>
    </row>
    <row r="161" spans="1:24" x14ac:dyDescent="0.25">
      <c r="A161" s="24">
        <v>212</v>
      </c>
      <c r="B161" s="6" t="s">
        <v>1588</v>
      </c>
      <c r="C161" s="37" t="s">
        <v>585</v>
      </c>
      <c r="D161" s="37"/>
      <c r="E161" s="24" t="s">
        <v>536</v>
      </c>
      <c r="F161" s="24"/>
      <c r="G161" s="24" t="str">
        <f t="shared" si="4"/>
        <v/>
      </c>
      <c r="H161" s="24" t="s">
        <v>749</v>
      </c>
      <c r="I161" s="24" t="str">
        <f t="shared" si="5"/>
        <v>ren "" "212.jpg"</v>
      </c>
      <c r="K161" s="24"/>
      <c r="W161" s="1"/>
      <c r="X161" s="2"/>
    </row>
    <row r="162" spans="1:24" x14ac:dyDescent="0.25">
      <c r="A162" s="24">
        <v>227</v>
      </c>
      <c r="B162" s="6" t="s">
        <v>1589</v>
      </c>
      <c r="C162" s="37" t="s">
        <v>585</v>
      </c>
      <c r="D162" s="37"/>
      <c r="E162" s="24" t="s">
        <v>534</v>
      </c>
      <c r="F162" s="24"/>
      <c r="G162" s="24" t="str">
        <f t="shared" si="4"/>
        <v/>
      </c>
      <c r="H162" s="24" t="s">
        <v>765</v>
      </c>
      <c r="I162" s="24" t="str">
        <f t="shared" si="5"/>
        <v>ren "" "227.jpg"</v>
      </c>
      <c r="K162" s="24"/>
      <c r="W162" s="1"/>
      <c r="X162" s="2"/>
    </row>
    <row r="163" spans="1:24" x14ac:dyDescent="0.25">
      <c r="A163" s="24">
        <v>228</v>
      </c>
      <c r="B163" s="6" t="s">
        <v>1589</v>
      </c>
      <c r="C163" s="37" t="s">
        <v>585</v>
      </c>
      <c r="D163" s="37"/>
      <c r="E163" s="24" t="s">
        <v>536</v>
      </c>
      <c r="F163" s="24"/>
      <c r="G163" s="24" t="str">
        <f t="shared" si="4"/>
        <v/>
      </c>
      <c r="H163" s="24" t="s">
        <v>766</v>
      </c>
      <c r="I163" s="24" t="str">
        <f t="shared" si="5"/>
        <v>ren "" "228.jpg"</v>
      </c>
      <c r="K163" s="24"/>
      <c r="W163" s="1"/>
      <c r="X163" s="2"/>
    </row>
    <row r="164" spans="1:24" x14ac:dyDescent="0.25">
      <c r="A164" s="24">
        <v>243</v>
      </c>
      <c r="B164" s="6" t="s">
        <v>1590</v>
      </c>
      <c r="C164" s="37" t="s">
        <v>585</v>
      </c>
      <c r="D164" s="37"/>
      <c r="E164" s="24" t="s">
        <v>534</v>
      </c>
      <c r="F164" s="24"/>
      <c r="G164" s="24" t="str">
        <f t="shared" si="4"/>
        <v/>
      </c>
      <c r="H164" s="24" t="s">
        <v>782</v>
      </c>
      <c r="I164" s="24" t="str">
        <f t="shared" si="5"/>
        <v>ren "" "243.jpg"</v>
      </c>
      <c r="K164" s="24"/>
      <c r="W164" s="1"/>
      <c r="X164" s="2"/>
    </row>
    <row r="165" spans="1:24" x14ac:dyDescent="0.25">
      <c r="A165" s="24">
        <v>244</v>
      </c>
      <c r="B165" s="6" t="s">
        <v>1590</v>
      </c>
      <c r="C165" s="37" t="s">
        <v>585</v>
      </c>
      <c r="D165" s="37"/>
      <c r="E165" s="24" t="s">
        <v>536</v>
      </c>
      <c r="F165" s="24"/>
      <c r="G165" s="24" t="str">
        <f t="shared" si="4"/>
        <v/>
      </c>
      <c r="H165" s="24" t="s">
        <v>783</v>
      </c>
      <c r="I165" s="24" t="str">
        <f t="shared" si="5"/>
        <v>ren "" "244.jpg"</v>
      </c>
      <c r="K165" s="24"/>
      <c r="W165" s="1"/>
      <c r="X165" s="2"/>
    </row>
    <row r="166" spans="1:24" x14ac:dyDescent="0.25">
      <c r="A166" s="24">
        <v>259</v>
      </c>
      <c r="B166" s="6" t="s">
        <v>1591</v>
      </c>
      <c r="C166" s="37" t="s">
        <v>585</v>
      </c>
      <c r="D166" s="37"/>
      <c r="E166" s="24" t="s">
        <v>534</v>
      </c>
      <c r="F166" s="24"/>
      <c r="G166" s="24" t="str">
        <f t="shared" si="4"/>
        <v/>
      </c>
      <c r="H166" s="24" t="s">
        <v>799</v>
      </c>
      <c r="I166" s="24" t="str">
        <f t="shared" si="5"/>
        <v>ren "" "259.jpg"</v>
      </c>
      <c r="K166" s="24"/>
      <c r="W166" s="1"/>
      <c r="X166" s="2"/>
    </row>
    <row r="167" spans="1:24" x14ac:dyDescent="0.25">
      <c r="A167" s="24">
        <v>260</v>
      </c>
      <c r="B167" s="6" t="s">
        <v>1591</v>
      </c>
      <c r="C167" s="37" t="s">
        <v>585</v>
      </c>
      <c r="D167" s="37"/>
      <c r="E167" s="24" t="s">
        <v>536</v>
      </c>
      <c r="F167" s="24"/>
      <c r="G167" s="24" t="str">
        <f t="shared" si="4"/>
        <v/>
      </c>
      <c r="H167" s="24" t="s">
        <v>800</v>
      </c>
      <c r="I167" s="24" t="str">
        <f t="shared" si="5"/>
        <v>ren "" "260.jpg"</v>
      </c>
      <c r="K167" s="24"/>
      <c r="W167" s="1"/>
      <c r="X167" s="2"/>
    </row>
    <row r="168" spans="1:24" x14ac:dyDescent="0.25">
      <c r="A168" s="24">
        <v>273</v>
      </c>
      <c r="B168" s="6" t="s">
        <v>1570</v>
      </c>
      <c r="C168" s="6" t="s">
        <v>1573</v>
      </c>
      <c r="D168" s="6"/>
      <c r="E168" s="24" t="s">
        <v>534</v>
      </c>
      <c r="F168" s="24"/>
      <c r="G168" s="24" t="str">
        <f t="shared" si="4"/>
        <v/>
      </c>
      <c r="H168" s="24" t="s">
        <v>813</v>
      </c>
      <c r="I168" s="24" t="str">
        <f t="shared" si="5"/>
        <v>ren "" "273.jpg"</v>
      </c>
      <c r="K168" s="24"/>
      <c r="W168" s="1"/>
      <c r="X168" s="2"/>
    </row>
    <row r="169" spans="1:24" x14ac:dyDescent="0.25">
      <c r="A169" s="24">
        <v>274</v>
      </c>
      <c r="B169" s="6" t="s">
        <v>1570</v>
      </c>
      <c r="C169" s="6" t="s">
        <v>1573</v>
      </c>
      <c r="D169" s="6"/>
      <c r="E169" s="24" t="s">
        <v>536</v>
      </c>
      <c r="F169" s="24"/>
      <c r="G169" s="24" t="str">
        <f t="shared" si="4"/>
        <v/>
      </c>
      <c r="H169" s="24" t="s">
        <v>814</v>
      </c>
      <c r="I169" s="24" t="str">
        <f t="shared" si="5"/>
        <v>ren "" "274.jpg"</v>
      </c>
      <c r="K169" s="24"/>
      <c r="W169" s="1"/>
      <c r="X169" s="2"/>
    </row>
    <row r="170" spans="1:24" x14ac:dyDescent="0.25">
      <c r="A170" s="24">
        <v>279</v>
      </c>
      <c r="B170" s="6" t="s">
        <v>1570</v>
      </c>
      <c r="C170" s="6" t="s">
        <v>1573</v>
      </c>
      <c r="D170" s="6"/>
      <c r="E170" s="24" t="s">
        <v>534</v>
      </c>
      <c r="F170" s="24"/>
      <c r="G170" s="24" t="str">
        <f t="shared" si="4"/>
        <v/>
      </c>
      <c r="H170" s="24" t="s">
        <v>820</v>
      </c>
      <c r="I170" s="24" t="str">
        <f t="shared" si="5"/>
        <v>ren "" "279.jpg"</v>
      </c>
      <c r="K170" s="24"/>
      <c r="W170" s="1"/>
      <c r="X170" s="2"/>
    </row>
    <row r="171" spans="1:24" x14ac:dyDescent="0.25">
      <c r="A171" s="24">
        <v>280</v>
      </c>
      <c r="B171" s="6" t="s">
        <v>1570</v>
      </c>
      <c r="C171" s="6" t="s">
        <v>1573</v>
      </c>
      <c r="D171" s="6"/>
      <c r="E171" s="24" t="s">
        <v>536</v>
      </c>
      <c r="F171" s="24"/>
      <c r="G171" s="24" t="str">
        <f t="shared" si="4"/>
        <v/>
      </c>
      <c r="H171" s="24" t="s">
        <v>821</v>
      </c>
      <c r="I171" s="24" t="str">
        <f t="shared" si="5"/>
        <v>ren "" "280.jpg"</v>
      </c>
      <c r="K171" s="24"/>
      <c r="W171" s="1"/>
      <c r="X171" s="2"/>
    </row>
    <row r="172" spans="1:24" x14ac:dyDescent="0.25">
      <c r="A172" s="24">
        <v>289</v>
      </c>
      <c r="B172" s="6" t="s">
        <v>1574</v>
      </c>
      <c r="C172" s="6" t="s">
        <v>1573</v>
      </c>
      <c r="D172" s="6"/>
      <c r="E172" s="24" t="s">
        <v>534</v>
      </c>
      <c r="F172" s="24"/>
      <c r="G172" s="24" t="str">
        <f t="shared" si="4"/>
        <v/>
      </c>
      <c r="H172" s="24" t="s">
        <v>830</v>
      </c>
      <c r="I172" s="24" t="str">
        <f t="shared" si="5"/>
        <v>ren "" "289.jpg"</v>
      </c>
      <c r="K172" s="24"/>
      <c r="W172" s="1"/>
      <c r="X172" s="2"/>
    </row>
    <row r="173" spans="1:24" x14ac:dyDescent="0.25">
      <c r="A173" s="24">
        <v>290</v>
      </c>
      <c r="B173" s="6" t="s">
        <v>1574</v>
      </c>
      <c r="C173" s="6" t="s">
        <v>1573</v>
      </c>
      <c r="D173" s="6"/>
      <c r="E173" s="24" t="s">
        <v>536</v>
      </c>
      <c r="F173" s="24"/>
      <c r="G173" s="24" t="str">
        <f t="shared" si="4"/>
        <v/>
      </c>
      <c r="H173" s="24" t="s">
        <v>831</v>
      </c>
      <c r="I173" s="24" t="str">
        <f t="shared" si="5"/>
        <v>ren "" "290.jpg"</v>
      </c>
      <c r="K173" s="24"/>
      <c r="W173" s="1"/>
      <c r="X173" s="2"/>
    </row>
    <row r="174" spans="1:24" x14ac:dyDescent="0.25">
      <c r="A174" s="24">
        <v>295</v>
      </c>
      <c r="B174" s="6" t="s">
        <v>1574</v>
      </c>
      <c r="C174" s="6" t="s">
        <v>1573</v>
      </c>
      <c r="D174" s="6"/>
      <c r="E174" s="24" t="s">
        <v>534</v>
      </c>
      <c r="F174" s="24"/>
      <c r="G174" s="24" t="str">
        <f t="shared" si="4"/>
        <v/>
      </c>
      <c r="H174" s="24" t="s">
        <v>837</v>
      </c>
      <c r="I174" s="24" t="str">
        <f t="shared" si="5"/>
        <v>ren "" "295.jpg"</v>
      </c>
      <c r="K174" s="24"/>
      <c r="W174" s="1"/>
      <c r="X174" s="2"/>
    </row>
    <row r="175" spans="1:24" x14ac:dyDescent="0.25">
      <c r="A175" s="24">
        <v>296</v>
      </c>
      <c r="B175" s="6" t="s">
        <v>1574</v>
      </c>
      <c r="C175" s="6" t="s">
        <v>1573</v>
      </c>
      <c r="D175" s="6"/>
      <c r="E175" s="24" t="s">
        <v>536</v>
      </c>
      <c r="F175" s="24"/>
      <c r="G175" s="24" t="str">
        <f t="shared" si="4"/>
        <v/>
      </c>
      <c r="H175" s="24" t="s">
        <v>838</v>
      </c>
      <c r="I175" s="24" t="str">
        <f t="shared" si="5"/>
        <v>ren "" "296.jpg"</v>
      </c>
      <c r="K175" s="24"/>
      <c r="W175" s="1"/>
      <c r="X175" s="2"/>
    </row>
    <row r="176" spans="1:24" x14ac:dyDescent="0.25">
      <c r="A176" s="24">
        <v>37</v>
      </c>
      <c r="B176" s="6" t="s">
        <v>1534</v>
      </c>
      <c r="C176" s="37" t="s">
        <v>588</v>
      </c>
      <c r="D176" s="37"/>
      <c r="E176" s="24" t="s">
        <v>534</v>
      </c>
      <c r="F176" s="24"/>
      <c r="G176" s="24" t="str">
        <f t="shared" si="4"/>
        <v/>
      </c>
      <c r="H176" s="24" t="s">
        <v>1553</v>
      </c>
      <c r="I176" s="24" t="str">
        <f t="shared" si="5"/>
        <v>ren "" "37.jpg"</v>
      </c>
      <c r="K176" s="24"/>
      <c r="W176" s="1"/>
      <c r="X176" s="2"/>
    </row>
    <row r="177" spans="1:24" x14ac:dyDescent="0.25">
      <c r="A177" s="24">
        <v>38</v>
      </c>
      <c r="B177" s="6" t="s">
        <v>1534</v>
      </c>
      <c r="C177" s="37" t="s">
        <v>588</v>
      </c>
      <c r="D177" s="37"/>
      <c r="E177" s="24" t="s">
        <v>536</v>
      </c>
      <c r="F177" s="24"/>
      <c r="G177" s="24" t="str">
        <f t="shared" si="4"/>
        <v/>
      </c>
      <c r="H177" s="24" t="s">
        <v>1554</v>
      </c>
      <c r="I177" s="24" t="str">
        <f t="shared" si="5"/>
        <v>ren "" "38.jpg"</v>
      </c>
      <c r="K177" s="24"/>
      <c r="W177" s="1"/>
      <c r="X177" s="2"/>
    </row>
    <row r="178" spans="1:24" x14ac:dyDescent="0.25">
      <c r="A178" s="24">
        <v>53</v>
      </c>
      <c r="B178" s="6" t="s">
        <v>1535</v>
      </c>
      <c r="C178" s="37" t="s">
        <v>588</v>
      </c>
      <c r="D178" s="37"/>
      <c r="E178" s="24" t="s">
        <v>534</v>
      </c>
      <c r="F178" s="24"/>
      <c r="G178" s="24" t="str">
        <f t="shared" si="4"/>
        <v/>
      </c>
      <c r="H178" s="24" t="s">
        <v>574</v>
      </c>
      <c r="I178" s="24" t="str">
        <f t="shared" si="5"/>
        <v>ren "" "53.jpg"</v>
      </c>
      <c r="K178" s="24"/>
      <c r="W178" s="1"/>
      <c r="X178" s="2"/>
    </row>
    <row r="179" spans="1:24" x14ac:dyDescent="0.25">
      <c r="A179" s="24">
        <v>54</v>
      </c>
      <c r="B179" s="6" t="s">
        <v>1535</v>
      </c>
      <c r="C179" s="37" t="s">
        <v>588</v>
      </c>
      <c r="D179" s="37"/>
      <c r="E179" s="24" t="s">
        <v>536</v>
      </c>
      <c r="F179" s="24"/>
      <c r="G179" s="24" t="str">
        <f t="shared" si="4"/>
        <v/>
      </c>
      <c r="H179" s="24" t="s">
        <v>575</v>
      </c>
      <c r="I179" s="24" t="str">
        <f t="shared" si="5"/>
        <v>ren "" "54.jpg"</v>
      </c>
      <c r="K179" s="24"/>
      <c r="W179" s="1"/>
      <c r="X179" s="2"/>
    </row>
    <row r="180" spans="1:24" x14ac:dyDescent="0.25">
      <c r="A180" s="24">
        <v>69</v>
      </c>
      <c r="B180" s="6" t="s">
        <v>1536</v>
      </c>
      <c r="C180" s="37" t="s">
        <v>588</v>
      </c>
      <c r="D180" s="37"/>
      <c r="E180" s="24" t="s">
        <v>534</v>
      </c>
      <c r="F180" s="24"/>
      <c r="G180" s="24" t="str">
        <f t="shared" si="4"/>
        <v/>
      </c>
      <c r="H180" s="24" t="s">
        <v>597</v>
      </c>
      <c r="I180" s="24" t="str">
        <f t="shared" si="5"/>
        <v>ren "" "69.jpg"</v>
      </c>
      <c r="K180" s="24"/>
      <c r="W180" s="1"/>
      <c r="X180" s="2"/>
    </row>
    <row r="181" spans="1:24" x14ac:dyDescent="0.25">
      <c r="A181" s="24">
        <v>70</v>
      </c>
      <c r="B181" s="6" t="s">
        <v>1536</v>
      </c>
      <c r="C181" s="37" t="s">
        <v>588</v>
      </c>
      <c r="D181" s="37"/>
      <c r="E181" s="24" t="s">
        <v>536</v>
      </c>
      <c r="F181" s="24"/>
      <c r="G181" s="24" t="str">
        <f t="shared" si="4"/>
        <v/>
      </c>
      <c r="H181" s="24" t="s">
        <v>598</v>
      </c>
      <c r="I181" s="24" t="str">
        <f t="shared" si="5"/>
        <v>ren "" "70.jpg"</v>
      </c>
      <c r="K181" s="24"/>
      <c r="W181" s="1"/>
      <c r="X181" s="2"/>
    </row>
    <row r="182" spans="1:24" x14ac:dyDescent="0.25">
      <c r="A182" s="24">
        <v>85</v>
      </c>
      <c r="B182" s="6" t="s">
        <v>1537</v>
      </c>
      <c r="C182" s="37" t="s">
        <v>588</v>
      </c>
      <c r="D182" s="37"/>
      <c r="E182" s="24" t="s">
        <v>534</v>
      </c>
      <c r="F182" s="24"/>
      <c r="G182" s="24" t="str">
        <f t="shared" si="4"/>
        <v/>
      </c>
      <c r="H182" s="24" t="s">
        <v>614</v>
      </c>
      <c r="I182" s="24" t="str">
        <f t="shared" si="5"/>
        <v>ren "" "85.jpg"</v>
      </c>
      <c r="K182" s="24"/>
      <c r="W182" s="1"/>
      <c r="X182" s="2"/>
    </row>
    <row r="183" spans="1:24" x14ac:dyDescent="0.25">
      <c r="A183" s="24">
        <v>86</v>
      </c>
      <c r="B183" s="6" t="s">
        <v>1537</v>
      </c>
      <c r="C183" s="37" t="s">
        <v>588</v>
      </c>
      <c r="D183" s="37"/>
      <c r="E183" s="24" t="s">
        <v>536</v>
      </c>
      <c r="F183" s="24"/>
      <c r="G183" s="24" t="str">
        <f t="shared" si="4"/>
        <v/>
      </c>
      <c r="H183" s="24" t="s">
        <v>615</v>
      </c>
      <c r="I183" s="24" t="str">
        <f t="shared" si="5"/>
        <v>ren "" "86.jpg"</v>
      </c>
      <c r="K183" s="24"/>
      <c r="W183" s="1"/>
      <c r="X183" s="2"/>
    </row>
    <row r="184" spans="1:24" x14ac:dyDescent="0.25">
      <c r="A184" s="24">
        <v>101</v>
      </c>
      <c r="B184" s="6" t="s">
        <v>1542</v>
      </c>
      <c r="C184" s="37" t="s">
        <v>588</v>
      </c>
      <c r="D184" s="37"/>
      <c r="E184" s="24" t="s">
        <v>534</v>
      </c>
      <c r="F184" s="24"/>
      <c r="G184" s="24" t="str">
        <f t="shared" si="4"/>
        <v/>
      </c>
      <c r="H184" s="24" t="s">
        <v>631</v>
      </c>
      <c r="I184" s="24" t="str">
        <f t="shared" si="5"/>
        <v>ren "" "101.jpg"</v>
      </c>
      <c r="K184" s="24"/>
      <c r="W184" s="1"/>
      <c r="X184" s="2"/>
    </row>
    <row r="185" spans="1:24" x14ac:dyDescent="0.25">
      <c r="A185" s="24">
        <v>102</v>
      </c>
      <c r="B185" s="6" t="s">
        <v>1542</v>
      </c>
      <c r="C185" s="37" t="s">
        <v>588</v>
      </c>
      <c r="D185" s="37"/>
      <c r="E185" s="24" t="s">
        <v>536</v>
      </c>
      <c r="F185" s="24"/>
      <c r="G185" s="24" t="str">
        <f t="shared" si="4"/>
        <v/>
      </c>
      <c r="H185" s="24" t="s">
        <v>632</v>
      </c>
      <c r="I185" s="24" t="str">
        <f t="shared" si="5"/>
        <v>ren "" "102.jpg"</v>
      </c>
      <c r="K185" s="24"/>
      <c r="W185" s="1"/>
      <c r="X185" s="2"/>
    </row>
    <row r="186" spans="1:24" x14ac:dyDescent="0.25">
      <c r="A186" s="24">
        <v>117</v>
      </c>
      <c r="B186" s="6" t="s">
        <v>1547</v>
      </c>
      <c r="C186" s="37" t="s">
        <v>588</v>
      </c>
      <c r="D186" s="37"/>
      <c r="E186" s="24" t="s">
        <v>534</v>
      </c>
      <c r="F186" s="24"/>
      <c r="G186" s="24" t="str">
        <f t="shared" si="4"/>
        <v/>
      </c>
      <c r="H186" s="24" t="s">
        <v>648</v>
      </c>
      <c r="I186" s="24" t="str">
        <f t="shared" si="5"/>
        <v>ren "" "117.jpg"</v>
      </c>
      <c r="K186" s="24"/>
      <c r="W186" s="1"/>
      <c r="X186" s="2"/>
    </row>
    <row r="187" spans="1:24" x14ac:dyDescent="0.25">
      <c r="A187" s="24">
        <v>118</v>
      </c>
      <c r="B187" s="6" t="s">
        <v>1547</v>
      </c>
      <c r="C187" s="37" t="s">
        <v>588</v>
      </c>
      <c r="D187" s="37"/>
      <c r="E187" s="24" t="s">
        <v>536</v>
      </c>
      <c r="F187" s="24"/>
      <c r="G187" s="24" t="str">
        <f t="shared" si="4"/>
        <v/>
      </c>
      <c r="H187" s="24" t="s">
        <v>649</v>
      </c>
      <c r="I187" s="24" t="str">
        <f t="shared" si="5"/>
        <v>ren "" "118.jpg"</v>
      </c>
      <c r="K187" s="24"/>
      <c r="W187" s="1"/>
      <c r="X187" s="2"/>
    </row>
    <row r="188" spans="1:24" x14ac:dyDescent="0.25">
      <c r="A188" s="24">
        <v>133</v>
      </c>
      <c r="B188" s="6" t="s">
        <v>1552</v>
      </c>
      <c r="C188" s="37" t="s">
        <v>588</v>
      </c>
      <c r="D188" s="37"/>
      <c r="E188" s="24" t="s">
        <v>534</v>
      </c>
      <c r="F188" s="24"/>
      <c r="G188" s="24" t="str">
        <f t="shared" si="4"/>
        <v/>
      </c>
      <c r="H188" s="24" t="s">
        <v>665</v>
      </c>
      <c r="I188" s="24" t="str">
        <f t="shared" si="5"/>
        <v>ren "" "133.jpg"</v>
      </c>
      <c r="K188" s="24"/>
      <c r="W188" s="1"/>
      <c r="X188" s="2"/>
    </row>
    <row r="189" spans="1:24" x14ac:dyDescent="0.25">
      <c r="A189" s="24">
        <v>134</v>
      </c>
      <c r="B189" s="6" t="s">
        <v>1552</v>
      </c>
      <c r="C189" s="37" t="s">
        <v>588</v>
      </c>
      <c r="D189" s="37"/>
      <c r="E189" s="24" t="s">
        <v>536</v>
      </c>
      <c r="F189" s="24"/>
      <c r="G189" s="24" t="str">
        <f t="shared" si="4"/>
        <v/>
      </c>
      <c r="H189" s="24" t="s">
        <v>666</v>
      </c>
      <c r="I189" s="24" t="str">
        <f t="shared" si="5"/>
        <v>ren "" "134.jpg"</v>
      </c>
      <c r="K189" s="24"/>
      <c r="W189" s="1"/>
      <c r="X189" s="2"/>
    </row>
    <row r="190" spans="1:24" x14ac:dyDescent="0.25">
      <c r="A190" s="24">
        <v>149</v>
      </c>
      <c r="B190" s="6" t="s">
        <v>1557</v>
      </c>
      <c r="C190" s="37" t="s">
        <v>588</v>
      </c>
      <c r="D190" s="37"/>
      <c r="E190" s="24" t="s">
        <v>534</v>
      </c>
      <c r="F190" s="24"/>
      <c r="G190" s="24" t="str">
        <f t="shared" si="4"/>
        <v/>
      </c>
      <c r="H190" s="24" t="s">
        <v>682</v>
      </c>
      <c r="I190" s="24" t="str">
        <f t="shared" si="5"/>
        <v>ren "" "149.jpg"</v>
      </c>
      <c r="K190" s="24"/>
      <c r="W190" s="1"/>
      <c r="X190" s="2"/>
    </row>
    <row r="191" spans="1:24" x14ac:dyDescent="0.25">
      <c r="A191" s="24">
        <v>150</v>
      </c>
      <c r="B191" s="6" t="s">
        <v>1557</v>
      </c>
      <c r="C191" s="37" t="s">
        <v>588</v>
      </c>
      <c r="D191" s="37"/>
      <c r="E191" s="24" t="s">
        <v>536</v>
      </c>
      <c r="F191" s="24"/>
      <c r="G191" s="24" t="str">
        <f t="shared" si="4"/>
        <v/>
      </c>
      <c r="H191" s="24" t="s">
        <v>683</v>
      </c>
      <c r="I191" s="24" t="str">
        <f t="shared" si="5"/>
        <v>ren "" "150.jpg"</v>
      </c>
      <c r="K191" s="24"/>
      <c r="W191" s="1"/>
      <c r="X191" s="2"/>
    </row>
    <row r="192" spans="1:24" x14ac:dyDescent="0.25">
      <c r="A192" s="24">
        <v>165</v>
      </c>
      <c r="B192" s="6" t="s">
        <v>1562</v>
      </c>
      <c r="C192" s="37" t="s">
        <v>588</v>
      </c>
      <c r="D192" s="37"/>
      <c r="E192" s="24" t="s">
        <v>534</v>
      </c>
      <c r="F192" s="24"/>
      <c r="G192" s="24" t="str">
        <f t="shared" si="4"/>
        <v/>
      </c>
      <c r="H192" s="24" t="s">
        <v>699</v>
      </c>
      <c r="I192" s="24" t="str">
        <f t="shared" si="5"/>
        <v>ren "" "165.jpg"</v>
      </c>
      <c r="K192" s="24"/>
      <c r="W192" s="1"/>
      <c r="X192" s="2"/>
    </row>
    <row r="193" spans="1:24" x14ac:dyDescent="0.25">
      <c r="A193" s="24">
        <v>166</v>
      </c>
      <c r="B193" s="6" t="s">
        <v>1562</v>
      </c>
      <c r="C193" s="37" t="s">
        <v>588</v>
      </c>
      <c r="D193" s="37"/>
      <c r="E193" s="24" t="s">
        <v>536</v>
      </c>
      <c r="F193" s="24"/>
      <c r="G193" s="24" t="str">
        <f t="shared" si="4"/>
        <v/>
      </c>
      <c r="H193" s="24" t="s">
        <v>700</v>
      </c>
      <c r="I193" s="24" t="str">
        <f t="shared" si="5"/>
        <v>ren "" "166.jpg"</v>
      </c>
      <c r="K193" s="24"/>
      <c r="W193" s="1"/>
      <c r="X193" s="2"/>
    </row>
    <row r="194" spans="1:24" x14ac:dyDescent="0.25">
      <c r="A194" s="24">
        <v>181</v>
      </c>
      <c r="B194" s="6" t="s">
        <v>1567</v>
      </c>
      <c r="C194" s="37" t="s">
        <v>588</v>
      </c>
      <c r="D194" s="37"/>
      <c r="E194" s="24" t="s">
        <v>534</v>
      </c>
      <c r="F194" s="24"/>
      <c r="G194" s="24" t="str">
        <f t="shared" ref="G194:G257" si="6">IF(F194="", "", TRIM(RIGHT(SUBSTITUTE(F194, "\", REPT(" ", LEN(F194))), LEN(F194))))</f>
        <v/>
      </c>
      <c r="H194" s="24" t="s">
        <v>716</v>
      </c>
      <c r="I194" s="24" t="str">
        <f t="shared" ref="I194:I257" si="7">"ren """ &amp; G194 &amp; """ """ &amp; H194 &amp; """"</f>
        <v>ren "" "181.jpg"</v>
      </c>
      <c r="K194" s="24"/>
      <c r="W194" s="1"/>
      <c r="X194" s="2"/>
    </row>
    <row r="195" spans="1:24" x14ac:dyDescent="0.25">
      <c r="A195" s="24">
        <v>182</v>
      </c>
      <c r="B195" s="6" t="s">
        <v>1567</v>
      </c>
      <c r="C195" s="37" t="s">
        <v>588</v>
      </c>
      <c r="D195" s="37"/>
      <c r="E195" s="24" t="s">
        <v>536</v>
      </c>
      <c r="F195" s="24"/>
      <c r="G195" s="24" t="str">
        <f t="shared" si="6"/>
        <v/>
      </c>
      <c r="H195" s="24" t="s">
        <v>717</v>
      </c>
      <c r="I195" s="24" t="str">
        <f t="shared" si="7"/>
        <v>ren "" "182.jpg"</v>
      </c>
      <c r="K195" s="24"/>
      <c r="W195" s="1"/>
      <c r="X195" s="2"/>
    </row>
    <row r="196" spans="1:24" x14ac:dyDescent="0.25">
      <c r="A196" s="24">
        <v>197</v>
      </c>
      <c r="B196" s="6" t="s">
        <v>1587</v>
      </c>
      <c r="C196" s="37" t="s">
        <v>588</v>
      </c>
      <c r="D196" s="37"/>
      <c r="E196" s="24" t="s">
        <v>534</v>
      </c>
      <c r="F196" s="24"/>
      <c r="G196" s="24" t="str">
        <f t="shared" si="6"/>
        <v/>
      </c>
      <c r="H196" s="24" t="s">
        <v>733</v>
      </c>
      <c r="I196" s="24" t="str">
        <f t="shared" si="7"/>
        <v>ren "" "197.jpg"</v>
      </c>
      <c r="K196" s="24"/>
      <c r="W196" s="1"/>
      <c r="X196" s="2"/>
    </row>
    <row r="197" spans="1:24" x14ac:dyDescent="0.25">
      <c r="A197" s="24">
        <v>198</v>
      </c>
      <c r="B197" s="6" t="s">
        <v>1587</v>
      </c>
      <c r="C197" s="37" t="s">
        <v>588</v>
      </c>
      <c r="D197" s="37"/>
      <c r="E197" s="24" t="s">
        <v>536</v>
      </c>
      <c r="F197" s="24"/>
      <c r="G197" s="24" t="str">
        <f t="shared" si="6"/>
        <v/>
      </c>
      <c r="H197" s="24" t="s">
        <v>734</v>
      </c>
      <c r="I197" s="24" t="str">
        <f t="shared" si="7"/>
        <v>ren "" "198.jpg"</v>
      </c>
      <c r="K197" s="24"/>
      <c r="W197" s="1"/>
      <c r="X197" s="2"/>
    </row>
    <row r="198" spans="1:24" x14ac:dyDescent="0.25">
      <c r="A198" s="24">
        <v>213</v>
      </c>
      <c r="B198" s="6" t="s">
        <v>1588</v>
      </c>
      <c r="C198" s="37" t="s">
        <v>588</v>
      </c>
      <c r="D198" s="37"/>
      <c r="E198" s="24" t="s">
        <v>534</v>
      </c>
      <c r="F198" s="24"/>
      <c r="G198" s="24" t="str">
        <f t="shared" si="6"/>
        <v/>
      </c>
      <c r="H198" s="24" t="s">
        <v>750</v>
      </c>
      <c r="I198" s="24" t="str">
        <f t="shared" si="7"/>
        <v>ren "" "213.jpg"</v>
      </c>
      <c r="K198" s="24"/>
      <c r="W198" s="1"/>
      <c r="X198" s="2"/>
    </row>
    <row r="199" spans="1:24" x14ac:dyDescent="0.25">
      <c r="A199" s="24">
        <v>214</v>
      </c>
      <c r="B199" s="6" t="s">
        <v>1588</v>
      </c>
      <c r="C199" s="37" t="s">
        <v>588</v>
      </c>
      <c r="D199" s="37"/>
      <c r="E199" s="24" t="s">
        <v>536</v>
      </c>
      <c r="F199" s="24"/>
      <c r="G199" s="24" t="str">
        <f t="shared" si="6"/>
        <v/>
      </c>
      <c r="H199" s="24" t="s">
        <v>751</v>
      </c>
      <c r="I199" s="24" t="str">
        <f t="shared" si="7"/>
        <v>ren "" "214.jpg"</v>
      </c>
      <c r="K199" s="24"/>
      <c r="W199" s="1"/>
      <c r="X199" s="2"/>
    </row>
    <row r="200" spans="1:24" x14ac:dyDescent="0.25">
      <c r="A200" s="24">
        <v>229</v>
      </c>
      <c r="B200" s="6" t="s">
        <v>1589</v>
      </c>
      <c r="C200" s="37" t="s">
        <v>588</v>
      </c>
      <c r="D200" s="37"/>
      <c r="E200" s="24" t="s">
        <v>534</v>
      </c>
      <c r="F200" s="24"/>
      <c r="G200" s="24" t="str">
        <f t="shared" si="6"/>
        <v/>
      </c>
      <c r="H200" s="24" t="s">
        <v>767</v>
      </c>
      <c r="I200" s="24" t="str">
        <f t="shared" si="7"/>
        <v>ren "" "229.jpg"</v>
      </c>
      <c r="K200" s="24"/>
      <c r="W200" s="1"/>
      <c r="X200" s="2"/>
    </row>
    <row r="201" spans="1:24" x14ac:dyDescent="0.25">
      <c r="A201" s="24">
        <v>230</v>
      </c>
      <c r="B201" s="6" t="s">
        <v>1589</v>
      </c>
      <c r="C201" s="37" t="s">
        <v>588</v>
      </c>
      <c r="D201" s="37"/>
      <c r="E201" s="24" t="s">
        <v>536</v>
      </c>
      <c r="F201" s="24"/>
      <c r="G201" s="24" t="str">
        <f t="shared" si="6"/>
        <v/>
      </c>
      <c r="H201" s="24" t="s">
        <v>768</v>
      </c>
      <c r="I201" s="24" t="str">
        <f t="shared" si="7"/>
        <v>ren "" "230.jpg"</v>
      </c>
      <c r="K201" s="24"/>
      <c r="W201" s="1"/>
      <c r="X201" s="2"/>
    </row>
    <row r="202" spans="1:24" x14ac:dyDescent="0.25">
      <c r="A202" s="24">
        <v>245</v>
      </c>
      <c r="B202" s="6" t="s">
        <v>1590</v>
      </c>
      <c r="C202" s="37" t="s">
        <v>588</v>
      </c>
      <c r="D202" s="37"/>
      <c r="E202" s="24" t="s">
        <v>534</v>
      </c>
      <c r="F202" s="24"/>
      <c r="G202" s="24" t="str">
        <f t="shared" si="6"/>
        <v/>
      </c>
      <c r="H202" s="24" t="s">
        <v>784</v>
      </c>
      <c r="I202" s="24" t="str">
        <f t="shared" si="7"/>
        <v>ren "" "245.jpg"</v>
      </c>
      <c r="K202" s="24"/>
      <c r="W202" s="1"/>
      <c r="X202" s="2"/>
    </row>
    <row r="203" spans="1:24" x14ac:dyDescent="0.25">
      <c r="A203" s="24">
        <v>246</v>
      </c>
      <c r="B203" s="6" t="s">
        <v>1590</v>
      </c>
      <c r="C203" s="37" t="s">
        <v>588</v>
      </c>
      <c r="D203" s="37"/>
      <c r="E203" s="24" t="s">
        <v>536</v>
      </c>
      <c r="F203" s="24"/>
      <c r="G203" s="24" t="str">
        <f t="shared" si="6"/>
        <v/>
      </c>
      <c r="H203" s="24" t="s">
        <v>785</v>
      </c>
      <c r="I203" s="24" t="str">
        <f t="shared" si="7"/>
        <v>ren "" "246.jpg"</v>
      </c>
      <c r="K203" s="24"/>
      <c r="W203" s="1"/>
      <c r="X203" s="2"/>
    </row>
    <row r="204" spans="1:24" x14ac:dyDescent="0.25">
      <c r="A204" s="24">
        <v>261</v>
      </c>
      <c r="B204" s="6" t="s">
        <v>1591</v>
      </c>
      <c r="C204" s="37" t="s">
        <v>588</v>
      </c>
      <c r="D204" s="37"/>
      <c r="E204" s="24" t="s">
        <v>534</v>
      </c>
      <c r="F204" s="24"/>
      <c r="G204" s="24" t="str">
        <f t="shared" si="6"/>
        <v/>
      </c>
      <c r="H204" s="24" t="s">
        <v>801</v>
      </c>
      <c r="I204" s="24" t="str">
        <f t="shared" si="7"/>
        <v>ren "" "261.jpg"</v>
      </c>
      <c r="K204" s="24"/>
      <c r="W204" s="1"/>
      <c r="X204" s="2"/>
    </row>
    <row r="205" spans="1:24" x14ac:dyDescent="0.25">
      <c r="A205" s="24">
        <v>262</v>
      </c>
      <c r="B205" s="6" t="s">
        <v>1591</v>
      </c>
      <c r="C205" s="37" t="s">
        <v>588</v>
      </c>
      <c r="D205" s="37"/>
      <c r="E205" s="24" t="s">
        <v>536</v>
      </c>
      <c r="F205" s="24"/>
      <c r="G205" s="24" t="str">
        <f t="shared" si="6"/>
        <v/>
      </c>
      <c r="H205" s="24" t="s">
        <v>802</v>
      </c>
      <c r="I205" s="24" t="str">
        <f t="shared" si="7"/>
        <v>ren "" "262.jpg"</v>
      </c>
      <c r="K205" s="24"/>
      <c r="W205" s="1"/>
      <c r="X205" s="2"/>
    </row>
    <row r="206" spans="1:24" x14ac:dyDescent="0.25">
      <c r="A206" s="24">
        <v>265</v>
      </c>
      <c r="B206" s="6" t="s">
        <v>1570</v>
      </c>
      <c r="C206" s="6" t="s">
        <v>1453</v>
      </c>
      <c r="D206" s="6"/>
      <c r="E206" s="24" t="s">
        <v>534</v>
      </c>
      <c r="F206" s="24" t="s">
        <v>1644</v>
      </c>
      <c r="G206" s="24" t="str">
        <f t="shared" si="6"/>
        <v>FLIR0164- photo.jpg</v>
      </c>
      <c r="H206" s="24" t="s">
        <v>805</v>
      </c>
      <c r="I206" s="24" t="str">
        <f t="shared" si="7"/>
        <v>ren "FLIR0164- photo.jpg" "265.jpg"</v>
      </c>
      <c r="K206" s="24"/>
      <c r="W206" s="1"/>
      <c r="X206" s="2"/>
    </row>
    <row r="207" spans="1:24" x14ac:dyDescent="0.25">
      <c r="A207" s="24">
        <v>266</v>
      </c>
      <c r="B207" s="6" t="s">
        <v>1570</v>
      </c>
      <c r="C207" s="6" t="s">
        <v>1453</v>
      </c>
      <c r="D207" s="6"/>
      <c r="E207" s="24" t="s">
        <v>536</v>
      </c>
      <c r="F207" s="24" t="s">
        <v>1645</v>
      </c>
      <c r="G207" s="24" t="str">
        <f t="shared" si="6"/>
        <v>FLIR0164.jpg</v>
      </c>
      <c r="H207" s="24" t="s">
        <v>806</v>
      </c>
      <c r="I207" s="24" t="str">
        <f t="shared" si="7"/>
        <v>ren "FLIR0164.jpg" "266.jpg"</v>
      </c>
      <c r="K207" s="24"/>
      <c r="W207" s="1"/>
      <c r="X207" s="2"/>
    </row>
    <row r="208" spans="1:24" x14ac:dyDescent="0.25">
      <c r="A208" s="24">
        <v>281</v>
      </c>
      <c r="B208" s="6" t="s">
        <v>1574</v>
      </c>
      <c r="C208" s="6" t="s">
        <v>1453</v>
      </c>
      <c r="D208" s="6"/>
      <c r="E208" s="24" t="s">
        <v>534</v>
      </c>
      <c r="F208" s="24"/>
      <c r="G208" s="24" t="str">
        <f t="shared" si="6"/>
        <v/>
      </c>
      <c r="H208" s="24" t="s">
        <v>822</v>
      </c>
      <c r="I208" s="24" t="str">
        <f t="shared" si="7"/>
        <v>ren "" "281.jpg"</v>
      </c>
      <c r="K208" s="24"/>
      <c r="W208" s="1"/>
      <c r="X208" s="2"/>
    </row>
    <row r="209" spans="1:24" x14ac:dyDescent="0.25">
      <c r="A209" s="24">
        <v>282</v>
      </c>
      <c r="B209" s="6" t="s">
        <v>1574</v>
      </c>
      <c r="C209" s="6" t="s">
        <v>1453</v>
      </c>
      <c r="D209" s="6"/>
      <c r="E209" s="24" t="s">
        <v>536</v>
      </c>
      <c r="F209" s="24"/>
      <c r="G209" s="24" t="str">
        <f t="shared" si="6"/>
        <v/>
      </c>
      <c r="H209" s="24" t="s">
        <v>823</v>
      </c>
      <c r="I209" s="24" t="str">
        <f t="shared" si="7"/>
        <v>ren "" "282.jpg"</v>
      </c>
      <c r="K209" s="24"/>
      <c r="W209" s="1"/>
      <c r="X209" s="2"/>
    </row>
    <row r="210" spans="1:24" x14ac:dyDescent="0.25">
      <c r="A210" s="24">
        <v>297</v>
      </c>
      <c r="B210" s="6" t="s">
        <v>1575</v>
      </c>
      <c r="C210" s="6" t="s">
        <v>1453</v>
      </c>
      <c r="D210" s="6"/>
      <c r="E210" s="24" t="s">
        <v>534</v>
      </c>
      <c r="F210" s="24"/>
      <c r="G210" s="24" t="str">
        <f t="shared" si="6"/>
        <v/>
      </c>
      <c r="H210" s="24" t="s">
        <v>839</v>
      </c>
      <c r="I210" s="24" t="str">
        <f t="shared" si="7"/>
        <v>ren "" "297.jpg"</v>
      </c>
      <c r="K210" s="24" t="s">
        <v>1646</v>
      </c>
      <c r="W210" s="1"/>
      <c r="X210" s="2"/>
    </row>
    <row r="211" spans="1:24" x14ac:dyDescent="0.25">
      <c r="A211" s="24">
        <v>298</v>
      </c>
      <c r="B211" s="6" t="s">
        <v>1575</v>
      </c>
      <c r="C211" s="6" t="s">
        <v>1453</v>
      </c>
      <c r="D211" s="6"/>
      <c r="E211" s="24" t="s">
        <v>536</v>
      </c>
      <c r="F211" s="24"/>
      <c r="G211" s="24" t="str">
        <f t="shared" si="6"/>
        <v/>
      </c>
      <c r="H211" s="24" t="s">
        <v>840</v>
      </c>
      <c r="I211" s="24" t="str">
        <f t="shared" si="7"/>
        <v>ren "" "298.jpg"</v>
      </c>
      <c r="K211" s="24" t="s">
        <v>1647</v>
      </c>
      <c r="W211" s="1"/>
      <c r="X211" s="2"/>
    </row>
    <row r="212" spans="1:24" x14ac:dyDescent="0.25">
      <c r="A212" s="24">
        <v>299</v>
      </c>
      <c r="B212" s="6" t="s">
        <v>1576</v>
      </c>
      <c r="C212" s="6" t="s">
        <v>1453</v>
      </c>
      <c r="D212" s="6"/>
      <c r="E212" s="24" t="s">
        <v>534</v>
      </c>
      <c r="F212" s="24"/>
      <c r="G212" s="24" t="str">
        <f t="shared" si="6"/>
        <v/>
      </c>
      <c r="H212" s="24" t="s">
        <v>841</v>
      </c>
      <c r="I212" s="24" t="str">
        <f t="shared" si="7"/>
        <v>ren "" "299.jpg"</v>
      </c>
      <c r="K212" s="24"/>
      <c r="W212" s="1"/>
      <c r="X212" s="2"/>
    </row>
    <row r="213" spans="1:24" x14ac:dyDescent="0.25">
      <c r="A213" s="24">
        <v>300</v>
      </c>
      <c r="B213" s="6" t="s">
        <v>1576</v>
      </c>
      <c r="C213" s="6" t="s">
        <v>1453</v>
      </c>
      <c r="D213" s="6"/>
      <c r="E213" s="24" t="s">
        <v>536</v>
      </c>
      <c r="F213" s="24"/>
      <c r="G213" s="24" t="str">
        <f t="shared" si="6"/>
        <v/>
      </c>
      <c r="H213" s="24" t="s">
        <v>842</v>
      </c>
      <c r="I213" s="24" t="str">
        <f t="shared" si="7"/>
        <v>ren "" "300.jpg"</v>
      </c>
      <c r="K213" s="24"/>
      <c r="W213" s="1"/>
      <c r="X213" s="2"/>
    </row>
    <row r="214" spans="1:24" x14ac:dyDescent="0.25">
      <c r="A214" s="24">
        <v>301</v>
      </c>
      <c r="B214" s="6" t="s">
        <v>1577</v>
      </c>
      <c r="C214" s="6" t="s">
        <v>1453</v>
      </c>
      <c r="D214" s="6"/>
      <c r="E214" s="24" t="s">
        <v>534</v>
      </c>
      <c r="F214" s="24"/>
      <c r="G214" s="24" t="str">
        <f t="shared" si="6"/>
        <v/>
      </c>
      <c r="H214" s="24" t="s">
        <v>843</v>
      </c>
      <c r="I214" s="24" t="str">
        <f t="shared" si="7"/>
        <v>ren "" "301.jpg"</v>
      </c>
      <c r="K214" s="24"/>
      <c r="W214" s="1"/>
      <c r="X214" s="2"/>
    </row>
    <row r="215" spans="1:24" x14ac:dyDescent="0.25">
      <c r="A215" s="24">
        <v>302</v>
      </c>
      <c r="B215" s="6" t="s">
        <v>1577</v>
      </c>
      <c r="C215" s="6" t="s">
        <v>1453</v>
      </c>
      <c r="D215" s="6"/>
      <c r="E215" s="24" t="s">
        <v>536</v>
      </c>
      <c r="F215" s="24"/>
      <c r="G215" s="24" t="str">
        <f t="shared" si="6"/>
        <v/>
      </c>
      <c r="H215" s="24" t="s">
        <v>844</v>
      </c>
      <c r="I215" s="24" t="str">
        <f t="shared" si="7"/>
        <v>ren "" "302.jpg"</v>
      </c>
      <c r="K215" s="24"/>
      <c r="W215" s="1"/>
      <c r="X215" s="2"/>
    </row>
    <row r="216" spans="1:24" x14ac:dyDescent="0.25">
      <c r="A216" s="24">
        <v>303</v>
      </c>
      <c r="B216" s="6" t="s">
        <v>1578</v>
      </c>
      <c r="C216" s="6" t="s">
        <v>1453</v>
      </c>
      <c r="D216" s="6"/>
      <c r="E216" s="24" t="s">
        <v>534</v>
      </c>
      <c r="F216" s="24"/>
      <c r="G216" s="24" t="str">
        <f t="shared" si="6"/>
        <v/>
      </c>
      <c r="H216" s="24" t="s">
        <v>845</v>
      </c>
      <c r="I216" s="24" t="str">
        <f t="shared" si="7"/>
        <v>ren "" "303.jpg"</v>
      </c>
      <c r="K216" s="24"/>
      <c r="W216" s="1"/>
      <c r="X216" s="2"/>
    </row>
    <row r="217" spans="1:24" x14ac:dyDescent="0.25">
      <c r="A217" s="24">
        <v>304</v>
      </c>
      <c r="B217" s="6" t="s">
        <v>1578</v>
      </c>
      <c r="C217" s="6" t="s">
        <v>1453</v>
      </c>
      <c r="D217" s="6"/>
      <c r="E217" s="24" t="s">
        <v>536</v>
      </c>
      <c r="F217" s="24"/>
      <c r="G217" s="24" t="str">
        <f t="shared" si="6"/>
        <v/>
      </c>
      <c r="H217" s="24" t="s">
        <v>846</v>
      </c>
      <c r="I217" s="24" t="str">
        <f t="shared" si="7"/>
        <v>ren "" "304.jpg"</v>
      </c>
      <c r="K217" s="24"/>
      <c r="W217" s="1"/>
      <c r="X217" s="2"/>
    </row>
    <row r="218" spans="1:24" x14ac:dyDescent="0.25">
      <c r="A218" s="24">
        <v>305</v>
      </c>
      <c r="B218" s="6" t="s">
        <v>1519</v>
      </c>
      <c r="C218" s="6" t="s">
        <v>1453</v>
      </c>
      <c r="D218" s="6"/>
      <c r="E218" s="24" t="s">
        <v>534</v>
      </c>
      <c r="F218" s="24" t="s">
        <v>1648</v>
      </c>
      <c r="G218" s="24" t="str">
        <f t="shared" si="6"/>
        <v>FLIR0189- photo.jpg</v>
      </c>
      <c r="H218" s="24" t="s">
        <v>847</v>
      </c>
      <c r="I218" s="24" t="str">
        <f t="shared" si="7"/>
        <v>ren "FLIR0189- photo.jpg" "305.jpg"</v>
      </c>
      <c r="K218" s="24" t="s">
        <v>1649</v>
      </c>
      <c r="W218" s="1"/>
      <c r="X218" s="2"/>
    </row>
    <row r="219" spans="1:24" x14ac:dyDescent="0.25">
      <c r="A219" s="24">
        <v>306</v>
      </c>
      <c r="B219" s="6" t="s">
        <v>1519</v>
      </c>
      <c r="C219" s="6" t="s">
        <v>1453</v>
      </c>
      <c r="D219" s="6"/>
      <c r="E219" s="24" t="s">
        <v>536</v>
      </c>
      <c r="F219" s="24" t="s">
        <v>1650</v>
      </c>
      <c r="G219" s="24" t="str">
        <f t="shared" si="6"/>
        <v>FLIR0189.jpg</v>
      </c>
      <c r="H219" s="24" t="s">
        <v>848</v>
      </c>
      <c r="I219" s="24" t="str">
        <f t="shared" si="7"/>
        <v>ren "FLIR0189.jpg" "306.jpg"</v>
      </c>
      <c r="K219" s="24" t="s">
        <v>1651</v>
      </c>
      <c r="W219" s="1"/>
      <c r="X219" s="2"/>
    </row>
    <row r="220" spans="1:24" x14ac:dyDescent="0.25">
      <c r="A220" s="24">
        <v>307</v>
      </c>
      <c r="B220" s="6" t="s">
        <v>1522</v>
      </c>
      <c r="C220" s="6" t="s">
        <v>1453</v>
      </c>
      <c r="D220" s="6"/>
      <c r="E220" s="24" t="s">
        <v>534</v>
      </c>
      <c r="F220" s="24" t="s">
        <v>1652</v>
      </c>
      <c r="G220" s="24" t="str">
        <f t="shared" si="6"/>
        <v>FLIR0190- photo.jpg</v>
      </c>
      <c r="H220" s="24" t="s">
        <v>850</v>
      </c>
      <c r="I220" s="24" t="str">
        <f t="shared" si="7"/>
        <v>ren "FLIR0190- photo.jpg" "307.jpg"</v>
      </c>
      <c r="K220" s="24"/>
      <c r="W220" s="1"/>
      <c r="X220" s="2"/>
    </row>
    <row r="221" spans="1:24" x14ac:dyDescent="0.25">
      <c r="A221" s="24">
        <v>308</v>
      </c>
      <c r="B221" s="6" t="s">
        <v>1522</v>
      </c>
      <c r="C221" s="6" t="s">
        <v>1453</v>
      </c>
      <c r="D221" s="6"/>
      <c r="E221" s="24" t="s">
        <v>536</v>
      </c>
      <c r="F221" s="24" t="s">
        <v>1653</v>
      </c>
      <c r="G221" s="24" t="str">
        <f t="shared" si="6"/>
        <v>FLIR0190.jpg</v>
      </c>
      <c r="H221" s="24" t="s">
        <v>851</v>
      </c>
      <c r="I221" s="24" t="str">
        <f t="shared" si="7"/>
        <v>ren "FLIR0190.jpg" "308.jpg"</v>
      </c>
      <c r="K221" s="24"/>
      <c r="W221" s="1"/>
      <c r="X221" s="2"/>
    </row>
    <row r="222" spans="1:24" x14ac:dyDescent="0.25">
      <c r="A222" s="24">
        <v>309</v>
      </c>
      <c r="B222" s="6" t="s">
        <v>1579</v>
      </c>
      <c r="C222" s="6" t="s">
        <v>1453</v>
      </c>
      <c r="D222" s="6"/>
      <c r="E222" s="24" t="s">
        <v>534</v>
      </c>
      <c r="F222" s="24"/>
      <c r="G222" s="24" t="str">
        <f t="shared" si="6"/>
        <v/>
      </c>
      <c r="H222" s="24" t="s">
        <v>852</v>
      </c>
      <c r="I222" s="24" t="str">
        <f t="shared" si="7"/>
        <v>ren "" "309.jpg"</v>
      </c>
      <c r="K222" s="24"/>
      <c r="W222" s="1"/>
      <c r="X222" s="2"/>
    </row>
    <row r="223" spans="1:24" x14ac:dyDescent="0.25">
      <c r="A223" s="24">
        <v>310</v>
      </c>
      <c r="B223" s="6" t="s">
        <v>1579</v>
      </c>
      <c r="C223" s="6" t="s">
        <v>1453</v>
      </c>
      <c r="D223" s="6"/>
      <c r="E223" s="24" t="s">
        <v>536</v>
      </c>
      <c r="F223" s="24"/>
      <c r="G223" s="24" t="str">
        <f t="shared" si="6"/>
        <v/>
      </c>
      <c r="H223" s="24" t="s">
        <v>853</v>
      </c>
      <c r="I223" s="24" t="str">
        <f t="shared" si="7"/>
        <v>ren "" "310.jpg"</v>
      </c>
      <c r="K223" s="24"/>
      <c r="W223" s="1"/>
      <c r="X223" s="2"/>
    </row>
    <row r="224" spans="1:24" x14ac:dyDescent="0.25">
      <c r="A224" s="24">
        <v>311</v>
      </c>
      <c r="B224" s="6" t="s">
        <v>1580</v>
      </c>
      <c r="C224" s="6" t="s">
        <v>1453</v>
      </c>
      <c r="D224" s="6"/>
      <c r="E224" s="24" t="s">
        <v>534</v>
      </c>
      <c r="F224" s="24"/>
      <c r="G224" s="24" t="str">
        <f t="shared" si="6"/>
        <v/>
      </c>
      <c r="H224" s="24" t="s">
        <v>854</v>
      </c>
      <c r="I224" s="24" t="str">
        <f t="shared" si="7"/>
        <v>ren "" "311.jpg"</v>
      </c>
      <c r="K224" s="24"/>
      <c r="W224" s="1"/>
      <c r="X224" s="2"/>
    </row>
    <row r="225" spans="1:24" x14ac:dyDescent="0.25">
      <c r="A225" s="24">
        <v>312</v>
      </c>
      <c r="B225" s="6" t="s">
        <v>1580</v>
      </c>
      <c r="C225" s="6" t="s">
        <v>1453</v>
      </c>
      <c r="D225" s="6"/>
      <c r="E225" s="24" t="s">
        <v>536</v>
      </c>
      <c r="F225" s="24"/>
      <c r="G225" s="24" t="str">
        <f t="shared" si="6"/>
        <v/>
      </c>
      <c r="H225" s="24" t="s">
        <v>855</v>
      </c>
      <c r="I225" s="24" t="str">
        <f t="shared" si="7"/>
        <v>ren "" "312.jpg"</v>
      </c>
      <c r="K225" s="24"/>
      <c r="W225" s="1"/>
      <c r="X225" s="2"/>
    </row>
    <row r="226" spans="1:24" x14ac:dyDescent="0.25">
      <c r="A226" s="24">
        <v>13</v>
      </c>
      <c r="B226" s="6" t="s">
        <v>1529</v>
      </c>
      <c r="C226" s="37" t="s">
        <v>553</v>
      </c>
      <c r="D226" s="37"/>
      <c r="E226" s="24" t="s">
        <v>534</v>
      </c>
      <c r="F226" s="24" t="s">
        <v>1654</v>
      </c>
      <c r="G226" s="24" t="str">
        <f t="shared" si="6"/>
        <v>FLIR0171- photo.jpg</v>
      </c>
      <c r="H226" s="24" t="s">
        <v>554</v>
      </c>
      <c r="I226" s="24" t="str">
        <f t="shared" si="7"/>
        <v>ren "FLIR0171- photo.jpg" "13.jpg"</v>
      </c>
      <c r="K226" s="24"/>
      <c r="W226" s="1"/>
      <c r="X226" s="2"/>
    </row>
    <row r="227" spans="1:24" x14ac:dyDescent="0.25">
      <c r="A227" s="24">
        <v>14</v>
      </c>
      <c r="B227" s="6" t="s">
        <v>1529</v>
      </c>
      <c r="C227" s="37" t="s">
        <v>553</v>
      </c>
      <c r="D227" s="37"/>
      <c r="E227" s="24" t="s">
        <v>536</v>
      </c>
      <c r="F227" s="24" t="s">
        <v>1655</v>
      </c>
      <c r="G227" s="24" t="str">
        <f t="shared" si="6"/>
        <v>FLIR0171.jpg</v>
      </c>
      <c r="H227" s="24" t="s">
        <v>555</v>
      </c>
      <c r="I227" s="24" t="str">
        <f t="shared" si="7"/>
        <v>ren "FLIR0171.jpg" "14.jpg"</v>
      </c>
      <c r="K227" s="24"/>
      <c r="W227" s="1"/>
      <c r="X227" s="2"/>
    </row>
    <row r="228" spans="1:24" x14ac:dyDescent="0.25">
      <c r="A228" s="24">
        <v>17</v>
      </c>
      <c r="B228" s="6" t="s">
        <v>1529</v>
      </c>
      <c r="C228" s="37" t="s">
        <v>553</v>
      </c>
      <c r="D228" s="37"/>
      <c r="E228" s="24" t="s">
        <v>534</v>
      </c>
      <c r="F228" s="24"/>
      <c r="G228" s="24" t="str">
        <f t="shared" si="6"/>
        <v/>
      </c>
      <c r="H228" s="24" t="s">
        <v>559</v>
      </c>
      <c r="I228" s="24" t="str">
        <f t="shared" si="7"/>
        <v>ren "" "17.jpg"</v>
      </c>
      <c r="K228" s="24"/>
      <c r="W228" s="1"/>
      <c r="X228" s="2"/>
    </row>
    <row r="229" spans="1:24" x14ac:dyDescent="0.25">
      <c r="A229" s="24">
        <v>18</v>
      </c>
      <c r="B229" s="6" t="s">
        <v>1529</v>
      </c>
      <c r="C229" s="37" t="s">
        <v>553</v>
      </c>
      <c r="D229" s="37"/>
      <c r="E229" s="24" t="s">
        <v>536</v>
      </c>
      <c r="F229" s="24"/>
      <c r="G229" s="24" t="str">
        <f t="shared" si="6"/>
        <v/>
      </c>
      <c r="H229" s="24" t="s">
        <v>560</v>
      </c>
      <c r="I229" s="24" t="str">
        <f t="shared" si="7"/>
        <v>ren "" "18.jpg"</v>
      </c>
      <c r="K229" s="24"/>
      <c r="W229" s="1"/>
      <c r="X229" s="2"/>
    </row>
    <row r="230" spans="1:24" x14ac:dyDescent="0.25">
      <c r="A230" s="24">
        <v>15</v>
      </c>
      <c r="B230" s="6" t="s">
        <v>1529</v>
      </c>
      <c r="C230" s="37" t="s">
        <v>556</v>
      </c>
      <c r="D230" s="37"/>
      <c r="E230" s="24" t="s">
        <v>534</v>
      </c>
      <c r="F230" s="24" t="s">
        <v>1656</v>
      </c>
      <c r="G230" s="24" t="str">
        <f t="shared" si="6"/>
        <v>FLIR0172- photo.jpg</v>
      </c>
      <c r="H230" s="24" t="s">
        <v>557</v>
      </c>
      <c r="I230" s="24" t="str">
        <f t="shared" si="7"/>
        <v>ren "FLIR0172- photo.jpg" "15.jpg"</v>
      </c>
      <c r="K230" s="24"/>
      <c r="W230" s="1"/>
      <c r="X230" s="2"/>
    </row>
    <row r="231" spans="1:24" x14ac:dyDescent="0.25">
      <c r="A231" s="24">
        <v>16</v>
      </c>
      <c r="B231" s="6" t="s">
        <v>1529</v>
      </c>
      <c r="C231" s="37" t="s">
        <v>556</v>
      </c>
      <c r="D231" s="37"/>
      <c r="E231" s="24" t="s">
        <v>536</v>
      </c>
      <c r="F231" s="24" t="s">
        <v>1657</v>
      </c>
      <c r="G231" s="24" t="str">
        <f t="shared" si="6"/>
        <v>FLIR0172.jpg</v>
      </c>
      <c r="H231" s="24" t="s">
        <v>558</v>
      </c>
      <c r="I231" s="24" t="str">
        <f t="shared" si="7"/>
        <v>ren "FLIR0172.jpg" "16.jpg"</v>
      </c>
      <c r="K231" s="24"/>
      <c r="W231" s="1"/>
      <c r="X231" s="2"/>
    </row>
    <row r="232" spans="1:24" x14ac:dyDescent="0.25">
      <c r="A232" s="24">
        <v>19</v>
      </c>
      <c r="B232" s="6" t="s">
        <v>1529</v>
      </c>
      <c r="C232" s="37" t="s">
        <v>556</v>
      </c>
      <c r="D232" s="37"/>
      <c r="E232" s="24" t="s">
        <v>534</v>
      </c>
      <c r="F232" s="24"/>
      <c r="G232" s="24" t="str">
        <f t="shared" si="6"/>
        <v/>
      </c>
      <c r="H232" s="24" t="s">
        <v>561</v>
      </c>
      <c r="I232" s="24" t="str">
        <f t="shared" si="7"/>
        <v>ren "" "19.jpg"</v>
      </c>
      <c r="K232" s="24"/>
      <c r="W232" s="1"/>
      <c r="X232" s="2"/>
    </row>
    <row r="233" spans="1:24" x14ac:dyDescent="0.25">
      <c r="A233" s="24">
        <v>20</v>
      </c>
      <c r="B233" s="6" t="s">
        <v>1529</v>
      </c>
      <c r="C233" s="37" t="s">
        <v>556</v>
      </c>
      <c r="D233" s="37"/>
      <c r="E233" s="24" t="s">
        <v>536</v>
      </c>
      <c r="F233" s="24"/>
      <c r="G233" s="24" t="str">
        <f t="shared" si="6"/>
        <v/>
      </c>
      <c r="H233" s="24" t="s">
        <v>562</v>
      </c>
      <c r="I233" s="24" t="str">
        <f t="shared" si="7"/>
        <v>ren "" "20.jpg"</v>
      </c>
      <c r="K233" s="24"/>
      <c r="W233" s="1"/>
      <c r="X233" s="2"/>
    </row>
    <row r="234" spans="1:24" x14ac:dyDescent="0.25">
      <c r="A234" s="24">
        <v>21</v>
      </c>
      <c r="B234" s="6" t="s">
        <v>1529</v>
      </c>
      <c r="C234" s="37" t="s">
        <v>563</v>
      </c>
      <c r="D234" s="37"/>
      <c r="E234" s="24" t="s">
        <v>534</v>
      </c>
      <c r="F234" s="24"/>
      <c r="G234" s="24" t="str">
        <f t="shared" si="6"/>
        <v/>
      </c>
      <c r="H234" s="24" t="s">
        <v>564</v>
      </c>
      <c r="I234" s="24" t="str">
        <f t="shared" si="7"/>
        <v>ren "" "21.jpg"</v>
      </c>
      <c r="K234" s="24"/>
      <c r="W234" s="1"/>
      <c r="X234" s="2"/>
    </row>
    <row r="235" spans="1:24" x14ac:dyDescent="0.25">
      <c r="A235" s="24">
        <v>22</v>
      </c>
      <c r="B235" s="6" t="s">
        <v>1529</v>
      </c>
      <c r="C235" s="37" t="s">
        <v>563</v>
      </c>
      <c r="D235" s="37"/>
      <c r="E235" s="24" t="s">
        <v>536</v>
      </c>
      <c r="F235" s="24"/>
      <c r="G235" s="24" t="str">
        <f t="shared" si="6"/>
        <v/>
      </c>
      <c r="H235" s="24" t="s">
        <v>565</v>
      </c>
      <c r="I235" s="24" t="str">
        <f t="shared" si="7"/>
        <v>ren "" "22.jpg"</v>
      </c>
      <c r="K235" s="24"/>
      <c r="W235" s="1"/>
      <c r="X235" s="2"/>
    </row>
    <row r="236" spans="1:24" x14ac:dyDescent="0.25">
      <c r="A236" s="24">
        <v>23</v>
      </c>
      <c r="B236" s="6" t="s">
        <v>1529</v>
      </c>
      <c r="C236" s="37" t="s">
        <v>566</v>
      </c>
      <c r="D236" s="37"/>
      <c r="E236" s="24" t="s">
        <v>534</v>
      </c>
      <c r="F236" s="24"/>
      <c r="G236" s="24" t="str">
        <f t="shared" si="6"/>
        <v/>
      </c>
      <c r="H236" s="24" t="s">
        <v>567</v>
      </c>
      <c r="I236" s="24" t="str">
        <f t="shared" si="7"/>
        <v>ren "" "23.jpg"</v>
      </c>
      <c r="K236" s="24"/>
      <c r="W236" s="1"/>
      <c r="X236" s="2"/>
    </row>
    <row r="237" spans="1:24" x14ac:dyDescent="0.25">
      <c r="A237" s="24">
        <v>24</v>
      </c>
      <c r="B237" s="6" t="s">
        <v>1529</v>
      </c>
      <c r="C237" s="37" t="s">
        <v>566</v>
      </c>
      <c r="D237" s="37"/>
      <c r="E237" s="24" t="s">
        <v>536</v>
      </c>
      <c r="F237" s="24"/>
      <c r="G237" s="24" t="str">
        <f t="shared" si="6"/>
        <v/>
      </c>
      <c r="H237" s="24" t="s">
        <v>568</v>
      </c>
      <c r="I237" s="24" t="str">
        <f t="shared" si="7"/>
        <v>ren "" "24.jpg"</v>
      </c>
      <c r="K237" s="24"/>
      <c r="W237" s="1"/>
      <c r="X237" s="2"/>
    </row>
    <row r="238" spans="1:24" x14ac:dyDescent="0.25">
      <c r="A238" s="24">
        <v>1</v>
      </c>
      <c r="B238" s="6" t="s">
        <v>1529</v>
      </c>
      <c r="C238" s="37" t="s">
        <v>533</v>
      </c>
      <c r="D238" s="37"/>
      <c r="E238" s="24" t="s">
        <v>534</v>
      </c>
      <c r="F238" s="24" t="s">
        <v>1658</v>
      </c>
      <c r="G238" s="24" t="str">
        <f t="shared" si="6"/>
        <v>FLIR0170- photo.jpg</v>
      </c>
      <c r="H238" s="24" t="s">
        <v>535</v>
      </c>
      <c r="I238" s="24" t="str">
        <f t="shared" si="7"/>
        <v>ren "FLIR0170- photo.jpg" "1.jpg"</v>
      </c>
      <c r="K238" s="24"/>
      <c r="W238" s="1"/>
      <c r="X238" s="2"/>
    </row>
    <row r="239" spans="1:24" x14ac:dyDescent="0.25">
      <c r="A239" s="24">
        <v>2</v>
      </c>
      <c r="B239" s="6" t="s">
        <v>1529</v>
      </c>
      <c r="C239" s="37" t="s">
        <v>533</v>
      </c>
      <c r="D239" s="37"/>
      <c r="E239" s="24" t="s">
        <v>536</v>
      </c>
      <c r="F239" s="24" t="s">
        <v>1659</v>
      </c>
      <c r="G239" s="24" t="str">
        <f t="shared" si="6"/>
        <v>FLIR0170.jpg</v>
      </c>
      <c r="H239" s="24" t="s">
        <v>537</v>
      </c>
      <c r="I239" s="24" t="str">
        <f t="shared" si="7"/>
        <v>ren "FLIR0170.jpg" "2.jpg"</v>
      </c>
      <c r="K239" s="24"/>
      <c r="W239" s="1"/>
      <c r="X239" s="2"/>
    </row>
    <row r="240" spans="1:24" x14ac:dyDescent="0.25">
      <c r="A240" s="24">
        <v>3</v>
      </c>
      <c r="B240" s="6" t="s">
        <v>1529</v>
      </c>
      <c r="C240" s="37" t="s">
        <v>538</v>
      </c>
      <c r="D240" s="37"/>
      <c r="E240" s="24" t="s">
        <v>534</v>
      </c>
      <c r="F240" s="24"/>
      <c r="G240" s="24" t="str">
        <f t="shared" si="6"/>
        <v/>
      </c>
      <c r="H240" s="24" t="s">
        <v>539</v>
      </c>
      <c r="I240" s="24" t="str">
        <f t="shared" si="7"/>
        <v>ren "" "3.jpg"</v>
      </c>
      <c r="K240" s="24"/>
      <c r="W240" s="1"/>
      <c r="X240" s="2"/>
    </row>
    <row r="241" spans="1:24" x14ac:dyDescent="0.25">
      <c r="A241" s="24">
        <v>4</v>
      </c>
      <c r="B241" s="6" t="s">
        <v>1529</v>
      </c>
      <c r="C241" s="37" t="s">
        <v>538</v>
      </c>
      <c r="D241" s="37"/>
      <c r="E241" s="24" t="s">
        <v>536</v>
      </c>
      <c r="F241" s="24"/>
      <c r="G241" s="24" t="str">
        <f t="shared" si="6"/>
        <v/>
      </c>
      <c r="H241" s="24" t="s">
        <v>540</v>
      </c>
      <c r="I241" s="24" t="str">
        <f t="shared" si="7"/>
        <v>ren "" "4.jpg"</v>
      </c>
      <c r="K241" s="24"/>
      <c r="W241" s="1"/>
      <c r="X241" s="2"/>
    </row>
    <row r="242" spans="1:24" x14ac:dyDescent="0.25">
      <c r="A242" s="24">
        <v>5</v>
      </c>
      <c r="B242" s="6" t="s">
        <v>1529</v>
      </c>
      <c r="C242" s="37" t="s">
        <v>541</v>
      </c>
      <c r="D242" s="37"/>
      <c r="E242" s="24" t="s">
        <v>534</v>
      </c>
      <c r="F242" s="24" t="s">
        <v>1660</v>
      </c>
      <c r="G242" s="24" t="str">
        <f t="shared" si="6"/>
        <v>FLIR0177- photo.jpg</v>
      </c>
      <c r="H242" s="24" t="s">
        <v>542</v>
      </c>
      <c r="I242" s="24" t="str">
        <f t="shared" si="7"/>
        <v>ren "FLIR0177- photo.jpg" "5.jpg"</v>
      </c>
      <c r="K242" s="24"/>
      <c r="W242" s="1"/>
      <c r="X242" s="2"/>
    </row>
    <row r="243" spans="1:24" x14ac:dyDescent="0.25">
      <c r="A243" s="24">
        <v>6</v>
      </c>
      <c r="B243" s="6" t="s">
        <v>1529</v>
      </c>
      <c r="C243" s="37" t="s">
        <v>541</v>
      </c>
      <c r="D243" s="37"/>
      <c r="E243" s="24" t="s">
        <v>536</v>
      </c>
      <c r="F243" s="24" t="s">
        <v>1661</v>
      </c>
      <c r="G243" s="24" t="str">
        <f t="shared" si="6"/>
        <v>FLIR0177.jpg</v>
      </c>
      <c r="H243" s="24" t="s">
        <v>543</v>
      </c>
      <c r="I243" s="24" t="str">
        <f t="shared" si="7"/>
        <v>ren "FLIR0177.jpg" "6.jpg"</v>
      </c>
      <c r="K243" s="24"/>
      <c r="W243" s="1"/>
      <c r="X243" s="2"/>
    </row>
    <row r="244" spans="1:24" x14ac:dyDescent="0.25">
      <c r="A244" s="24">
        <v>7</v>
      </c>
      <c r="B244" s="6" t="s">
        <v>1529</v>
      </c>
      <c r="C244" s="37" t="s">
        <v>544</v>
      </c>
      <c r="D244" s="37"/>
      <c r="E244" s="24" t="s">
        <v>534</v>
      </c>
      <c r="F244" s="24"/>
      <c r="G244" s="24" t="str">
        <f t="shared" si="6"/>
        <v/>
      </c>
      <c r="H244" s="24" t="s">
        <v>545</v>
      </c>
      <c r="I244" s="24" t="str">
        <f t="shared" si="7"/>
        <v>ren "" "7.jpg"</v>
      </c>
      <c r="K244" s="24"/>
      <c r="W244" s="1"/>
      <c r="X244" s="2"/>
    </row>
    <row r="245" spans="1:24" x14ac:dyDescent="0.25">
      <c r="A245" s="24">
        <v>8</v>
      </c>
      <c r="B245" s="6" t="s">
        <v>1529</v>
      </c>
      <c r="C245" s="37" t="s">
        <v>544</v>
      </c>
      <c r="D245" s="37"/>
      <c r="E245" s="24" t="s">
        <v>536</v>
      </c>
      <c r="F245" s="24"/>
      <c r="G245" s="24" t="str">
        <f t="shared" si="6"/>
        <v/>
      </c>
      <c r="H245" s="24" t="s">
        <v>546</v>
      </c>
      <c r="I245" s="24" t="str">
        <f t="shared" si="7"/>
        <v>ren "" "8.jpg"</v>
      </c>
      <c r="K245" s="24"/>
      <c r="W245" s="1"/>
      <c r="X245" s="2"/>
    </row>
    <row r="246" spans="1:24" x14ac:dyDescent="0.25">
      <c r="A246" s="24">
        <v>267</v>
      </c>
      <c r="B246" s="6" t="s">
        <v>1570</v>
      </c>
      <c r="C246" s="6" t="s">
        <v>1497</v>
      </c>
      <c r="D246" s="6"/>
      <c r="E246" s="24" t="s">
        <v>534</v>
      </c>
      <c r="F246" s="24" t="s">
        <v>1662</v>
      </c>
      <c r="G246" s="24" t="str">
        <f t="shared" si="6"/>
        <v>FLIR0165- photo.jpg</v>
      </c>
      <c r="H246" s="24" t="s">
        <v>807</v>
      </c>
      <c r="I246" s="24" t="str">
        <f t="shared" si="7"/>
        <v>ren "FLIR0165- photo.jpg" "267.jpg"</v>
      </c>
      <c r="K246" s="24"/>
      <c r="W246" s="1"/>
      <c r="X246" s="2"/>
    </row>
    <row r="247" spans="1:24" x14ac:dyDescent="0.25">
      <c r="A247" s="24">
        <v>268</v>
      </c>
      <c r="B247" s="6" t="s">
        <v>1570</v>
      </c>
      <c r="C247" s="6" t="s">
        <v>1497</v>
      </c>
      <c r="D247" s="6"/>
      <c r="E247" s="24" t="s">
        <v>536</v>
      </c>
      <c r="F247" s="24" t="s">
        <v>1663</v>
      </c>
      <c r="G247" s="24" t="str">
        <f t="shared" si="6"/>
        <v>FLIR0165.jpg</v>
      </c>
      <c r="H247" s="24" t="s">
        <v>808</v>
      </c>
      <c r="I247" s="24" t="str">
        <f t="shared" si="7"/>
        <v>ren "FLIR0165.jpg" "268.jpg"</v>
      </c>
      <c r="K247" s="24"/>
      <c r="W247" s="1"/>
      <c r="X247" s="2"/>
    </row>
    <row r="248" spans="1:24" x14ac:dyDescent="0.25">
      <c r="A248" s="24">
        <v>283</v>
      </c>
      <c r="B248" s="6" t="s">
        <v>1574</v>
      </c>
      <c r="C248" s="6" t="s">
        <v>1497</v>
      </c>
      <c r="D248" s="6"/>
      <c r="E248" s="24" t="s">
        <v>534</v>
      </c>
      <c r="F248" s="24"/>
      <c r="G248" s="24" t="str">
        <f t="shared" si="6"/>
        <v/>
      </c>
      <c r="H248" s="24" t="s">
        <v>824</v>
      </c>
      <c r="I248" s="24" t="str">
        <f t="shared" si="7"/>
        <v>ren "" "283.jpg"</v>
      </c>
      <c r="K248" s="24"/>
      <c r="W248" s="1"/>
      <c r="X248" s="2"/>
    </row>
    <row r="249" spans="1:24" x14ac:dyDescent="0.25">
      <c r="A249" s="24">
        <v>284</v>
      </c>
      <c r="B249" s="6" t="s">
        <v>1574</v>
      </c>
      <c r="C249" s="6" t="s">
        <v>1497</v>
      </c>
      <c r="D249" s="6"/>
      <c r="E249" s="24" t="s">
        <v>536</v>
      </c>
      <c r="F249" s="24"/>
      <c r="G249" s="24" t="str">
        <f t="shared" si="6"/>
        <v/>
      </c>
      <c r="H249" s="24" t="s">
        <v>825</v>
      </c>
      <c r="I249" s="24" t="str">
        <f t="shared" si="7"/>
        <v>ren "" "284.jpg"</v>
      </c>
      <c r="K249" s="24"/>
      <c r="W249" s="1"/>
      <c r="X249" s="2"/>
    </row>
    <row r="250" spans="1:24" x14ac:dyDescent="0.25">
      <c r="A250" s="24">
        <v>9</v>
      </c>
      <c r="B250" s="6" t="s">
        <v>1529</v>
      </c>
      <c r="C250" s="37" t="s">
        <v>547</v>
      </c>
      <c r="D250" s="37"/>
      <c r="E250" s="24" t="s">
        <v>534</v>
      </c>
      <c r="F250" s="24" t="s">
        <v>1664</v>
      </c>
      <c r="G250" s="24" t="str">
        <f t="shared" si="6"/>
        <v>FLIR0176- photo.jpg</v>
      </c>
      <c r="H250" s="24" t="s">
        <v>548</v>
      </c>
      <c r="I250" s="24" t="str">
        <f t="shared" si="7"/>
        <v>ren "FLIR0176- photo.jpg" "9.jpg"</v>
      </c>
      <c r="K250" s="24"/>
      <c r="W250" s="1"/>
      <c r="X250" s="2"/>
    </row>
    <row r="251" spans="1:24" x14ac:dyDescent="0.25">
      <c r="A251" s="24">
        <v>10</v>
      </c>
      <c r="B251" s="6" t="s">
        <v>1529</v>
      </c>
      <c r="C251" s="37" t="s">
        <v>547</v>
      </c>
      <c r="D251" s="37"/>
      <c r="E251" s="24" t="s">
        <v>536</v>
      </c>
      <c r="F251" s="24" t="s">
        <v>1665</v>
      </c>
      <c r="G251" s="24" t="str">
        <f t="shared" si="6"/>
        <v>FLIR0176.jpg</v>
      </c>
      <c r="H251" s="24" t="s">
        <v>549</v>
      </c>
      <c r="I251" s="24" t="str">
        <f t="shared" si="7"/>
        <v>ren "FLIR0176.jpg" "10.jpg"</v>
      </c>
      <c r="K251" s="24"/>
      <c r="W251" s="1"/>
      <c r="X251" s="2"/>
    </row>
    <row r="252" spans="1:24" x14ac:dyDescent="0.25">
      <c r="A252" s="24">
        <v>11</v>
      </c>
      <c r="B252" s="6" t="s">
        <v>1529</v>
      </c>
      <c r="C252" s="37" t="s">
        <v>550</v>
      </c>
      <c r="D252" s="37"/>
      <c r="E252" s="24" t="s">
        <v>534</v>
      </c>
      <c r="F252" s="24"/>
      <c r="G252" s="24" t="str">
        <f t="shared" si="6"/>
        <v/>
      </c>
      <c r="H252" s="24" t="s">
        <v>551</v>
      </c>
      <c r="I252" s="24" t="str">
        <f t="shared" si="7"/>
        <v>ren "" "11.jpg"</v>
      </c>
      <c r="K252" s="24"/>
      <c r="W252" s="1"/>
      <c r="X252" s="2"/>
    </row>
    <row r="253" spans="1:24" x14ac:dyDescent="0.25">
      <c r="A253" s="24">
        <v>12</v>
      </c>
      <c r="B253" s="6" t="s">
        <v>1529</v>
      </c>
      <c r="C253" s="37" t="s">
        <v>550</v>
      </c>
      <c r="D253" s="37"/>
      <c r="E253" s="24" t="s">
        <v>536</v>
      </c>
      <c r="F253" s="24"/>
      <c r="G253" s="24" t="str">
        <f t="shared" si="6"/>
        <v/>
      </c>
      <c r="H253" s="24" t="s">
        <v>552</v>
      </c>
      <c r="I253" s="24" t="str">
        <f t="shared" si="7"/>
        <v>ren "" "12.jpg"</v>
      </c>
      <c r="K253" s="24"/>
      <c r="W253" s="1"/>
      <c r="X253" s="2"/>
    </row>
    <row r="254" spans="1:24" x14ac:dyDescent="0.25">
      <c r="A254" s="24">
        <v>33</v>
      </c>
      <c r="B254" s="6" t="s">
        <v>1534</v>
      </c>
      <c r="C254" s="37" t="s">
        <v>582</v>
      </c>
      <c r="D254" s="37"/>
      <c r="E254" s="24" t="s">
        <v>534</v>
      </c>
      <c r="F254" s="24"/>
      <c r="G254" s="24" t="str">
        <f t="shared" si="6"/>
        <v/>
      </c>
      <c r="H254" s="24" t="s">
        <v>1548</v>
      </c>
      <c r="I254" s="24" t="str">
        <f t="shared" si="7"/>
        <v>ren "" "33.jpg"</v>
      </c>
      <c r="K254" s="24"/>
      <c r="W254" s="1"/>
      <c r="X254" s="2"/>
    </row>
    <row r="255" spans="1:24" x14ac:dyDescent="0.25">
      <c r="A255" s="24">
        <v>34</v>
      </c>
      <c r="B255" s="6" t="s">
        <v>1534</v>
      </c>
      <c r="C255" s="37" t="s">
        <v>582</v>
      </c>
      <c r="D255" s="37"/>
      <c r="E255" s="24" t="s">
        <v>536</v>
      </c>
      <c r="F255" s="24"/>
      <c r="G255" s="24" t="str">
        <f t="shared" si="6"/>
        <v/>
      </c>
      <c r="H255" s="24" t="s">
        <v>1549</v>
      </c>
      <c r="I255" s="24" t="str">
        <f t="shared" si="7"/>
        <v>ren "" "34.jpg"</v>
      </c>
      <c r="K255" s="24"/>
      <c r="W255" s="1"/>
      <c r="X255" s="2"/>
    </row>
    <row r="256" spans="1:24" x14ac:dyDescent="0.25">
      <c r="A256" s="24">
        <v>49</v>
      </c>
      <c r="B256" s="6" t="s">
        <v>1535</v>
      </c>
      <c r="C256" s="37" t="s">
        <v>582</v>
      </c>
      <c r="D256" s="37"/>
      <c r="E256" s="24" t="s">
        <v>534</v>
      </c>
      <c r="F256" s="24"/>
      <c r="G256" s="24" t="str">
        <f t="shared" si="6"/>
        <v/>
      </c>
      <c r="H256" s="24" t="s">
        <v>1568</v>
      </c>
      <c r="I256" s="24" t="str">
        <f t="shared" si="7"/>
        <v>ren "" "49.jpg"</v>
      </c>
      <c r="K256" s="24"/>
      <c r="W256" s="1"/>
      <c r="X256" s="2"/>
    </row>
    <row r="257" spans="1:24" x14ac:dyDescent="0.25">
      <c r="A257" s="24">
        <v>50</v>
      </c>
      <c r="B257" s="6" t="s">
        <v>1535</v>
      </c>
      <c r="C257" s="37" t="s">
        <v>582</v>
      </c>
      <c r="D257" s="37"/>
      <c r="E257" s="24" t="s">
        <v>536</v>
      </c>
      <c r="F257" s="24"/>
      <c r="G257" s="24" t="str">
        <f t="shared" si="6"/>
        <v/>
      </c>
      <c r="H257" s="24" t="s">
        <v>1569</v>
      </c>
      <c r="I257" s="24" t="str">
        <f t="shared" si="7"/>
        <v>ren "" "50.jpg"</v>
      </c>
      <c r="K257" s="24"/>
      <c r="W257" s="1"/>
      <c r="X257" s="2"/>
    </row>
    <row r="258" spans="1:24" x14ac:dyDescent="0.25">
      <c r="A258" s="24">
        <v>65</v>
      </c>
      <c r="B258" s="6" t="s">
        <v>1536</v>
      </c>
      <c r="C258" s="37" t="s">
        <v>582</v>
      </c>
      <c r="D258" s="37"/>
      <c r="E258" s="24" t="s">
        <v>534</v>
      </c>
      <c r="F258" s="24"/>
      <c r="G258" s="24" t="str">
        <f t="shared" ref="G258:G313" si="8">IF(F258="", "", TRIM(RIGHT(SUBSTITUTE(F258, "\", REPT(" ", LEN(F258))), LEN(F258))))</f>
        <v/>
      </c>
      <c r="H258" s="24" t="s">
        <v>592</v>
      </c>
      <c r="I258" s="24" t="str">
        <f t="shared" ref="I258:I313" si="9">"ren """ &amp; G258 &amp; """ """ &amp; H258 &amp; """"</f>
        <v>ren "" "65.jpg"</v>
      </c>
      <c r="K258" s="24"/>
      <c r="W258" s="1"/>
      <c r="X258" s="2"/>
    </row>
    <row r="259" spans="1:24" x14ac:dyDescent="0.25">
      <c r="A259" s="24">
        <v>66</v>
      </c>
      <c r="B259" s="6" t="s">
        <v>1536</v>
      </c>
      <c r="C259" s="37" t="s">
        <v>582</v>
      </c>
      <c r="D259" s="37"/>
      <c r="E259" s="24" t="s">
        <v>536</v>
      </c>
      <c r="F259" s="24"/>
      <c r="G259" s="24" t="str">
        <f t="shared" si="8"/>
        <v/>
      </c>
      <c r="H259" s="24" t="s">
        <v>593</v>
      </c>
      <c r="I259" s="24" t="str">
        <f t="shared" si="9"/>
        <v>ren "" "66.jpg"</v>
      </c>
      <c r="K259" s="24"/>
      <c r="W259" s="1"/>
      <c r="X259" s="2"/>
    </row>
    <row r="260" spans="1:24" x14ac:dyDescent="0.25">
      <c r="A260" s="24">
        <v>81</v>
      </c>
      <c r="B260" s="6" t="s">
        <v>1537</v>
      </c>
      <c r="C260" s="37" t="s">
        <v>582</v>
      </c>
      <c r="D260" s="37"/>
      <c r="E260" s="24" t="s">
        <v>534</v>
      </c>
      <c r="F260" s="24"/>
      <c r="G260" s="24" t="str">
        <f t="shared" si="8"/>
        <v/>
      </c>
      <c r="H260" s="24" t="s">
        <v>609</v>
      </c>
      <c r="I260" s="24" t="str">
        <f t="shared" si="9"/>
        <v>ren "" "81.jpg"</v>
      </c>
      <c r="K260" s="24"/>
      <c r="W260" s="1"/>
      <c r="X260" s="2"/>
    </row>
    <row r="261" spans="1:24" x14ac:dyDescent="0.25">
      <c r="A261" s="24">
        <v>82</v>
      </c>
      <c r="B261" s="6" t="s">
        <v>1537</v>
      </c>
      <c r="C261" s="37" t="s">
        <v>582</v>
      </c>
      <c r="D261" s="37"/>
      <c r="E261" s="24" t="s">
        <v>536</v>
      </c>
      <c r="F261" s="24"/>
      <c r="G261" s="24" t="str">
        <f t="shared" si="8"/>
        <v/>
      </c>
      <c r="H261" s="24" t="s">
        <v>610</v>
      </c>
      <c r="I261" s="24" t="str">
        <f t="shared" si="9"/>
        <v>ren "" "82.jpg"</v>
      </c>
      <c r="K261" s="24"/>
      <c r="W261" s="1"/>
      <c r="X261" s="2"/>
    </row>
    <row r="262" spans="1:24" x14ac:dyDescent="0.25">
      <c r="A262" s="24">
        <v>97</v>
      </c>
      <c r="B262" s="6" t="s">
        <v>1542</v>
      </c>
      <c r="C262" s="37" t="s">
        <v>582</v>
      </c>
      <c r="D262" s="37"/>
      <c r="E262" s="24" t="s">
        <v>534</v>
      </c>
      <c r="F262" s="24"/>
      <c r="G262" s="24" t="str">
        <f t="shared" si="8"/>
        <v/>
      </c>
      <c r="H262" s="24" t="s">
        <v>626</v>
      </c>
      <c r="I262" s="24" t="str">
        <f t="shared" si="9"/>
        <v>ren "" "97.jpg"</v>
      </c>
      <c r="K262" s="24"/>
      <c r="W262" s="1"/>
      <c r="X262" s="2"/>
    </row>
    <row r="263" spans="1:24" x14ac:dyDescent="0.25">
      <c r="A263" s="24">
        <v>98</v>
      </c>
      <c r="B263" s="6" t="s">
        <v>1542</v>
      </c>
      <c r="C263" s="37" t="s">
        <v>582</v>
      </c>
      <c r="D263" s="37"/>
      <c r="E263" s="24" t="s">
        <v>536</v>
      </c>
      <c r="F263" s="24"/>
      <c r="G263" s="24" t="str">
        <f t="shared" si="8"/>
        <v/>
      </c>
      <c r="H263" s="24" t="s">
        <v>627</v>
      </c>
      <c r="I263" s="24" t="str">
        <f t="shared" si="9"/>
        <v>ren "" "98.jpg"</v>
      </c>
      <c r="K263" s="24"/>
      <c r="W263" s="1"/>
      <c r="X263" s="2"/>
    </row>
    <row r="264" spans="1:24" x14ac:dyDescent="0.25">
      <c r="A264" s="24">
        <v>113</v>
      </c>
      <c r="B264" s="6" t="s">
        <v>1547</v>
      </c>
      <c r="C264" s="37" t="s">
        <v>582</v>
      </c>
      <c r="D264" s="37"/>
      <c r="E264" s="24" t="s">
        <v>534</v>
      </c>
      <c r="F264" s="24"/>
      <c r="G264" s="24" t="str">
        <f t="shared" si="8"/>
        <v/>
      </c>
      <c r="H264" s="24" t="s">
        <v>643</v>
      </c>
      <c r="I264" s="24" t="str">
        <f t="shared" si="9"/>
        <v>ren "" "113.jpg"</v>
      </c>
      <c r="K264" s="24"/>
      <c r="W264" s="1"/>
      <c r="X264" s="2"/>
    </row>
    <row r="265" spans="1:24" x14ac:dyDescent="0.25">
      <c r="A265" s="24">
        <v>114</v>
      </c>
      <c r="B265" s="6" t="s">
        <v>1547</v>
      </c>
      <c r="C265" s="37" t="s">
        <v>582</v>
      </c>
      <c r="D265" s="37"/>
      <c r="E265" s="24" t="s">
        <v>536</v>
      </c>
      <c r="F265" s="24"/>
      <c r="G265" s="24" t="str">
        <f t="shared" si="8"/>
        <v/>
      </c>
      <c r="H265" s="24" t="s">
        <v>644</v>
      </c>
      <c r="I265" s="24" t="str">
        <f t="shared" si="9"/>
        <v>ren "" "114.jpg"</v>
      </c>
      <c r="K265" s="24"/>
      <c r="W265" s="1"/>
      <c r="X265" s="2"/>
    </row>
    <row r="266" spans="1:24" x14ac:dyDescent="0.25">
      <c r="A266" s="24">
        <v>129</v>
      </c>
      <c r="B266" s="6" t="s">
        <v>1552</v>
      </c>
      <c r="C266" s="37" t="s">
        <v>582</v>
      </c>
      <c r="D266" s="37"/>
      <c r="E266" s="24" t="s">
        <v>534</v>
      </c>
      <c r="F266" s="24"/>
      <c r="G266" s="24" t="str">
        <f t="shared" si="8"/>
        <v/>
      </c>
      <c r="H266" s="24" t="s">
        <v>660</v>
      </c>
      <c r="I266" s="24" t="str">
        <f t="shared" si="9"/>
        <v>ren "" "129.jpg"</v>
      </c>
      <c r="K266" s="24"/>
      <c r="W266" s="1"/>
      <c r="X266" s="2"/>
    </row>
    <row r="267" spans="1:24" x14ac:dyDescent="0.25">
      <c r="A267" s="24">
        <v>130</v>
      </c>
      <c r="B267" s="6" t="s">
        <v>1552</v>
      </c>
      <c r="C267" s="37" t="s">
        <v>582</v>
      </c>
      <c r="D267" s="37"/>
      <c r="E267" s="24" t="s">
        <v>536</v>
      </c>
      <c r="F267" s="24"/>
      <c r="G267" s="24" t="str">
        <f t="shared" si="8"/>
        <v/>
      </c>
      <c r="H267" s="24" t="s">
        <v>661</v>
      </c>
      <c r="I267" s="24" t="str">
        <f t="shared" si="9"/>
        <v>ren "" "130.jpg"</v>
      </c>
      <c r="K267" s="24"/>
      <c r="W267" s="1"/>
      <c r="X267" s="2"/>
    </row>
    <row r="268" spans="1:24" x14ac:dyDescent="0.25">
      <c r="A268" s="24">
        <v>145</v>
      </c>
      <c r="B268" s="6" t="s">
        <v>1557</v>
      </c>
      <c r="C268" s="37" t="s">
        <v>582</v>
      </c>
      <c r="D268" s="37"/>
      <c r="E268" s="24" t="s">
        <v>534</v>
      </c>
      <c r="F268" s="24"/>
      <c r="G268" s="24" t="str">
        <f t="shared" si="8"/>
        <v/>
      </c>
      <c r="H268" s="24" t="s">
        <v>677</v>
      </c>
      <c r="I268" s="24" t="str">
        <f t="shared" si="9"/>
        <v>ren "" "145.jpg"</v>
      </c>
      <c r="K268" s="24"/>
      <c r="W268" s="1"/>
      <c r="X268" s="2"/>
    </row>
    <row r="269" spans="1:24" x14ac:dyDescent="0.25">
      <c r="A269" s="24">
        <v>146</v>
      </c>
      <c r="B269" s="6" t="s">
        <v>1557</v>
      </c>
      <c r="C269" s="37" t="s">
        <v>582</v>
      </c>
      <c r="D269" s="37"/>
      <c r="E269" s="24" t="s">
        <v>536</v>
      </c>
      <c r="F269" s="24"/>
      <c r="G269" s="24" t="str">
        <f t="shared" si="8"/>
        <v/>
      </c>
      <c r="H269" s="24" t="s">
        <v>678</v>
      </c>
      <c r="I269" s="24" t="str">
        <f t="shared" si="9"/>
        <v>ren "" "146.jpg"</v>
      </c>
      <c r="K269" s="24"/>
      <c r="W269" s="1"/>
      <c r="X269" s="2"/>
    </row>
    <row r="270" spans="1:24" x14ac:dyDescent="0.25">
      <c r="A270" s="24">
        <v>161</v>
      </c>
      <c r="B270" s="6" t="s">
        <v>1562</v>
      </c>
      <c r="C270" s="37" t="s">
        <v>582</v>
      </c>
      <c r="D270" s="37"/>
      <c r="E270" s="24" t="s">
        <v>534</v>
      </c>
      <c r="F270" s="24"/>
      <c r="G270" s="24" t="str">
        <f t="shared" si="8"/>
        <v/>
      </c>
      <c r="H270" s="24" t="s">
        <v>694</v>
      </c>
      <c r="I270" s="24" t="str">
        <f t="shared" si="9"/>
        <v>ren "" "161.jpg"</v>
      </c>
      <c r="K270" s="24"/>
      <c r="W270" s="1"/>
      <c r="X270" s="2"/>
    </row>
    <row r="271" spans="1:24" x14ac:dyDescent="0.25">
      <c r="A271" s="24">
        <v>162</v>
      </c>
      <c r="B271" s="6" t="s">
        <v>1562</v>
      </c>
      <c r="C271" s="37" t="s">
        <v>582</v>
      </c>
      <c r="D271" s="37"/>
      <c r="E271" s="24" t="s">
        <v>536</v>
      </c>
      <c r="F271" s="24"/>
      <c r="G271" s="24" t="str">
        <f t="shared" si="8"/>
        <v/>
      </c>
      <c r="H271" s="24" t="s">
        <v>695</v>
      </c>
      <c r="I271" s="24" t="str">
        <f t="shared" si="9"/>
        <v>ren "" "162.jpg"</v>
      </c>
      <c r="K271" s="24"/>
      <c r="W271" s="1"/>
      <c r="X271" s="2"/>
    </row>
    <row r="272" spans="1:24" x14ac:dyDescent="0.25">
      <c r="A272" s="24">
        <v>177</v>
      </c>
      <c r="B272" s="6" t="s">
        <v>1567</v>
      </c>
      <c r="C272" s="37" t="s">
        <v>582</v>
      </c>
      <c r="D272" s="37"/>
      <c r="E272" s="24" t="s">
        <v>534</v>
      </c>
      <c r="F272" s="24"/>
      <c r="G272" s="24" t="str">
        <f t="shared" si="8"/>
        <v/>
      </c>
      <c r="H272" s="24" t="s">
        <v>711</v>
      </c>
      <c r="I272" s="24" t="str">
        <f t="shared" si="9"/>
        <v>ren "" "177.jpg"</v>
      </c>
      <c r="K272" s="24"/>
      <c r="W272" s="1"/>
      <c r="X272" s="2"/>
    </row>
    <row r="273" spans="1:24" x14ac:dyDescent="0.25">
      <c r="A273" s="24">
        <v>178</v>
      </c>
      <c r="B273" s="6" t="s">
        <v>1567</v>
      </c>
      <c r="C273" s="37" t="s">
        <v>582</v>
      </c>
      <c r="D273" s="37"/>
      <c r="E273" s="24" t="s">
        <v>536</v>
      </c>
      <c r="F273" s="24"/>
      <c r="G273" s="24" t="str">
        <f t="shared" si="8"/>
        <v/>
      </c>
      <c r="H273" s="24" t="s">
        <v>712</v>
      </c>
      <c r="I273" s="24" t="str">
        <f t="shared" si="9"/>
        <v>ren "" "178.jpg"</v>
      </c>
      <c r="K273" s="24"/>
      <c r="W273" s="1"/>
      <c r="X273" s="2"/>
    </row>
    <row r="274" spans="1:24" x14ac:dyDescent="0.25">
      <c r="A274" s="24">
        <v>193</v>
      </c>
      <c r="B274" s="6" t="s">
        <v>1587</v>
      </c>
      <c r="C274" s="37" t="s">
        <v>582</v>
      </c>
      <c r="D274" s="37"/>
      <c r="E274" s="24" t="s">
        <v>534</v>
      </c>
      <c r="F274" s="24"/>
      <c r="G274" s="24" t="str">
        <f t="shared" si="8"/>
        <v/>
      </c>
      <c r="H274" s="24" t="s">
        <v>728</v>
      </c>
      <c r="I274" s="24" t="str">
        <f t="shared" si="9"/>
        <v>ren "" "193.jpg"</v>
      </c>
      <c r="K274" s="24"/>
      <c r="W274" s="1"/>
      <c r="X274" s="2"/>
    </row>
    <row r="275" spans="1:24" x14ac:dyDescent="0.25">
      <c r="A275" s="24">
        <v>194</v>
      </c>
      <c r="B275" s="6" t="s">
        <v>1587</v>
      </c>
      <c r="C275" s="37" t="s">
        <v>582</v>
      </c>
      <c r="D275" s="37"/>
      <c r="E275" s="24" t="s">
        <v>536</v>
      </c>
      <c r="F275" s="24"/>
      <c r="G275" s="24" t="str">
        <f t="shared" si="8"/>
        <v/>
      </c>
      <c r="H275" s="24" t="s">
        <v>729</v>
      </c>
      <c r="I275" s="24" t="str">
        <f t="shared" si="9"/>
        <v>ren "" "194.jpg"</v>
      </c>
      <c r="K275" s="24"/>
      <c r="W275" s="1"/>
      <c r="X275" s="2"/>
    </row>
    <row r="276" spans="1:24" x14ac:dyDescent="0.25">
      <c r="A276" s="24">
        <v>209</v>
      </c>
      <c r="B276" s="6" t="s">
        <v>1588</v>
      </c>
      <c r="C276" s="37" t="s">
        <v>582</v>
      </c>
      <c r="D276" s="37"/>
      <c r="E276" s="24" t="s">
        <v>534</v>
      </c>
      <c r="F276" s="24"/>
      <c r="G276" s="24" t="str">
        <f t="shared" si="8"/>
        <v/>
      </c>
      <c r="H276" s="24" t="s">
        <v>745</v>
      </c>
      <c r="I276" s="24" t="str">
        <f t="shared" si="9"/>
        <v>ren "" "209.jpg"</v>
      </c>
      <c r="K276" s="24"/>
      <c r="W276" s="1"/>
      <c r="X276" s="2"/>
    </row>
    <row r="277" spans="1:24" x14ac:dyDescent="0.25">
      <c r="A277" s="24">
        <v>210</v>
      </c>
      <c r="B277" s="6" t="s">
        <v>1588</v>
      </c>
      <c r="C277" s="37" t="s">
        <v>582</v>
      </c>
      <c r="D277" s="37"/>
      <c r="E277" s="24" t="s">
        <v>536</v>
      </c>
      <c r="F277" s="24"/>
      <c r="G277" s="24" t="str">
        <f t="shared" si="8"/>
        <v/>
      </c>
      <c r="H277" s="24" t="s">
        <v>746</v>
      </c>
      <c r="I277" s="24" t="str">
        <f t="shared" si="9"/>
        <v>ren "" "210.jpg"</v>
      </c>
      <c r="K277" s="24"/>
      <c r="W277" s="1"/>
      <c r="X277" s="2"/>
    </row>
    <row r="278" spans="1:24" x14ac:dyDescent="0.25">
      <c r="A278" s="24">
        <v>225</v>
      </c>
      <c r="B278" s="6" t="s">
        <v>1589</v>
      </c>
      <c r="C278" s="37" t="s">
        <v>582</v>
      </c>
      <c r="D278" s="37"/>
      <c r="E278" s="24" t="s">
        <v>534</v>
      </c>
      <c r="F278" s="24"/>
      <c r="G278" s="24" t="str">
        <f t="shared" si="8"/>
        <v/>
      </c>
      <c r="H278" s="24" t="s">
        <v>762</v>
      </c>
      <c r="I278" s="24" t="str">
        <f t="shared" si="9"/>
        <v>ren "" "225.jpg"</v>
      </c>
      <c r="K278" s="24"/>
      <c r="W278" s="1"/>
      <c r="X278" s="2"/>
    </row>
    <row r="279" spans="1:24" x14ac:dyDescent="0.25">
      <c r="A279" s="24">
        <v>226</v>
      </c>
      <c r="B279" s="6" t="s">
        <v>1589</v>
      </c>
      <c r="C279" s="37" t="s">
        <v>582</v>
      </c>
      <c r="D279" s="37"/>
      <c r="E279" s="24" t="s">
        <v>536</v>
      </c>
      <c r="F279" s="24"/>
      <c r="G279" s="24" t="str">
        <f t="shared" si="8"/>
        <v/>
      </c>
      <c r="H279" s="24" t="s">
        <v>763</v>
      </c>
      <c r="I279" s="24" t="str">
        <f t="shared" si="9"/>
        <v>ren "" "226.jpg"</v>
      </c>
      <c r="K279" s="24"/>
      <c r="W279" s="1"/>
      <c r="X279" s="2"/>
    </row>
    <row r="280" spans="1:24" x14ac:dyDescent="0.25">
      <c r="A280" s="24">
        <v>241</v>
      </c>
      <c r="B280" s="6" t="s">
        <v>1590</v>
      </c>
      <c r="C280" s="37" t="s">
        <v>582</v>
      </c>
      <c r="D280" s="37"/>
      <c r="E280" s="24" t="s">
        <v>534</v>
      </c>
      <c r="F280" s="24"/>
      <c r="G280" s="24" t="str">
        <f t="shared" si="8"/>
        <v/>
      </c>
      <c r="H280" s="24" t="s">
        <v>779</v>
      </c>
      <c r="I280" s="24" t="str">
        <f t="shared" si="9"/>
        <v>ren "" "241.jpg"</v>
      </c>
      <c r="K280" s="24"/>
      <c r="W280" s="1"/>
      <c r="X280" s="2"/>
    </row>
    <row r="281" spans="1:24" x14ac:dyDescent="0.25">
      <c r="A281" s="24">
        <v>242</v>
      </c>
      <c r="B281" s="6" t="s">
        <v>1590</v>
      </c>
      <c r="C281" s="37" t="s">
        <v>582</v>
      </c>
      <c r="D281" s="37"/>
      <c r="E281" s="24" t="s">
        <v>536</v>
      </c>
      <c r="F281" s="24"/>
      <c r="G281" s="24" t="str">
        <f t="shared" si="8"/>
        <v/>
      </c>
      <c r="H281" s="24" t="s">
        <v>780</v>
      </c>
      <c r="I281" s="24" t="str">
        <f t="shared" si="9"/>
        <v>ren "" "242.jpg"</v>
      </c>
      <c r="K281" s="24"/>
      <c r="W281" s="1"/>
      <c r="X281" s="2"/>
    </row>
    <row r="282" spans="1:24" x14ac:dyDescent="0.25">
      <c r="A282" s="24">
        <v>257</v>
      </c>
      <c r="B282" s="6" t="s">
        <v>1591</v>
      </c>
      <c r="C282" s="37" t="s">
        <v>582</v>
      </c>
      <c r="D282" s="37"/>
      <c r="E282" s="24" t="s">
        <v>534</v>
      </c>
      <c r="F282" s="24"/>
      <c r="G282" s="24" t="str">
        <f t="shared" si="8"/>
        <v/>
      </c>
      <c r="H282" s="24" t="s">
        <v>796</v>
      </c>
      <c r="I282" s="24" t="str">
        <f t="shared" si="9"/>
        <v>ren "" "257.jpg"</v>
      </c>
      <c r="K282" s="24"/>
      <c r="W282" s="1"/>
      <c r="X282" s="2"/>
    </row>
    <row r="283" spans="1:24" x14ac:dyDescent="0.25">
      <c r="A283" s="24">
        <v>258</v>
      </c>
      <c r="B283" s="6" t="s">
        <v>1591</v>
      </c>
      <c r="C283" s="37" t="s">
        <v>582</v>
      </c>
      <c r="D283" s="37"/>
      <c r="E283" s="24" t="s">
        <v>536</v>
      </c>
      <c r="F283" s="24"/>
      <c r="G283" s="24" t="str">
        <f t="shared" si="8"/>
        <v/>
      </c>
      <c r="H283" s="24" t="s">
        <v>797</v>
      </c>
      <c r="I283" s="24" t="str">
        <f t="shared" si="9"/>
        <v>ren "" "258.jpg"</v>
      </c>
      <c r="K283" s="24"/>
      <c r="W283" s="1"/>
      <c r="X283" s="2"/>
    </row>
    <row r="284" spans="1:24" x14ac:dyDescent="0.25">
      <c r="A284" s="24">
        <v>39</v>
      </c>
      <c r="B284" s="6" t="s">
        <v>1534</v>
      </c>
      <c r="C284" s="37" t="s">
        <v>591</v>
      </c>
      <c r="D284" s="37"/>
      <c r="E284" s="24" t="s">
        <v>534</v>
      </c>
      <c r="F284" s="24" t="s">
        <v>1666</v>
      </c>
      <c r="G284" s="24" t="str">
        <f t="shared" si="8"/>
        <v>FLIR0186- photo.jpg</v>
      </c>
      <c r="H284" s="24" t="s">
        <v>1555</v>
      </c>
      <c r="I284" s="24" t="str">
        <f t="shared" si="9"/>
        <v>ren "FLIR0186- photo.jpg" "39.jpg"</v>
      </c>
      <c r="K284" s="24" t="s">
        <v>1667</v>
      </c>
      <c r="W284" s="1"/>
      <c r="X284" s="2"/>
    </row>
    <row r="285" spans="1:24" x14ac:dyDescent="0.25">
      <c r="A285" s="24">
        <v>40</v>
      </c>
      <c r="B285" s="6" t="s">
        <v>1534</v>
      </c>
      <c r="C285" s="37" t="s">
        <v>591</v>
      </c>
      <c r="D285" s="37"/>
      <c r="E285" s="24" t="s">
        <v>536</v>
      </c>
      <c r="F285" s="24" t="s">
        <v>1668</v>
      </c>
      <c r="G285" s="24" t="str">
        <f t="shared" si="8"/>
        <v>FLIR0186.jpg</v>
      </c>
      <c r="H285" s="24" t="s">
        <v>1556</v>
      </c>
      <c r="I285" s="24" t="str">
        <f t="shared" si="9"/>
        <v>ren "FLIR0186.jpg" "40.jpg"</v>
      </c>
      <c r="K285" s="24" t="s">
        <v>1669</v>
      </c>
      <c r="W285" s="1"/>
      <c r="X285" s="2"/>
    </row>
    <row r="286" spans="1:24" x14ac:dyDescent="0.25">
      <c r="A286" s="24">
        <v>55</v>
      </c>
      <c r="B286" s="6" t="s">
        <v>1535</v>
      </c>
      <c r="C286" s="37" t="s">
        <v>591</v>
      </c>
      <c r="D286" s="37"/>
      <c r="E286" s="24" t="s">
        <v>534</v>
      </c>
      <c r="F286" s="24" t="s">
        <v>1670</v>
      </c>
      <c r="G286" s="24" t="str">
        <f t="shared" si="8"/>
        <v>FLIR0187- photo.jpg</v>
      </c>
      <c r="H286" s="24" t="s">
        <v>577</v>
      </c>
      <c r="I286" s="24" t="str">
        <f t="shared" si="9"/>
        <v>ren "FLIR0187- photo.jpg" "55.jpg"</v>
      </c>
      <c r="K286" s="24" t="s">
        <v>1671</v>
      </c>
      <c r="W286" s="1"/>
      <c r="X286" s="2"/>
    </row>
    <row r="287" spans="1:24" x14ac:dyDescent="0.25">
      <c r="A287" s="24">
        <v>56</v>
      </c>
      <c r="B287" s="6" t="s">
        <v>1535</v>
      </c>
      <c r="C287" s="37" t="s">
        <v>591</v>
      </c>
      <c r="D287" s="37"/>
      <c r="E287" s="24" t="s">
        <v>536</v>
      </c>
      <c r="F287" s="24" t="s">
        <v>1672</v>
      </c>
      <c r="G287" s="24" t="str">
        <f t="shared" si="8"/>
        <v>FLIR0187.jpg</v>
      </c>
      <c r="H287" s="24" t="s">
        <v>578</v>
      </c>
      <c r="I287" s="24" t="str">
        <f t="shared" si="9"/>
        <v>ren "FLIR0187.jpg" "56.jpg"</v>
      </c>
      <c r="K287" s="24" t="s">
        <v>1673</v>
      </c>
      <c r="W287" s="1"/>
      <c r="X287" s="2"/>
    </row>
    <row r="288" spans="1:24" x14ac:dyDescent="0.25">
      <c r="A288" s="24">
        <v>71</v>
      </c>
      <c r="B288" s="6" t="s">
        <v>1536</v>
      </c>
      <c r="C288" s="37" t="s">
        <v>591</v>
      </c>
      <c r="D288" s="37"/>
      <c r="E288" s="24" t="s">
        <v>534</v>
      </c>
      <c r="F288" s="24" t="s">
        <v>1674</v>
      </c>
      <c r="G288" s="24" t="str">
        <f t="shared" si="8"/>
        <v>FLIR0188- photo.jpg</v>
      </c>
      <c r="H288" s="24" t="s">
        <v>599</v>
      </c>
      <c r="I288" s="24" t="str">
        <f t="shared" si="9"/>
        <v>ren "FLIR0188- photo.jpg" "71.jpg"</v>
      </c>
      <c r="K288" s="24" t="s">
        <v>1675</v>
      </c>
      <c r="W288" s="1"/>
      <c r="X288" s="2"/>
    </row>
    <row r="289" spans="1:24" x14ac:dyDescent="0.25">
      <c r="A289" s="24">
        <v>72</v>
      </c>
      <c r="B289" s="6" t="s">
        <v>1536</v>
      </c>
      <c r="C289" s="37" t="s">
        <v>591</v>
      </c>
      <c r="D289" s="37"/>
      <c r="E289" s="24" t="s">
        <v>536</v>
      </c>
      <c r="F289" s="24" t="s">
        <v>1676</v>
      </c>
      <c r="G289" s="24" t="str">
        <f t="shared" si="8"/>
        <v>FLIR0188.jpg</v>
      </c>
      <c r="H289" s="24" t="s">
        <v>600</v>
      </c>
      <c r="I289" s="24" t="str">
        <f t="shared" si="9"/>
        <v>ren "FLIR0188.jpg" "72.jpg"</v>
      </c>
      <c r="K289" s="24" t="s">
        <v>1677</v>
      </c>
      <c r="W289" s="1"/>
      <c r="X289" s="2"/>
    </row>
    <row r="290" spans="1:24" x14ac:dyDescent="0.25">
      <c r="A290" s="24">
        <v>87</v>
      </c>
      <c r="B290" s="6" t="s">
        <v>1537</v>
      </c>
      <c r="C290" s="37" t="s">
        <v>591</v>
      </c>
      <c r="D290" s="37"/>
      <c r="E290" s="24" t="s">
        <v>534</v>
      </c>
      <c r="F290" s="24"/>
      <c r="G290" s="24" t="str">
        <f t="shared" si="8"/>
        <v/>
      </c>
      <c r="H290" s="24" t="s">
        <v>616</v>
      </c>
      <c r="I290" s="24" t="str">
        <f t="shared" si="9"/>
        <v>ren "" "87.jpg"</v>
      </c>
      <c r="K290" s="24"/>
      <c r="W290" s="1"/>
      <c r="X290" s="2"/>
    </row>
    <row r="291" spans="1:24" x14ac:dyDescent="0.25">
      <c r="A291" s="24">
        <v>88</v>
      </c>
      <c r="B291" s="6" t="s">
        <v>1537</v>
      </c>
      <c r="C291" s="37" t="s">
        <v>591</v>
      </c>
      <c r="D291" s="37"/>
      <c r="E291" s="24" t="s">
        <v>536</v>
      </c>
      <c r="F291" s="24"/>
      <c r="G291" s="24" t="str">
        <f t="shared" si="8"/>
        <v/>
      </c>
      <c r="H291" s="24" t="s">
        <v>617</v>
      </c>
      <c r="I291" s="24" t="str">
        <f t="shared" si="9"/>
        <v>ren "" "88.jpg"</v>
      </c>
      <c r="K291" s="24"/>
      <c r="W291" s="1"/>
      <c r="X291" s="2"/>
    </row>
    <row r="292" spans="1:24" x14ac:dyDescent="0.25">
      <c r="A292" s="24">
        <v>103</v>
      </c>
      <c r="B292" s="6" t="s">
        <v>1542</v>
      </c>
      <c r="C292" s="37" t="s">
        <v>591</v>
      </c>
      <c r="D292" s="37"/>
      <c r="E292" s="24" t="s">
        <v>534</v>
      </c>
      <c r="F292" s="24"/>
      <c r="G292" s="24" t="str">
        <f t="shared" si="8"/>
        <v/>
      </c>
      <c r="H292" s="24" t="s">
        <v>633</v>
      </c>
      <c r="I292" s="24" t="str">
        <f t="shared" si="9"/>
        <v>ren "" "103.jpg"</v>
      </c>
      <c r="K292" s="24" t="s">
        <v>1678</v>
      </c>
      <c r="W292" s="1"/>
      <c r="X292" s="2"/>
    </row>
    <row r="293" spans="1:24" x14ac:dyDescent="0.25">
      <c r="A293" s="24">
        <v>104</v>
      </c>
      <c r="B293" s="6" t="s">
        <v>1542</v>
      </c>
      <c r="C293" s="37" t="s">
        <v>591</v>
      </c>
      <c r="D293" s="37"/>
      <c r="E293" s="24" t="s">
        <v>536</v>
      </c>
      <c r="F293" s="24"/>
      <c r="G293" s="24" t="str">
        <f t="shared" si="8"/>
        <v/>
      </c>
      <c r="H293" s="24" t="s">
        <v>634</v>
      </c>
      <c r="I293" s="24" t="str">
        <f t="shared" si="9"/>
        <v>ren "" "104.jpg"</v>
      </c>
      <c r="K293" s="24" t="s">
        <v>1679</v>
      </c>
      <c r="W293" s="1"/>
      <c r="X293" s="2"/>
    </row>
    <row r="294" spans="1:24" x14ac:dyDescent="0.25">
      <c r="A294" s="24">
        <v>119</v>
      </c>
      <c r="B294" s="6" t="s">
        <v>1547</v>
      </c>
      <c r="C294" s="37" t="s">
        <v>591</v>
      </c>
      <c r="D294" s="37"/>
      <c r="E294" s="24" t="s">
        <v>534</v>
      </c>
      <c r="F294" s="24"/>
      <c r="G294" s="24" t="str">
        <f t="shared" si="8"/>
        <v/>
      </c>
      <c r="H294" s="24" t="s">
        <v>650</v>
      </c>
      <c r="I294" s="24" t="str">
        <f t="shared" si="9"/>
        <v>ren "" "119.jpg"</v>
      </c>
      <c r="K294" s="24" t="s">
        <v>1680</v>
      </c>
      <c r="W294" s="1"/>
      <c r="X294" s="2"/>
    </row>
    <row r="295" spans="1:24" x14ac:dyDescent="0.25">
      <c r="A295" s="24">
        <v>120</v>
      </c>
      <c r="B295" s="6" t="s">
        <v>1547</v>
      </c>
      <c r="C295" s="37" t="s">
        <v>591</v>
      </c>
      <c r="D295" s="37"/>
      <c r="E295" s="24" t="s">
        <v>536</v>
      </c>
      <c r="F295" s="24"/>
      <c r="G295" s="24" t="str">
        <f t="shared" si="8"/>
        <v/>
      </c>
      <c r="H295" s="24" t="s">
        <v>651</v>
      </c>
      <c r="I295" s="24" t="str">
        <f t="shared" si="9"/>
        <v>ren "" "120.jpg"</v>
      </c>
      <c r="K295" s="24" t="s">
        <v>1681</v>
      </c>
      <c r="W295" s="1"/>
      <c r="X295" s="2"/>
    </row>
    <row r="296" spans="1:24" x14ac:dyDescent="0.25">
      <c r="A296" s="24">
        <v>135</v>
      </c>
      <c r="B296" s="6" t="s">
        <v>1552</v>
      </c>
      <c r="C296" s="37" t="s">
        <v>591</v>
      </c>
      <c r="D296" s="37"/>
      <c r="E296" s="24" t="s">
        <v>534</v>
      </c>
      <c r="F296" s="24"/>
      <c r="G296" s="24" t="str">
        <f t="shared" si="8"/>
        <v/>
      </c>
      <c r="H296" s="24" t="s">
        <v>667</v>
      </c>
      <c r="I296" s="24" t="str">
        <f t="shared" si="9"/>
        <v>ren "" "135.jpg"</v>
      </c>
      <c r="K296" s="24" t="s">
        <v>1682</v>
      </c>
      <c r="W296" s="1"/>
      <c r="X296" s="2"/>
    </row>
    <row r="297" spans="1:24" x14ac:dyDescent="0.25">
      <c r="A297" s="24">
        <v>136</v>
      </c>
      <c r="B297" s="6" t="s">
        <v>1552</v>
      </c>
      <c r="C297" s="37" t="s">
        <v>591</v>
      </c>
      <c r="D297" s="37"/>
      <c r="E297" s="24" t="s">
        <v>536</v>
      </c>
      <c r="F297" s="24"/>
      <c r="G297" s="24" t="str">
        <f t="shared" si="8"/>
        <v/>
      </c>
      <c r="H297" s="24" t="s">
        <v>668</v>
      </c>
      <c r="I297" s="24" t="str">
        <f t="shared" si="9"/>
        <v>ren "" "136.jpg"</v>
      </c>
      <c r="K297" s="24" t="s">
        <v>1683</v>
      </c>
      <c r="W297" s="1"/>
      <c r="X297" s="2"/>
    </row>
    <row r="298" spans="1:24" x14ac:dyDescent="0.25">
      <c r="A298" s="24">
        <v>151</v>
      </c>
      <c r="B298" s="6" t="s">
        <v>1557</v>
      </c>
      <c r="C298" s="37" t="s">
        <v>591</v>
      </c>
      <c r="D298" s="37"/>
      <c r="E298" s="24" t="s">
        <v>534</v>
      </c>
      <c r="F298" s="24"/>
      <c r="G298" s="24" t="str">
        <f t="shared" si="8"/>
        <v/>
      </c>
      <c r="H298" s="24" t="s">
        <v>684</v>
      </c>
      <c r="I298" s="24" t="str">
        <f t="shared" si="9"/>
        <v>ren "" "151.jpg"</v>
      </c>
      <c r="K298" s="24" t="s">
        <v>1684</v>
      </c>
      <c r="W298" s="1"/>
      <c r="X298" s="2"/>
    </row>
    <row r="299" spans="1:24" x14ac:dyDescent="0.25">
      <c r="A299" s="24">
        <v>152</v>
      </c>
      <c r="B299" s="6" t="s">
        <v>1557</v>
      </c>
      <c r="C299" s="37" t="s">
        <v>591</v>
      </c>
      <c r="D299" s="37"/>
      <c r="E299" s="24" t="s">
        <v>536</v>
      </c>
      <c r="F299" s="24"/>
      <c r="G299" s="24" t="str">
        <f t="shared" si="8"/>
        <v/>
      </c>
      <c r="H299" s="24" t="s">
        <v>685</v>
      </c>
      <c r="I299" s="24" t="str">
        <f t="shared" si="9"/>
        <v>ren "" "152.jpg"</v>
      </c>
      <c r="K299" s="24" t="s">
        <v>1685</v>
      </c>
      <c r="W299" s="1"/>
      <c r="X299" s="2"/>
    </row>
    <row r="300" spans="1:24" x14ac:dyDescent="0.25">
      <c r="A300" s="24">
        <v>167</v>
      </c>
      <c r="B300" s="6" t="s">
        <v>1562</v>
      </c>
      <c r="C300" s="37" t="s">
        <v>591</v>
      </c>
      <c r="D300" s="37"/>
      <c r="E300" s="24" t="s">
        <v>534</v>
      </c>
      <c r="F300" s="24"/>
      <c r="G300" s="24" t="str">
        <f t="shared" si="8"/>
        <v/>
      </c>
      <c r="H300" s="24" t="s">
        <v>701</v>
      </c>
      <c r="I300" s="24" t="str">
        <f t="shared" si="9"/>
        <v>ren "" "167.jpg"</v>
      </c>
      <c r="K300" s="24"/>
      <c r="W300" s="1"/>
      <c r="X300" s="2"/>
    </row>
    <row r="301" spans="1:24" x14ac:dyDescent="0.25">
      <c r="A301" s="24">
        <v>168</v>
      </c>
      <c r="B301" s="6" t="s">
        <v>1562</v>
      </c>
      <c r="C301" s="37" t="s">
        <v>591</v>
      </c>
      <c r="D301" s="37"/>
      <c r="E301" s="24" t="s">
        <v>536</v>
      </c>
      <c r="F301" s="24"/>
      <c r="G301" s="24" t="str">
        <f t="shared" si="8"/>
        <v/>
      </c>
      <c r="H301" s="24" t="s">
        <v>702</v>
      </c>
      <c r="I301" s="24" t="str">
        <f t="shared" si="9"/>
        <v>ren "" "168.jpg"</v>
      </c>
      <c r="K301" s="24"/>
      <c r="W301" s="1"/>
      <c r="X301" s="2"/>
    </row>
    <row r="302" spans="1:24" x14ac:dyDescent="0.25">
      <c r="A302" s="24">
        <v>183</v>
      </c>
      <c r="B302" s="6" t="s">
        <v>1567</v>
      </c>
      <c r="C302" s="37" t="s">
        <v>591</v>
      </c>
      <c r="D302" s="37"/>
      <c r="E302" s="24" t="s">
        <v>534</v>
      </c>
      <c r="F302" s="24"/>
      <c r="G302" s="24" t="str">
        <f t="shared" si="8"/>
        <v/>
      </c>
      <c r="H302" s="24" t="s">
        <v>718</v>
      </c>
      <c r="I302" s="24" t="str">
        <f t="shared" si="9"/>
        <v>ren "" "183.jpg"</v>
      </c>
      <c r="K302" s="24"/>
      <c r="W302" s="1"/>
      <c r="X302" s="2"/>
    </row>
    <row r="303" spans="1:24" x14ac:dyDescent="0.25">
      <c r="A303" s="24">
        <v>184</v>
      </c>
      <c r="B303" s="6" t="s">
        <v>1567</v>
      </c>
      <c r="C303" s="37" t="s">
        <v>591</v>
      </c>
      <c r="D303" s="37"/>
      <c r="E303" s="24" t="s">
        <v>536</v>
      </c>
      <c r="F303" s="24"/>
      <c r="G303" s="24" t="str">
        <f t="shared" si="8"/>
        <v/>
      </c>
      <c r="H303" s="24" t="s">
        <v>719</v>
      </c>
      <c r="I303" s="24" t="str">
        <f t="shared" si="9"/>
        <v>ren "" "184.jpg"</v>
      </c>
      <c r="K303" s="24"/>
      <c r="W303" s="1"/>
      <c r="X303" s="2"/>
    </row>
    <row r="304" spans="1:24" x14ac:dyDescent="0.25">
      <c r="A304" s="24">
        <v>199</v>
      </c>
      <c r="B304" s="6" t="s">
        <v>1587</v>
      </c>
      <c r="C304" s="37" t="s">
        <v>591</v>
      </c>
      <c r="D304" s="37"/>
      <c r="E304" s="24" t="s">
        <v>534</v>
      </c>
      <c r="F304" s="24"/>
      <c r="G304" s="24" t="str">
        <f t="shared" si="8"/>
        <v/>
      </c>
      <c r="H304" s="24" t="s">
        <v>735</v>
      </c>
      <c r="I304" s="24" t="str">
        <f t="shared" si="9"/>
        <v>ren "" "199.jpg"</v>
      </c>
      <c r="K304" s="24"/>
      <c r="W304" s="1"/>
      <c r="X304" s="2"/>
    </row>
    <row r="305" spans="1:24" x14ac:dyDescent="0.25">
      <c r="A305" s="24">
        <v>200</v>
      </c>
      <c r="B305" s="6" t="s">
        <v>1587</v>
      </c>
      <c r="C305" s="37" t="s">
        <v>591</v>
      </c>
      <c r="D305" s="37"/>
      <c r="E305" s="24" t="s">
        <v>536</v>
      </c>
      <c r="F305" s="24"/>
      <c r="G305" s="24" t="str">
        <f t="shared" si="8"/>
        <v/>
      </c>
      <c r="H305" s="24" t="s">
        <v>736</v>
      </c>
      <c r="I305" s="24" t="str">
        <f t="shared" si="9"/>
        <v>ren "" "200.jpg"</v>
      </c>
      <c r="K305" s="24"/>
      <c r="W305" s="1"/>
      <c r="X305" s="2"/>
    </row>
    <row r="306" spans="1:24" x14ac:dyDescent="0.25">
      <c r="A306" s="24">
        <v>215</v>
      </c>
      <c r="B306" s="6" t="s">
        <v>1588</v>
      </c>
      <c r="C306" s="37" t="s">
        <v>591</v>
      </c>
      <c r="D306" s="37"/>
      <c r="E306" s="24" t="s">
        <v>534</v>
      </c>
      <c r="F306" s="24"/>
      <c r="G306" s="24" t="str">
        <f t="shared" si="8"/>
        <v/>
      </c>
      <c r="H306" s="24" t="s">
        <v>752</v>
      </c>
      <c r="I306" s="24" t="str">
        <f t="shared" si="9"/>
        <v>ren "" "215.jpg"</v>
      </c>
      <c r="K306" s="24"/>
      <c r="W306" s="1"/>
      <c r="X306" s="2"/>
    </row>
    <row r="307" spans="1:24" x14ac:dyDescent="0.25">
      <c r="A307" s="24">
        <v>216</v>
      </c>
      <c r="B307" s="6" t="s">
        <v>1588</v>
      </c>
      <c r="C307" s="37" t="s">
        <v>591</v>
      </c>
      <c r="D307" s="37"/>
      <c r="E307" s="24" t="s">
        <v>536</v>
      </c>
      <c r="F307" s="24"/>
      <c r="G307" s="24" t="str">
        <f t="shared" si="8"/>
        <v/>
      </c>
      <c r="H307" s="24" t="s">
        <v>753</v>
      </c>
      <c r="I307" s="24" t="str">
        <f t="shared" si="9"/>
        <v>ren "" "216.jpg"</v>
      </c>
      <c r="K307" s="24"/>
      <c r="W307" s="1"/>
      <c r="X307" s="2"/>
    </row>
    <row r="308" spans="1:24" x14ac:dyDescent="0.25">
      <c r="A308" s="24">
        <v>231</v>
      </c>
      <c r="B308" s="6" t="s">
        <v>1589</v>
      </c>
      <c r="C308" s="37" t="s">
        <v>591</v>
      </c>
      <c r="D308" s="37"/>
      <c r="E308" s="24" t="s">
        <v>534</v>
      </c>
      <c r="F308" s="24"/>
      <c r="G308" s="24" t="str">
        <f t="shared" si="8"/>
        <v/>
      </c>
      <c r="H308" s="24" t="s">
        <v>769</v>
      </c>
      <c r="I308" s="24" t="str">
        <f t="shared" si="9"/>
        <v>ren "" "231.jpg"</v>
      </c>
      <c r="K308" s="24"/>
      <c r="W308" s="1"/>
      <c r="X308" s="2"/>
    </row>
    <row r="309" spans="1:24" x14ac:dyDescent="0.25">
      <c r="A309" s="24">
        <v>232</v>
      </c>
      <c r="B309" s="6" t="s">
        <v>1589</v>
      </c>
      <c r="C309" s="37" t="s">
        <v>591</v>
      </c>
      <c r="D309" s="37"/>
      <c r="E309" s="24" t="s">
        <v>536</v>
      </c>
      <c r="F309" s="24"/>
      <c r="G309" s="24" t="str">
        <f t="shared" si="8"/>
        <v/>
      </c>
      <c r="H309" s="24" t="s">
        <v>770</v>
      </c>
      <c r="I309" s="24" t="str">
        <f t="shared" si="9"/>
        <v>ren "" "232.jpg"</v>
      </c>
      <c r="K309" s="24"/>
      <c r="W309" s="1"/>
      <c r="X309" s="2"/>
    </row>
    <row r="310" spans="1:24" x14ac:dyDescent="0.25">
      <c r="A310" s="24">
        <v>247</v>
      </c>
      <c r="B310" s="6" t="s">
        <v>1590</v>
      </c>
      <c r="C310" s="37" t="s">
        <v>591</v>
      </c>
      <c r="D310" s="37"/>
      <c r="E310" s="24" t="s">
        <v>534</v>
      </c>
      <c r="F310" s="24"/>
      <c r="G310" s="24" t="str">
        <f t="shared" si="8"/>
        <v/>
      </c>
      <c r="H310" s="24" t="s">
        <v>786</v>
      </c>
      <c r="I310" s="24" t="str">
        <f t="shared" si="9"/>
        <v>ren "" "247.jpg"</v>
      </c>
      <c r="K310" s="24"/>
      <c r="W310" s="1"/>
      <c r="X310" s="2"/>
    </row>
    <row r="311" spans="1:24" x14ac:dyDescent="0.25">
      <c r="A311" s="24">
        <v>248</v>
      </c>
      <c r="B311" s="6" t="s">
        <v>1590</v>
      </c>
      <c r="C311" s="37" t="s">
        <v>591</v>
      </c>
      <c r="D311" s="37"/>
      <c r="E311" s="24" t="s">
        <v>536</v>
      </c>
      <c r="F311" s="24"/>
      <c r="G311" s="24" t="str">
        <f t="shared" si="8"/>
        <v/>
      </c>
      <c r="H311" s="24" t="s">
        <v>787</v>
      </c>
      <c r="I311" s="24" t="str">
        <f t="shared" si="9"/>
        <v>ren "" "248.jpg"</v>
      </c>
      <c r="K311" s="24"/>
      <c r="W311" s="1"/>
      <c r="X311" s="2"/>
    </row>
    <row r="312" spans="1:24" x14ac:dyDescent="0.25">
      <c r="A312" s="24">
        <v>263</v>
      </c>
      <c r="B312" s="6" t="s">
        <v>1591</v>
      </c>
      <c r="C312" s="37" t="s">
        <v>591</v>
      </c>
      <c r="D312" s="37"/>
      <c r="E312" s="24" t="s">
        <v>534</v>
      </c>
      <c r="F312" s="24"/>
      <c r="G312" s="24" t="str">
        <f t="shared" si="8"/>
        <v/>
      </c>
      <c r="H312" s="24" t="s">
        <v>803</v>
      </c>
      <c r="I312" s="24" t="str">
        <f t="shared" si="9"/>
        <v>ren "" "263.jpg"</v>
      </c>
      <c r="K312" s="24"/>
      <c r="W312" s="1"/>
      <c r="X312" s="2"/>
    </row>
    <row r="313" spans="1:24" x14ac:dyDescent="0.25">
      <c r="A313" s="24">
        <v>264</v>
      </c>
      <c r="B313" s="6" t="s">
        <v>1591</v>
      </c>
      <c r="C313" s="37" t="s">
        <v>591</v>
      </c>
      <c r="D313" s="37"/>
      <c r="E313" s="24" t="s">
        <v>536</v>
      </c>
      <c r="F313" s="24"/>
      <c r="G313" s="24" t="str">
        <f t="shared" si="8"/>
        <v/>
      </c>
      <c r="H313" s="24" t="s">
        <v>804</v>
      </c>
      <c r="I313" s="24" t="str">
        <f t="shared" si="9"/>
        <v>ren "" "264.jpg"</v>
      </c>
      <c r="K313" s="24"/>
      <c r="W313" s="1"/>
      <c r="X313" s="2"/>
    </row>
  </sheetData>
  <autoFilter ref="A1:I313" xr:uid="{00000000-0009-0000-0000-000002000000}">
    <sortState xmlns:xlrd2="http://schemas.microsoft.com/office/spreadsheetml/2017/richdata2" ref="A2:I313">
      <sortCondition ref="C2:C31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2"/>
  <sheetViews>
    <sheetView topLeftCell="A37" zoomScale="85" zoomScaleNormal="85" workbookViewId="0">
      <selection activeCell="G119" sqref="G119"/>
    </sheetView>
  </sheetViews>
  <sheetFormatPr defaultRowHeight="15" x14ac:dyDescent="0.25"/>
  <cols>
    <col min="2" max="2" width="15.5703125" bestFit="1" customWidth="1"/>
    <col min="3" max="3" width="29" bestFit="1" customWidth="1"/>
    <col min="4" max="4" width="16.7109375" customWidth="1"/>
    <col min="5" max="5" width="24.5703125" customWidth="1"/>
    <col min="6" max="6" width="29" customWidth="1"/>
    <col min="7" max="7" width="14.85546875" bestFit="1" customWidth="1"/>
    <col min="8" max="8" width="22.5703125" bestFit="1" customWidth="1"/>
    <col min="9" max="9" width="29" bestFit="1" customWidth="1"/>
    <col min="10" max="10" width="27.85546875" bestFit="1" customWidth="1"/>
    <col min="11" max="11" width="13.5703125" bestFit="1" customWidth="1"/>
    <col min="12" max="12" width="18.42578125" bestFit="1" customWidth="1"/>
    <col min="13" max="13" width="7.42578125" bestFit="1" customWidth="1"/>
    <col min="14" max="14" width="9.7109375" bestFit="1" customWidth="1"/>
    <col min="15" max="15" width="13.7109375" bestFit="1" customWidth="1"/>
    <col min="17" max="17" width="18.42578125" bestFit="1" customWidth="1"/>
    <col min="18" max="18" width="10.7109375" bestFit="1" customWidth="1"/>
    <col min="19" max="19" width="19" bestFit="1" customWidth="1"/>
    <col min="20" max="20" width="12.42578125" bestFit="1" customWidth="1"/>
    <col min="21" max="21" width="11.85546875" bestFit="1" customWidth="1"/>
    <col min="22" max="22" width="9.7109375" bestFit="1" customWidth="1"/>
    <col min="23" max="23" width="8" bestFit="1" customWidth="1"/>
    <col min="24" max="24" width="11.85546875" bestFit="1" customWidth="1"/>
    <col min="25" max="25" width="17.28515625" bestFit="1" customWidth="1"/>
    <col min="26" max="26" width="18.85546875" bestFit="1" customWidth="1"/>
    <col min="27" max="27" width="29" bestFit="1" customWidth="1"/>
    <col min="28" max="28" width="13.7109375" bestFit="1" customWidth="1"/>
    <col min="29" max="29" width="15.42578125" bestFit="1" customWidth="1"/>
    <col min="30" max="30" width="14.85546875" bestFit="1" customWidth="1"/>
    <col min="31" max="32" width="16.85546875" bestFit="1" customWidth="1"/>
    <col min="33" max="33" width="99.7109375" bestFit="1" customWidth="1"/>
  </cols>
  <sheetData>
    <row r="1" spans="1:23" x14ac:dyDescent="0.25">
      <c r="A1" t="s">
        <v>243</v>
      </c>
      <c r="B1" t="s">
        <v>525</v>
      </c>
      <c r="C1" t="s">
        <v>526</v>
      </c>
      <c r="D1" t="s">
        <v>527</v>
      </c>
      <c r="E1" t="s">
        <v>528</v>
      </c>
      <c r="F1" s="4" t="s">
        <v>529</v>
      </c>
      <c r="G1" t="s">
        <v>530</v>
      </c>
      <c r="H1" t="s">
        <v>531</v>
      </c>
    </row>
    <row r="2" spans="1:23" x14ac:dyDescent="0.25">
      <c r="A2">
        <v>1</v>
      </c>
      <c r="B2" s="4" t="s">
        <v>1529</v>
      </c>
      <c r="C2" s="4" t="s">
        <v>1453</v>
      </c>
      <c r="D2" t="s">
        <v>534</v>
      </c>
      <c r="F2" t="str">
        <f t="shared" ref="F2:F33" si="0">IF(E2="", "", TRIM(RIGHT(SUBSTITUTE(E2, "\", REPT(" ", LEN(E2))), LEN(E2))))</f>
        <v/>
      </c>
      <c r="G2" t="s">
        <v>535</v>
      </c>
      <c r="H2" t="str">
        <f t="shared" ref="H2:H33" si="1">"ren """ &amp; F2 &amp; """ """ &amp; G2 &amp; """"</f>
        <v>ren "" "1.jpg"</v>
      </c>
      <c r="K2" s="4" t="s">
        <v>1529</v>
      </c>
      <c r="L2" s="4" t="s">
        <v>1453</v>
      </c>
      <c r="M2" t="s">
        <v>535</v>
      </c>
    </row>
    <row r="3" spans="1:23" x14ac:dyDescent="0.25">
      <c r="A3">
        <v>2</v>
      </c>
      <c r="B3" s="4" t="s">
        <v>1529</v>
      </c>
      <c r="C3" s="4" t="s">
        <v>1453</v>
      </c>
      <c r="D3" t="s">
        <v>536</v>
      </c>
      <c r="F3" t="str">
        <f t="shared" si="0"/>
        <v/>
      </c>
      <c r="G3" t="s">
        <v>537</v>
      </c>
      <c r="H3" t="str">
        <f t="shared" si="1"/>
        <v>ren "" "2.jpg"</v>
      </c>
      <c r="K3" s="4" t="s">
        <v>1529</v>
      </c>
      <c r="L3" s="4" t="s">
        <v>1453</v>
      </c>
      <c r="M3" t="s">
        <v>537</v>
      </c>
      <c r="V3" s="1"/>
      <c r="W3" s="2"/>
    </row>
    <row r="4" spans="1:23" x14ac:dyDescent="0.25">
      <c r="A4">
        <v>3</v>
      </c>
      <c r="B4" s="4" t="s">
        <v>1529</v>
      </c>
      <c r="C4" s="4" t="s">
        <v>1497</v>
      </c>
      <c r="D4" t="s">
        <v>534</v>
      </c>
      <c r="F4" t="str">
        <f t="shared" si="0"/>
        <v/>
      </c>
      <c r="G4" t="s">
        <v>539</v>
      </c>
      <c r="H4" t="str">
        <f t="shared" si="1"/>
        <v>ren "" "3.jpg"</v>
      </c>
      <c r="K4" s="4" t="s">
        <v>1529</v>
      </c>
      <c r="L4" s="4" t="s">
        <v>1497</v>
      </c>
      <c r="M4" t="s">
        <v>539</v>
      </c>
      <c r="V4" s="1"/>
      <c r="W4" s="2"/>
    </row>
    <row r="5" spans="1:23" x14ac:dyDescent="0.25">
      <c r="A5">
        <v>4</v>
      </c>
      <c r="B5" s="4" t="s">
        <v>1529</v>
      </c>
      <c r="C5" s="4" t="s">
        <v>1497</v>
      </c>
      <c r="D5" t="s">
        <v>536</v>
      </c>
      <c r="F5" t="str">
        <f t="shared" si="0"/>
        <v/>
      </c>
      <c r="G5" t="s">
        <v>540</v>
      </c>
      <c r="H5" t="str">
        <f t="shared" si="1"/>
        <v>ren "" "4.jpg"</v>
      </c>
      <c r="K5" s="4" t="s">
        <v>1529</v>
      </c>
      <c r="L5" s="4" t="s">
        <v>1497</v>
      </c>
      <c r="M5" t="s">
        <v>540</v>
      </c>
      <c r="V5" s="1"/>
      <c r="W5" s="2"/>
    </row>
    <row r="6" spans="1:23" x14ac:dyDescent="0.25">
      <c r="A6">
        <v>5</v>
      </c>
      <c r="B6" s="4" t="s">
        <v>1529</v>
      </c>
      <c r="C6" s="4" t="s">
        <v>1530</v>
      </c>
      <c r="D6" t="s">
        <v>534</v>
      </c>
      <c r="F6" t="str">
        <f t="shared" si="0"/>
        <v/>
      </c>
      <c r="G6" t="s">
        <v>542</v>
      </c>
      <c r="H6" t="str">
        <f t="shared" si="1"/>
        <v>ren "" "5.jpg"</v>
      </c>
      <c r="K6" s="4" t="s">
        <v>1529</v>
      </c>
      <c r="L6" s="4" t="s">
        <v>1530</v>
      </c>
      <c r="M6" t="s">
        <v>542</v>
      </c>
      <c r="V6" s="1"/>
      <c r="W6" s="2"/>
    </row>
    <row r="7" spans="1:23" x14ac:dyDescent="0.25">
      <c r="A7">
        <v>6</v>
      </c>
      <c r="B7" s="4" t="s">
        <v>1529</v>
      </c>
      <c r="C7" s="4" t="s">
        <v>1530</v>
      </c>
      <c r="D7" t="s">
        <v>536</v>
      </c>
      <c r="F7" t="str">
        <f t="shared" si="0"/>
        <v/>
      </c>
      <c r="G7" t="s">
        <v>543</v>
      </c>
      <c r="H7" t="str">
        <f t="shared" si="1"/>
        <v>ren "" "6.jpg"</v>
      </c>
      <c r="K7" s="4" t="s">
        <v>1529</v>
      </c>
      <c r="L7" s="4" t="s">
        <v>1530</v>
      </c>
      <c r="M7" t="s">
        <v>543</v>
      </c>
      <c r="V7" s="1"/>
      <c r="W7" s="2"/>
    </row>
    <row r="8" spans="1:23" x14ac:dyDescent="0.25">
      <c r="A8">
        <v>7</v>
      </c>
      <c r="B8" s="4" t="s">
        <v>1529</v>
      </c>
      <c r="C8" s="4" t="s">
        <v>1531</v>
      </c>
      <c r="D8" t="s">
        <v>534</v>
      </c>
      <c r="F8" t="str">
        <f t="shared" si="0"/>
        <v/>
      </c>
      <c r="G8" t="s">
        <v>545</v>
      </c>
      <c r="H8" t="str">
        <f t="shared" si="1"/>
        <v>ren "" "7.jpg"</v>
      </c>
      <c r="K8" s="4" t="s">
        <v>1529</v>
      </c>
      <c r="L8" s="4" t="s">
        <v>1531</v>
      </c>
      <c r="M8" t="s">
        <v>545</v>
      </c>
      <c r="V8" s="1"/>
      <c r="W8" s="2"/>
    </row>
    <row r="9" spans="1:23" x14ac:dyDescent="0.25">
      <c r="A9">
        <v>8</v>
      </c>
      <c r="B9" s="4" t="s">
        <v>1529</v>
      </c>
      <c r="C9" s="4" t="s">
        <v>1531</v>
      </c>
      <c r="D9" t="s">
        <v>536</v>
      </c>
      <c r="F9" t="str">
        <f t="shared" si="0"/>
        <v/>
      </c>
      <c r="G9" t="s">
        <v>546</v>
      </c>
      <c r="H9" t="str">
        <f t="shared" si="1"/>
        <v>ren "" "8.jpg"</v>
      </c>
      <c r="K9" s="4" t="s">
        <v>1529</v>
      </c>
      <c r="L9" s="4" t="s">
        <v>1531</v>
      </c>
      <c r="M9" t="s">
        <v>546</v>
      </c>
      <c r="V9" s="1"/>
      <c r="W9" s="2"/>
    </row>
    <row r="10" spans="1:23" x14ac:dyDescent="0.25">
      <c r="A10">
        <v>9</v>
      </c>
      <c r="B10" s="4" t="s">
        <v>1529</v>
      </c>
      <c r="C10" s="4" t="s">
        <v>1532</v>
      </c>
      <c r="D10" t="s">
        <v>534</v>
      </c>
      <c r="F10" t="str">
        <f t="shared" si="0"/>
        <v/>
      </c>
      <c r="G10" t="s">
        <v>548</v>
      </c>
      <c r="H10" t="str">
        <f t="shared" si="1"/>
        <v>ren "" "9.jpg"</v>
      </c>
      <c r="K10" s="4" t="s">
        <v>1529</v>
      </c>
      <c r="L10" s="4" t="s">
        <v>1532</v>
      </c>
      <c r="M10" t="s">
        <v>548</v>
      </c>
      <c r="V10" s="1"/>
      <c r="W10" s="2"/>
    </row>
    <row r="11" spans="1:23" x14ac:dyDescent="0.25">
      <c r="A11">
        <v>10</v>
      </c>
      <c r="B11" s="4" t="s">
        <v>1529</v>
      </c>
      <c r="C11" s="4" t="s">
        <v>1532</v>
      </c>
      <c r="D11" t="s">
        <v>536</v>
      </c>
      <c r="F11" t="str">
        <f t="shared" si="0"/>
        <v/>
      </c>
      <c r="G11" t="s">
        <v>549</v>
      </c>
      <c r="H11" t="str">
        <f t="shared" si="1"/>
        <v>ren "" "10.jpg"</v>
      </c>
      <c r="K11" s="4" t="s">
        <v>1529</v>
      </c>
      <c r="L11" s="4" t="s">
        <v>1532</v>
      </c>
      <c r="M11" t="s">
        <v>549</v>
      </c>
      <c r="V11" s="1"/>
      <c r="W11" s="2"/>
    </row>
    <row r="12" spans="1:23" x14ac:dyDescent="0.25">
      <c r="A12">
        <v>11</v>
      </c>
      <c r="B12" s="4" t="s">
        <v>1529</v>
      </c>
      <c r="C12" s="4" t="s">
        <v>1533</v>
      </c>
      <c r="D12" t="s">
        <v>534</v>
      </c>
      <c r="F12" t="str">
        <f t="shared" si="0"/>
        <v/>
      </c>
      <c r="G12" t="s">
        <v>551</v>
      </c>
      <c r="H12" t="str">
        <f t="shared" si="1"/>
        <v>ren "" "11.jpg"</v>
      </c>
      <c r="K12" s="4" t="s">
        <v>1529</v>
      </c>
      <c r="L12" s="4" t="s">
        <v>1533</v>
      </c>
      <c r="M12" t="s">
        <v>551</v>
      </c>
      <c r="V12" s="1"/>
      <c r="W12" s="2"/>
    </row>
    <row r="13" spans="1:23" x14ac:dyDescent="0.25">
      <c r="A13">
        <v>12</v>
      </c>
      <c r="B13" s="4" t="s">
        <v>1529</v>
      </c>
      <c r="C13" s="4" t="s">
        <v>1533</v>
      </c>
      <c r="D13" t="s">
        <v>536</v>
      </c>
      <c r="F13" t="str">
        <f t="shared" si="0"/>
        <v/>
      </c>
      <c r="G13" t="s">
        <v>552</v>
      </c>
      <c r="H13" t="str">
        <f t="shared" si="1"/>
        <v>ren "" "12.jpg"</v>
      </c>
      <c r="K13" s="4" t="s">
        <v>1529</v>
      </c>
      <c r="L13" s="4" t="s">
        <v>1533</v>
      </c>
      <c r="M13" t="s">
        <v>552</v>
      </c>
      <c r="V13" s="1"/>
      <c r="W13" s="2"/>
    </row>
    <row r="14" spans="1:23" x14ac:dyDescent="0.25">
      <c r="A14">
        <v>13</v>
      </c>
      <c r="B14" s="4" t="s">
        <v>1534</v>
      </c>
      <c r="C14" s="4" t="s">
        <v>576</v>
      </c>
      <c r="D14" t="s">
        <v>534</v>
      </c>
      <c r="F14" t="str">
        <f t="shared" si="0"/>
        <v/>
      </c>
      <c r="G14" t="s">
        <v>554</v>
      </c>
      <c r="H14" t="str">
        <f t="shared" si="1"/>
        <v>ren "" "13.jpg"</v>
      </c>
      <c r="K14" s="4" t="s">
        <v>1534</v>
      </c>
      <c r="L14" s="4" t="s">
        <v>576</v>
      </c>
      <c r="M14" t="s">
        <v>554</v>
      </c>
      <c r="V14" s="1"/>
      <c r="W14" s="2"/>
    </row>
    <row r="15" spans="1:23" x14ac:dyDescent="0.25">
      <c r="A15">
        <v>14</v>
      </c>
      <c r="B15" s="4" t="s">
        <v>1534</v>
      </c>
      <c r="C15" s="4" t="s">
        <v>576</v>
      </c>
      <c r="D15" t="s">
        <v>536</v>
      </c>
      <c r="F15" t="str">
        <f t="shared" si="0"/>
        <v/>
      </c>
      <c r="G15" t="s">
        <v>555</v>
      </c>
      <c r="H15" t="str">
        <f t="shared" si="1"/>
        <v>ren "" "14.jpg"</v>
      </c>
      <c r="K15" s="4" t="s">
        <v>1534</v>
      </c>
      <c r="L15" s="4" t="s">
        <v>576</v>
      </c>
      <c r="M15" t="s">
        <v>555</v>
      </c>
      <c r="V15" s="1"/>
      <c r="W15" s="2"/>
    </row>
    <row r="16" spans="1:23" x14ac:dyDescent="0.25">
      <c r="A16">
        <v>15</v>
      </c>
      <c r="B16" s="4" t="s">
        <v>1534</v>
      </c>
      <c r="C16" s="4" t="s">
        <v>585</v>
      </c>
      <c r="D16" t="s">
        <v>534</v>
      </c>
      <c r="F16" t="str">
        <f t="shared" si="0"/>
        <v/>
      </c>
      <c r="G16" t="s">
        <v>557</v>
      </c>
      <c r="H16" t="str">
        <f t="shared" si="1"/>
        <v>ren "" "15.jpg"</v>
      </c>
      <c r="K16" s="4" t="s">
        <v>1534</v>
      </c>
      <c r="L16" s="4" t="s">
        <v>585</v>
      </c>
      <c r="M16" t="s">
        <v>557</v>
      </c>
      <c r="V16" s="1"/>
      <c r="W16" s="2"/>
    </row>
    <row r="17" spans="1:23" x14ac:dyDescent="0.25">
      <c r="A17">
        <v>16</v>
      </c>
      <c r="B17" s="4" t="s">
        <v>1534</v>
      </c>
      <c r="C17" s="4" t="s">
        <v>585</v>
      </c>
      <c r="D17" t="s">
        <v>536</v>
      </c>
      <c r="F17" t="str">
        <f t="shared" si="0"/>
        <v/>
      </c>
      <c r="G17" t="s">
        <v>558</v>
      </c>
      <c r="H17" t="str">
        <f t="shared" si="1"/>
        <v>ren "" "16.jpg"</v>
      </c>
      <c r="K17" s="4" t="s">
        <v>1534</v>
      </c>
      <c r="L17" s="4" t="s">
        <v>585</v>
      </c>
      <c r="M17" t="s">
        <v>558</v>
      </c>
      <c r="V17" s="1"/>
      <c r="W17" s="2"/>
    </row>
    <row r="18" spans="1:23" x14ac:dyDescent="0.25">
      <c r="A18">
        <v>17</v>
      </c>
      <c r="B18" s="4" t="s">
        <v>1535</v>
      </c>
      <c r="C18" s="4" t="s">
        <v>576</v>
      </c>
      <c r="D18" t="s">
        <v>534</v>
      </c>
      <c r="F18" t="str">
        <f t="shared" si="0"/>
        <v/>
      </c>
      <c r="G18" t="s">
        <v>559</v>
      </c>
      <c r="H18" t="str">
        <f t="shared" si="1"/>
        <v>ren "" "17.jpg"</v>
      </c>
      <c r="K18" s="4" t="s">
        <v>1535</v>
      </c>
      <c r="L18" s="4" t="s">
        <v>576</v>
      </c>
      <c r="M18" t="s">
        <v>559</v>
      </c>
      <c r="V18" s="1"/>
      <c r="W18" s="2"/>
    </row>
    <row r="19" spans="1:23" x14ac:dyDescent="0.25">
      <c r="A19">
        <v>18</v>
      </c>
      <c r="B19" s="4" t="s">
        <v>1535</v>
      </c>
      <c r="C19" s="4" t="s">
        <v>576</v>
      </c>
      <c r="D19" t="s">
        <v>536</v>
      </c>
      <c r="F19" t="str">
        <f t="shared" si="0"/>
        <v/>
      </c>
      <c r="G19" t="s">
        <v>560</v>
      </c>
      <c r="H19" t="str">
        <f t="shared" si="1"/>
        <v>ren "" "18.jpg"</v>
      </c>
      <c r="K19" s="4" t="s">
        <v>1535</v>
      </c>
      <c r="L19" s="4" t="s">
        <v>576</v>
      </c>
      <c r="M19" t="s">
        <v>560</v>
      </c>
      <c r="V19" s="1"/>
      <c r="W19" s="2"/>
    </row>
    <row r="20" spans="1:23" x14ac:dyDescent="0.25">
      <c r="A20">
        <v>19</v>
      </c>
      <c r="B20" s="4" t="s">
        <v>1535</v>
      </c>
      <c r="C20" s="4" t="s">
        <v>585</v>
      </c>
      <c r="D20" t="s">
        <v>534</v>
      </c>
      <c r="F20" t="str">
        <f t="shared" si="0"/>
        <v/>
      </c>
      <c r="G20" t="s">
        <v>561</v>
      </c>
      <c r="H20" t="str">
        <f t="shared" si="1"/>
        <v>ren "" "19.jpg"</v>
      </c>
      <c r="K20" s="4" t="s">
        <v>1535</v>
      </c>
      <c r="L20" s="4" t="s">
        <v>585</v>
      </c>
      <c r="M20" t="s">
        <v>561</v>
      </c>
      <c r="V20" s="1"/>
      <c r="W20" s="2"/>
    </row>
    <row r="21" spans="1:23" x14ac:dyDescent="0.25">
      <c r="A21">
        <v>20</v>
      </c>
      <c r="B21" s="4" t="s">
        <v>1535</v>
      </c>
      <c r="C21" s="4" t="s">
        <v>585</v>
      </c>
      <c r="D21" t="s">
        <v>536</v>
      </c>
      <c r="F21" t="str">
        <f t="shared" si="0"/>
        <v/>
      </c>
      <c r="G21" t="s">
        <v>562</v>
      </c>
      <c r="H21" t="str">
        <f t="shared" si="1"/>
        <v>ren "" "20.jpg"</v>
      </c>
      <c r="K21" s="4" t="s">
        <v>1535</v>
      </c>
      <c r="L21" s="4" t="s">
        <v>585</v>
      </c>
      <c r="M21" t="s">
        <v>562</v>
      </c>
      <c r="V21" s="1"/>
      <c r="W21" s="2"/>
    </row>
    <row r="22" spans="1:23" x14ac:dyDescent="0.25">
      <c r="A22">
        <v>21</v>
      </c>
      <c r="B22" s="4" t="s">
        <v>1536</v>
      </c>
      <c r="C22" s="4" t="s">
        <v>576</v>
      </c>
      <c r="D22" t="s">
        <v>534</v>
      </c>
      <c r="F22" t="str">
        <f t="shared" si="0"/>
        <v/>
      </c>
      <c r="G22" t="s">
        <v>564</v>
      </c>
      <c r="H22" t="str">
        <f t="shared" si="1"/>
        <v>ren "" "21.jpg"</v>
      </c>
      <c r="K22" s="4" t="s">
        <v>1536</v>
      </c>
      <c r="L22" s="4" t="s">
        <v>576</v>
      </c>
      <c r="M22" t="s">
        <v>564</v>
      </c>
      <c r="V22" s="1"/>
      <c r="W22" s="2"/>
    </row>
    <row r="23" spans="1:23" x14ac:dyDescent="0.25">
      <c r="A23">
        <v>22</v>
      </c>
      <c r="B23" s="4" t="s">
        <v>1536</v>
      </c>
      <c r="C23" s="4" t="s">
        <v>576</v>
      </c>
      <c r="D23" t="s">
        <v>536</v>
      </c>
      <c r="F23" t="str">
        <f t="shared" si="0"/>
        <v/>
      </c>
      <c r="G23" t="s">
        <v>565</v>
      </c>
      <c r="H23" t="str">
        <f t="shared" si="1"/>
        <v>ren "" "22.jpg"</v>
      </c>
      <c r="K23" s="4" t="s">
        <v>1536</v>
      </c>
      <c r="L23" s="4" t="s">
        <v>576</v>
      </c>
      <c r="M23" t="s">
        <v>565</v>
      </c>
      <c r="V23" s="1"/>
      <c r="W23" s="2"/>
    </row>
    <row r="24" spans="1:23" x14ac:dyDescent="0.25">
      <c r="A24">
        <v>23</v>
      </c>
      <c r="B24" s="4" t="s">
        <v>1536</v>
      </c>
      <c r="C24" s="4" t="s">
        <v>585</v>
      </c>
      <c r="D24" t="s">
        <v>534</v>
      </c>
      <c r="F24" t="str">
        <f t="shared" si="0"/>
        <v/>
      </c>
      <c r="G24" t="s">
        <v>567</v>
      </c>
      <c r="H24" t="str">
        <f t="shared" si="1"/>
        <v>ren "" "23.jpg"</v>
      </c>
      <c r="K24" s="4" t="s">
        <v>1536</v>
      </c>
      <c r="L24" s="4" t="s">
        <v>585</v>
      </c>
      <c r="M24" t="s">
        <v>567</v>
      </c>
      <c r="V24" s="1"/>
      <c r="W24" s="2"/>
    </row>
    <row r="25" spans="1:23" x14ac:dyDescent="0.25">
      <c r="A25">
        <v>24</v>
      </c>
      <c r="B25" s="4" t="s">
        <v>1536</v>
      </c>
      <c r="C25" s="4" t="s">
        <v>585</v>
      </c>
      <c r="D25" t="s">
        <v>536</v>
      </c>
      <c r="F25" t="str">
        <f t="shared" si="0"/>
        <v/>
      </c>
      <c r="G25" t="s">
        <v>568</v>
      </c>
      <c r="H25" t="str">
        <f t="shared" si="1"/>
        <v>ren "" "24.jpg"</v>
      </c>
      <c r="K25" s="4" t="s">
        <v>1536</v>
      </c>
      <c r="L25" s="4" t="s">
        <v>585</v>
      </c>
      <c r="M25" t="s">
        <v>568</v>
      </c>
      <c r="V25" s="1"/>
      <c r="W25" s="2"/>
    </row>
    <row r="26" spans="1:23" x14ac:dyDescent="0.25">
      <c r="A26">
        <v>25</v>
      </c>
      <c r="B26" s="4" t="s">
        <v>1537</v>
      </c>
      <c r="C26" s="4" t="s">
        <v>576</v>
      </c>
      <c r="D26" t="s">
        <v>534</v>
      </c>
      <c r="F26" t="str">
        <f t="shared" si="0"/>
        <v/>
      </c>
      <c r="G26" t="s">
        <v>1538</v>
      </c>
      <c r="H26" t="str">
        <f t="shared" si="1"/>
        <v>ren "" "25.jpg"</v>
      </c>
      <c r="K26" s="4" t="s">
        <v>1537</v>
      </c>
      <c r="L26" s="4" t="s">
        <v>576</v>
      </c>
      <c r="M26" t="s">
        <v>1538</v>
      </c>
      <c r="V26" s="1"/>
      <c r="W26" s="2"/>
    </row>
    <row r="27" spans="1:23" x14ac:dyDescent="0.25">
      <c r="A27">
        <v>26</v>
      </c>
      <c r="B27" s="4" t="s">
        <v>1537</v>
      </c>
      <c r="C27" s="4" t="s">
        <v>576</v>
      </c>
      <c r="D27" t="s">
        <v>536</v>
      </c>
      <c r="F27" t="str">
        <f t="shared" si="0"/>
        <v/>
      </c>
      <c r="G27" t="s">
        <v>1539</v>
      </c>
      <c r="H27" t="str">
        <f t="shared" si="1"/>
        <v>ren "" "26.jpg"</v>
      </c>
      <c r="K27" s="4" t="s">
        <v>1537</v>
      </c>
      <c r="L27" s="4" t="s">
        <v>576</v>
      </c>
      <c r="M27" t="s">
        <v>1539</v>
      </c>
      <c r="V27" s="1"/>
      <c r="W27" s="2"/>
    </row>
    <row r="28" spans="1:23" x14ac:dyDescent="0.25">
      <c r="A28">
        <v>27</v>
      </c>
      <c r="B28" s="4" t="s">
        <v>1537</v>
      </c>
      <c r="C28" s="4" t="s">
        <v>585</v>
      </c>
      <c r="D28" t="s">
        <v>534</v>
      </c>
      <c r="F28" t="str">
        <f t="shared" si="0"/>
        <v/>
      </c>
      <c r="G28" t="s">
        <v>1540</v>
      </c>
      <c r="H28" t="str">
        <f t="shared" si="1"/>
        <v>ren "" "27.jpg"</v>
      </c>
      <c r="K28" s="4" t="s">
        <v>1537</v>
      </c>
      <c r="L28" s="4" t="s">
        <v>585</v>
      </c>
      <c r="M28" t="s">
        <v>1540</v>
      </c>
      <c r="V28" s="1"/>
      <c r="W28" s="2"/>
    </row>
    <row r="29" spans="1:23" x14ac:dyDescent="0.25">
      <c r="A29">
        <v>28</v>
      </c>
      <c r="B29" s="4" t="s">
        <v>1537</v>
      </c>
      <c r="C29" s="4" t="s">
        <v>585</v>
      </c>
      <c r="D29" t="s">
        <v>536</v>
      </c>
      <c r="F29" t="str">
        <f t="shared" si="0"/>
        <v/>
      </c>
      <c r="G29" t="s">
        <v>1541</v>
      </c>
      <c r="H29" t="str">
        <f t="shared" si="1"/>
        <v>ren "" "28.jpg"</v>
      </c>
      <c r="K29" s="4" t="s">
        <v>1537</v>
      </c>
      <c r="L29" s="4" t="s">
        <v>585</v>
      </c>
      <c r="M29" t="s">
        <v>1541</v>
      </c>
      <c r="V29" s="1"/>
      <c r="W29" s="2"/>
    </row>
    <row r="30" spans="1:23" x14ac:dyDescent="0.25">
      <c r="A30">
        <v>29</v>
      </c>
      <c r="B30" s="4" t="s">
        <v>1542</v>
      </c>
      <c r="C30" s="4" t="s">
        <v>576</v>
      </c>
      <c r="D30" t="s">
        <v>534</v>
      </c>
      <c r="F30" t="str">
        <f t="shared" si="0"/>
        <v/>
      </c>
      <c r="G30" t="s">
        <v>1543</v>
      </c>
      <c r="H30" t="str">
        <f t="shared" si="1"/>
        <v>ren "" "29.jpg"</v>
      </c>
      <c r="K30" s="4" t="s">
        <v>1542</v>
      </c>
      <c r="L30" s="4" t="s">
        <v>576</v>
      </c>
      <c r="M30" t="s">
        <v>1543</v>
      </c>
      <c r="V30" s="1"/>
      <c r="W30" s="2"/>
    </row>
    <row r="31" spans="1:23" x14ac:dyDescent="0.25">
      <c r="A31">
        <v>30</v>
      </c>
      <c r="B31" s="4" t="s">
        <v>1542</v>
      </c>
      <c r="C31" s="4" t="s">
        <v>576</v>
      </c>
      <c r="D31" t="s">
        <v>536</v>
      </c>
      <c r="F31" t="str">
        <f t="shared" si="0"/>
        <v/>
      </c>
      <c r="G31" t="s">
        <v>1544</v>
      </c>
      <c r="H31" t="str">
        <f t="shared" si="1"/>
        <v>ren "" "30.jpg"</v>
      </c>
      <c r="K31" s="4" t="s">
        <v>1542</v>
      </c>
      <c r="L31" s="4" t="s">
        <v>576</v>
      </c>
      <c r="M31" t="s">
        <v>1544</v>
      </c>
      <c r="V31" s="1"/>
      <c r="W31" s="2"/>
    </row>
    <row r="32" spans="1:23" x14ac:dyDescent="0.25">
      <c r="A32">
        <v>31</v>
      </c>
      <c r="B32" s="4" t="s">
        <v>1542</v>
      </c>
      <c r="C32" s="4" t="s">
        <v>585</v>
      </c>
      <c r="D32" t="s">
        <v>534</v>
      </c>
      <c r="F32" t="str">
        <f t="shared" si="0"/>
        <v/>
      </c>
      <c r="G32" t="s">
        <v>1545</v>
      </c>
      <c r="H32" t="str">
        <f t="shared" si="1"/>
        <v>ren "" "31.jpg"</v>
      </c>
      <c r="K32" s="4" t="s">
        <v>1542</v>
      </c>
      <c r="L32" s="4" t="s">
        <v>585</v>
      </c>
      <c r="M32" t="s">
        <v>1545</v>
      </c>
      <c r="V32" s="1"/>
      <c r="W32" s="2"/>
    </row>
    <row r="33" spans="1:23" x14ac:dyDescent="0.25">
      <c r="A33">
        <v>32</v>
      </c>
      <c r="B33" s="4" t="s">
        <v>1542</v>
      </c>
      <c r="C33" s="4" t="s">
        <v>585</v>
      </c>
      <c r="D33" t="s">
        <v>536</v>
      </c>
      <c r="F33" t="str">
        <f t="shared" si="0"/>
        <v/>
      </c>
      <c r="G33" t="s">
        <v>1546</v>
      </c>
      <c r="H33" t="str">
        <f t="shared" si="1"/>
        <v>ren "" "32.jpg"</v>
      </c>
      <c r="K33" s="4" t="s">
        <v>1542</v>
      </c>
      <c r="L33" s="4" t="s">
        <v>585</v>
      </c>
      <c r="M33" t="s">
        <v>1546</v>
      </c>
      <c r="V33" s="1"/>
      <c r="W33" s="2"/>
    </row>
    <row r="34" spans="1:23" x14ac:dyDescent="0.25">
      <c r="A34">
        <v>33</v>
      </c>
      <c r="B34" s="4" t="s">
        <v>1547</v>
      </c>
      <c r="C34" s="4" t="s">
        <v>576</v>
      </c>
      <c r="D34" t="s">
        <v>534</v>
      </c>
      <c r="F34" t="str">
        <f t="shared" ref="F34:F65" si="2">IF(E34="", "", TRIM(RIGHT(SUBSTITUTE(E34, "\", REPT(" ", LEN(E34))), LEN(E34))))</f>
        <v/>
      </c>
      <c r="G34" t="s">
        <v>1548</v>
      </c>
      <c r="H34" t="str">
        <f t="shared" ref="H34:H65" si="3">"ren """ &amp; F34 &amp; """ """ &amp; G34 &amp; """"</f>
        <v>ren "" "33.jpg"</v>
      </c>
      <c r="K34" s="4" t="s">
        <v>1547</v>
      </c>
      <c r="L34" s="4" t="s">
        <v>576</v>
      </c>
      <c r="M34" t="s">
        <v>1548</v>
      </c>
      <c r="V34" s="1"/>
      <c r="W34" s="2"/>
    </row>
    <row r="35" spans="1:23" x14ac:dyDescent="0.25">
      <c r="A35">
        <v>34</v>
      </c>
      <c r="B35" s="4" t="s">
        <v>1547</v>
      </c>
      <c r="C35" s="4" t="s">
        <v>576</v>
      </c>
      <c r="D35" t="s">
        <v>536</v>
      </c>
      <c r="F35" t="str">
        <f t="shared" si="2"/>
        <v/>
      </c>
      <c r="G35" t="s">
        <v>1549</v>
      </c>
      <c r="H35" t="str">
        <f t="shared" si="3"/>
        <v>ren "" "34.jpg"</v>
      </c>
      <c r="K35" s="4" t="s">
        <v>1547</v>
      </c>
      <c r="L35" s="4" t="s">
        <v>576</v>
      </c>
      <c r="M35" t="s">
        <v>1549</v>
      </c>
      <c r="V35" s="1"/>
      <c r="W35" s="2"/>
    </row>
    <row r="36" spans="1:23" x14ac:dyDescent="0.25">
      <c r="A36">
        <v>35</v>
      </c>
      <c r="B36" s="4" t="s">
        <v>1547</v>
      </c>
      <c r="C36" s="4" t="s">
        <v>585</v>
      </c>
      <c r="D36" t="s">
        <v>534</v>
      </c>
      <c r="F36" t="str">
        <f t="shared" si="2"/>
        <v/>
      </c>
      <c r="G36" t="s">
        <v>1550</v>
      </c>
      <c r="H36" t="str">
        <f t="shared" si="3"/>
        <v>ren "" "35.jpg"</v>
      </c>
      <c r="K36" s="4" t="s">
        <v>1547</v>
      </c>
      <c r="L36" s="4" t="s">
        <v>585</v>
      </c>
      <c r="M36" t="s">
        <v>1550</v>
      </c>
      <c r="V36" s="1"/>
      <c r="W36" s="2"/>
    </row>
    <row r="37" spans="1:23" x14ac:dyDescent="0.25">
      <c r="A37">
        <v>36</v>
      </c>
      <c r="B37" s="4" t="s">
        <v>1547</v>
      </c>
      <c r="C37" s="4" t="s">
        <v>585</v>
      </c>
      <c r="D37" t="s">
        <v>536</v>
      </c>
      <c r="F37" t="str">
        <f t="shared" si="2"/>
        <v/>
      </c>
      <c r="G37" t="s">
        <v>1551</v>
      </c>
      <c r="H37" t="str">
        <f t="shared" si="3"/>
        <v>ren "" "36.jpg"</v>
      </c>
      <c r="K37" s="4" t="s">
        <v>1547</v>
      </c>
      <c r="L37" s="4" t="s">
        <v>585</v>
      </c>
      <c r="M37" t="s">
        <v>1551</v>
      </c>
      <c r="V37" s="1"/>
      <c r="W37" s="2"/>
    </row>
    <row r="38" spans="1:23" x14ac:dyDescent="0.25">
      <c r="A38">
        <v>37</v>
      </c>
      <c r="B38" s="4" t="s">
        <v>1552</v>
      </c>
      <c r="C38" s="4" t="s">
        <v>576</v>
      </c>
      <c r="D38" t="s">
        <v>534</v>
      </c>
      <c r="F38" t="str">
        <f t="shared" si="2"/>
        <v/>
      </c>
      <c r="G38" t="s">
        <v>1553</v>
      </c>
      <c r="H38" t="str">
        <f t="shared" si="3"/>
        <v>ren "" "37.jpg"</v>
      </c>
      <c r="K38" s="4" t="s">
        <v>1552</v>
      </c>
      <c r="L38" s="4" t="s">
        <v>576</v>
      </c>
      <c r="M38" t="s">
        <v>1553</v>
      </c>
      <c r="V38" s="1"/>
      <c r="W38" s="2"/>
    </row>
    <row r="39" spans="1:23" x14ac:dyDescent="0.25">
      <c r="A39">
        <v>38</v>
      </c>
      <c r="B39" s="4" t="s">
        <v>1552</v>
      </c>
      <c r="C39" s="4" t="s">
        <v>576</v>
      </c>
      <c r="D39" t="s">
        <v>536</v>
      </c>
      <c r="F39" t="str">
        <f t="shared" si="2"/>
        <v/>
      </c>
      <c r="G39" t="s">
        <v>1554</v>
      </c>
      <c r="H39" t="str">
        <f t="shared" si="3"/>
        <v>ren "" "38.jpg"</v>
      </c>
      <c r="K39" s="4" t="s">
        <v>1552</v>
      </c>
      <c r="L39" s="4" t="s">
        <v>576</v>
      </c>
      <c r="M39" t="s">
        <v>1554</v>
      </c>
      <c r="V39" s="1"/>
      <c r="W39" s="2"/>
    </row>
    <row r="40" spans="1:23" x14ac:dyDescent="0.25">
      <c r="A40">
        <v>39</v>
      </c>
      <c r="B40" s="4" t="s">
        <v>1552</v>
      </c>
      <c r="C40" s="4" t="s">
        <v>585</v>
      </c>
      <c r="D40" t="s">
        <v>534</v>
      </c>
      <c r="F40" t="str">
        <f t="shared" si="2"/>
        <v/>
      </c>
      <c r="G40" t="s">
        <v>1555</v>
      </c>
      <c r="H40" t="str">
        <f t="shared" si="3"/>
        <v>ren "" "39.jpg"</v>
      </c>
      <c r="K40" s="4" t="s">
        <v>1552</v>
      </c>
      <c r="L40" s="4" t="s">
        <v>585</v>
      </c>
      <c r="M40" t="s">
        <v>1555</v>
      </c>
      <c r="V40" s="1"/>
      <c r="W40" s="2"/>
    </row>
    <row r="41" spans="1:23" x14ac:dyDescent="0.25">
      <c r="A41">
        <v>40</v>
      </c>
      <c r="B41" s="4" t="s">
        <v>1552</v>
      </c>
      <c r="C41" s="4" t="s">
        <v>585</v>
      </c>
      <c r="D41" t="s">
        <v>536</v>
      </c>
      <c r="F41" t="str">
        <f t="shared" si="2"/>
        <v/>
      </c>
      <c r="G41" t="s">
        <v>1556</v>
      </c>
      <c r="H41" t="str">
        <f t="shared" si="3"/>
        <v>ren "" "40.jpg"</v>
      </c>
      <c r="K41" s="4" t="s">
        <v>1552</v>
      </c>
      <c r="L41" s="4" t="s">
        <v>585</v>
      </c>
      <c r="M41" t="s">
        <v>1556</v>
      </c>
      <c r="V41" s="1"/>
      <c r="W41" s="2"/>
    </row>
    <row r="42" spans="1:23" x14ac:dyDescent="0.25">
      <c r="A42">
        <v>41</v>
      </c>
      <c r="B42" s="4" t="s">
        <v>1557</v>
      </c>
      <c r="C42" s="4" t="s">
        <v>576</v>
      </c>
      <c r="D42" t="s">
        <v>534</v>
      </c>
      <c r="F42" t="str">
        <f t="shared" si="2"/>
        <v/>
      </c>
      <c r="G42" t="s">
        <v>1558</v>
      </c>
      <c r="H42" t="str">
        <f t="shared" si="3"/>
        <v>ren "" "41.jpg"</v>
      </c>
      <c r="K42" s="4" t="s">
        <v>1557</v>
      </c>
      <c r="L42" s="4" t="s">
        <v>576</v>
      </c>
      <c r="M42" t="s">
        <v>1558</v>
      </c>
      <c r="V42" s="1"/>
      <c r="W42" s="2"/>
    </row>
    <row r="43" spans="1:23" x14ac:dyDescent="0.25">
      <c r="A43">
        <v>42</v>
      </c>
      <c r="B43" s="4" t="s">
        <v>1557</v>
      </c>
      <c r="C43" s="4" t="s">
        <v>576</v>
      </c>
      <c r="D43" t="s">
        <v>536</v>
      </c>
      <c r="F43" t="str">
        <f t="shared" si="2"/>
        <v/>
      </c>
      <c r="G43" t="s">
        <v>1559</v>
      </c>
      <c r="H43" t="str">
        <f t="shared" si="3"/>
        <v>ren "" "42.jpg"</v>
      </c>
      <c r="K43" s="4" t="s">
        <v>1557</v>
      </c>
      <c r="L43" s="4" t="s">
        <v>576</v>
      </c>
      <c r="M43" t="s">
        <v>1559</v>
      </c>
      <c r="V43" s="1"/>
      <c r="W43" s="2"/>
    </row>
    <row r="44" spans="1:23" x14ac:dyDescent="0.25">
      <c r="A44">
        <v>43</v>
      </c>
      <c r="B44" s="4" t="s">
        <v>1557</v>
      </c>
      <c r="C44" s="4" t="s">
        <v>585</v>
      </c>
      <c r="D44" t="s">
        <v>534</v>
      </c>
      <c r="F44" t="str">
        <f t="shared" si="2"/>
        <v/>
      </c>
      <c r="G44" t="s">
        <v>1560</v>
      </c>
      <c r="H44" t="str">
        <f t="shared" si="3"/>
        <v>ren "" "43.jpg"</v>
      </c>
      <c r="K44" s="4" t="s">
        <v>1557</v>
      </c>
      <c r="L44" s="4" t="s">
        <v>585</v>
      </c>
      <c r="M44" t="s">
        <v>1560</v>
      </c>
      <c r="V44" s="1"/>
      <c r="W44" s="2"/>
    </row>
    <row r="45" spans="1:23" x14ac:dyDescent="0.25">
      <c r="A45">
        <v>44</v>
      </c>
      <c r="B45" s="4" t="s">
        <v>1557</v>
      </c>
      <c r="C45" s="4" t="s">
        <v>585</v>
      </c>
      <c r="D45" t="s">
        <v>536</v>
      </c>
      <c r="F45" t="str">
        <f t="shared" si="2"/>
        <v/>
      </c>
      <c r="G45" t="s">
        <v>1561</v>
      </c>
      <c r="H45" t="str">
        <f t="shared" si="3"/>
        <v>ren "" "44.jpg"</v>
      </c>
      <c r="K45" s="4" t="s">
        <v>1557</v>
      </c>
      <c r="L45" s="4" t="s">
        <v>585</v>
      </c>
      <c r="M45" t="s">
        <v>1561</v>
      </c>
      <c r="V45" s="1"/>
      <c r="W45" s="2"/>
    </row>
    <row r="46" spans="1:23" x14ac:dyDescent="0.25">
      <c r="A46">
        <v>45</v>
      </c>
      <c r="B46" s="4" t="s">
        <v>1562</v>
      </c>
      <c r="C46" s="4" t="s">
        <v>576</v>
      </c>
      <c r="D46" t="s">
        <v>534</v>
      </c>
      <c r="F46" t="str">
        <f t="shared" si="2"/>
        <v/>
      </c>
      <c r="G46" t="s">
        <v>1563</v>
      </c>
      <c r="H46" t="str">
        <f t="shared" si="3"/>
        <v>ren "" "45.jpg"</v>
      </c>
      <c r="K46" s="4" t="s">
        <v>1562</v>
      </c>
      <c r="L46" s="4" t="s">
        <v>576</v>
      </c>
      <c r="M46" t="s">
        <v>1563</v>
      </c>
      <c r="V46" s="1"/>
      <c r="W46" s="2"/>
    </row>
    <row r="47" spans="1:23" x14ac:dyDescent="0.25">
      <c r="A47">
        <v>46</v>
      </c>
      <c r="B47" s="4" t="s">
        <v>1562</v>
      </c>
      <c r="C47" s="4" t="s">
        <v>576</v>
      </c>
      <c r="D47" t="s">
        <v>536</v>
      </c>
      <c r="F47" t="str">
        <f t="shared" si="2"/>
        <v/>
      </c>
      <c r="G47" t="s">
        <v>1564</v>
      </c>
      <c r="H47" t="str">
        <f t="shared" si="3"/>
        <v>ren "" "46.jpg"</v>
      </c>
      <c r="K47" s="4" t="s">
        <v>1562</v>
      </c>
      <c r="L47" s="4" t="s">
        <v>576</v>
      </c>
      <c r="M47" t="s">
        <v>1564</v>
      </c>
      <c r="V47" s="1"/>
      <c r="W47" s="2"/>
    </row>
    <row r="48" spans="1:23" x14ac:dyDescent="0.25">
      <c r="A48">
        <v>47</v>
      </c>
      <c r="B48" s="4" t="s">
        <v>1562</v>
      </c>
      <c r="C48" s="4" t="s">
        <v>585</v>
      </c>
      <c r="D48" t="s">
        <v>534</v>
      </c>
      <c r="F48" t="str">
        <f t="shared" si="2"/>
        <v/>
      </c>
      <c r="G48" t="s">
        <v>1565</v>
      </c>
      <c r="H48" t="str">
        <f t="shared" si="3"/>
        <v>ren "" "47.jpg"</v>
      </c>
      <c r="K48" s="4" t="s">
        <v>1562</v>
      </c>
      <c r="L48" s="4" t="s">
        <v>585</v>
      </c>
      <c r="M48" t="s">
        <v>1565</v>
      </c>
      <c r="V48" s="1"/>
      <c r="W48" s="2"/>
    </row>
    <row r="49" spans="1:23" x14ac:dyDescent="0.25">
      <c r="A49">
        <v>48</v>
      </c>
      <c r="B49" s="4" t="s">
        <v>1562</v>
      </c>
      <c r="C49" s="4" t="s">
        <v>585</v>
      </c>
      <c r="D49" t="s">
        <v>536</v>
      </c>
      <c r="F49" t="str">
        <f t="shared" si="2"/>
        <v/>
      </c>
      <c r="G49" t="s">
        <v>1566</v>
      </c>
      <c r="H49" t="str">
        <f t="shared" si="3"/>
        <v>ren "" "48.jpg"</v>
      </c>
      <c r="K49" s="4" t="s">
        <v>1562</v>
      </c>
      <c r="L49" s="4" t="s">
        <v>585</v>
      </c>
      <c r="M49" t="s">
        <v>1566</v>
      </c>
      <c r="V49" s="1"/>
      <c r="W49" s="2"/>
    </row>
    <row r="50" spans="1:23" x14ac:dyDescent="0.25">
      <c r="A50">
        <v>49</v>
      </c>
      <c r="B50" s="4" t="s">
        <v>1567</v>
      </c>
      <c r="C50" s="4" t="s">
        <v>576</v>
      </c>
      <c r="D50" t="s">
        <v>534</v>
      </c>
      <c r="F50" t="str">
        <f t="shared" si="2"/>
        <v/>
      </c>
      <c r="G50" t="s">
        <v>1568</v>
      </c>
      <c r="H50" t="str">
        <f t="shared" si="3"/>
        <v>ren "" "49.jpg"</v>
      </c>
      <c r="K50" s="4" t="s">
        <v>1567</v>
      </c>
      <c r="L50" s="4" t="s">
        <v>576</v>
      </c>
      <c r="M50" t="s">
        <v>1568</v>
      </c>
      <c r="V50" s="1"/>
      <c r="W50" s="2"/>
    </row>
    <row r="51" spans="1:23" x14ac:dyDescent="0.25">
      <c r="A51">
        <v>50</v>
      </c>
      <c r="B51" s="4" t="s">
        <v>1567</v>
      </c>
      <c r="C51" s="4" t="s">
        <v>576</v>
      </c>
      <c r="D51" t="s">
        <v>536</v>
      </c>
      <c r="F51" t="str">
        <f t="shared" si="2"/>
        <v/>
      </c>
      <c r="G51" t="s">
        <v>1569</v>
      </c>
      <c r="H51" t="str">
        <f t="shared" si="3"/>
        <v>ren "" "50.jpg"</v>
      </c>
      <c r="K51" s="4" t="s">
        <v>1567</v>
      </c>
      <c r="L51" s="4" t="s">
        <v>576</v>
      </c>
      <c r="M51" t="s">
        <v>1569</v>
      </c>
      <c r="V51" s="1"/>
      <c r="W51" s="2"/>
    </row>
    <row r="52" spans="1:23" x14ac:dyDescent="0.25">
      <c r="A52">
        <v>51</v>
      </c>
      <c r="B52" s="4" t="s">
        <v>1567</v>
      </c>
      <c r="C52" s="4" t="s">
        <v>585</v>
      </c>
      <c r="D52" t="s">
        <v>534</v>
      </c>
      <c r="F52" t="str">
        <f t="shared" si="2"/>
        <v/>
      </c>
      <c r="G52" t="s">
        <v>571</v>
      </c>
      <c r="H52" t="str">
        <f t="shared" si="3"/>
        <v>ren "" "51.jpg"</v>
      </c>
      <c r="K52" s="4" t="s">
        <v>1567</v>
      </c>
      <c r="L52" s="4" t="s">
        <v>585</v>
      </c>
      <c r="M52" t="s">
        <v>571</v>
      </c>
      <c r="V52" s="1"/>
      <c r="W52" s="2"/>
    </row>
    <row r="53" spans="1:23" x14ac:dyDescent="0.25">
      <c r="A53">
        <v>52</v>
      </c>
      <c r="B53" s="4" t="s">
        <v>1567</v>
      </c>
      <c r="C53" s="4" t="s">
        <v>585</v>
      </c>
      <c r="D53" t="s">
        <v>536</v>
      </c>
      <c r="F53" t="str">
        <f t="shared" si="2"/>
        <v/>
      </c>
      <c r="G53" t="s">
        <v>572</v>
      </c>
      <c r="H53" t="str">
        <f t="shared" si="3"/>
        <v>ren "" "52.jpg"</v>
      </c>
      <c r="K53" s="4" t="s">
        <v>1567</v>
      </c>
      <c r="L53" s="4" t="s">
        <v>585</v>
      </c>
      <c r="M53" t="s">
        <v>572</v>
      </c>
      <c r="V53" s="1"/>
      <c r="W53" s="2"/>
    </row>
    <row r="54" spans="1:23" x14ac:dyDescent="0.25">
      <c r="A54">
        <v>53</v>
      </c>
      <c r="B54" s="4" t="s">
        <v>1570</v>
      </c>
      <c r="C54" s="4" t="s">
        <v>1453</v>
      </c>
      <c r="D54" t="s">
        <v>534</v>
      </c>
      <c r="F54" t="str">
        <f t="shared" si="2"/>
        <v/>
      </c>
      <c r="G54" t="s">
        <v>574</v>
      </c>
      <c r="H54" t="str">
        <f t="shared" si="3"/>
        <v>ren "" "53.jpg"</v>
      </c>
      <c r="K54" s="4" t="s">
        <v>1570</v>
      </c>
      <c r="L54" s="4" t="s">
        <v>1453</v>
      </c>
      <c r="M54" t="s">
        <v>574</v>
      </c>
      <c r="V54" s="1"/>
      <c r="W54" s="2"/>
    </row>
    <row r="55" spans="1:23" x14ac:dyDescent="0.25">
      <c r="A55">
        <v>54</v>
      </c>
      <c r="B55" s="4" t="s">
        <v>1570</v>
      </c>
      <c r="C55" s="4" t="s">
        <v>1453</v>
      </c>
      <c r="D55" t="s">
        <v>536</v>
      </c>
      <c r="F55" t="str">
        <f t="shared" si="2"/>
        <v/>
      </c>
      <c r="G55" t="s">
        <v>575</v>
      </c>
      <c r="H55" t="str">
        <f t="shared" si="3"/>
        <v>ren "" "54.jpg"</v>
      </c>
      <c r="K55" s="4" t="s">
        <v>1570</v>
      </c>
      <c r="L55" s="4" t="s">
        <v>1453</v>
      </c>
      <c r="M55" t="s">
        <v>575</v>
      </c>
      <c r="V55" s="1"/>
      <c r="W55" s="2"/>
    </row>
    <row r="56" spans="1:23" x14ac:dyDescent="0.25">
      <c r="A56">
        <v>55</v>
      </c>
      <c r="B56" s="4" t="s">
        <v>1570</v>
      </c>
      <c r="C56" s="4" t="s">
        <v>1497</v>
      </c>
      <c r="D56" t="s">
        <v>534</v>
      </c>
      <c r="F56" t="str">
        <f t="shared" si="2"/>
        <v/>
      </c>
      <c r="G56" t="s">
        <v>577</v>
      </c>
      <c r="H56" t="str">
        <f t="shared" si="3"/>
        <v>ren "" "55.jpg"</v>
      </c>
      <c r="K56" s="4" t="s">
        <v>1570</v>
      </c>
      <c r="L56" s="4" t="s">
        <v>1497</v>
      </c>
      <c r="M56" t="s">
        <v>577</v>
      </c>
      <c r="V56" s="1"/>
      <c r="W56" s="2"/>
    </row>
    <row r="57" spans="1:23" x14ac:dyDescent="0.25">
      <c r="A57">
        <v>56</v>
      </c>
      <c r="B57" s="4" t="s">
        <v>1570</v>
      </c>
      <c r="C57" s="4" t="s">
        <v>1497</v>
      </c>
      <c r="D57" t="s">
        <v>536</v>
      </c>
      <c r="F57" t="str">
        <f t="shared" si="2"/>
        <v/>
      </c>
      <c r="G57" t="s">
        <v>578</v>
      </c>
      <c r="H57" t="str">
        <f t="shared" si="3"/>
        <v>ren "" "56.jpg"</v>
      </c>
      <c r="K57" s="4" t="s">
        <v>1570</v>
      </c>
      <c r="L57" s="4" t="s">
        <v>1497</v>
      </c>
      <c r="M57" t="s">
        <v>578</v>
      </c>
      <c r="V57" s="1"/>
      <c r="W57" s="2"/>
    </row>
    <row r="58" spans="1:23" x14ac:dyDescent="0.25">
      <c r="A58">
        <v>57</v>
      </c>
      <c r="B58" s="4" t="s">
        <v>1570</v>
      </c>
      <c r="C58" s="4" t="s">
        <v>1571</v>
      </c>
      <c r="D58" t="s">
        <v>534</v>
      </c>
      <c r="F58" t="str">
        <f t="shared" si="2"/>
        <v/>
      </c>
      <c r="G58" t="s">
        <v>580</v>
      </c>
      <c r="H58" t="str">
        <f t="shared" si="3"/>
        <v>ren "" "57.jpg"</v>
      </c>
      <c r="K58" s="4" t="s">
        <v>1570</v>
      </c>
      <c r="L58" s="4" t="s">
        <v>1571</v>
      </c>
      <c r="M58" t="s">
        <v>580</v>
      </c>
      <c r="V58" s="1"/>
      <c r="W58" s="2"/>
    </row>
    <row r="59" spans="1:23" x14ac:dyDescent="0.25">
      <c r="A59">
        <v>58</v>
      </c>
      <c r="B59" s="4" t="s">
        <v>1570</v>
      </c>
      <c r="C59" s="4" t="s">
        <v>1571</v>
      </c>
      <c r="D59" t="s">
        <v>536</v>
      </c>
      <c r="F59" t="str">
        <f t="shared" si="2"/>
        <v/>
      </c>
      <c r="G59" t="s">
        <v>581</v>
      </c>
      <c r="H59" t="str">
        <f t="shared" si="3"/>
        <v>ren "" "58.jpg"</v>
      </c>
      <c r="K59" s="4" t="s">
        <v>1570</v>
      </c>
      <c r="L59" s="4" t="s">
        <v>1571</v>
      </c>
      <c r="M59" t="s">
        <v>581</v>
      </c>
      <c r="V59" s="1"/>
      <c r="W59" s="2"/>
    </row>
    <row r="60" spans="1:23" x14ac:dyDescent="0.25">
      <c r="A60">
        <v>59</v>
      </c>
      <c r="B60" s="4" t="s">
        <v>1570</v>
      </c>
      <c r="C60" s="4" t="s">
        <v>1572</v>
      </c>
      <c r="D60" t="s">
        <v>534</v>
      </c>
      <c r="F60" t="str">
        <f t="shared" si="2"/>
        <v/>
      </c>
      <c r="G60" t="s">
        <v>583</v>
      </c>
      <c r="H60" t="str">
        <f t="shared" si="3"/>
        <v>ren "" "59.jpg"</v>
      </c>
      <c r="K60" s="4" t="s">
        <v>1570</v>
      </c>
      <c r="L60" s="4" t="s">
        <v>1572</v>
      </c>
      <c r="M60" t="s">
        <v>583</v>
      </c>
      <c r="V60" s="1"/>
      <c r="W60" s="2"/>
    </row>
    <row r="61" spans="1:23" x14ac:dyDescent="0.25">
      <c r="A61">
        <v>60</v>
      </c>
      <c r="B61" s="4" t="s">
        <v>1570</v>
      </c>
      <c r="C61" s="4" t="s">
        <v>1572</v>
      </c>
      <c r="D61" t="s">
        <v>536</v>
      </c>
      <c r="F61" t="str">
        <f t="shared" si="2"/>
        <v/>
      </c>
      <c r="G61" t="s">
        <v>584</v>
      </c>
      <c r="H61" t="str">
        <f t="shared" si="3"/>
        <v>ren "" "60.jpg"</v>
      </c>
      <c r="K61" s="4" t="s">
        <v>1570</v>
      </c>
      <c r="L61" s="4" t="s">
        <v>1572</v>
      </c>
      <c r="M61" t="s">
        <v>584</v>
      </c>
      <c r="V61" s="1"/>
      <c r="W61" s="2"/>
    </row>
    <row r="62" spans="1:23" x14ac:dyDescent="0.25">
      <c r="A62">
        <v>61</v>
      </c>
      <c r="B62" s="4" t="s">
        <v>1570</v>
      </c>
      <c r="C62" s="4" t="s">
        <v>1573</v>
      </c>
      <c r="D62" t="s">
        <v>534</v>
      </c>
      <c r="F62" t="str">
        <f t="shared" si="2"/>
        <v/>
      </c>
      <c r="G62" t="s">
        <v>586</v>
      </c>
      <c r="H62" t="str">
        <f t="shared" si="3"/>
        <v>ren "" "61.jpg"</v>
      </c>
      <c r="K62" s="4" t="s">
        <v>1570</v>
      </c>
      <c r="L62" s="4" t="s">
        <v>1573</v>
      </c>
      <c r="M62" t="s">
        <v>586</v>
      </c>
      <c r="V62" s="1"/>
      <c r="W62" s="2"/>
    </row>
    <row r="63" spans="1:23" x14ac:dyDescent="0.25">
      <c r="A63">
        <v>62</v>
      </c>
      <c r="B63" s="4" t="s">
        <v>1570</v>
      </c>
      <c r="C63" s="4" t="s">
        <v>1573</v>
      </c>
      <c r="D63" t="s">
        <v>536</v>
      </c>
      <c r="F63" t="str">
        <f t="shared" si="2"/>
        <v/>
      </c>
      <c r="G63" t="s">
        <v>587</v>
      </c>
      <c r="H63" t="str">
        <f t="shared" si="3"/>
        <v>ren "" "62.jpg"</v>
      </c>
      <c r="K63" s="4" t="s">
        <v>1570</v>
      </c>
      <c r="L63" s="4" t="s">
        <v>1573</v>
      </c>
      <c r="M63" t="s">
        <v>587</v>
      </c>
      <c r="V63" s="1"/>
      <c r="W63" s="2"/>
    </row>
    <row r="64" spans="1:23" x14ac:dyDescent="0.25">
      <c r="A64">
        <v>63</v>
      </c>
      <c r="B64" s="4" t="s">
        <v>1570</v>
      </c>
      <c r="C64" s="4" t="s">
        <v>1571</v>
      </c>
      <c r="D64" t="s">
        <v>534</v>
      </c>
      <c r="F64" t="str">
        <f t="shared" si="2"/>
        <v/>
      </c>
      <c r="G64" t="s">
        <v>589</v>
      </c>
      <c r="H64" t="str">
        <f t="shared" si="3"/>
        <v>ren "" "63.jpg"</v>
      </c>
      <c r="K64" s="4" t="s">
        <v>1570</v>
      </c>
      <c r="L64" s="4" t="s">
        <v>1571</v>
      </c>
      <c r="M64" t="s">
        <v>589</v>
      </c>
      <c r="V64" s="1"/>
      <c r="W64" s="2"/>
    </row>
    <row r="65" spans="1:23" x14ac:dyDescent="0.25">
      <c r="A65">
        <v>64</v>
      </c>
      <c r="B65" s="4" t="s">
        <v>1570</v>
      </c>
      <c r="C65" s="4" t="s">
        <v>1571</v>
      </c>
      <c r="D65" t="s">
        <v>536</v>
      </c>
      <c r="F65" t="str">
        <f t="shared" si="2"/>
        <v/>
      </c>
      <c r="G65" t="s">
        <v>590</v>
      </c>
      <c r="H65" t="str">
        <f t="shared" si="3"/>
        <v>ren "" "64.jpg"</v>
      </c>
      <c r="K65" s="4" t="s">
        <v>1570</v>
      </c>
      <c r="L65" s="4" t="s">
        <v>1571</v>
      </c>
      <c r="M65" t="s">
        <v>590</v>
      </c>
      <c r="V65" s="1"/>
      <c r="W65" s="2"/>
    </row>
    <row r="66" spans="1:23" x14ac:dyDescent="0.25">
      <c r="A66">
        <v>65</v>
      </c>
      <c r="B66" s="4" t="s">
        <v>1570</v>
      </c>
      <c r="C66" s="4" t="s">
        <v>1572</v>
      </c>
      <c r="D66" t="s">
        <v>534</v>
      </c>
      <c r="F66" t="str">
        <f t="shared" ref="F66:F97" si="4">IF(E66="", "", TRIM(RIGHT(SUBSTITUTE(E66, "\", REPT(" ", LEN(E66))), LEN(E66))))</f>
        <v/>
      </c>
      <c r="G66" t="s">
        <v>592</v>
      </c>
      <c r="H66" t="str">
        <f t="shared" ref="H66:H97" si="5">"ren """ &amp; F66 &amp; """ """ &amp; G66 &amp; """"</f>
        <v>ren "" "65.jpg"</v>
      </c>
      <c r="K66" s="4" t="s">
        <v>1570</v>
      </c>
      <c r="L66" s="4" t="s">
        <v>1572</v>
      </c>
      <c r="M66" t="s">
        <v>592</v>
      </c>
      <c r="V66" s="1"/>
      <c r="W66" s="2"/>
    </row>
    <row r="67" spans="1:23" x14ac:dyDescent="0.25">
      <c r="A67">
        <v>66</v>
      </c>
      <c r="B67" s="4" t="s">
        <v>1570</v>
      </c>
      <c r="C67" s="4" t="s">
        <v>1572</v>
      </c>
      <c r="D67" t="s">
        <v>536</v>
      </c>
      <c r="F67" t="str">
        <f t="shared" si="4"/>
        <v/>
      </c>
      <c r="G67" t="s">
        <v>593</v>
      </c>
      <c r="H67" t="str">
        <f t="shared" si="5"/>
        <v>ren "" "66.jpg"</v>
      </c>
      <c r="K67" s="4" t="s">
        <v>1570</v>
      </c>
      <c r="L67" s="4" t="s">
        <v>1572</v>
      </c>
      <c r="M67" t="s">
        <v>593</v>
      </c>
      <c r="V67" s="1"/>
      <c r="W67" s="2"/>
    </row>
    <row r="68" spans="1:23" x14ac:dyDescent="0.25">
      <c r="A68">
        <v>67</v>
      </c>
      <c r="B68" s="4" t="s">
        <v>1570</v>
      </c>
      <c r="C68" s="4" t="s">
        <v>1573</v>
      </c>
      <c r="D68" t="s">
        <v>534</v>
      </c>
      <c r="F68" t="str">
        <f t="shared" si="4"/>
        <v/>
      </c>
      <c r="G68" t="s">
        <v>595</v>
      </c>
      <c r="H68" t="str">
        <f t="shared" si="5"/>
        <v>ren "" "67.jpg"</v>
      </c>
      <c r="K68" s="4" t="s">
        <v>1570</v>
      </c>
      <c r="L68" s="4" t="s">
        <v>1573</v>
      </c>
      <c r="M68" t="s">
        <v>595</v>
      </c>
      <c r="V68" s="1"/>
      <c r="W68" s="2"/>
    </row>
    <row r="69" spans="1:23" x14ac:dyDescent="0.25">
      <c r="A69">
        <v>68</v>
      </c>
      <c r="B69" s="4" t="s">
        <v>1570</v>
      </c>
      <c r="C69" s="4" t="s">
        <v>1573</v>
      </c>
      <c r="D69" t="s">
        <v>536</v>
      </c>
      <c r="F69" t="str">
        <f t="shared" si="4"/>
        <v/>
      </c>
      <c r="G69" t="s">
        <v>596</v>
      </c>
      <c r="H69" t="str">
        <f t="shared" si="5"/>
        <v>ren "" "68.jpg"</v>
      </c>
      <c r="K69" s="4" t="s">
        <v>1570</v>
      </c>
      <c r="L69" s="4" t="s">
        <v>1573</v>
      </c>
      <c r="M69" t="s">
        <v>596</v>
      </c>
      <c r="V69" s="1"/>
      <c r="W69" s="2"/>
    </row>
    <row r="70" spans="1:23" x14ac:dyDescent="0.25">
      <c r="A70">
        <v>69</v>
      </c>
      <c r="B70" s="4" t="s">
        <v>1574</v>
      </c>
      <c r="C70" s="4" t="s">
        <v>1453</v>
      </c>
      <c r="D70" t="s">
        <v>534</v>
      </c>
      <c r="F70" t="str">
        <f t="shared" si="4"/>
        <v/>
      </c>
      <c r="G70" t="s">
        <v>597</v>
      </c>
      <c r="H70" t="str">
        <f t="shared" si="5"/>
        <v>ren "" "69.jpg"</v>
      </c>
      <c r="K70" s="4" t="s">
        <v>1574</v>
      </c>
      <c r="L70" s="4" t="s">
        <v>1453</v>
      </c>
      <c r="M70" t="s">
        <v>597</v>
      </c>
      <c r="V70" s="1"/>
      <c r="W70" s="2"/>
    </row>
    <row r="71" spans="1:23" x14ac:dyDescent="0.25">
      <c r="A71">
        <v>70</v>
      </c>
      <c r="B71" s="4" t="s">
        <v>1574</v>
      </c>
      <c r="C71" s="4" t="s">
        <v>1453</v>
      </c>
      <c r="D71" t="s">
        <v>536</v>
      </c>
      <c r="F71" t="str">
        <f t="shared" si="4"/>
        <v/>
      </c>
      <c r="G71" t="s">
        <v>598</v>
      </c>
      <c r="H71" t="str">
        <f t="shared" si="5"/>
        <v>ren "" "70.jpg"</v>
      </c>
      <c r="K71" s="4" t="s">
        <v>1574</v>
      </c>
      <c r="L71" s="4" t="s">
        <v>1453</v>
      </c>
      <c r="M71" t="s">
        <v>598</v>
      </c>
      <c r="V71" s="1"/>
      <c r="W71" s="2"/>
    </row>
    <row r="72" spans="1:23" x14ac:dyDescent="0.25">
      <c r="A72">
        <v>71</v>
      </c>
      <c r="B72" s="4" t="s">
        <v>1574</v>
      </c>
      <c r="C72" s="4" t="s">
        <v>1497</v>
      </c>
      <c r="D72" t="s">
        <v>534</v>
      </c>
      <c r="F72" t="str">
        <f t="shared" si="4"/>
        <v/>
      </c>
      <c r="G72" t="s">
        <v>599</v>
      </c>
      <c r="H72" t="str">
        <f t="shared" si="5"/>
        <v>ren "" "71.jpg"</v>
      </c>
      <c r="K72" s="4" t="s">
        <v>1574</v>
      </c>
      <c r="L72" s="4" t="s">
        <v>1497</v>
      </c>
      <c r="M72" t="s">
        <v>599</v>
      </c>
      <c r="V72" s="1"/>
      <c r="W72" s="2"/>
    </row>
    <row r="73" spans="1:23" x14ac:dyDescent="0.25">
      <c r="A73">
        <v>72</v>
      </c>
      <c r="B73" s="4" t="s">
        <v>1574</v>
      </c>
      <c r="C73" s="4" t="s">
        <v>1497</v>
      </c>
      <c r="D73" t="s">
        <v>536</v>
      </c>
      <c r="F73" t="str">
        <f t="shared" si="4"/>
        <v/>
      </c>
      <c r="G73" t="s">
        <v>600</v>
      </c>
      <c r="H73" t="str">
        <f t="shared" si="5"/>
        <v>ren "" "72.jpg"</v>
      </c>
      <c r="K73" s="4" t="s">
        <v>1574</v>
      </c>
      <c r="L73" s="4" t="s">
        <v>1497</v>
      </c>
      <c r="M73" t="s">
        <v>600</v>
      </c>
      <c r="V73" s="1"/>
      <c r="W73" s="2"/>
    </row>
    <row r="74" spans="1:23" x14ac:dyDescent="0.25">
      <c r="A74">
        <v>73</v>
      </c>
      <c r="B74" s="4" t="s">
        <v>1574</v>
      </c>
      <c r="C74" s="4" t="s">
        <v>1571</v>
      </c>
      <c r="D74" t="s">
        <v>534</v>
      </c>
      <c r="F74" t="str">
        <f t="shared" si="4"/>
        <v/>
      </c>
      <c r="G74" t="s">
        <v>601</v>
      </c>
      <c r="H74" t="str">
        <f t="shared" si="5"/>
        <v>ren "" "73.jpg"</v>
      </c>
      <c r="K74" s="4" t="s">
        <v>1574</v>
      </c>
      <c r="L74" s="4" t="s">
        <v>1571</v>
      </c>
      <c r="M74" t="s">
        <v>601</v>
      </c>
      <c r="V74" s="1"/>
      <c r="W74" s="2"/>
    </row>
    <row r="75" spans="1:23" x14ac:dyDescent="0.25">
      <c r="A75">
        <v>74</v>
      </c>
      <c r="B75" s="4" t="s">
        <v>1574</v>
      </c>
      <c r="C75" s="4" t="s">
        <v>1571</v>
      </c>
      <c r="D75" t="s">
        <v>536</v>
      </c>
      <c r="F75" t="str">
        <f t="shared" si="4"/>
        <v/>
      </c>
      <c r="G75" t="s">
        <v>602</v>
      </c>
      <c r="H75" t="str">
        <f t="shared" si="5"/>
        <v>ren "" "74.jpg"</v>
      </c>
      <c r="K75" s="4" t="s">
        <v>1574</v>
      </c>
      <c r="L75" s="4" t="s">
        <v>1571</v>
      </c>
      <c r="M75" t="s">
        <v>602</v>
      </c>
      <c r="V75" s="1"/>
      <c r="W75" s="2"/>
    </row>
    <row r="76" spans="1:23" x14ac:dyDescent="0.25">
      <c r="A76">
        <v>75</v>
      </c>
      <c r="B76" s="4" t="s">
        <v>1574</v>
      </c>
      <c r="C76" s="4" t="s">
        <v>1572</v>
      </c>
      <c r="D76" t="s">
        <v>534</v>
      </c>
      <c r="F76" t="str">
        <f t="shared" si="4"/>
        <v/>
      </c>
      <c r="G76" t="s">
        <v>603</v>
      </c>
      <c r="H76" t="str">
        <f t="shared" si="5"/>
        <v>ren "" "75.jpg"</v>
      </c>
      <c r="K76" s="4" t="s">
        <v>1574</v>
      </c>
      <c r="L76" s="4" t="s">
        <v>1572</v>
      </c>
      <c r="M76" t="s">
        <v>603</v>
      </c>
      <c r="V76" s="1"/>
      <c r="W76" s="2"/>
    </row>
    <row r="77" spans="1:23" x14ac:dyDescent="0.25">
      <c r="A77">
        <v>76</v>
      </c>
      <c r="B77" s="4" t="s">
        <v>1574</v>
      </c>
      <c r="C77" s="4" t="s">
        <v>1572</v>
      </c>
      <c r="D77" t="s">
        <v>536</v>
      </c>
      <c r="F77" t="str">
        <f t="shared" si="4"/>
        <v/>
      </c>
      <c r="G77" t="s">
        <v>604</v>
      </c>
      <c r="H77" t="str">
        <f t="shared" si="5"/>
        <v>ren "" "76.jpg"</v>
      </c>
      <c r="K77" s="4" t="s">
        <v>1574</v>
      </c>
      <c r="L77" s="4" t="s">
        <v>1572</v>
      </c>
      <c r="M77" t="s">
        <v>604</v>
      </c>
      <c r="V77" s="1"/>
      <c r="W77" s="2"/>
    </row>
    <row r="78" spans="1:23" x14ac:dyDescent="0.25">
      <c r="A78">
        <v>77</v>
      </c>
      <c r="B78" s="4" t="s">
        <v>1574</v>
      </c>
      <c r="C78" s="4" t="s">
        <v>1573</v>
      </c>
      <c r="D78" t="s">
        <v>534</v>
      </c>
      <c r="F78" t="str">
        <f t="shared" si="4"/>
        <v/>
      </c>
      <c r="G78" t="s">
        <v>605</v>
      </c>
      <c r="H78" t="str">
        <f t="shared" si="5"/>
        <v>ren "" "77.jpg"</v>
      </c>
      <c r="K78" s="4" t="s">
        <v>1574</v>
      </c>
      <c r="L78" s="4" t="s">
        <v>1573</v>
      </c>
      <c r="M78" t="s">
        <v>605</v>
      </c>
      <c r="V78" s="1"/>
      <c r="W78" s="2"/>
    </row>
    <row r="79" spans="1:23" x14ac:dyDescent="0.25">
      <c r="A79">
        <v>78</v>
      </c>
      <c r="B79" s="4" t="s">
        <v>1574</v>
      </c>
      <c r="C79" s="4" t="s">
        <v>1573</v>
      </c>
      <c r="D79" t="s">
        <v>536</v>
      </c>
      <c r="F79" t="str">
        <f t="shared" si="4"/>
        <v/>
      </c>
      <c r="G79" t="s">
        <v>606</v>
      </c>
      <c r="H79" t="str">
        <f t="shared" si="5"/>
        <v>ren "" "78.jpg"</v>
      </c>
      <c r="K79" s="4" t="s">
        <v>1574</v>
      </c>
      <c r="L79" s="4" t="s">
        <v>1573</v>
      </c>
      <c r="M79" t="s">
        <v>606</v>
      </c>
      <c r="V79" s="1"/>
      <c r="W79" s="2"/>
    </row>
    <row r="80" spans="1:23" x14ac:dyDescent="0.25">
      <c r="A80">
        <v>79</v>
      </c>
      <c r="B80" s="4" t="s">
        <v>1574</v>
      </c>
      <c r="C80" s="4" t="s">
        <v>1571</v>
      </c>
      <c r="D80" t="s">
        <v>534</v>
      </c>
      <c r="F80" t="str">
        <f t="shared" si="4"/>
        <v/>
      </c>
      <c r="G80" t="s">
        <v>607</v>
      </c>
      <c r="H80" t="str">
        <f t="shared" si="5"/>
        <v>ren "" "79.jpg"</v>
      </c>
      <c r="K80" s="4" t="s">
        <v>1574</v>
      </c>
      <c r="L80" s="4" t="s">
        <v>1571</v>
      </c>
      <c r="M80" t="s">
        <v>607</v>
      </c>
      <c r="V80" s="1"/>
      <c r="W80" s="2"/>
    </row>
    <row r="81" spans="1:23" x14ac:dyDescent="0.25">
      <c r="A81">
        <v>80</v>
      </c>
      <c r="B81" s="4" t="s">
        <v>1574</v>
      </c>
      <c r="C81" s="4" t="s">
        <v>1571</v>
      </c>
      <c r="D81" t="s">
        <v>536</v>
      </c>
      <c r="F81" t="str">
        <f t="shared" si="4"/>
        <v/>
      </c>
      <c r="G81" t="s">
        <v>608</v>
      </c>
      <c r="H81" t="str">
        <f t="shared" si="5"/>
        <v>ren "" "80.jpg"</v>
      </c>
      <c r="K81" s="4" t="s">
        <v>1574</v>
      </c>
      <c r="L81" s="4" t="s">
        <v>1571</v>
      </c>
      <c r="M81" t="s">
        <v>608</v>
      </c>
      <c r="V81" s="1"/>
      <c r="W81" s="2"/>
    </row>
    <row r="82" spans="1:23" x14ac:dyDescent="0.25">
      <c r="A82">
        <v>81</v>
      </c>
      <c r="B82" s="4" t="s">
        <v>1574</v>
      </c>
      <c r="C82" s="4" t="s">
        <v>1572</v>
      </c>
      <c r="D82" t="s">
        <v>534</v>
      </c>
      <c r="F82" t="str">
        <f t="shared" si="4"/>
        <v/>
      </c>
      <c r="G82" t="s">
        <v>609</v>
      </c>
      <c r="H82" t="str">
        <f t="shared" si="5"/>
        <v>ren "" "81.jpg"</v>
      </c>
      <c r="K82" s="4" t="s">
        <v>1574</v>
      </c>
      <c r="L82" s="4" t="s">
        <v>1572</v>
      </c>
      <c r="M82" t="s">
        <v>609</v>
      </c>
      <c r="V82" s="1"/>
      <c r="W82" s="2"/>
    </row>
    <row r="83" spans="1:23" x14ac:dyDescent="0.25">
      <c r="A83">
        <v>82</v>
      </c>
      <c r="B83" s="4" t="s">
        <v>1574</v>
      </c>
      <c r="C83" s="4" t="s">
        <v>1572</v>
      </c>
      <c r="D83" t="s">
        <v>536</v>
      </c>
      <c r="F83" t="str">
        <f t="shared" si="4"/>
        <v/>
      </c>
      <c r="G83" t="s">
        <v>610</v>
      </c>
      <c r="H83" t="str">
        <f t="shared" si="5"/>
        <v>ren "" "82.jpg"</v>
      </c>
      <c r="K83" s="4" t="s">
        <v>1574</v>
      </c>
      <c r="L83" s="4" t="s">
        <v>1572</v>
      </c>
      <c r="M83" t="s">
        <v>610</v>
      </c>
      <c r="V83" s="1"/>
      <c r="W83" s="2"/>
    </row>
    <row r="84" spans="1:23" x14ac:dyDescent="0.25">
      <c r="A84">
        <v>83</v>
      </c>
      <c r="B84" s="4" t="s">
        <v>1574</v>
      </c>
      <c r="C84" s="4" t="s">
        <v>1573</v>
      </c>
      <c r="D84" t="s">
        <v>534</v>
      </c>
      <c r="F84" t="str">
        <f t="shared" si="4"/>
        <v/>
      </c>
      <c r="G84" t="s">
        <v>612</v>
      </c>
      <c r="H84" t="str">
        <f t="shared" si="5"/>
        <v>ren "" "83.jpg"</v>
      </c>
      <c r="K84" s="4" t="s">
        <v>1574</v>
      </c>
      <c r="L84" s="4" t="s">
        <v>1573</v>
      </c>
      <c r="M84" t="s">
        <v>612</v>
      </c>
      <c r="V84" s="1"/>
      <c r="W84" s="2"/>
    </row>
    <row r="85" spans="1:23" x14ac:dyDescent="0.25">
      <c r="A85">
        <v>84</v>
      </c>
      <c r="B85" s="4" t="s">
        <v>1574</v>
      </c>
      <c r="C85" s="4" t="s">
        <v>1573</v>
      </c>
      <c r="D85" t="s">
        <v>536</v>
      </c>
      <c r="F85" t="str">
        <f t="shared" si="4"/>
        <v/>
      </c>
      <c r="G85" t="s">
        <v>613</v>
      </c>
      <c r="H85" t="str">
        <f t="shared" si="5"/>
        <v>ren "" "84.jpg"</v>
      </c>
      <c r="K85" s="4" t="s">
        <v>1574</v>
      </c>
      <c r="L85" s="4" t="s">
        <v>1573</v>
      </c>
      <c r="M85" t="s">
        <v>613</v>
      </c>
      <c r="V85" s="1"/>
      <c r="W85" s="2"/>
    </row>
    <row r="86" spans="1:23" x14ac:dyDescent="0.25">
      <c r="A86">
        <v>85</v>
      </c>
      <c r="B86" s="4" t="s">
        <v>1575</v>
      </c>
      <c r="C86" s="4" t="s">
        <v>1453</v>
      </c>
      <c r="D86" t="s">
        <v>534</v>
      </c>
      <c r="F86" t="str">
        <f t="shared" si="4"/>
        <v/>
      </c>
      <c r="G86" t="s">
        <v>614</v>
      </c>
      <c r="H86" t="str">
        <f t="shared" si="5"/>
        <v>ren "" "85.jpg"</v>
      </c>
      <c r="K86" s="4" t="s">
        <v>1575</v>
      </c>
      <c r="L86" s="4" t="s">
        <v>1453</v>
      </c>
      <c r="M86" t="s">
        <v>614</v>
      </c>
      <c r="V86" s="1"/>
      <c r="W86" s="2"/>
    </row>
    <row r="87" spans="1:23" x14ac:dyDescent="0.25">
      <c r="A87">
        <v>86</v>
      </c>
      <c r="B87" s="4" t="s">
        <v>1575</v>
      </c>
      <c r="C87" s="4" t="s">
        <v>1453</v>
      </c>
      <c r="D87" t="s">
        <v>536</v>
      </c>
      <c r="F87" t="str">
        <f t="shared" si="4"/>
        <v/>
      </c>
      <c r="G87" t="s">
        <v>615</v>
      </c>
      <c r="H87" t="str">
        <f t="shared" si="5"/>
        <v>ren "" "86.jpg"</v>
      </c>
      <c r="K87" s="4" t="s">
        <v>1575</v>
      </c>
      <c r="L87" s="4" t="s">
        <v>1453</v>
      </c>
      <c r="M87" t="s">
        <v>615</v>
      </c>
      <c r="V87" s="1"/>
      <c r="W87" s="2"/>
    </row>
    <row r="88" spans="1:23" x14ac:dyDescent="0.25">
      <c r="A88">
        <v>87</v>
      </c>
      <c r="B88" s="4" t="s">
        <v>1576</v>
      </c>
      <c r="C88" s="4" t="s">
        <v>1453</v>
      </c>
      <c r="D88" t="s">
        <v>534</v>
      </c>
      <c r="F88" t="str">
        <f t="shared" si="4"/>
        <v/>
      </c>
      <c r="G88" t="s">
        <v>616</v>
      </c>
      <c r="H88" t="str">
        <f t="shared" si="5"/>
        <v>ren "" "87.jpg"</v>
      </c>
      <c r="K88" s="4" t="s">
        <v>1576</v>
      </c>
      <c r="L88" s="4" t="s">
        <v>1453</v>
      </c>
      <c r="M88" t="s">
        <v>616</v>
      </c>
      <c r="V88" s="1"/>
      <c r="W88" s="2"/>
    </row>
    <row r="89" spans="1:23" x14ac:dyDescent="0.25">
      <c r="A89">
        <v>88</v>
      </c>
      <c r="B89" s="4" t="s">
        <v>1576</v>
      </c>
      <c r="C89" s="4" t="s">
        <v>1453</v>
      </c>
      <c r="D89" t="s">
        <v>536</v>
      </c>
      <c r="F89" t="str">
        <f t="shared" si="4"/>
        <v/>
      </c>
      <c r="G89" t="s">
        <v>617</v>
      </c>
      <c r="H89" t="str">
        <f t="shared" si="5"/>
        <v>ren "" "88.jpg"</v>
      </c>
      <c r="K89" s="4" t="s">
        <v>1576</v>
      </c>
      <c r="L89" s="4" t="s">
        <v>1453</v>
      </c>
      <c r="M89" t="s">
        <v>617</v>
      </c>
      <c r="V89" s="1"/>
      <c r="W89" s="2"/>
    </row>
    <row r="90" spans="1:23" x14ac:dyDescent="0.25">
      <c r="A90">
        <v>89</v>
      </c>
      <c r="B90" s="4" t="s">
        <v>1577</v>
      </c>
      <c r="C90" s="4" t="s">
        <v>1453</v>
      </c>
      <c r="D90" t="s">
        <v>534</v>
      </c>
      <c r="F90" t="str">
        <f t="shared" si="4"/>
        <v/>
      </c>
      <c r="G90" t="s">
        <v>618</v>
      </c>
      <c r="H90" t="str">
        <f t="shared" si="5"/>
        <v>ren "" "89.jpg"</v>
      </c>
      <c r="K90" s="4" t="s">
        <v>1577</v>
      </c>
      <c r="L90" s="4" t="s">
        <v>1453</v>
      </c>
      <c r="M90" t="s">
        <v>618</v>
      </c>
      <c r="V90" s="1"/>
      <c r="W90" s="2"/>
    </row>
    <row r="91" spans="1:23" x14ac:dyDescent="0.25">
      <c r="A91">
        <v>90</v>
      </c>
      <c r="B91" s="4" t="s">
        <v>1577</v>
      </c>
      <c r="C91" s="4" t="s">
        <v>1453</v>
      </c>
      <c r="D91" t="s">
        <v>536</v>
      </c>
      <c r="F91" t="str">
        <f t="shared" si="4"/>
        <v/>
      </c>
      <c r="G91" t="s">
        <v>619</v>
      </c>
      <c r="H91" t="str">
        <f t="shared" si="5"/>
        <v>ren "" "90.jpg"</v>
      </c>
      <c r="K91" s="4" t="s">
        <v>1577</v>
      </c>
      <c r="L91" s="4" t="s">
        <v>1453</v>
      </c>
      <c r="M91" t="s">
        <v>619</v>
      </c>
      <c r="V91" s="1"/>
      <c r="W91" s="2"/>
    </row>
    <row r="92" spans="1:23" x14ac:dyDescent="0.25">
      <c r="A92">
        <v>91</v>
      </c>
      <c r="B92" s="4" t="s">
        <v>1578</v>
      </c>
      <c r="C92" s="4" t="s">
        <v>1453</v>
      </c>
      <c r="D92" t="s">
        <v>534</v>
      </c>
      <c r="F92" t="str">
        <f t="shared" si="4"/>
        <v/>
      </c>
      <c r="G92" t="s">
        <v>620</v>
      </c>
      <c r="H92" t="str">
        <f t="shared" si="5"/>
        <v>ren "" "91.jpg"</v>
      </c>
      <c r="K92" s="4" t="s">
        <v>1578</v>
      </c>
      <c r="L92" s="4" t="s">
        <v>1453</v>
      </c>
      <c r="M92" t="s">
        <v>620</v>
      </c>
      <c r="V92" s="1"/>
      <c r="W92" s="2"/>
    </row>
    <row r="93" spans="1:23" x14ac:dyDescent="0.25">
      <c r="A93">
        <v>92</v>
      </c>
      <c r="B93" s="4" t="s">
        <v>1578</v>
      </c>
      <c r="C93" s="4" t="s">
        <v>1453</v>
      </c>
      <c r="D93" t="s">
        <v>536</v>
      </c>
      <c r="F93" t="str">
        <f t="shared" si="4"/>
        <v/>
      </c>
      <c r="G93" t="s">
        <v>621</v>
      </c>
      <c r="H93" t="str">
        <f t="shared" si="5"/>
        <v>ren "" "92.jpg"</v>
      </c>
      <c r="K93" s="4" t="s">
        <v>1578</v>
      </c>
      <c r="L93" s="4" t="s">
        <v>1453</v>
      </c>
      <c r="M93" t="s">
        <v>621</v>
      </c>
      <c r="V93" s="1"/>
      <c r="W93" s="2"/>
    </row>
    <row r="94" spans="1:23" x14ac:dyDescent="0.25">
      <c r="A94">
        <v>93</v>
      </c>
      <c r="B94" s="4" t="s">
        <v>1519</v>
      </c>
      <c r="C94" s="4" t="s">
        <v>1453</v>
      </c>
      <c r="D94" t="s">
        <v>534</v>
      </c>
      <c r="F94" t="str">
        <f t="shared" si="4"/>
        <v/>
      </c>
      <c r="G94" t="s">
        <v>622</v>
      </c>
      <c r="H94" t="str">
        <f t="shared" si="5"/>
        <v>ren "" "93.jpg"</v>
      </c>
      <c r="K94" s="4" t="s">
        <v>1519</v>
      </c>
      <c r="L94" s="4" t="s">
        <v>1453</v>
      </c>
      <c r="M94" t="s">
        <v>622</v>
      </c>
      <c r="V94" s="1"/>
      <c r="W94" s="2"/>
    </row>
    <row r="95" spans="1:23" x14ac:dyDescent="0.25">
      <c r="A95">
        <v>94</v>
      </c>
      <c r="B95" s="4" t="s">
        <v>1519</v>
      </c>
      <c r="C95" s="4" t="s">
        <v>1453</v>
      </c>
      <c r="D95" t="s">
        <v>536</v>
      </c>
      <c r="F95" t="str">
        <f t="shared" si="4"/>
        <v/>
      </c>
      <c r="G95" t="s">
        <v>623</v>
      </c>
      <c r="H95" t="str">
        <f t="shared" si="5"/>
        <v>ren "" "94.jpg"</v>
      </c>
      <c r="K95" s="4" t="s">
        <v>1519</v>
      </c>
      <c r="L95" s="4" t="s">
        <v>1453</v>
      </c>
      <c r="M95" t="s">
        <v>623</v>
      </c>
      <c r="V95" s="1"/>
      <c r="W95" s="2"/>
    </row>
    <row r="96" spans="1:23" x14ac:dyDescent="0.25">
      <c r="A96">
        <v>95</v>
      </c>
      <c r="B96" s="4" t="s">
        <v>1522</v>
      </c>
      <c r="C96" s="4" t="s">
        <v>1453</v>
      </c>
      <c r="D96" t="s">
        <v>534</v>
      </c>
      <c r="F96" t="str">
        <f t="shared" si="4"/>
        <v/>
      </c>
      <c r="G96" t="s">
        <v>624</v>
      </c>
      <c r="H96" t="str">
        <f t="shared" si="5"/>
        <v>ren "" "95.jpg"</v>
      </c>
      <c r="K96" s="4" t="s">
        <v>1522</v>
      </c>
      <c r="L96" s="4" t="s">
        <v>1453</v>
      </c>
      <c r="M96" t="s">
        <v>624</v>
      </c>
      <c r="V96" s="1"/>
      <c r="W96" s="2"/>
    </row>
    <row r="97" spans="1:23" x14ac:dyDescent="0.25">
      <c r="A97">
        <v>96</v>
      </c>
      <c r="B97" s="4" t="s">
        <v>1522</v>
      </c>
      <c r="C97" s="4" t="s">
        <v>1453</v>
      </c>
      <c r="D97" t="s">
        <v>536</v>
      </c>
      <c r="F97" t="str">
        <f t="shared" si="4"/>
        <v/>
      </c>
      <c r="G97" t="s">
        <v>625</v>
      </c>
      <c r="H97" t="str">
        <f t="shared" si="5"/>
        <v>ren "" "96.jpg"</v>
      </c>
      <c r="K97" s="4" t="s">
        <v>1522</v>
      </c>
      <c r="L97" s="4" t="s">
        <v>1453</v>
      </c>
      <c r="M97" t="s">
        <v>625</v>
      </c>
      <c r="V97" s="1"/>
      <c r="W97" s="2"/>
    </row>
    <row r="98" spans="1:23" x14ac:dyDescent="0.25">
      <c r="A98">
        <v>97</v>
      </c>
      <c r="B98" s="4" t="s">
        <v>1579</v>
      </c>
      <c r="C98" s="4" t="s">
        <v>1453</v>
      </c>
      <c r="D98" t="s">
        <v>534</v>
      </c>
      <c r="F98" t="str">
        <f t="shared" ref="F98:F101" si="6">IF(E98="", "", TRIM(RIGHT(SUBSTITUTE(E98, "\", REPT(" ", LEN(E98))), LEN(E98))))</f>
        <v/>
      </c>
      <c r="G98" t="s">
        <v>626</v>
      </c>
      <c r="H98" t="str">
        <f t="shared" ref="H98:H101" si="7">"ren """ &amp; F98 &amp; """ """ &amp; G98 &amp; """"</f>
        <v>ren "" "97.jpg"</v>
      </c>
      <c r="K98" s="4" t="s">
        <v>1579</v>
      </c>
      <c r="L98" s="4" t="s">
        <v>1453</v>
      </c>
      <c r="M98" t="s">
        <v>626</v>
      </c>
      <c r="V98" s="1"/>
      <c r="W98" s="2"/>
    </row>
    <row r="99" spans="1:23" x14ac:dyDescent="0.25">
      <c r="A99">
        <v>98</v>
      </c>
      <c r="B99" s="4" t="s">
        <v>1579</v>
      </c>
      <c r="C99" s="4" t="s">
        <v>1453</v>
      </c>
      <c r="D99" t="s">
        <v>536</v>
      </c>
      <c r="F99" t="str">
        <f t="shared" si="6"/>
        <v/>
      </c>
      <c r="G99" t="s">
        <v>627</v>
      </c>
      <c r="H99" t="str">
        <f t="shared" si="7"/>
        <v>ren "" "98.jpg"</v>
      </c>
      <c r="K99" s="4" t="s">
        <v>1579</v>
      </c>
      <c r="L99" s="4" t="s">
        <v>1453</v>
      </c>
      <c r="M99" t="s">
        <v>627</v>
      </c>
      <c r="V99" s="1"/>
      <c r="W99" s="2"/>
    </row>
    <row r="100" spans="1:23" x14ac:dyDescent="0.25">
      <c r="A100">
        <v>99</v>
      </c>
      <c r="B100" s="4" t="s">
        <v>1580</v>
      </c>
      <c r="C100" s="4" t="s">
        <v>1453</v>
      </c>
      <c r="D100" t="s">
        <v>534</v>
      </c>
      <c r="F100" t="str">
        <f t="shared" si="6"/>
        <v/>
      </c>
      <c r="G100" t="s">
        <v>629</v>
      </c>
      <c r="H100" t="str">
        <f t="shared" si="7"/>
        <v>ren "" "99.jpg"</v>
      </c>
      <c r="K100" s="4" t="s">
        <v>1580</v>
      </c>
      <c r="L100" s="4" t="s">
        <v>1453</v>
      </c>
      <c r="M100" t="s">
        <v>629</v>
      </c>
      <c r="V100" s="1"/>
      <c r="W100" s="2"/>
    </row>
    <row r="101" spans="1:23" x14ac:dyDescent="0.25">
      <c r="A101">
        <v>100</v>
      </c>
      <c r="B101" s="4" t="s">
        <v>1580</v>
      </c>
      <c r="C101" s="4" t="s">
        <v>1453</v>
      </c>
      <c r="D101" t="s">
        <v>536</v>
      </c>
      <c r="F101" t="str">
        <f t="shared" si="6"/>
        <v/>
      </c>
      <c r="G101" t="s">
        <v>630</v>
      </c>
      <c r="H101" t="str">
        <f t="shared" si="7"/>
        <v>ren "" "100.jpg"</v>
      </c>
      <c r="K101" s="4" t="s">
        <v>1580</v>
      </c>
      <c r="L101" s="4" t="s">
        <v>1453</v>
      </c>
      <c r="M101" t="s">
        <v>630</v>
      </c>
      <c r="V101" s="1"/>
      <c r="W101" s="2"/>
    </row>
    <row r="102" spans="1:23" x14ac:dyDescent="0.25">
      <c r="B102" s="4"/>
      <c r="V102" s="1"/>
      <c r="W102" s="2"/>
    </row>
    <row r="103" spans="1:23" x14ac:dyDescent="0.25">
      <c r="B103" s="4"/>
      <c r="V103" s="1"/>
      <c r="W103" s="2"/>
    </row>
    <row r="104" spans="1:23" x14ac:dyDescent="0.25">
      <c r="V104" s="1"/>
      <c r="W104" s="2"/>
    </row>
    <row r="105" spans="1:23" x14ac:dyDescent="0.25">
      <c r="V105" s="1"/>
      <c r="W105" s="2"/>
    </row>
    <row r="106" spans="1:23" x14ac:dyDescent="0.25">
      <c r="V106" s="1"/>
      <c r="W106" s="2"/>
    </row>
    <row r="107" spans="1:23" x14ac:dyDescent="0.25">
      <c r="V107" s="1"/>
      <c r="W107" s="2"/>
    </row>
    <row r="108" spans="1:23" x14ac:dyDescent="0.25">
      <c r="V108" s="1"/>
      <c r="W108" s="2"/>
    </row>
    <row r="109" spans="1:23" x14ac:dyDescent="0.25">
      <c r="V109" s="1"/>
      <c r="W109" s="2"/>
    </row>
    <row r="110" spans="1:23" x14ac:dyDescent="0.25">
      <c r="V110" s="1"/>
      <c r="W110" s="2"/>
    </row>
    <row r="111" spans="1:23" x14ac:dyDescent="0.25">
      <c r="V111" s="1"/>
      <c r="W111" s="2"/>
    </row>
    <row r="112" spans="1:23" x14ac:dyDescent="0.25">
      <c r="V112" s="1"/>
      <c r="W112" s="2"/>
    </row>
    <row r="113" spans="22:23" x14ac:dyDescent="0.25">
      <c r="V113" s="1"/>
      <c r="W113" s="2"/>
    </row>
    <row r="114" spans="22:23" x14ac:dyDescent="0.25">
      <c r="V114" s="1"/>
      <c r="W114" s="2"/>
    </row>
    <row r="115" spans="22:23" x14ac:dyDescent="0.25">
      <c r="V115" s="1"/>
      <c r="W115" s="2"/>
    </row>
    <row r="116" spans="22:23" x14ac:dyDescent="0.25">
      <c r="V116" s="1"/>
      <c r="W116" s="2"/>
    </row>
    <row r="117" spans="22:23" x14ac:dyDescent="0.25">
      <c r="V117" s="1"/>
      <c r="W117" s="2"/>
    </row>
    <row r="118" spans="22:23" x14ac:dyDescent="0.25">
      <c r="V118" s="1"/>
      <c r="W118" s="2"/>
    </row>
    <row r="119" spans="22:23" x14ac:dyDescent="0.25">
      <c r="V119" s="1"/>
      <c r="W119" s="2"/>
    </row>
    <row r="120" spans="22:23" x14ac:dyDescent="0.25">
      <c r="V120" s="1"/>
      <c r="W120" s="2"/>
    </row>
    <row r="121" spans="22:23" x14ac:dyDescent="0.25">
      <c r="V121" s="1"/>
      <c r="W121" s="2"/>
    </row>
    <row r="122" spans="22:23" x14ac:dyDescent="0.25">
      <c r="V122" s="1"/>
      <c r="W122" s="2"/>
    </row>
    <row r="123" spans="22:23" x14ac:dyDescent="0.25">
      <c r="V123" s="1"/>
      <c r="W123" s="2"/>
    </row>
    <row r="124" spans="22:23" x14ac:dyDescent="0.25">
      <c r="V124" s="1"/>
      <c r="W124" s="2"/>
    </row>
    <row r="125" spans="22:23" x14ac:dyDescent="0.25">
      <c r="V125" s="1"/>
      <c r="W125" s="2"/>
    </row>
    <row r="126" spans="22:23" x14ac:dyDescent="0.25">
      <c r="V126" s="1"/>
      <c r="W126" s="2"/>
    </row>
    <row r="127" spans="22:23" x14ac:dyDescent="0.25">
      <c r="V127" s="1"/>
      <c r="W127" s="2"/>
    </row>
    <row r="128" spans="22:23" x14ac:dyDescent="0.25">
      <c r="V128" s="1"/>
      <c r="W128" s="2"/>
    </row>
    <row r="129" spans="22:23" x14ac:dyDescent="0.25">
      <c r="V129" s="1"/>
      <c r="W129" s="2"/>
    </row>
    <row r="130" spans="22:23" x14ac:dyDescent="0.25">
      <c r="V130" s="1"/>
      <c r="W130" s="2"/>
    </row>
    <row r="131" spans="22:23" x14ac:dyDescent="0.25">
      <c r="V131" s="1"/>
      <c r="W131" s="2"/>
    </row>
    <row r="132" spans="22:23" x14ac:dyDescent="0.25">
      <c r="V132" s="1"/>
      <c r="W132" s="2"/>
    </row>
    <row r="133" spans="22:23" x14ac:dyDescent="0.25">
      <c r="V133" s="1"/>
      <c r="W133" s="2"/>
    </row>
    <row r="134" spans="22:23" x14ac:dyDescent="0.25">
      <c r="V134" s="1"/>
      <c r="W134" s="2"/>
    </row>
    <row r="135" spans="22:23" x14ac:dyDescent="0.25">
      <c r="V135" s="1"/>
      <c r="W135" s="2"/>
    </row>
    <row r="136" spans="22:23" x14ac:dyDescent="0.25">
      <c r="V136" s="1"/>
      <c r="W136" s="2"/>
    </row>
    <row r="137" spans="22:23" x14ac:dyDescent="0.25">
      <c r="V137" s="1"/>
      <c r="W137" s="2"/>
    </row>
    <row r="138" spans="22:23" x14ac:dyDescent="0.25">
      <c r="V138" s="1"/>
      <c r="W138" s="2"/>
    </row>
    <row r="139" spans="22:23" x14ac:dyDescent="0.25">
      <c r="V139" s="1"/>
      <c r="W139" s="2"/>
    </row>
    <row r="140" spans="22:23" x14ac:dyDescent="0.25">
      <c r="V140" s="1"/>
      <c r="W140" s="2"/>
    </row>
    <row r="141" spans="22:23" x14ac:dyDescent="0.25">
      <c r="V141" s="1"/>
      <c r="W141" s="2"/>
    </row>
    <row r="142" spans="22:23" x14ac:dyDescent="0.25">
      <c r="V142" s="1"/>
      <c r="W142" s="2"/>
    </row>
    <row r="143" spans="22:23" x14ac:dyDescent="0.25">
      <c r="V143" s="1"/>
      <c r="W143" s="2"/>
    </row>
    <row r="144" spans="22:23" x14ac:dyDescent="0.25">
      <c r="V144" s="1"/>
      <c r="W144" s="2"/>
    </row>
    <row r="145" spans="22:23" x14ac:dyDescent="0.25">
      <c r="V145" s="1"/>
      <c r="W145" s="2"/>
    </row>
    <row r="146" spans="22:23" x14ac:dyDescent="0.25">
      <c r="V146" s="1"/>
      <c r="W146" s="2"/>
    </row>
    <row r="147" spans="22:23" x14ac:dyDescent="0.25">
      <c r="V147" s="1"/>
      <c r="W147" s="2"/>
    </row>
    <row r="148" spans="22:23" x14ac:dyDescent="0.25">
      <c r="V148" s="1"/>
      <c r="W148" s="2"/>
    </row>
    <row r="149" spans="22:23" x14ac:dyDescent="0.25">
      <c r="V149" s="1"/>
      <c r="W149" s="2"/>
    </row>
    <row r="150" spans="22:23" x14ac:dyDescent="0.25">
      <c r="V150" s="1"/>
      <c r="W150" s="2"/>
    </row>
    <row r="151" spans="22:23" x14ac:dyDescent="0.25">
      <c r="V151" s="1"/>
      <c r="W151" s="2"/>
    </row>
    <row r="152" spans="22:23" x14ac:dyDescent="0.25">
      <c r="V152" s="1"/>
      <c r="W152" s="2"/>
    </row>
    <row r="153" spans="22:23" x14ac:dyDescent="0.25">
      <c r="V153" s="1"/>
      <c r="W153" s="2"/>
    </row>
    <row r="154" spans="22:23" x14ac:dyDescent="0.25">
      <c r="V154" s="1"/>
      <c r="W154" s="2"/>
    </row>
    <row r="155" spans="22:23" x14ac:dyDescent="0.25">
      <c r="V155" s="1"/>
      <c r="W155" s="2"/>
    </row>
    <row r="156" spans="22:23" x14ac:dyDescent="0.25">
      <c r="V156" s="1"/>
      <c r="W156" s="2"/>
    </row>
    <row r="157" spans="22:23" x14ac:dyDescent="0.25">
      <c r="V157" s="1"/>
      <c r="W157" s="2"/>
    </row>
    <row r="158" spans="22:23" x14ac:dyDescent="0.25">
      <c r="V158" s="1"/>
      <c r="W158" s="2"/>
    </row>
    <row r="159" spans="22:23" x14ac:dyDescent="0.25">
      <c r="V159" s="1"/>
      <c r="W159" s="2"/>
    </row>
    <row r="160" spans="22:23" x14ac:dyDescent="0.25">
      <c r="V160" s="1"/>
      <c r="W160" s="2"/>
    </row>
    <row r="161" spans="22:23" x14ac:dyDescent="0.25">
      <c r="V161" s="1"/>
      <c r="W161" s="2"/>
    </row>
    <row r="162" spans="22:23" x14ac:dyDescent="0.25">
      <c r="V162" s="1"/>
      <c r="W162" s="2"/>
    </row>
    <row r="163" spans="22:23" x14ac:dyDescent="0.25">
      <c r="V163" s="1"/>
      <c r="W163" s="2"/>
    </row>
    <row r="164" spans="22:23" x14ac:dyDescent="0.25">
      <c r="V164" s="1"/>
      <c r="W164" s="2"/>
    </row>
    <row r="165" spans="22:23" x14ac:dyDescent="0.25">
      <c r="V165" s="1"/>
      <c r="W165" s="2"/>
    </row>
    <row r="166" spans="22:23" x14ac:dyDescent="0.25">
      <c r="V166" s="1"/>
      <c r="W166" s="2"/>
    </row>
    <row r="167" spans="22:23" x14ac:dyDescent="0.25">
      <c r="V167" s="1"/>
      <c r="W167" s="2"/>
    </row>
    <row r="168" spans="22:23" x14ac:dyDescent="0.25">
      <c r="V168" s="1"/>
      <c r="W168" s="2"/>
    </row>
    <row r="169" spans="22:23" x14ac:dyDescent="0.25">
      <c r="V169" s="1"/>
      <c r="W169" s="2"/>
    </row>
    <row r="170" spans="22:23" x14ac:dyDescent="0.25">
      <c r="V170" s="1"/>
      <c r="W170" s="2"/>
    </row>
    <row r="171" spans="22:23" x14ac:dyDescent="0.25">
      <c r="V171" s="1"/>
      <c r="W171" s="2"/>
    </row>
    <row r="172" spans="22:23" x14ac:dyDescent="0.25">
      <c r="V172" s="1"/>
      <c r="W172" s="2"/>
    </row>
    <row r="173" spans="22:23" x14ac:dyDescent="0.25">
      <c r="V173" s="1"/>
      <c r="W173" s="2"/>
    </row>
    <row r="174" spans="22:23" x14ac:dyDescent="0.25">
      <c r="V174" s="1"/>
      <c r="W174" s="2"/>
    </row>
    <row r="175" spans="22:23" x14ac:dyDescent="0.25">
      <c r="V175" s="1"/>
      <c r="W175" s="2"/>
    </row>
    <row r="176" spans="22:23" x14ac:dyDescent="0.25">
      <c r="V176" s="1"/>
      <c r="W176" s="2"/>
    </row>
    <row r="177" spans="22:23" x14ac:dyDescent="0.25">
      <c r="V177" s="1"/>
      <c r="W177" s="2"/>
    </row>
    <row r="178" spans="22:23" x14ac:dyDescent="0.25">
      <c r="V178" s="1"/>
      <c r="W178" s="2"/>
    </row>
    <row r="179" spans="22:23" x14ac:dyDescent="0.25">
      <c r="V179" s="1"/>
      <c r="W179" s="2"/>
    </row>
    <row r="180" spans="22:23" x14ac:dyDescent="0.25">
      <c r="V180" s="1"/>
      <c r="W180" s="2"/>
    </row>
    <row r="181" spans="22:23" x14ac:dyDescent="0.25">
      <c r="V181" s="1"/>
      <c r="W181" s="2"/>
    </row>
    <row r="182" spans="22:23" x14ac:dyDescent="0.25">
      <c r="V182" s="1"/>
      <c r="W182" s="2"/>
    </row>
    <row r="183" spans="22:23" x14ac:dyDescent="0.25">
      <c r="V183" s="1"/>
      <c r="W183" s="2"/>
    </row>
    <row r="184" spans="22:23" x14ac:dyDescent="0.25">
      <c r="V184" s="1"/>
      <c r="W184" s="2"/>
    </row>
    <row r="185" spans="22:23" x14ac:dyDescent="0.25">
      <c r="V185" s="1"/>
      <c r="W185" s="2"/>
    </row>
    <row r="186" spans="22:23" x14ac:dyDescent="0.25">
      <c r="V186" s="1"/>
      <c r="W186" s="2"/>
    </row>
    <row r="187" spans="22:23" x14ac:dyDescent="0.25">
      <c r="V187" s="1"/>
      <c r="W187" s="2"/>
    </row>
    <row r="188" spans="22:23" x14ac:dyDescent="0.25">
      <c r="V188" s="1"/>
      <c r="W188" s="2"/>
    </row>
    <row r="189" spans="22:23" x14ac:dyDescent="0.25">
      <c r="V189" s="1"/>
      <c r="W189" s="2"/>
    </row>
    <row r="190" spans="22:23" x14ac:dyDescent="0.25">
      <c r="V190" s="1"/>
      <c r="W190" s="2"/>
    </row>
    <row r="191" spans="22:23" x14ac:dyDescent="0.25">
      <c r="V191" s="1"/>
      <c r="W191" s="2"/>
    </row>
    <row r="192" spans="22:23" x14ac:dyDescent="0.25">
      <c r="V192" s="1"/>
      <c r="W192" s="2"/>
    </row>
    <row r="193" spans="22:23" x14ac:dyDescent="0.25">
      <c r="V193" s="1"/>
      <c r="W193" s="2"/>
    </row>
    <row r="194" spans="22:23" x14ac:dyDescent="0.25">
      <c r="V194" s="1"/>
      <c r="W194" s="2"/>
    </row>
    <row r="195" spans="22:23" x14ac:dyDescent="0.25">
      <c r="V195" s="1"/>
      <c r="W195" s="2"/>
    </row>
    <row r="196" spans="22:23" x14ac:dyDescent="0.25">
      <c r="V196" s="1"/>
      <c r="W196" s="2"/>
    </row>
    <row r="197" spans="22:23" x14ac:dyDescent="0.25">
      <c r="V197" s="1"/>
      <c r="W197" s="2"/>
    </row>
    <row r="198" spans="22:23" x14ac:dyDescent="0.25">
      <c r="V198" s="1"/>
      <c r="W198" s="2"/>
    </row>
    <row r="199" spans="22:23" x14ac:dyDescent="0.25">
      <c r="V199" s="1"/>
      <c r="W199" s="2"/>
    </row>
    <row r="200" spans="22:23" x14ac:dyDescent="0.25">
      <c r="V200" s="1"/>
      <c r="W200" s="2"/>
    </row>
    <row r="201" spans="22:23" x14ac:dyDescent="0.25">
      <c r="V201" s="1"/>
      <c r="W201" s="2"/>
    </row>
    <row r="202" spans="22:23" x14ac:dyDescent="0.25">
      <c r="V202" s="1"/>
      <c r="W202" s="2"/>
    </row>
    <row r="203" spans="22:23" x14ac:dyDescent="0.25">
      <c r="V203" s="1"/>
      <c r="W203" s="2"/>
    </row>
    <row r="204" spans="22:23" x14ac:dyDescent="0.25">
      <c r="V204" s="1"/>
      <c r="W204" s="2"/>
    </row>
    <row r="205" spans="22:23" x14ac:dyDescent="0.25">
      <c r="V205" s="1"/>
      <c r="W205" s="2"/>
    </row>
    <row r="206" spans="22:23" x14ac:dyDescent="0.25">
      <c r="V206" s="1"/>
      <c r="W206" s="2"/>
    </row>
    <row r="207" spans="22:23" x14ac:dyDescent="0.25">
      <c r="V207" s="1"/>
      <c r="W207" s="2"/>
    </row>
    <row r="208" spans="22:23" x14ac:dyDescent="0.25">
      <c r="V208" s="1"/>
      <c r="W208" s="2"/>
    </row>
    <row r="209" spans="22:23" x14ac:dyDescent="0.25">
      <c r="V209" s="1"/>
      <c r="W209" s="2"/>
    </row>
    <row r="210" spans="22:23" x14ac:dyDescent="0.25">
      <c r="V210" s="1"/>
      <c r="W210" s="2"/>
    </row>
    <row r="211" spans="22:23" x14ac:dyDescent="0.25">
      <c r="V211" s="1"/>
      <c r="W211" s="2"/>
    </row>
    <row r="212" spans="22:23" x14ac:dyDescent="0.25">
      <c r="V212" s="1"/>
      <c r="W212" s="2"/>
    </row>
    <row r="213" spans="22:23" x14ac:dyDescent="0.25">
      <c r="V213" s="1"/>
      <c r="W213" s="2"/>
    </row>
    <row r="214" spans="22:23" x14ac:dyDescent="0.25">
      <c r="V214" s="1"/>
      <c r="W214" s="2"/>
    </row>
    <row r="215" spans="22:23" x14ac:dyDescent="0.25">
      <c r="V215" s="1"/>
      <c r="W215" s="2"/>
    </row>
    <row r="216" spans="22:23" x14ac:dyDescent="0.25">
      <c r="V216" s="1"/>
      <c r="W216" s="2"/>
    </row>
    <row r="217" spans="22:23" x14ac:dyDescent="0.25">
      <c r="V217" s="1"/>
      <c r="W217" s="2"/>
    </row>
    <row r="218" spans="22:23" x14ac:dyDescent="0.25">
      <c r="V218" s="1"/>
      <c r="W218" s="2"/>
    </row>
    <row r="219" spans="22:23" x14ac:dyDescent="0.25">
      <c r="V219" s="1"/>
      <c r="W219" s="2"/>
    </row>
    <row r="220" spans="22:23" x14ac:dyDescent="0.25">
      <c r="V220" s="1"/>
      <c r="W220" s="2"/>
    </row>
    <row r="221" spans="22:23" x14ac:dyDescent="0.25">
      <c r="V221" s="1"/>
      <c r="W221" s="2"/>
    </row>
    <row r="222" spans="22:23" x14ac:dyDescent="0.25">
      <c r="V222" s="1"/>
      <c r="W222" s="2"/>
    </row>
    <row r="223" spans="22:23" x14ac:dyDescent="0.25">
      <c r="V223" s="1"/>
      <c r="W223" s="2"/>
    </row>
    <row r="224" spans="22:23" x14ac:dyDescent="0.25">
      <c r="V224" s="1"/>
      <c r="W224" s="2"/>
    </row>
    <row r="225" spans="22:23" x14ac:dyDescent="0.25">
      <c r="V225" s="1"/>
      <c r="W225" s="2"/>
    </row>
    <row r="226" spans="22:23" x14ac:dyDescent="0.25">
      <c r="V226" s="1"/>
      <c r="W226" s="2"/>
    </row>
    <row r="227" spans="22:23" x14ac:dyDescent="0.25">
      <c r="V227" s="1"/>
      <c r="W227" s="2"/>
    </row>
    <row r="228" spans="22:23" x14ac:dyDescent="0.25">
      <c r="V228" s="1"/>
      <c r="W228" s="2"/>
    </row>
    <row r="229" spans="22:23" x14ac:dyDescent="0.25">
      <c r="V229" s="1"/>
      <c r="W229" s="2"/>
    </row>
    <row r="230" spans="22:23" x14ac:dyDescent="0.25">
      <c r="V230" s="1"/>
      <c r="W230" s="2"/>
    </row>
    <row r="231" spans="22:23" x14ac:dyDescent="0.25">
      <c r="V231" s="1"/>
      <c r="W231" s="2"/>
    </row>
    <row r="232" spans="22:23" x14ac:dyDescent="0.25">
      <c r="V232" s="1"/>
      <c r="W232" s="2"/>
    </row>
    <row r="233" spans="22:23" x14ac:dyDescent="0.25">
      <c r="V233" s="1"/>
      <c r="W233" s="2"/>
    </row>
    <row r="234" spans="22:23" x14ac:dyDescent="0.25">
      <c r="V234" s="1"/>
      <c r="W234" s="2"/>
    </row>
    <row r="235" spans="22:23" x14ac:dyDescent="0.25">
      <c r="V235" s="1"/>
      <c r="W235" s="2"/>
    </row>
    <row r="236" spans="22:23" x14ac:dyDescent="0.25">
      <c r="V236" s="1"/>
      <c r="W236" s="2"/>
    </row>
    <row r="237" spans="22:23" x14ac:dyDescent="0.25">
      <c r="V237" s="1"/>
      <c r="W237" s="2"/>
    </row>
    <row r="238" spans="22:23" x14ac:dyDescent="0.25">
      <c r="V238" s="1"/>
      <c r="W238" s="2"/>
    </row>
    <row r="239" spans="22:23" x14ac:dyDescent="0.25">
      <c r="V239" s="1"/>
      <c r="W239" s="2"/>
    </row>
    <row r="240" spans="22:23" x14ac:dyDescent="0.25">
      <c r="V240" s="1"/>
      <c r="W240" s="2"/>
    </row>
    <row r="241" spans="22:23" x14ac:dyDescent="0.25">
      <c r="V241" s="1"/>
      <c r="W241" s="2"/>
    </row>
    <row r="242" spans="22:23" x14ac:dyDescent="0.25">
      <c r="V242" s="1"/>
      <c r="W242" s="2"/>
    </row>
    <row r="243" spans="22:23" x14ac:dyDescent="0.25">
      <c r="V243" s="1"/>
      <c r="W243" s="2"/>
    </row>
    <row r="244" spans="22:23" x14ac:dyDescent="0.25">
      <c r="V244" s="1"/>
      <c r="W244" s="2"/>
    </row>
    <row r="245" spans="22:23" x14ac:dyDescent="0.25">
      <c r="V245" s="1"/>
      <c r="W245" s="2"/>
    </row>
    <row r="246" spans="22:23" x14ac:dyDescent="0.25">
      <c r="V246" s="1"/>
      <c r="W246" s="2"/>
    </row>
    <row r="247" spans="22:23" x14ac:dyDescent="0.25">
      <c r="V247" s="1"/>
      <c r="W247" s="2"/>
    </row>
    <row r="248" spans="22:23" x14ac:dyDescent="0.25">
      <c r="V248" s="1"/>
      <c r="W248" s="2"/>
    </row>
    <row r="249" spans="22:23" x14ac:dyDescent="0.25">
      <c r="V249" s="1"/>
      <c r="W249" s="2"/>
    </row>
    <row r="250" spans="22:23" x14ac:dyDescent="0.25">
      <c r="V250" s="1"/>
      <c r="W250" s="2"/>
    </row>
    <row r="251" spans="22:23" x14ac:dyDescent="0.25">
      <c r="V251" s="1"/>
      <c r="W251" s="2"/>
    </row>
    <row r="252" spans="22:23" x14ac:dyDescent="0.25">
      <c r="V252" s="1"/>
      <c r="W252" s="2"/>
    </row>
    <row r="253" spans="22:23" x14ac:dyDescent="0.25">
      <c r="V253" s="1"/>
      <c r="W253" s="2"/>
    </row>
    <row r="254" spans="22:23" x14ac:dyDescent="0.25">
      <c r="V254" s="1"/>
      <c r="W254" s="2"/>
    </row>
    <row r="255" spans="22:23" x14ac:dyDescent="0.25">
      <c r="V255" s="1"/>
      <c r="W255" s="2"/>
    </row>
    <row r="256" spans="22:23" x14ac:dyDescent="0.25">
      <c r="V256" s="1"/>
      <c r="W256" s="2"/>
    </row>
    <row r="257" spans="22:23" x14ac:dyDescent="0.25">
      <c r="V257" s="1"/>
      <c r="W257" s="2"/>
    </row>
    <row r="258" spans="22:23" x14ac:dyDescent="0.25">
      <c r="V258" s="1"/>
      <c r="W258" s="2"/>
    </row>
    <row r="259" spans="22:23" x14ac:dyDescent="0.25">
      <c r="V259" s="1"/>
      <c r="W259" s="2"/>
    </row>
    <row r="260" spans="22:23" x14ac:dyDescent="0.25">
      <c r="V260" s="1"/>
      <c r="W260" s="2"/>
    </row>
    <row r="261" spans="22:23" x14ac:dyDescent="0.25">
      <c r="V261" s="1"/>
      <c r="W261" s="2"/>
    </row>
    <row r="262" spans="22:23" x14ac:dyDescent="0.25">
      <c r="V262" s="1"/>
      <c r="W262" s="2"/>
    </row>
    <row r="263" spans="22:23" x14ac:dyDescent="0.25">
      <c r="V263" s="1"/>
      <c r="W263" s="2"/>
    </row>
    <row r="264" spans="22:23" x14ac:dyDescent="0.25">
      <c r="V264" s="1"/>
      <c r="W264" s="2"/>
    </row>
    <row r="265" spans="22:23" x14ac:dyDescent="0.25">
      <c r="V265" s="1"/>
      <c r="W265" s="2"/>
    </row>
    <row r="266" spans="22:23" x14ac:dyDescent="0.25">
      <c r="V266" s="1"/>
      <c r="W266" s="2"/>
    </row>
    <row r="267" spans="22:23" x14ac:dyDescent="0.25">
      <c r="V267" s="1"/>
      <c r="W267" s="2"/>
    </row>
    <row r="268" spans="22:23" x14ac:dyDescent="0.25">
      <c r="V268" s="1"/>
      <c r="W268" s="2"/>
    </row>
    <row r="269" spans="22:23" x14ac:dyDescent="0.25">
      <c r="V269" s="1"/>
      <c r="W269" s="2"/>
    </row>
    <row r="270" spans="22:23" x14ac:dyDescent="0.25">
      <c r="V270" s="1"/>
      <c r="W270" s="2"/>
    </row>
    <row r="271" spans="22:23" x14ac:dyDescent="0.25">
      <c r="V271" s="1"/>
      <c r="W271" s="2"/>
    </row>
    <row r="272" spans="22:23" x14ac:dyDescent="0.25">
      <c r="V272" s="1"/>
      <c r="W272" s="2"/>
    </row>
    <row r="273" spans="22:23" x14ac:dyDescent="0.25">
      <c r="V273" s="1"/>
      <c r="W273" s="2"/>
    </row>
    <row r="274" spans="22:23" x14ac:dyDescent="0.25">
      <c r="V274" s="1"/>
      <c r="W274" s="2"/>
    </row>
    <row r="275" spans="22:23" x14ac:dyDescent="0.25">
      <c r="V275" s="1"/>
      <c r="W275" s="2"/>
    </row>
    <row r="276" spans="22:23" x14ac:dyDescent="0.25">
      <c r="V276" s="1"/>
      <c r="W276" s="2"/>
    </row>
    <row r="277" spans="22:23" x14ac:dyDescent="0.25">
      <c r="V277" s="1"/>
      <c r="W277" s="2"/>
    </row>
    <row r="278" spans="22:23" x14ac:dyDescent="0.25">
      <c r="V278" s="1"/>
      <c r="W278" s="2"/>
    </row>
    <row r="279" spans="22:23" x14ac:dyDescent="0.25">
      <c r="V279" s="1"/>
      <c r="W279" s="2"/>
    </row>
    <row r="280" spans="22:23" x14ac:dyDescent="0.25">
      <c r="V280" s="1"/>
      <c r="W280" s="2"/>
    </row>
    <row r="281" spans="22:23" x14ac:dyDescent="0.25">
      <c r="V281" s="1"/>
      <c r="W281" s="2"/>
    </row>
    <row r="282" spans="22:23" x14ac:dyDescent="0.25">
      <c r="V282" s="1"/>
      <c r="W282" s="2"/>
    </row>
    <row r="283" spans="22:23" x14ac:dyDescent="0.25">
      <c r="V283" s="1"/>
      <c r="W283" s="2"/>
    </row>
    <row r="284" spans="22:23" x14ac:dyDescent="0.25">
      <c r="V284" s="1"/>
      <c r="W284" s="2"/>
    </row>
    <row r="285" spans="22:23" x14ac:dyDescent="0.25">
      <c r="V285" s="1"/>
      <c r="W285" s="2"/>
    </row>
    <row r="286" spans="22:23" x14ac:dyDescent="0.25">
      <c r="V286" s="1"/>
      <c r="W286" s="2"/>
    </row>
    <row r="287" spans="22:23" x14ac:dyDescent="0.25">
      <c r="V287" s="1"/>
      <c r="W287" s="2"/>
    </row>
    <row r="288" spans="22:23" x14ac:dyDescent="0.25">
      <c r="V288" s="1"/>
      <c r="W288" s="2"/>
    </row>
    <row r="289" spans="22:23" x14ac:dyDescent="0.25">
      <c r="V289" s="1"/>
      <c r="W289" s="2"/>
    </row>
    <row r="290" spans="22:23" x14ac:dyDescent="0.25">
      <c r="V290" s="1"/>
      <c r="W290" s="2"/>
    </row>
    <row r="291" spans="22:23" x14ac:dyDescent="0.25">
      <c r="V291" s="1"/>
      <c r="W291" s="2"/>
    </row>
    <row r="292" spans="22:23" x14ac:dyDescent="0.25">
      <c r="V292" s="1"/>
      <c r="W292" s="2"/>
    </row>
    <row r="293" spans="22:23" x14ac:dyDescent="0.25">
      <c r="V293" s="1"/>
      <c r="W293" s="2"/>
    </row>
    <row r="294" spans="22:23" x14ac:dyDescent="0.25">
      <c r="V294" s="1"/>
      <c r="W294" s="2"/>
    </row>
    <row r="295" spans="22:23" x14ac:dyDescent="0.25">
      <c r="V295" s="1"/>
      <c r="W295" s="2"/>
    </row>
    <row r="296" spans="22:23" x14ac:dyDescent="0.25">
      <c r="V296" s="1"/>
      <c r="W296" s="2"/>
    </row>
    <row r="297" spans="22:23" x14ac:dyDescent="0.25">
      <c r="V297" s="1"/>
      <c r="W297" s="2"/>
    </row>
    <row r="298" spans="22:23" x14ac:dyDescent="0.25">
      <c r="V298" s="1"/>
      <c r="W298" s="2"/>
    </row>
    <row r="299" spans="22:23" x14ac:dyDescent="0.25">
      <c r="V299" s="1"/>
      <c r="W299" s="2"/>
    </row>
    <row r="300" spans="22:23" x14ac:dyDescent="0.25">
      <c r="V300" s="1"/>
      <c r="W300" s="2"/>
    </row>
    <row r="301" spans="22:23" x14ac:dyDescent="0.25">
      <c r="V301" s="1"/>
      <c r="W301" s="2"/>
    </row>
    <row r="302" spans="22:23" x14ac:dyDescent="0.25">
      <c r="V302" s="1"/>
      <c r="W302" s="2"/>
    </row>
    <row r="303" spans="22:23" x14ac:dyDescent="0.25">
      <c r="V303" s="1"/>
      <c r="W303" s="2"/>
    </row>
    <row r="304" spans="22:23" x14ac:dyDescent="0.25">
      <c r="V304" s="1"/>
      <c r="W304" s="2"/>
    </row>
    <row r="305" spans="22:23" x14ac:dyDescent="0.25">
      <c r="V305" s="1"/>
      <c r="W305" s="2"/>
    </row>
    <row r="306" spans="22:23" x14ac:dyDescent="0.25">
      <c r="V306" s="1"/>
      <c r="W306" s="2"/>
    </row>
    <row r="307" spans="22:23" x14ac:dyDescent="0.25">
      <c r="V307" s="1"/>
      <c r="W307" s="2"/>
    </row>
    <row r="308" spans="22:23" x14ac:dyDescent="0.25">
      <c r="V308" s="1"/>
      <c r="W308" s="2"/>
    </row>
    <row r="309" spans="22:23" x14ac:dyDescent="0.25">
      <c r="V309" s="1"/>
      <c r="W309" s="2"/>
    </row>
    <row r="310" spans="22:23" x14ac:dyDescent="0.25">
      <c r="V310" s="1"/>
      <c r="W310" s="2"/>
    </row>
    <row r="311" spans="22:23" x14ac:dyDescent="0.25">
      <c r="V311" s="1"/>
      <c r="W311" s="2"/>
    </row>
    <row r="312" spans="22:23" x14ac:dyDescent="0.25">
      <c r="V312" s="1"/>
      <c r="W312" s="2"/>
    </row>
    <row r="313" spans="22:23" x14ac:dyDescent="0.25">
      <c r="V313" s="1"/>
      <c r="W313" s="2"/>
    </row>
    <row r="314" spans="22:23" x14ac:dyDescent="0.25">
      <c r="V314" s="1"/>
      <c r="W314" s="2"/>
    </row>
    <row r="315" spans="22:23" x14ac:dyDescent="0.25">
      <c r="V315" s="1"/>
      <c r="W315" s="2"/>
    </row>
    <row r="316" spans="22:23" x14ac:dyDescent="0.25">
      <c r="V316" s="1"/>
      <c r="W316" s="2"/>
    </row>
    <row r="317" spans="22:23" x14ac:dyDescent="0.25">
      <c r="V317" s="1"/>
      <c r="W317" s="2"/>
    </row>
    <row r="318" spans="22:23" x14ac:dyDescent="0.25">
      <c r="V318" s="1"/>
      <c r="W318" s="2"/>
    </row>
    <row r="319" spans="22:23" x14ac:dyDescent="0.25">
      <c r="V319" s="1"/>
      <c r="W319" s="2"/>
    </row>
    <row r="320" spans="22:23" x14ac:dyDescent="0.25">
      <c r="V320" s="1"/>
      <c r="W320" s="2"/>
    </row>
    <row r="321" spans="22:23" x14ac:dyDescent="0.25">
      <c r="V321" s="1"/>
      <c r="W321" s="2"/>
    </row>
    <row r="322" spans="22:23" x14ac:dyDescent="0.25">
      <c r="V322" s="1"/>
      <c r="W322" s="2"/>
    </row>
    <row r="323" spans="22:23" x14ac:dyDescent="0.25">
      <c r="V323" s="1"/>
      <c r="W323" s="2"/>
    </row>
    <row r="324" spans="22:23" x14ac:dyDescent="0.25">
      <c r="V324" s="1"/>
      <c r="W324" s="2"/>
    </row>
    <row r="325" spans="22:23" x14ac:dyDescent="0.25">
      <c r="V325" s="1"/>
      <c r="W325" s="2"/>
    </row>
    <row r="326" spans="22:23" x14ac:dyDescent="0.25">
      <c r="V326" s="1"/>
      <c r="W326" s="2"/>
    </row>
    <row r="327" spans="22:23" x14ac:dyDescent="0.25">
      <c r="V327" s="1"/>
      <c r="W327" s="2"/>
    </row>
    <row r="328" spans="22:23" x14ac:dyDescent="0.25">
      <c r="V328" s="1"/>
      <c r="W328" s="2"/>
    </row>
    <row r="329" spans="22:23" x14ac:dyDescent="0.25">
      <c r="V329" s="1"/>
      <c r="W329" s="2"/>
    </row>
    <row r="330" spans="22:23" x14ac:dyDescent="0.25">
      <c r="V330" s="1"/>
      <c r="W330" s="2"/>
    </row>
    <row r="331" spans="22:23" x14ac:dyDescent="0.25">
      <c r="V331" s="1"/>
      <c r="W331" s="2"/>
    </row>
    <row r="332" spans="22:23" x14ac:dyDescent="0.25">
      <c r="V332" s="1"/>
      <c r="W332" s="2"/>
    </row>
    <row r="333" spans="22:23" x14ac:dyDescent="0.25">
      <c r="V333" s="1"/>
      <c r="W333" s="2"/>
    </row>
    <row r="334" spans="22:23" x14ac:dyDescent="0.25">
      <c r="V334" s="1"/>
      <c r="W334" s="2"/>
    </row>
    <row r="335" spans="22:23" x14ac:dyDescent="0.25">
      <c r="V335" s="1"/>
      <c r="W335" s="2"/>
    </row>
    <row r="336" spans="22:23" x14ac:dyDescent="0.25">
      <c r="V336" s="1"/>
      <c r="W336" s="2"/>
    </row>
    <row r="337" spans="22:23" x14ac:dyDescent="0.25">
      <c r="V337" s="1"/>
      <c r="W337" s="2"/>
    </row>
    <row r="338" spans="22:23" x14ac:dyDescent="0.25">
      <c r="V338" s="1"/>
      <c r="W338" s="2"/>
    </row>
    <row r="339" spans="22:23" x14ac:dyDescent="0.25">
      <c r="V339" s="1"/>
      <c r="W339" s="2"/>
    </row>
    <row r="340" spans="22:23" x14ac:dyDescent="0.25">
      <c r="V340" s="1"/>
      <c r="W340" s="2"/>
    </row>
    <row r="341" spans="22:23" x14ac:dyDescent="0.25">
      <c r="V341" s="1"/>
      <c r="W341" s="2"/>
    </row>
    <row r="342" spans="22:23" x14ac:dyDescent="0.25">
      <c r="V342" s="1"/>
      <c r="W342" s="2"/>
    </row>
    <row r="343" spans="22:23" x14ac:dyDescent="0.25">
      <c r="V343" s="1"/>
      <c r="W343" s="2"/>
    </row>
    <row r="344" spans="22:23" x14ac:dyDescent="0.25">
      <c r="V344" s="1"/>
      <c r="W344" s="2"/>
    </row>
    <row r="345" spans="22:23" x14ac:dyDescent="0.25">
      <c r="V345" s="1"/>
      <c r="W345" s="2"/>
    </row>
    <row r="346" spans="22:23" x14ac:dyDescent="0.25">
      <c r="V346" s="1"/>
      <c r="W346" s="2"/>
    </row>
    <row r="347" spans="22:23" x14ac:dyDescent="0.25">
      <c r="V347" s="1"/>
      <c r="W347" s="2"/>
    </row>
    <row r="348" spans="22:23" x14ac:dyDescent="0.25">
      <c r="V348" s="1"/>
      <c r="W348" s="2"/>
    </row>
    <row r="349" spans="22:23" x14ac:dyDescent="0.25">
      <c r="V349" s="1"/>
      <c r="W349" s="2"/>
    </row>
    <row r="350" spans="22:23" x14ac:dyDescent="0.25">
      <c r="V350" s="1"/>
      <c r="W350" s="2"/>
    </row>
    <row r="351" spans="22:23" x14ac:dyDescent="0.25">
      <c r="V351" s="1"/>
      <c r="W351" s="2"/>
    </row>
    <row r="352" spans="22:23" x14ac:dyDescent="0.25">
      <c r="V352" s="1"/>
      <c r="W352" s="2"/>
    </row>
    <row r="353" spans="22:23" x14ac:dyDescent="0.25">
      <c r="V353" s="1"/>
      <c r="W353" s="2"/>
    </row>
    <row r="354" spans="22:23" x14ac:dyDescent="0.25">
      <c r="V354" s="1"/>
      <c r="W354" s="2"/>
    </row>
    <row r="355" spans="22:23" x14ac:dyDescent="0.25">
      <c r="V355" s="1"/>
      <c r="W355" s="2"/>
    </row>
    <row r="356" spans="22:23" x14ac:dyDescent="0.25">
      <c r="V356" s="1"/>
      <c r="W356" s="2"/>
    </row>
    <row r="357" spans="22:23" x14ac:dyDescent="0.25">
      <c r="V357" s="1"/>
      <c r="W357" s="2"/>
    </row>
    <row r="358" spans="22:23" x14ac:dyDescent="0.25">
      <c r="V358" s="1"/>
      <c r="W358" s="2"/>
    </row>
    <row r="359" spans="22:23" x14ac:dyDescent="0.25">
      <c r="V359" s="1"/>
      <c r="W359" s="2"/>
    </row>
    <row r="360" spans="22:23" x14ac:dyDescent="0.25">
      <c r="V360" s="1"/>
      <c r="W360" s="2"/>
    </row>
    <row r="361" spans="22:23" x14ac:dyDescent="0.25">
      <c r="V361" s="1"/>
      <c r="W361" s="2"/>
    </row>
    <row r="362" spans="22:23" x14ac:dyDescent="0.25">
      <c r="V362" s="1"/>
      <c r="W362" s="2"/>
    </row>
    <row r="363" spans="22:23" x14ac:dyDescent="0.25">
      <c r="V363" s="1"/>
      <c r="W363" s="2"/>
    </row>
    <row r="364" spans="22:23" x14ac:dyDescent="0.25">
      <c r="V364" s="1"/>
      <c r="W364" s="2"/>
    </row>
    <row r="365" spans="22:23" x14ac:dyDescent="0.25">
      <c r="V365" s="1"/>
      <c r="W365" s="2"/>
    </row>
    <row r="366" spans="22:23" x14ac:dyDescent="0.25">
      <c r="V366" s="1"/>
      <c r="W366" s="2"/>
    </row>
    <row r="367" spans="22:23" x14ac:dyDescent="0.25">
      <c r="V367" s="1"/>
      <c r="W367" s="2"/>
    </row>
    <row r="368" spans="22:23" x14ac:dyDescent="0.25">
      <c r="V368" s="1"/>
      <c r="W368" s="2"/>
    </row>
    <row r="369" spans="22:23" x14ac:dyDescent="0.25">
      <c r="V369" s="1"/>
      <c r="W369" s="2"/>
    </row>
    <row r="370" spans="22:23" x14ac:dyDescent="0.25">
      <c r="V370" s="1"/>
      <c r="W370" s="2"/>
    </row>
    <row r="371" spans="22:23" x14ac:dyDescent="0.25">
      <c r="V371" s="1"/>
      <c r="W371" s="2"/>
    </row>
    <row r="372" spans="22:23" x14ac:dyDescent="0.25">
      <c r="V372" s="1"/>
      <c r="W372" s="2"/>
    </row>
    <row r="373" spans="22:23" x14ac:dyDescent="0.25">
      <c r="V373" s="1"/>
      <c r="W373" s="2"/>
    </row>
    <row r="374" spans="22:23" x14ac:dyDescent="0.25">
      <c r="V374" s="1"/>
      <c r="W374" s="2"/>
    </row>
    <row r="375" spans="22:23" x14ac:dyDescent="0.25">
      <c r="V375" s="1"/>
      <c r="W375" s="2"/>
    </row>
    <row r="376" spans="22:23" x14ac:dyDescent="0.25">
      <c r="V376" s="1"/>
      <c r="W376" s="2"/>
    </row>
    <row r="377" spans="22:23" x14ac:dyDescent="0.25">
      <c r="V377" s="1"/>
      <c r="W377" s="2"/>
    </row>
    <row r="378" spans="22:23" x14ac:dyDescent="0.25">
      <c r="V378" s="1"/>
      <c r="W378" s="2"/>
    </row>
    <row r="379" spans="22:23" x14ac:dyDescent="0.25">
      <c r="V379" s="1"/>
      <c r="W379" s="2"/>
    </row>
    <row r="380" spans="22:23" x14ac:dyDescent="0.25">
      <c r="V380" s="1"/>
      <c r="W380" s="2"/>
    </row>
    <row r="381" spans="22:23" x14ac:dyDescent="0.25">
      <c r="V381" s="1"/>
      <c r="W381" s="2"/>
    </row>
    <row r="382" spans="22:23" x14ac:dyDescent="0.25">
      <c r="V382" s="1"/>
      <c r="W382" s="2"/>
    </row>
    <row r="383" spans="22:23" x14ac:dyDescent="0.25">
      <c r="V383" s="1"/>
      <c r="W383" s="2"/>
    </row>
    <row r="384" spans="22:23" x14ac:dyDescent="0.25">
      <c r="V384" s="1"/>
      <c r="W384" s="2"/>
    </row>
    <row r="385" spans="22:23" x14ac:dyDescent="0.25">
      <c r="V385" s="1"/>
      <c r="W385" s="2"/>
    </row>
    <row r="386" spans="22:23" x14ac:dyDescent="0.25">
      <c r="V386" s="1"/>
      <c r="W386" s="2"/>
    </row>
    <row r="387" spans="22:23" x14ac:dyDescent="0.25">
      <c r="V387" s="1"/>
      <c r="W387" s="2"/>
    </row>
    <row r="388" spans="22:23" x14ac:dyDescent="0.25">
      <c r="V388" s="1"/>
      <c r="W388" s="2"/>
    </row>
    <row r="389" spans="22:23" x14ac:dyDescent="0.25">
      <c r="V389" s="1"/>
      <c r="W389" s="2"/>
    </row>
    <row r="390" spans="22:23" x14ac:dyDescent="0.25">
      <c r="V390" s="1"/>
      <c r="W390" s="2"/>
    </row>
    <row r="391" spans="22:23" x14ac:dyDescent="0.25">
      <c r="V391" s="1"/>
      <c r="W391" s="2"/>
    </row>
    <row r="392" spans="22:23" x14ac:dyDescent="0.25">
      <c r="V392" s="1"/>
      <c r="W392" s="2"/>
    </row>
    <row r="393" spans="22:23" x14ac:dyDescent="0.25">
      <c r="V393" s="1"/>
      <c r="W393" s="2"/>
    </row>
    <row r="394" spans="22:23" x14ac:dyDescent="0.25">
      <c r="V394" s="1"/>
      <c r="W394" s="2"/>
    </row>
    <row r="395" spans="22:23" x14ac:dyDescent="0.25">
      <c r="V395" s="1"/>
      <c r="W395" s="2"/>
    </row>
    <row r="396" spans="22:23" x14ac:dyDescent="0.25">
      <c r="V396" s="1"/>
      <c r="W396" s="2"/>
    </row>
    <row r="397" spans="22:23" x14ac:dyDescent="0.25">
      <c r="V397" s="1"/>
      <c r="W397" s="2"/>
    </row>
    <row r="398" spans="22:23" x14ac:dyDescent="0.25">
      <c r="V398" s="1"/>
      <c r="W398" s="2"/>
    </row>
    <row r="399" spans="22:23" x14ac:dyDescent="0.25">
      <c r="V399" s="1"/>
      <c r="W399" s="2"/>
    </row>
    <row r="400" spans="22:23" x14ac:dyDescent="0.25">
      <c r="V400" s="1"/>
      <c r="W400" s="2"/>
    </row>
    <row r="401" spans="22:23" x14ac:dyDescent="0.25">
      <c r="V401" s="1"/>
      <c r="W401" s="2"/>
    </row>
    <row r="402" spans="22:23" x14ac:dyDescent="0.25">
      <c r="V402" s="1"/>
      <c r="W402" s="2"/>
    </row>
    <row r="403" spans="22:23" x14ac:dyDescent="0.25">
      <c r="V403" s="1"/>
      <c r="W403" s="2"/>
    </row>
    <row r="404" spans="22:23" x14ac:dyDescent="0.25">
      <c r="V404" s="1"/>
      <c r="W404" s="2"/>
    </row>
    <row r="405" spans="22:23" x14ac:dyDescent="0.25">
      <c r="V405" s="1"/>
      <c r="W405" s="2"/>
    </row>
    <row r="406" spans="22:23" x14ac:dyDescent="0.25">
      <c r="V406" s="1"/>
      <c r="W406" s="2"/>
    </row>
    <row r="407" spans="22:23" x14ac:dyDescent="0.25">
      <c r="V407" s="1"/>
      <c r="W407" s="2"/>
    </row>
    <row r="408" spans="22:23" x14ac:dyDescent="0.25">
      <c r="V408" s="1"/>
      <c r="W408" s="2"/>
    </row>
    <row r="409" spans="22:23" x14ac:dyDescent="0.25">
      <c r="V409" s="1"/>
      <c r="W409" s="2"/>
    </row>
    <row r="410" spans="22:23" x14ac:dyDescent="0.25">
      <c r="V410" s="1"/>
      <c r="W410" s="2"/>
    </row>
    <row r="411" spans="22:23" x14ac:dyDescent="0.25">
      <c r="V411" s="1"/>
      <c r="W411" s="2"/>
    </row>
    <row r="412" spans="22:23" x14ac:dyDescent="0.25">
      <c r="V412" s="1"/>
      <c r="W412" s="2"/>
    </row>
    <row r="413" spans="22:23" x14ac:dyDescent="0.25">
      <c r="V413" s="1"/>
      <c r="W413" s="2"/>
    </row>
    <row r="414" spans="22:23" x14ac:dyDescent="0.25">
      <c r="V414" s="1"/>
      <c r="W414" s="2"/>
    </row>
    <row r="415" spans="22:23" x14ac:dyDescent="0.25">
      <c r="V415" s="1"/>
      <c r="W415" s="2"/>
    </row>
    <row r="416" spans="22:23" x14ac:dyDescent="0.25">
      <c r="V416" s="1"/>
      <c r="W416" s="2"/>
    </row>
    <row r="417" spans="22:23" x14ac:dyDescent="0.25">
      <c r="V417" s="1"/>
      <c r="W417" s="2"/>
    </row>
    <row r="418" spans="22:23" x14ac:dyDescent="0.25">
      <c r="V418" s="1"/>
      <c r="W418" s="2"/>
    </row>
    <row r="419" spans="22:23" x14ac:dyDescent="0.25">
      <c r="V419" s="1"/>
      <c r="W419" s="2"/>
    </row>
    <row r="420" spans="22:23" x14ac:dyDescent="0.25">
      <c r="V420" s="1"/>
      <c r="W420" s="2"/>
    </row>
    <row r="421" spans="22:23" x14ac:dyDescent="0.25">
      <c r="V421" s="1"/>
      <c r="W421" s="2"/>
    </row>
    <row r="422" spans="22:23" x14ac:dyDescent="0.25">
      <c r="V422" s="1"/>
      <c r="W422" s="2"/>
    </row>
    <row r="423" spans="22:23" x14ac:dyDescent="0.25">
      <c r="V423" s="1"/>
      <c r="W423" s="2"/>
    </row>
    <row r="424" spans="22:23" x14ac:dyDescent="0.25">
      <c r="V424" s="1"/>
      <c r="W424" s="2"/>
    </row>
    <row r="425" spans="22:23" x14ac:dyDescent="0.25">
      <c r="V425" s="1"/>
      <c r="W425" s="2"/>
    </row>
    <row r="426" spans="22:23" x14ac:dyDescent="0.25">
      <c r="V426" s="1"/>
      <c r="W426" s="2"/>
    </row>
    <row r="427" spans="22:23" x14ac:dyDescent="0.25">
      <c r="V427" s="1"/>
      <c r="W427" s="2"/>
    </row>
    <row r="428" spans="22:23" x14ac:dyDescent="0.25">
      <c r="V428" s="1"/>
      <c r="W428" s="2"/>
    </row>
    <row r="429" spans="22:23" x14ac:dyDescent="0.25">
      <c r="V429" s="1"/>
      <c r="W429" s="2"/>
    </row>
    <row r="430" spans="22:23" x14ac:dyDescent="0.25">
      <c r="V430" s="1"/>
      <c r="W430" s="2"/>
    </row>
    <row r="431" spans="22:23" x14ac:dyDescent="0.25">
      <c r="V431" s="1"/>
      <c r="W431" s="2"/>
    </row>
    <row r="432" spans="22:23" x14ac:dyDescent="0.25">
      <c r="V432" s="1"/>
      <c r="W432" s="2"/>
    </row>
    <row r="433" spans="22:23" x14ac:dyDescent="0.25">
      <c r="V433" s="1"/>
      <c r="W433" s="2"/>
    </row>
    <row r="434" spans="22:23" x14ac:dyDescent="0.25">
      <c r="V434" s="1"/>
      <c r="W434" s="2"/>
    </row>
    <row r="435" spans="22:23" x14ac:dyDescent="0.25">
      <c r="V435" s="1"/>
      <c r="W435" s="2"/>
    </row>
    <row r="436" spans="22:23" x14ac:dyDescent="0.25">
      <c r="V436" s="1"/>
      <c r="W436" s="2"/>
    </row>
    <row r="437" spans="22:23" x14ac:dyDescent="0.25">
      <c r="V437" s="1"/>
      <c r="W437" s="2"/>
    </row>
    <row r="438" spans="22:23" x14ac:dyDescent="0.25">
      <c r="V438" s="1"/>
      <c r="W438" s="2"/>
    </row>
    <row r="439" spans="22:23" x14ac:dyDescent="0.25">
      <c r="V439" s="1"/>
      <c r="W439" s="2"/>
    </row>
    <row r="440" spans="22:23" x14ac:dyDescent="0.25">
      <c r="V440" s="1"/>
      <c r="W440" s="2"/>
    </row>
    <row r="441" spans="22:23" x14ac:dyDescent="0.25">
      <c r="V441" s="1"/>
      <c r="W441" s="2"/>
    </row>
    <row r="442" spans="22:23" x14ac:dyDescent="0.25">
      <c r="V442" s="1"/>
      <c r="W442" s="2"/>
    </row>
    <row r="443" spans="22:23" x14ac:dyDescent="0.25">
      <c r="V443" s="1"/>
      <c r="W443" s="2"/>
    </row>
    <row r="444" spans="22:23" x14ac:dyDescent="0.25">
      <c r="V444" s="1"/>
      <c r="W444" s="2"/>
    </row>
    <row r="445" spans="22:23" x14ac:dyDescent="0.25">
      <c r="V445" s="1"/>
      <c r="W445" s="2"/>
    </row>
    <row r="446" spans="22:23" x14ac:dyDescent="0.25">
      <c r="V446" s="1"/>
      <c r="W446" s="2"/>
    </row>
    <row r="447" spans="22:23" x14ac:dyDescent="0.25">
      <c r="V447" s="1"/>
      <c r="W447" s="2"/>
    </row>
    <row r="448" spans="22:23" x14ac:dyDescent="0.25">
      <c r="V448" s="1"/>
      <c r="W448" s="2"/>
    </row>
    <row r="449" spans="5:23" x14ac:dyDescent="0.25">
      <c r="V449" s="1"/>
      <c r="W449" s="2"/>
    </row>
    <row r="450" spans="5:23" x14ac:dyDescent="0.25">
      <c r="V450" s="1"/>
      <c r="W450" s="2"/>
    </row>
    <row r="451" spans="5:23" x14ac:dyDescent="0.25">
      <c r="V451" s="1"/>
      <c r="W451" s="2"/>
    </row>
    <row r="452" spans="5:23" x14ac:dyDescent="0.25">
      <c r="V452" s="1"/>
      <c r="W452" s="2"/>
    </row>
    <row r="453" spans="5:23" x14ac:dyDescent="0.25">
      <c r="V453" s="1"/>
      <c r="W453" s="2"/>
    </row>
    <row r="454" spans="5:23" x14ac:dyDescent="0.25">
      <c r="E454" s="11"/>
      <c r="V454" s="1"/>
      <c r="W454" s="2"/>
    </row>
    <row r="455" spans="5:23" x14ac:dyDescent="0.25">
      <c r="V455" s="1"/>
      <c r="W455" s="2"/>
    </row>
    <row r="456" spans="5:23" x14ac:dyDescent="0.25">
      <c r="V456" s="1"/>
      <c r="W456" s="2"/>
    </row>
    <row r="457" spans="5:23" x14ac:dyDescent="0.25">
      <c r="V457" s="1"/>
      <c r="W457" s="2"/>
    </row>
    <row r="458" spans="5:23" x14ac:dyDescent="0.25">
      <c r="V458" s="1"/>
      <c r="W458" s="2"/>
    </row>
    <row r="459" spans="5:23" x14ac:dyDescent="0.25">
      <c r="V459" s="1"/>
      <c r="W459" s="2"/>
    </row>
    <row r="460" spans="5:23" x14ac:dyDescent="0.25">
      <c r="V460" s="1"/>
      <c r="W460" s="2"/>
    </row>
    <row r="461" spans="5:23" x14ac:dyDescent="0.25">
      <c r="V461" s="1"/>
      <c r="W461" s="2"/>
    </row>
    <row r="462" spans="5:23" x14ac:dyDescent="0.25">
      <c r="V462" s="1"/>
      <c r="W462" s="2"/>
    </row>
    <row r="463" spans="5:23" x14ac:dyDescent="0.25">
      <c r="V463" s="1"/>
      <c r="W463" s="2"/>
    </row>
    <row r="464" spans="5:23" x14ac:dyDescent="0.25">
      <c r="V464" s="1"/>
      <c r="W464" s="2"/>
    </row>
    <row r="465" spans="22:23" x14ac:dyDescent="0.25">
      <c r="V465" s="1"/>
      <c r="W465" s="2"/>
    </row>
    <row r="466" spans="22:23" x14ac:dyDescent="0.25">
      <c r="V466" s="1"/>
      <c r="W466" s="2"/>
    </row>
    <row r="467" spans="22:23" x14ac:dyDescent="0.25">
      <c r="V467" s="1"/>
      <c r="W467" s="2"/>
    </row>
    <row r="468" spans="22:23" x14ac:dyDescent="0.25">
      <c r="V468" s="1"/>
      <c r="W468" s="2"/>
    </row>
    <row r="469" spans="22:23" x14ac:dyDescent="0.25">
      <c r="V469" s="1"/>
      <c r="W469" s="2"/>
    </row>
    <row r="470" spans="22:23" x14ac:dyDescent="0.25">
      <c r="V470" s="1"/>
      <c r="W470" s="2"/>
    </row>
    <row r="471" spans="22:23" x14ac:dyDescent="0.25">
      <c r="V471" s="1"/>
      <c r="W471" s="2"/>
    </row>
    <row r="472" spans="22:23" x14ac:dyDescent="0.25">
      <c r="V472" s="1"/>
      <c r="W472" s="2"/>
    </row>
    <row r="473" spans="22:23" x14ac:dyDescent="0.25">
      <c r="V473" s="1"/>
      <c r="W473" s="2"/>
    </row>
    <row r="474" spans="22:23" x14ac:dyDescent="0.25">
      <c r="V474" s="1"/>
      <c r="W474" s="2"/>
    </row>
    <row r="475" spans="22:23" x14ac:dyDescent="0.25">
      <c r="V475" s="1"/>
      <c r="W475" s="2"/>
    </row>
    <row r="476" spans="22:23" x14ac:dyDescent="0.25">
      <c r="V476" s="1"/>
      <c r="W476" s="2"/>
    </row>
    <row r="477" spans="22:23" x14ac:dyDescent="0.25">
      <c r="V477" s="1"/>
      <c r="W477" s="2"/>
    </row>
    <row r="478" spans="22:23" x14ac:dyDescent="0.25">
      <c r="V478" s="1"/>
      <c r="W478" s="2"/>
    </row>
    <row r="479" spans="22:23" x14ac:dyDescent="0.25">
      <c r="V479" s="1"/>
      <c r="W479" s="2"/>
    </row>
    <row r="480" spans="22:23" x14ac:dyDescent="0.25">
      <c r="V480" s="1"/>
      <c r="W480" s="2"/>
    </row>
    <row r="481" spans="22:23" x14ac:dyDescent="0.25">
      <c r="V481" s="1"/>
      <c r="W481" s="2"/>
    </row>
    <row r="482" spans="22:23" x14ac:dyDescent="0.25">
      <c r="V482" s="1"/>
      <c r="W482" s="2"/>
    </row>
    <row r="483" spans="22:23" x14ac:dyDescent="0.25">
      <c r="V483" s="1"/>
      <c r="W483" s="2"/>
    </row>
    <row r="484" spans="22:23" x14ac:dyDescent="0.25">
      <c r="V484" s="1"/>
      <c r="W484" s="2"/>
    </row>
    <row r="485" spans="22:23" x14ac:dyDescent="0.25">
      <c r="V485" s="1"/>
      <c r="W485" s="2"/>
    </row>
    <row r="502" spans="5:5" x14ac:dyDescent="0.25">
      <c r="E50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1001"/>
  <sheetViews>
    <sheetView zoomScaleNormal="100" workbookViewId="0">
      <pane xSplit="4" ySplit="1" topLeftCell="I597" activePane="bottomRight" state="frozen"/>
      <selection pane="topRight" activeCell="E1" sqref="E1"/>
      <selection pane="bottomLeft" activeCell="A2" sqref="A2"/>
      <selection pane="bottomRight" activeCell="K439" sqref="K439"/>
    </sheetView>
  </sheetViews>
  <sheetFormatPr defaultColWidth="9.140625" defaultRowHeight="15.75" thickBottom="1" x14ac:dyDescent="0.3"/>
  <cols>
    <col min="1" max="1" width="4" style="4" bestFit="1" customWidth="1"/>
    <col min="2" max="2" width="15.5703125" style="4" bestFit="1" customWidth="1"/>
    <col min="3" max="3" width="6.42578125" style="4" bestFit="1" customWidth="1"/>
    <col min="4" max="4" width="27.7109375" style="4" bestFit="1" customWidth="1"/>
    <col min="5" max="5" width="17.42578125" style="4" customWidth="1"/>
    <col min="6" max="6" width="22.5703125" style="4" bestFit="1" customWidth="1"/>
    <col min="7" max="10" width="22.5703125" style="4" customWidth="1"/>
    <col min="11" max="11" width="29" style="4" bestFit="1" customWidth="1"/>
    <col min="12" max="12" width="15.140625" style="14" bestFit="1" customWidth="1"/>
    <col min="13" max="13" width="18" style="14" bestFit="1" customWidth="1"/>
    <col min="14" max="14" width="21.28515625" style="14" bestFit="1" customWidth="1"/>
    <col min="15" max="15" width="24.7109375" style="14" bestFit="1" customWidth="1"/>
    <col min="16" max="16" width="26.140625" style="14" bestFit="1" customWidth="1"/>
    <col min="17" max="17" width="20.7109375" style="14" bestFit="1" customWidth="1"/>
    <col min="18" max="18" width="22.28515625" style="14" bestFit="1" customWidth="1"/>
    <col min="19" max="19" width="23" style="14" bestFit="1" customWidth="1"/>
    <col min="20" max="21" width="18.85546875" style="15" bestFit="1" customWidth="1"/>
    <col min="22" max="22" width="12.5703125" style="15" bestFit="1" customWidth="1"/>
    <col min="23" max="23" width="12.7109375" style="15" bestFit="1" customWidth="1"/>
    <col min="24" max="24" width="18.85546875" style="15" bestFit="1" customWidth="1"/>
    <col min="25" max="25" width="11.140625" style="15" bestFit="1" customWidth="1"/>
    <col min="26" max="26" width="12.5703125" style="15" bestFit="1" customWidth="1"/>
    <col min="27" max="27" width="12.7109375" style="15" bestFit="1" customWidth="1"/>
    <col min="28" max="28" width="18.5703125" style="15" customWidth="1"/>
    <col min="29" max="29" width="12.42578125" style="15" bestFit="1" customWidth="1"/>
    <col min="30" max="30" width="12.28515625" style="15" bestFit="1" customWidth="1"/>
    <col min="31" max="31" width="17.42578125" style="15" bestFit="1" customWidth="1"/>
    <col min="32" max="32" width="18.5703125" style="15" customWidth="1"/>
    <col min="33" max="33" width="12.42578125" style="15" bestFit="1" customWidth="1"/>
    <col min="34" max="34" width="12.28515625" style="15" bestFit="1" customWidth="1"/>
    <col min="35" max="35" width="17.42578125" style="15" bestFit="1" customWidth="1"/>
    <col min="36" max="36" width="17" style="15" bestFit="1" customWidth="1"/>
    <col min="37" max="37" width="16.42578125" style="15" bestFit="1" customWidth="1"/>
    <col min="38" max="38" width="10.85546875" style="15" bestFit="1" customWidth="1"/>
    <col min="39" max="39" width="16.85546875" style="15" bestFit="1" customWidth="1"/>
    <col min="40" max="41" width="16.85546875" style="15" customWidth="1"/>
    <col min="42" max="42" width="11.7109375" style="15" bestFit="1" customWidth="1"/>
    <col min="43" max="43" width="18" style="15" bestFit="1" customWidth="1"/>
    <col min="44" max="53" width="18" style="15" customWidth="1"/>
    <col min="54" max="63" width="18" style="4" customWidth="1"/>
    <col min="64" max="64" width="14.7109375" style="4" bestFit="1" customWidth="1"/>
    <col min="65" max="66" width="16.85546875" style="4" bestFit="1" customWidth="1"/>
    <col min="67" max="67" width="89.85546875" style="4" bestFit="1" customWidth="1"/>
    <col min="68" max="69" width="13.5703125" style="4" customWidth="1"/>
    <col min="70" max="71" width="9.140625" style="4" customWidth="1"/>
    <col min="72" max="72" width="17" style="4" bestFit="1" customWidth="1"/>
    <col min="73" max="87" width="9.140625" style="4" customWidth="1"/>
    <col min="88" max="16384" width="9.140625" style="4"/>
  </cols>
  <sheetData>
    <row r="1" spans="1:68" ht="45.75" customHeight="1" thickBot="1" x14ac:dyDescent="0.3">
      <c r="A1" s="4" t="s">
        <v>1686</v>
      </c>
      <c r="B1" s="4" t="s">
        <v>1687</v>
      </c>
      <c r="C1" s="4" t="s">
        <v>1688</v>
      </c>
      <c r="D1" s="4" t="s">
        <v>1689</v>
      </c>
      <c r="E1" s="4" t="s">
        <v>1690</v>
      </c>
      <c r="F1" s="4" t="s">
        <v>1691</v>
      </c>
      <c r="G1" s="4" t="s">
        <v>1692</v>
      </c>
      <c r="H1" s="16" t="s">
        <v>1693</v>
      </c>
      <c r="I1" s="16" t="s">
        <v>1694</v>
      </c>
      <c r="J1" s="16" t="s">
        <v>1695</v>
      </c>
      <c r="K1" s="16" t="s">
        <v>1696</v>
      </c>
      <c r="L1" s="17" t="s">
        <v>1697</v>
      </c>
      <c r="M1" s="17" t="s">
        <v>1698</v>
      </c>
      <c r="N1" s="17" t="s">
        <v>1699</v>
      </c>
      <c r="O1" s="17" t="s">
        <v>1700</v>
      </c>
      <c r="P1" s="17" t="s">
        <v>1701</v>
      </c>
      <c r="Q1" s="17" t="s">
        <v>1702</v>
      </c>
      <c r="R1" s="17" t="s">
        <v>1703</v>
      </c>
      <c r="S1" s="17" t="s">
        <v>1704</v>
      </c>
      <c r="T1" s="18" t="s">
        <v>1705</v>
      </c>
      <c r="U1" s="18" t="s">
        <v>1706</v>
      </c>
      <c r="V1" s="18" t="s">
        <v>1707</v>
      </c>
      <c r="W1" s="18" t="s">
        <v>1708</v>
      </c>
      <c r="X1" s="18" t="s">
        <v>1709</v>
      </c>
      <c r="Y1" s="18" t="s">
        <v>1710</v>
      </c>
      <c r="Z1" s="18" t="s">
        <v>1711</v>
      </c>
      <c r="AA1" s="18" t="s">
        <v>1712</v>
      </c>
      <c r="AB1" s="18" t="s">
        <v>1713</v>
      </c>
      <c r="AC1" s="18" t="s">
        <v>1714</v>
      </c>
      <c r="AD1" s="18" t="s">
        <v>1715</v>
      </c>
      <c r="AE1" s="18" t="s">
        <v>1716</v>
      </c>
      <c r="AF1" s="18" t="s">
        <v>1717</v>
      </c>
      <c r="AG1" s="18" t="s">
        <v>1718</v>
      </c>
      <c r="AH1" s="18" t="s">
        <v>1719</v>
      </c>
      <c r="AI1" s="18" t="s">
        <v>1720</v>
      </c>
      <c r="AJ1" s="18" t="s">
        <v>1721</v>
      </c>
      <c r="AK1" s="18" t="s">
        <v>1722</v>
      </c>
      <c r="AL1" s="18" t="s">
        <v>1723</v>
      </c>
      <c r="AM1" s="18" t="s">
        <v>1724</v>
      </c>
      <c r="AN1" s="18" t="s">
        <v>1725</v>
      </c>
      <c r="AO1" s="18" t="s">
        <v>1726</v>
      </c>
      <c r="AP1" s="18" t="s">
        <v>1727</v>
      </c>
      <c r="AQ1" s="18" t="s">
        <v>1728</v>
      </c>
      <c r="AR1" s="18" t="s">
        <v>1729</v>
      </c>
      <c r="AS1" s="18" t="s">
        <v>1730</v>
      </c>
      <c r="AT1" s="18" t="s">
        <v>1731</v>
      </c>
      <c r="AU1" s="18" t="s">
        <v>1732</v>
      </c>
      <c r="AV1" s="18" t="s">
        <v>1733</v>
      </c>
      <c r="AW1" s="18" t="s">
        <v>1734</v>
      </c>
      <c r="AX1" s="18" t="s">
        <v>1735</v>
      </c>
      <c r="AY1" s="18" t="s">
        <v>1736</v>
      </c>
      <c r="AZ1" s="18" t="s">
        <v>1737</v>
      </c>
      <c r="BA1" s="18" t="s">
        <v>1738</v>
      </c>
      <c r="BL1" s="4" t="s">
        <v>1739</v>
      </c>
      <c r="BM1" s="4" t="s">
        <v>1740</v>
      </c>
      <c r="BN1" s="4" t="s">
        <v>527</v>
      </c>
      <c r="BO1" s="4" t="s">
        <v>1741</v>
      </c>
      <c r="BP1" s="4" t="s">
        <v>1742</v>
      </c>
    </row>
    <row r="2" spans="1:68" ht="15" customHeight="1" x14ac:dyDescent="0.25">
      <c r="A2" s="4">
        <v>1</v>
      </c>
      <c r="B2" s="4" t="s">
        <v>532</v>
      </c>
      <c r="C2" s="4">
        <v>1</v>
      </c>
      <c r="D2" s="4" t="s">
        <v>1743</v>
      </c>
      <c r="E2" s="4">
        <v>1</v>
      </c>
      <c r="F2" s="6" t="str">
        <f ca="1">Master_List!$AW$1</f>
        <v>PERPUSTAKAAN PUSAT</v>
      </c>
      <c r="G2" s="27" t="str">
        <f ca="1">Master_List!$AW$2</f>
        <v>09:30 PM</v>
      </c>
      <c r="H2" s="32" t="str">
        <f ca="1">Master_List!$AW$3</f>
        <v>20/07/2026</v>
      </c>
      <c r="I2" s="28" t="str">
        <f ca="1">Master_List!$AW$4</f>
        <v>28.5</v>
      </c>
      <c r="J2" s="6" t="str">
        <f ca="1">Master_List!$AW$5</f>
        <v>65</v>
      </c>
      <c r="K2" s="6" t="s">
        <v>533</v>
      </c>
      <c r="L2" s="22"/>
      <c r="M2" s="22"/>
      <c r="N2" s="22"/>
      <c r="O2" s="22"/>
      <c r="P2" s="22"/>
      <c r="Q2" s="22"/>
      <c r="R2" s="22"/>
      <c r="S2" s="22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6"/>
      <c r="BE2" s="6"/>
      <c r="BF2" s="6"/>
      <c r="BG2" s="6"/>
      <c r="BH2" s="24"/>
      <c r="BL2" s="4" t="s">
        <v>1744</v>
      </c>
      <c r="BM2" s="4" t="s">
        <v>1745</v>
      </c>
      <c r="BN2" s="4" t="s">
        <v>1746</v>
      </c>
      <c r="BO2" s="4" t="s">
        <v>1747</v>
      </c>
      <c r="BP2" t="s">
        <v>535</v>
      </c>
    </row>
    <row r="3" spans="1:68" ht="15" customHeight="1" x14ac:dyDescent="0.25">
      <c r="A3" s="4">
        <v>1</v>
      </c>
      <c r="B3" s="4" t="s">
        <v>532</v>
      </c>
      <c r="C3" s="4">
        <v>1</v>
      </c>
      <c r="D3" s="4" t="s">
        <v>1743</v>
      </c>
      <c r="E3" s="4">
        <v>1</v>
      </c>
      <c r="F3" s="6" t="str">
        <f ca="1">Master_List!$AW$1</f>
        <v>PERPUSTAKAAN PUSAT</v>
      </c>
      <c r="G3" s="27" t="str">
        <f ca="1">Master_List!$AW$2</f>
        <v>09:30 PM</v>
      </c>
      <c r="H3" s="32" t="str">
        <f ca="1">Master_List!$AW$3</f>
        <v>20/07/2026</v>
      </c>
      <c r="I3" s="28" t="str">
        <f ca="1">Master_List!$AW$4</f>
        <v>28.5</v>
      </c>
      <c r="J3" s="6" t="str">
        <f ca="1">Master_List!$AW$5</f>
        <v>65</v>
      </c>
      <c r="K3" s="6" t="s">
        <v>533</v>
      </c>
      <c r="L3" s="22"/>
      <c r="M3" s="22"/>
      <c r="N3" s="22"/>
      <c r="O3" s="22"/>
      <c r="P3" s="22"/>
      <c r="Q3" s="22"/>
      <c r="R3" s="22"/>
      <c r="S3" s="22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6"/>
      <c r="BE3" s="6"/>
      <c r="BF3" s="6"/>
      <c r="BG3" s="6"/>
      <c r="BH3" s="24"/>
      <c r="BL3" s="4" t="s">
        <v>1744</v>
      </c>
      <c r="BM3" s="4" t="s">
        <v>1745</v>
      </c>
      <c r="BN3" s="4" t="s">
        <v>1748</v>
      </c>
      <c r="BO3" s="4" t="str">
        <f t="shared" ref="BO3:BO66" si="0">BO2</f>
        <v>C:\Users\aremi\Desktop\REPORT CBM\PO TIANU JB\03. Raw Material\40. 10052026 SSU MEDINI SIGNATURE 33KV (VI)\IR</v>
      </c>
      <c r="BP3" t="s">
        <v>537</v>
      </c>
    </row>
    <row r="4" spans="1:68" ht="15" customHeight="1" x14ac:dyDescent="0.25">
      <c r="A4" s="4">
        <v>2</v>
      </c>
      <c r="B4" s="4" t="s">
        <v>532</v>
      </c>
      <c r="C4" s="4">
        <v>1</v>
      </c>
      <c r="D4" s="4" t="s">
        <v>1743</v>
      </c>
      <c r="E4" s="4">
        <v>2</v>
      </c>
      <c r="F4" s="6" t="str">
        <f ca="1">Master_List!$AW$1</f>
        <v>PERPUSTAKAAN PUSAT</v>
      </c>
      <c r="G4" s="27" t="str">
        <f ca="1">Master_List!$AW$2</f>
        <v>09:30 PM</v>
      </c>
      <c r="H4" s="32" t="str">
        <f ca="1">Master_List!$AW$3</f>
        <v>20/07/2026</v>
      </c>
      <c r="I4" s="28" t="str">
        <f ca="1">Master_List!$AW$4</f>
        <v>28.5</v>
      </c>
      <c r="J4" s="6" t="str">
        <f ca="1">Master_List!$AW$5</f>
        <v>65</v>
      </c>
      <c r="K4" s="6" t="s">
        <v>538</v>
      </c>
      <c r="L4" s="22"/>
      <c r="M4" s="22"/>
      <c r="N4" s="22"/>
      <c r="O4" s="22"/>
      <c r="P4" s="22"/>
      <c r="Q4" s="22"/>
      <c r="R4" s="22"/>
      <c r="S4" s="22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6"/>
      <c r="BE4" s="6"/>
      <c r="BF4" s="6"/>
      <c r="BG4" s="6"/>
      <c r="BH4" s="24"/>
      <c r="BL4" s="4" t="s">
        <v>1744</v>
      </c>
      <c r="BM4" s="4" t="s">
        <v>1749</v>
      </c>
      <c r="BN4" s="4" t="s">
        <v>1746</v>
      </c>
      <c r="BO4" s="4" t="str">
        <f t="shared" si="0"/>
        <v>C:\Users\aremi\Desktop\REPORT CBM\PO TIANU JB\03. Raw Material\40. 10052026 SSU MEDINI SIGNATURE 33KV (VI)\IR</v>
      </c>
      <c r="BP4" t="s">
        <v>539</v>
      </c>
    </row>
    <row r="5" spans="1:68" ht="15" customHeight="1" x14ac:dyDescent="0.25">
      <c r="A5" s="4">
        <v>2</v>
      </c>
      <c r="B5" s="4" t="s">
        <v>532</v>
      </c>
      <c r="C5" s="4">
        <v>1</v>
      </c>
      <c r="D5" s="4" t="s">
        <v>1743</v>
      </c>
      <c r="E5" s="4">
        <v>2</v>
      </c>
      <c r="F5" s="6" t="str">
        <f ca="1">Master_List!$AW$1</f>
        <v>PERPUSTAKAAN PUSAT</v>
      </c>
      <c r="G5" s="27" t="str">
        <f ca="1">Master_List!$AW$2</f>
        <v>09:30 PM</v>
      </c>
      <c r="H5" s="32" t="str">
        <f ca="1">Master_List!$AW$3</f>
        <v>20/07/2026</v>
      </c>
      <c r="I5" s="28" t="str">
        <f ca="1">Master_List!$AW$4</f>
        <v>28.5</v>
      </c>
      <c r="J5" s="6" t="str">
        <f ca="1">Master_List!$AW$5</f>
        <v>65</v>
      </c>
      <c r="K5" s="6" t="s">
        <v>538</v>
      </c>
      <c r="L5" s="22"/>
      <c r="M5" s="22"/>
      <c r="N5" s="22"/>
      <c r="O5" s="22"/>
      <c r="P5" s="22"/>
      <c r="Q5" s="22"/>
      <c r="R5" s="22"/>
      <c r="S5" s="22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6"/>
      <c r="BE5" s="6"/>
      <c r="BF5" s="6"/>
      <c r="BG5" s="6"/>
      <c r="BH5" s="24"/>
      <c r="BL5" s="4" t="s">
        <v>1744</v>
      </c>
      <c r="BM5" s="4" t="s">
        <v>1749</v>
      </c>
      <c r="BN5" s="4" t="s">
        <v>1748</v>
      </c>
      <c r="BO5" s="4" t="str">
        <f t="shared" si="0"/>
        <v>C:\Users\aremi\Desktop\REPORT CBM\PO TIANU JB\03. Raw Material\40. 10052026 SSU MEDINI SIGNATURE 33KV (VI)\IR</v>
      </c>
      <c r="BP5" t="s">
        <v>540</v>
      </c>
    </row>
    <row r="6" spans="1:68" ht="15" customHeight="1" x14ac:dyDescent="0.25">
      <c r="A6" s="4">
        <v>3</v>
      </c>
      <c r="B6" s="4" t="s">
        <v>532</v>
      </c>
      <c r="C6" s="4">
        <v>1</v>
      </c>
      <c r="D6" s="4" t="s">
        <v>1743</v>
      </c>
      <c r="E6" s="4">
        <v>3</v>
      </c>
      <c r="F6" s="6" t="str">
        <f ca="1">Master_List!$AW$1</f>
        <v>PERPUSTAKAAN PUSAT</v>
      </c>
      <c r="G6" s="27" t="str">
        <f ca="1">Master_List!$AW$2</f>
        <v>09:30 PM</v>
      </c>
      <c r="H6" s="32" t="str">
        <f ca="1">Master_List!$AW$3</f>
        <v>20/07/2026</v>
      </c>
      <c r="I6" s="28" t="str">
        <f ca="1">Master_List!$AW$4</f>
        <v>28.5</v>
      </c>
      <c r="J6" s="6" t="str">
        <f ca="1">Master_List!$AW$5</f>
        <v>65</v>
      </c>
      <c r="K6" s="6" t="s">
        <v>541</v>
      </c>
      <c r="L6" s="22"/>
      <c r="M6" s="22"/>
      <c r="N6" s="22"/>
      <c r="O6" s="22"/>
      <c r="P6" s="22"/>
      <c r="Q6" s="22"/>
      <c r="R6" s="22"/>
      <c r="S6" s="22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6"/>
      <c r="BE6" s="6"/>
      <c r="BF6" s="6"/>
      <c r="BG6" s="6"/>
      <c r="BH6" s="24"/>
      <c r="BL6" s="4" t="s">
        <v>1744</v>
      </c>
      <c r="BM6" s="4" t="s">
        <v>1750</v>
      </c>
      <c r="BN6" s="4" t="s">
        <v>1746</v>
      </c>
      <c r="BO6" s="4" t="str">
        <f t="shared" si="0"/>
        <v>C:\Users\aremi\Desktop\REPORT CBM\PO TIANU JB\03. Raw Material\40. 10052026 SSU MEDINI SIGNATURE 33KV (VI)\IR</v>
      </c>
      <c r="BP6" t="s">
        <v>542</v>
      </c>
    </row>
    <row r="7" spans="1:68" ht="15" customHeight="1" x14ac:dyDescent="0.25">
      <c r="A7" s="4">
        <v>3</v>
      </c>
      <c r="B7" s="4" t="s">
        <v>532</v>
      </c>
      <c r="C7" s="4">
        <v>1</v>
      </c>
      <c r="D7" s="4" t="s">
        <v>1743</v>
      </c>
      <c r="E7" s="4">
        <v>3</v>
      </c>
      <c r="F7" s="6" t="str">
        <f ca="1">Master_List!$AW$1</f>
        <v>PERPUSTAKAAN PUSAT</v>
      </c>
      <c r="G7" s="27" t="str">
        <f ca="1">Master_List!$AW$2</f>
        <v>09:30 PM</v>
      </c>
      <c r="H7" s="32" t="str">
        <f ca="1">Master_List!$AW$3</f>
        <v>20/07/2026</v>
      </c>
      <c r="I7" s="28" t="str">
        <f ca="1">Master_List!$AW$4</f>
        <v>28.5</v>
      </c>
      <c r="J7" s="6" t="str">
        <f ca="1">Master_List!$AW$5</f>
        <v>65</v>
      </c>
      <c r="K7" s="6" t="s">
        <v>541</v>
      </c>
      <c r="L7" s="22"/>
      <c r="M7" s="22"/>
      <c r="N7" s="22"/>
      <c r="O7" s="22"/>
      <c r="P7" s="22"/>
      <c r="Q7" s="22"/>
      <c r="R7" s="22"/>
      <c r="S7" s="22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6"/>
      <c r="BE7" s="6"/>
      <c r="BF7" s="6"/>
      <c r="BG7" s="6"/>
      <c r="BH7" s="24"/>
      <c r="BL7" s="4" t="s">
        <v>1744</v>
      </c>
      <c r="BM7" s="4" t="s">
        <v>1750</v>
      </c>
      <c r="BN7" s="4" t="s">
        <v>1748</v>
      </c>
      <c r="BO7" s="4" t="str">
        <f t="shared" si="0"/>
        <v>C:\Users\aremi\Desktop\REPORT CBM\PO TIANU JB\03. Raw Material\40. 10052026 SSU MEDINI SIGNATURE 33KV (VI)\IR</v>
      </c>
      <c r="BP7" t="s">
        <v>543</v>
      </c>
    </row>
    <row r="8" spans="1:68" ht="15" customHeight="1" x14ac:dyDescent="0.25">
      <c r="A8" s="4">
        <v>4</v>
      </c>
      <c r="B8" s="4" t="s">
        <v>532</v>
      </c>
      <c r="C8" s="4">
        <v>1</v>
      </c>
      <c r="D8" s="4" t="s">
        <v>1743</v>
      </c>
      <c r="E8" s="4">
        <v>4</v>
      </c>
      <c r="F8" s="6" t="str">
        <f ca="1">Master_List!$AW$1</f>
        <v>PERPUSTAKAAN PUSAT</v>
      </c>
      <c r="G8" s="27" t="str">
        <f ca="1">Master_List!$AW$2</f>
        <v>09:30 PM</v>
      </c>
      <c r="H8" s="32" t="str">
        <f ca="1">Master_List!$AW$3</f>
        <v>20/07/2026</v>
      </c>
      <c r="I8" s="28" t="str">
        <f ca="1">Master_List!$AW$4</f>
        <v>28.5</v>
      </c>
      <c r="J8" s="6" t="str">
        <f ca="1">Master_List!$AW$5</f>
        <v>65</v>
      </c>
      <c r="K8" s="6" t="s">
        <v>544</v>
      </c>
      <c r="L8" s="22"/>
      <c r="M8" s="22"/>
      <c r="N8" s="22"/>
      <c r="O8" s="22"/>
      <c r="P8" s="22"/>
      <c r="Q8" s="22"/>
      <c r="R8" s="22"/>
      <c r="S8" s="22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6"/>
      <c r="BE8" s="6"/>
      <c r="BF8" s="6"/>
      <c r="BG8" s="6"/>
      <c r="BH8" s="24"/>
      <c r="BL8" s="4" t="s">
        <v>1744</v>
      </c>
      <c r="BM8" s="4" t="s">
        <v>1751</v>
      </c>
      <c r="BN8" s="4" t="s">
        <v>1746</v>
      </c>
      <c r="BO8" s="4" t="str">
        <f t="shared" si="0"/>
        <v>C:\Users\aremi\Desktop\REPORT CBM\PO TIANU JB\03. Raw Material\40. 10052026 SSU MEDINI SIGNATURE 33KV (VI)\IR</v>
      </c>
      <c r="BP8" t="s">
        <v>545</v>
      </c>
    </row>
    <row r="9" spans="1:68" ht="15" customHeight="1" x14ac:dyDescent="0.25">
      <c r="A9" s="4">
        <v>4</v>
      </c>
      <c r="B9" s="4" t="s">
        <v>532</v>
      </c>
      <c r="C9" s="4">
        <v>1</v>
      </c>
      <c r="D9" s="4" t="s">
        <v>1743</v>
      </c>
      <c r="E9" s="4">
        <v>4</v>
      </c>
      <c r="F9" s="6" t="str">
        <f ca="1">Master_List!$AW$1</f>
        <v>PERPUSTAKAAN PUSAT</v>
      </c>
      <c r="G9" s="27" t="str">
        <f ca="1">Master_List!$AW$2</f>
        <v>09:30 PM</v>
      </c>
      <c r="H9" s="32" t="str">
        <f ca="1">Master_List!$AW$3</f>
        <v>20/07/2026</v>
      </c>
      <c r="I9" s="28" t="str">
        <f ca="1">Master_List!$AW$4</f>
        <v>28.5</v>
      </c>
      <c r="J9" s="6" t="str">
        <f ca="1">Master_List!$AW$5</f>
        <v>65</v>
      </c>
      <c r="K9" s="6" t="s">
        <v>544</v>
      </c>
      <c r="L9" s="22"/>
      <c r="M9" s="22"/>
      <c r="N9" s="22"/>
      <c r="O9" s="22"/>
      <c r="P9" s="22"/>
      <c r="Q9" s="22"/>
      <c r="R9" s="22"/>
      <c r="S9" s="22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6"/>
      <c r="BE9" s="6"/>
      <c r="BF9" s="6"/>
      <c r="BG9" s="6"/>
      <c r="BH9" s="24"/>
      <c r="BL9" s="4" t="s">
        <v>1744</v>
      </c>
      <c r="BM9" s="4" t="s">
        <v>1751</v>
      </c>
      <c r="BN9" s="4" t="s">
        <v>1748</v>
      </c>
      <c r="BO9" s="4" t="str">
        <f t="shared" si="0"/>
        <v>C:\Users\aremi\Desktop\REPORT CBM\PO TIANU JB\03. Raw Material\40. 10052026 SSU MEDINI SIGNATURE 33KV (VI)\IR</v>
      </c>
      <c r="BP9" t="s">
        <v>546</v>
      </c>
    </row>
    <row r="10" spans="1:68" ht="15" customHeight="1" x14ac:dyDescent="0.25">
      <c r="A10" s="4">
        <v>5</v>
      </c>
      <c r="B10" s="4" t="s">
        <v>532</v>
      </c>
      <c r="C10" s="4">
        <v>1</v>
      </c>
      <c r="D10" s="4" t="s">
        <v>1743</v>
      </c>
      <c r="E10" s="4">
        <v>5</v>
      </c>
      <c r="F10" s="6" t="str">
        <f ca="1">Master_List!$AW$1</f>
        <v>PERPUSTAKAAN PUSAT</v>
      </c>
      <c r="G10" s="27" t="str">
        <f ca="1">Master_List!$AW$2</f>
        <v>09:30 PM</v>
      </c>
      <c r="H10" s="32" t="str">
        <f ca="1">Master_List!$AW$3</f>
        <v>20/07/2026</v>
      </c>
      <c r="I10" s="28" t="str">
        <f ca="1">Master_List!$AW$4</f>
        <v>28.5</v>
      </c>
      <c r="J10" s="6" t="str">
        <f ca="1">Master_List!$AW$5</f>
        <v>65</v>
      </c>
      <c r="K10" s="6" t="s">
        <v>547</v>
      </c>
      <c r="L10" s="22"/>
      <c r="M10" s="22"/>
      <c r="N10" s="22"/>
      <c r="O10" s="22"/>
      <c r="P10" s="22"/>
      <c r="Q10" s="22"/>
      <c r="R10" s="22"/>
      <c r="S10" s="22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6"/>
      <c r="BE10" s="6"/>
      <c r="BF10" s="6"/>
      <c r="BG10" s="6"/>
      <c r="BH10" s="24"/>
      <c r="BL10" s="4" t="s">
        <v>1744</v>
      </c>
      <c r="BM10" s="4" t="s">
        <v>1752</v>
      </c>
      <c r="BN10" s="4" t="s">
        <v>1746</v>
      </c>
      <c r="BO10" s="4" t="str">
        <f t="shared" si="0"/>
        <v>C:\Users\aremi\Desktop\REPORT CBM\PO TIANU JB\03. Raw Material\40. 10052026 SSU MEDINI SIGNATURE 33KV (VI)\IR</v>
      </c>
      <c r="BP10" t="s">
        <v>548</v>
      </c>
    </row>
    <row r="11" spans="1:68" ht="15" customHeight="1" x14ac:dyDescent="0.25">
      <c r="A11" s="4">
        <v>5</v>
      </c>
      <c r="B11" s="4" t="s">
        <v>532</v>
      </c>
      <c r="C11" s="4">
        <v>1</v>
      </c>
      <c r="D11" s="4" t="s">
        <v>1743</v>
      </c>
      <c r="E11" s="4">
        <v>5</v>
      </c>
      <c r="F11" s="6" t="str">
        <f ca="1">Master_List!$AW$1</f>
        <v>PERPUSTAKAAN PUSAT</v>
      </c>
      <c r="G11" s="27" t="str">
        <f ca="1">Master_List!$AW$2</f>
        <v>09:30 PM</v>
      </c>
      <c r="H11" s="32" t="str">
        <f ca="1">Master_List!$AW$3</f>
        <v>20/07/2026</v>
      </c>
      <c r="I11" s="28" t="str">
        <f ca="1">Master_List!$AW$4</f>
        <v>28.5</v>
      </c>
      <c r="J11" s="6" t="str">
        <f ca="1">Master_List!$AW$5</f>
        <v>65</v>
      </c>
      <c r="K11" s="6" t="s">
        <v>547</v>
      </c>
      <c r="L11" s="22"/>
      <c r="M11" s="22"/>
      <c r="N11" s="22"/>
      <c r="O11" s="22"/>
      <c r="P11" s="22"/>
      <c r="Q11" s="22"/>
      <c r="R11" s="22"/>
      <c r="S11" s="22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6"/>
      <c r="BE11" s="6"/>
      <c r="BF11" s="6"/>
      <c r="BG11" s="6"/>
      <c r="BH11" s="24"/>
      <c r="BL11" s="4" t="s">
        <v>1744</v>
      </c>
      <c r="BM11" s="4" t="s">
        <v>1752</v>
      </c>
      <c r="BN11" s="4" t="s">
        <v>1748</v>
      </c>
      <c r="BO11" s="4" t="str">
        <f t="shared" si="0"/>
        <v>C:\Users\aremi\Desktop\REPORT CBM\PO TIANU JB\03. Raw Material\40. 10052026 SSU MEDINI SIGNATURE 33KV (VI)\IR</v>
      </c>
      <c r="BP11" t="s">
        <v>549</v>
      </c>
    </row>
    <row r="12" spans="1:68" ht="15" customHeight="1" x14ac:dyDescent="0.25">
      <c r="A12" s="4">
        <v>6</v>
      </c>
      <c r="B12" s="4" t="s">
        <v>532</v>
      </c>
      <c r="C12" s="4">
        <v>1</v>
      </c>
      <c r="D12" s="4" t="s">
        <v>1743</v>
      </c>
      <c r="E12" s="4">
        <v>6</v>
      </c>
      <c r="F12" s="6" t="str">
        <f ca="1">Master_List!$AW$1</f>
        <v>PERPUSTAKAAN PUSAT</v>
      </c>
      <c r="G12" s="27" t="str">
        <f ca="1">Master_List!$AW$2</f>
        <v>09:30 PM</v>
      </c>
      <c r="H12" s="32" t="str">
        <f ca="1">Master_List!$AW$3</f>
        <v>20/07/2026</v>
      </c>
      <c r="I12" s="28" t="str">
        <f ca="1">Master_List!$AW$4</f>
        <v>28.5</v>
      </c>
      <c r="J12" s="6" t="str">
        <f ca="1">Master_List!$AW$5</f>
        <v>65</v>
      </c>
      <c r="K12" s="6" t="s">
        <v>550</v>
      </c>
      <c r="L12" s="22"/>
      <c r="M12" s="22"/>
      <c r="N12" s="22"/>
      <c r="O12" s="22"/>
      <c r="P12" s="22"/>
      <c r="Q12" s="22"/>
      <c r="R12" s="22"/>
      <c r="S12" s="22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6"/>
      <c r="BE12" s="6"/>
      <c r="BF12" s="6"/>
      <c r="BG12" s="6"/>
      <c r="BH12" s="24"/>
      <c r="BL12" s="4" t="s">
        <v>1744</v>
      </c>
      <c r="BM12" s="4" t="s">
        <v>1753</v>
      </c>
      <c r="BN12" s="4" t="s">
        <v>1746</v>
      </c>
      <c r="BO12" s="4" t="str">
        <f t="shared" si="0"/>
        <v>C:\Users\aremi\Desktop\REPORT CBM\PO TIANU JB\03. Raw Material\40. 10052026 SSU MEDINI SIGNATURE 33KV (VI)\IR</v>
      </c>
      <c r="BP12" t="s">
        <v>551</v>
      </c>
    </row>
    <row r="13" spans="1:68" ht="15" customHeight="1" x14ac:dyDescent="0.25">
      <c r="A13" s="4">
        <v>6</v>
      </c>
      <c r="B13" s="4" t="s">
        <v>532</v>
      </c>
      <c r="C13" s="4">
        <v>1</v>
      </c>
      <c r="D13" s="4" t="s">
        <v>1743</v>
      </c>
      <c r="E13" s="4">
        <v>6</v>
      </c>
      <c r="F13" s="6" t="str">
        <f ca="1">Master_List!$AW$1</f>
        <v>PERPUSTAKAAN PUSAT</v>
      </c>
      <c r="G13" s="27" t="str">
        <f ca="1">Master_List!$AW$2</f>
        <v>09:30 PM</v>
      </c>
      <c r="H13" s="32" t="str">
        <f ca="1">Master_List!$AW$3</f>
        <v>20/07/2026</v>
      </c>
      <c r="I13" s="28" t="str">
        <f ca="1">Master_List!$AW$4</f>
        <v>28.5</v>
      </c>
      <c r="J13" s="6" t="str">
        <f ca="1">Master_List!$AW$5</f>
        <v>65</v>
      </c>
      <c r="K13" s="6" t="s">
        <v>550</v>
      </c>
      <c r="L13" s="22"/>
      <c r="M13" s="22"/>
      <c r="N13" s="22"/>
      <c r="O13" s="22"/>
      <c r="P13" s="22"/>
      <c r="Q13" s="22"/>
      <c r="R13" s="22"/>
      <c r="S13" s="22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6"/>
      <c r="BE13" s="6"/>
      <c r="BF13" s="6"/>
      <c r="BG13" s="6"/>
      <c r="BH13" s="24"/>
      <c r="BL13" s="4" t="s">
        <v>1744</v>
      </c>
      <c r="BM13" s="4" t="s">
        <v>1753</v>
      </c>
      <c r="BN13" s="4" t="s">
        <v>1748</v>
      </c>
      <c r="BO13" s="4" t="str">
        <f t="shared" si="0"/>
        <v>C:\Users\aremi\Desktop\REPORT CBM\PO TIANU JB\03. Raw Material\40. 10052026 SSU MEDINI SIGNATURE 33KV (VI)\IR</v>
      </c>
      <c r="BP13" t="s">
        <v>552</v>
      </c>
    </row>
    <row r="14" spans="1:68" ht="15" customHeight="1" x14ac:dyDescent="0.25">
      <c r="A14" s="4">
        <v>7</v>
      </c>
      <c r="B14" s="4" t="s">
        <v>532</v>
      </c>
      <c r="C14" s="4">
        <v>1</v>
      </c>
      <c r="D14" s="4" t="s">
        <v>1743</v>
      </c>
      <c r="E14" s="4">
        <v>7</v>
      </c>
      <c r="F14" s="6" t="str">
        <f ca="1">Master_List!$AW$1</f>
        <v>PERPUSTAKAAN PUSAT</v>
      </c>
      <c r="G14" s="27" t="str">
        <f ca="1">Master_List!$AW$2</f>
        <v>09:30 PM</v>
      </c>
      <c r="H14" s="32" t="str">
        <f ca="1">Master_List!$AW$3</f>
        <v>20/07/2026</v>
      </c>
      <c r="I14" s="28" t="str">
        <f ca="1">Master_List!$AW$4</f>
        <v>28.5</v>
      </c>
      <c r="J14" s="6" t="str">
        <f ca="1">Master_List!$AW$5</f>
        <v>65</v>
      </c>
      <c r="K14" s="6" t="s">
        <v>553</v>
      </c>
      <c r="L14" s="22"/>
      <c r="M14" s="22"/>
      <c r="N14" s="22"/>
      <c r="O14" s="22"/>
      <c r="P14" s="22"/>
      <c r="Q14" s="22"/>
      <c r="R14" s="22"/>
      <c r="S14" s="22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6"/>
      <c r="BE14" s="6"/>
      <c r="BF14" s="6"/>
      <c r="BG14" s="6"/>
      <c r="BH14" s="24"/>
      <c r="BL14" s="4" t="s">
        <v>1744</v>
      </c>
      <c r="BM14" s="4" t="s">
        <v>1754</v>
      </c>
      <c r="BN14" s="4" t="s">
        <v>1746</v>
      </c>
      <c r="BO14" s="4" t="str">
        <f t="shared" si="0"/>
        <v>C:\Users\aremi\Desktop\REPORT CBM\PO TIANU JB\03. Raw Material\40. 10052026 SSU MEDINI SIGNATURE 33KV (VI)\IR</v>
      </c>
      <c r="BP14" t="s">
        <v>554</v>
      </c>
    </row>
    <row r="15" spans="1:68" ht="15" customHeight="1" x14ac:dyDescent="0.25">
      <c r="A15" s="4">
        <v>7</v>
      </c>
      <c r="B15" s="4" t="s">
        <v>532</v>
      </c>
      <c r="C15" s="4">
        <v>1</v>
      </c>
      <c r="D15" s="4" t="s">
        <v>1743</v>
      </c>
      <c r="E15" s="4">
        <v>7</v>
      </c>
      <c r="F15" s="6" t="str">
        <f ca="1">Master_List!$AW$1</f>
        <v>PERPUSTAKAAN PUSAT</v>
      </c>
      <c r="G15" s="27" t="str">
        <f ca="1">Master_List!$AW$2</f>
        <v>09:30 PM</v>
      </c>
      <c r="H15" s="32" t="str">
        <f ca="1">Master_List!$AW$3</f>
        <v>20/07/2026</v>
      </c>
      <c r="I15" s="28" t="str">
        <f ca="1">Master_List!$AW$4</f>
        <v>28.5</v>
      </c>
      <c r="J15" s="6" t="str">
        <f ca="1">Master_List!$AW$5</f>
        <v>65</v>
      </c>
      <c r="K15" s="6" t="s">
        <v>553</v>
      </c>
      <c r="L15" s="22"/>
      <c r="M15" s="22"/>
      <c r="N15" s="22"/>
      <c r="O15" s="22"/>
      <c r="P15" s="22"/>
      <c r="Q15" s="22"/>
      <c r="R15" s="22"/>
      <c r="S15" s="22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6"/>
      <c r="BE15" s="6"/>
      <c r="BF15" s="6"/>
      <c r="BG15" s="6"/>
      <c r="BH15" s="24"/>
      <c r="BL15" s="4" t="s">
        <v>1744</v>
      </c>
      <c r="BM15" s="4" t="s">
        <v>1754</v>
      </c>
      <c r="BN15" s="4" t="s">
        <v>1748</v>
      </c>
      <c r="BO15" s="4" t="str">
        <f t="shared" si="0"/>
        <v>C:\Users\aremi\Desktop\REPORT CBM\PO TIANU JB\03. Raw Material\40. 10052026 SSU MEDINI SIGNATURE 33KV (VI)\IR</v>
      </c>
      <c r="BP15" t="s">
        <v>555</v>
      </c>
    </row>
    <row r="16" spans="1:68" ht="15" customHeight="1" x14ac:dyDescent="0.25">
      <c r="A16" s="4">
        <v>8</v>
      </c>
      <c r="B16" s="4" t="s">
        <v>532</v>
      </c>
      <c r="C16" s="4">
        <v>1</v>
      </c>
      <c r="D16" s="4" t="s">
        <v>1743</v>
      </c>
      <c r="E16" s="4">
        <v>8</v>
      </c>
      <c r="F16" s="6" t="str">
        <f ca="1">Master_List!$AW$1</f>
        <v>PERPUSTAKAAN PUSAT</v>
      </c>
      <c r="G16" s="27" t="str">
        <f ca="1">Master_List!$AW$2</f>
        <v>09:30 PM</v>
      </c>
      <c r="H16" s="32" t="str">
        <f ca="1">Master_List!$AW$3</f>
        <v>20/07/2026</v>
      </c>
      <c r="I16" s="28" t="str">
        <f ca="1">Master_List!$AW$4</f>
        <v>28.5</v>
      </c>
      <c r="J16" s="6" t="str">
        <f ca="1">Master_List!$AW$5</f>
        <v>65</v>
      </c>
      <c r="K16" s="6" t="s">
        <v>556</v>
      </c>
      <c r="L16" s="22"/>
      <c r="M16" s="22"/>
      <c r="N16" s="22"/>
      <c r="O16" s="22"/>
      <c r="P16" s="22"/>
      <c r="Q16" s="22"/>
      <c r="R16" s="22"/>
      <c r="S16" s="22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6"/>
      <c r="BE16" s="6"/>
      <c r="BF16" s="6"/>
      <c r="BG16" s="6"/>
      <c r="BH16" s="24"/>
      <c r="BL16" s="4" t="s">
        <v>1744</v>
      </c>
      <c r="BM16" s="4" t="s">
        <v>1755</v>
      </c>
      <c r="BN16" s="4" t="s">
        <v>1746</v>
      </c>
      <c r="BO16" s="4" t="str">
        <f t="shared" si="0"/>
        <v>C:\Users\aremi\Desktop\REPORT CBM\PO TIANU JB\03. Raw Material\40. 10052026 SSU MEDINI SIGNATURE 33KV (VI)\IR</v>
      </c>
      <c r="BP16" t="s">
        <v>557</v>
      </c>
    </row>
    <row r="17" spans="1:68" ht="15" customHeight="1" x14ac:dyDescent="0.25">
      <c r="A17" s="4">
        <v>8</v>
      </c>
      <c r="B17" s="4" t="s">
        <v>532</v>
      </c>
      <c r="C17" s="4">
        <v>1</v>
      </c>
      <c r="D17" s="4" t="s">
        <v>1743</v>
      </c>
      <c r="E17" s="4">
        <v>8</v>
      </c>
      <c r="F17" s="6" t="str">
        <f ca="1">Master_List!$AW$1</f>
        <v>PERPUSTAKAAN PUSAT</v>
      </c>
      <c r="G17" s="27" t="str">
        <f ca="1">Master_List!$AW$2</f>
        <v>09:30 PM</v>
      </c>
      <c r="H17" s="32" t="str">
        <f ca="1">Master_List!$AW$3</f>
        <v>20/07/2026</v>
      </c>
      <c r="I17" s="28" t="str">
        <f ca="1">Master_List!$AW$4</f>
        <v>28.5</v>
      </c>
      <c r="J17" s="6" t="str">
        <f ca="1">Master_List!$AW$5</f>
        <v>65</v>
      </c>
      <c r="K17" s="6" t="s">
        <v>556</v>
      </c>
      <c r="L17" s="22"/>
      <c r="M17" s="22"/>
      <c r="N17" s="22"/>
      <c r="O17" s="22"/>
      <c r="P17" s="22"/>
      <c r="Q17" s="22"/>
      <c r="R17" s="22"/>
      <c r="S17" s="22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6"/>
      <c r="BE17" s="6"/>
      <c r="BF17" s="6"/>
      <c r="BG17" s="6"/>
      <c r="BH17" s="24"/>
      <c r="BL17" s="4" t="s">
        <v>1744</v>
      </c>
      <c r="BM17" s="4" t="s">
        <v>1755</v>
      </c>
      <c r="BN17" s="4" t="s">
        <v>1748</v>
      </c>
      <c r="BO17" s="4" t="str">
        <f t="shared" si="0"/>
        <v>C:\Users\aremi\Desktop\REPORT CBM\PO TIANU JB\03. Raw Material\40. 10052026 SSU MEDINI SIGNATURE 33KV (VI)\IR</v>
      </c>
      <c r="BP17" t="s">
        <v>558</v>
      </c>
    </row>
    <row r="18" spans="1:68" ht="15" customHeight="1" x14ac:dyDescent="0.25">
      <c r="A18" s="4">
        <v>9</v>
      </c>
      <c r="B18" s="4" t="s">
        <v>532</v>
      </c>
      <c r="C18" s="4">
        <v>1</v>
      </c>
      <c r="D18" s="4" t="s">
        <v>1743</v>
      </c>
      <c r="E18" s="4">
        <v>9</v>
      </c>
      <c r="F18" s="6" t="str">
        <f ca="1">Master_List!$AW$1</f>
        <v>PERPUSTAKAAN PUSAT</v>
      </c>
      <c r="G18" s="27" t="str">
        <f ca="1">Master_List!$AW$2</f>
        <v>09:30 PM</v>
      </c>
      <c r="H18" s="32" t="str">
        <f ca="1">Master_List!$AW$3</f>
        <v>20/07/2026</v>
      </c>
      <c r="I18" s="28" t="str">
        <f ca="1">Master_List!$AW$4</f>
        <v>28.5</v>
      </c>
      <c r="J18" s="6" t="str">
        <f ca="1">Master_List!$AW$5</f>
        <v>65</v>
      </c>
      <c r="K18" s="6" t="s">
        <v>553</v>
      </c>
      <c r="L18" s="22"/>
      <c r="M18" s="22"/>
      <c r="N18" s="22"/>
      <c r="O18" s="22"/>
      <c r="P18" s="22"/>
      <c r="Q18" s="22"/>
      <c r="R18" s="22"/>
      <c r="S18" s="22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6"/>
      <c r="BE18" s="6"/>
      <c r="BF18" s="6"/>
      <c r="BG18" s="6"/>
      <c r="BH18" s="24"/>
      <c r="BL18" s="4" t="s">
        <v>1744</v>
      </c>
      <c r="BM18" s="4" t="s">
        <v>1756</v>
      </c>
      <c r="BN18" s="4" t="s">
        <v>1746</v>
      </c>
      <c r="BO18" s="4" t="str">
        <f t="shared" si="0"/>
        <v>C:\Users\aremi\Desktop\REPORT CBM\PO TIANU JB\03. Raw Material\40. 10052026 SSU MEDINI SIGNATURE 33KV (VI)\IR</v>
      </c>
      <c r="BP18" t="s">
        <v>559</v>
      </c>
    </row>
    <row r="19" spans="1:68" ht="15" customHeight="1" x14ac:dyDescent="0.25">
      <c r="A19" s="4">
        <v>9</v>
      </c>
      <c r="B19" s="4" t="s">
        <v>532</v>
      </c>
      <c r="C19" s="4">
        <v>1</v>
      </c>
      <c r="D19" s="4" t="s">
        <v>1743</v>
      </c>
      <c r="E19" s="4">
        <v>9</v>
      </c>
      <c r="F19" s="6" t="str">
        <f ca="1">Master_List!$AW$1</f>
        <v>PERPUSTAKAAN PUSAT</v>
      </c>
      <c r="G19" s="27" t="str">
        <f ca="1">Master_List!$AW$2</f>
        <v>09:30 PM</v>
      </c>
      <c r="H19" s="32" t="str">
        <f ca="1">Master_List!$AW$3</f>
        <v>20/07/2026</v>
      </c>
      <c r="I19" s="28" t="str">
        <f ca="1">Master_List!$AW$4</f>
        <v>28.5</v>
      </c>
      <c r="J19" s="6" t="str">
        <f ca="1">Master_List!$AW$5</f>
        <v>65</v>
      </c>
      <c r="K19" s="6" t="s">
        <v>553</v>
      </c>
      <c r="L19" s="22"/>
      <c r="M19" s="22"/>
      <c r="N19" s="22"/>
      <c r="O19" s="22"/>
      <c r="P19" s="22"/>
      <c r="Q19" s="22"/>
      <c r="R19" s="22"/>
      <c r="S19" s="22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6"/>
      <c r="BE19" s="6"/>
      <c r="BF19" s="6"/>
      <c r="BG19" s="6"/>
      <c r="BH19" s="24"/>
      <c r="BL19" s="4" t="s">
        <v>1744</v>
      </c>
      <c r="BM19" s="4" t="s">
        <v>1756</v>
      </c>
      <c r="BN19" s="4" t="s">
        <v>1748</v>
      </c>
      <c r="BO19" s="4" t="str">
        <f t="shared" si="0"/>
        <v>C:\Users\aremi\Desktop\REPORT CBM\PO TIANU JB\03. Raw Material\40. 10052026 SSU MEDINI SIGNATURE 33KV (VI)\IR</v>
      </c>
      <c r="BP19" t="s">
        <v>560</v>
      </c>
    </row>
    <row r="20" spans="1:68" ht="15" customHeight="1" x14ac:dyDescent="0.25">
      <c r="A20" s="4">
        <v>10</v>
      </c>
      <c r="B20" s="4" t="s">
        <v>532</v>
      </c>
      <c r="C20" s="4">
        <v>1</v>
      </c>
      <c r="D20" s="4" t="s">
        <v>1743</v>
      </c>
      <c r="E20" s="4">
        <v>10</v>
      </c>
      <c r="F20" s="6" t="str">
        <f ca="1">Master_List!$AW$1</f>
        <v>PERPUSTAKAAN PUSAT</v>
      </c>
      <c r="G20" s="27" t="str">
        <f ca="1">Master_List!$AW$2</f>
        <v>09:30 PM</v>
      </c>
      <c r="H20" s="32" t="str">
        <f ca="1">Master_List!$AW$3</f>
        <v>20/07/2026</v>
      </c>
      <c r="I20" s="28" t="str">
        <f ca="1">Master_List!$AW$4</f>
        <v>28.5</v>
      </c>
      <c r="J20" s="6" t="str">
        <f ca="1">Master_List!$AW$5</f>
        <v>65</v>
      </c>
      <c r="K20" s="6" t="s">
        <v>556</v>
      </c>
      <c r="L20" s="22"/>
      <c r="M20" s="22"/>
      <c r="N20" s="22"/>
      <c r="O20" s="22"/>
      <c r="P20" s="22"/>
      <c r="Q20" s="22"/>
      <c r="R20" s="22"/>
      <c r="S20" s="22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6"/>
      <c r="BE20" s="6"/>
      <c r="BF20" s="6"/>
      <c r="BG20" s="6"/>
      <c r="BH20" s="24"/>
      <c r="BL20" s="4" t="s">
        <v>1744</v>
      </c>
      <c r="BM20" s="4" t="s">
        <v>1757</v>
      </c>
      <c r="BN20" s="4" t="s">
        <v>1746</v>
      </c>
      <c r="BO20" s="4" t="str">
        <f t="shared" si="0"/>
        <v>C:\Users\aremi\Desktop\REPORT CBM\PO TIANU JB\03. Raw Material\40. 10052026 SSU MEDINI SIGNATURE 33KV (VI)\IR</v>
      </c>
      <c r="BP20" t="s">
        <v>561</v>
      </c>
    </row>
    <row r="21" spans="1:68" ht="15" customHeight="1" x14ac:dyDescent="0.25">
      <c r="A21" s="4">
        <v>10</v>
      </c>
      <c r="B21" s="4" t="s">
        <v>532</v>
      </c>
      <c r="C21" s="4">
        <v>1</v>
      </c>
      <c r="D21" s="4" t="s">
        <v>1743</v>
      </c>
      <c r="E21" s="4">
        <v>10</v>
      </c>
      <c r="F21" s="6" t="str">
        <f ca="1">Master_List!$AW$1</f>
        <v>PERPUSTAKAAN PUSAT</v>
      </c>
      <c r="G21" s="27" t="str">
        <f ca="1">Master_List!$AW$2</f>
        <v>09:30 PM</v>
      </c>
      <c r="H21" s="32" t="str">
        <f ca="1">Master_List!$AW$3</f>
        <v>20/07/2026</v>
      </c>
      <c r="I21" s="28" t="str">
        <f ca="1">Master_List!$AW$4</f>
        <v>28.5</v>
      </c>
      <c r="J21" s="6" t="str">
        <f ca="1">Master_List!$AW$5</f>
        <v>65</v>
      </c>
      <c r="K21" s="6" t="s">
        <v>556</v>
      </c>
      <c r="L21" s="22"/>
      <c r="M21" s="22"/>
      <c r="N21" s="22"/>
      <c r="O21" s="22"/>
      <c r="P21" s="22"/>
      <c r="Q21" s="22"/>
      <c r="R21" s="22"/>
      <c r="S21" s="22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6"/>
      <c r="BE21" s="6"/>
      <c r="BF21" s="6"/>
      <c r="BG21" s="6"/>
      <c r="BH21" s="24"/>
      <c r="BL21" s="4" t="s">
        <v>1744</v>
      </c>
      <c r="BM21" s="4" t="s">
        <v>1757</v>
      </c>
      <c r="BN21" s="4" t="s">
        <v>1748</v>
      </c>
      <c r="BO21" s="4" t="str">
        <f t="shared" si="0"/>
        <v>C:\Users\aremi\Desktop\REPORT CBM\PO TIANU JB\03. Raw Material\40. 10052026 SSU MEDINI SIGNATURE 33KV (VI)\IR</v>
      </c>
      <c r="BP21" t="s">
        <v>562</v>
      </c>
    </row>
    <row r="22" spans="1:68" ht="15" customHeight="1" x14ac:dyDescent="0.25">
      <c r="A22" s="4">
        <v>11</v>
      </c>
      <c r="B22" s="4" t="s">
        <v>532</v>
      </c>
      <c r="C22" s="4">
        <v>1</v>
      </c>
      <c r="D22" s="4" t="s">
        <v>1743</v>
      </c>
      <c r="E22" s="4">
        <v>11</v>
      </c>
      <c r="F22" s="6" t="str">
        <f ca="1">Master_List!$AW$1</f>
        <v>PERPUSTAKAAN PUSAT</v>
      </c>
      <c r="G22" s="27" t="str">
        <f ca="1">Master_List!$AW$2</f>
        <v>09:30 PM</v>
      </c>
      <c r="H22" s="32" t="str">
        <f ca="1">Master_List!$AW$3</f>
        <v>20/07/2026</v>
      </c>
      <c r="I22" s="28" t="str">
        <f ca="1">Master_List!$AW$4</f>
        <v>28.5</v>
      </c>
      <c r="J22" s="6" t="str">
        <f ca="1">Master_List!$AW$5</f>
        <v>65</v>
      </c>
      <c r="K22" s="6" t="s">
        <v>563</v>
      </c>
      <c r="L22" s="22"/>
      <c r="M22" s="22"/>
      <c r="N22" s="22"/>
      <c r="O22" s="22"/>
      <c r="P22" s="22"/>
      <c r="Q22" s="22"/>
      <c r="R22" s="22"/>
      <c r="S22" s="22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6"/>
      <c r="BE22" s="6"/>
      <c r="BF22" s="6"/>
      <c r="BG22" s="6"/>
      <c r="BH22" s="24"/>
      <c r="BL22" s="4" t="s">
        <v>1744</v>
      </c>
      <c r="BM22" s="4" t="s">
        <v>1758</v>
      </c>
      <c r="BN22" s="4" t="s">
        <v>1746</v>
      </c>
      <c r="BO22" s="4" t="str">
        <f t="shared" si="0"/>
        <v>C:\Users\aremi\Desktop\REPORT CBM\PO TIANU JB\03. Raw Material\40. 10052026 SSU MEDINI SIGNATURE 33KV (VI)\IR</v>
      </c>
      <c r="BP22" t="s">
        <v>564</v>
      </c>
    </row>
    <row r="23" spans="1:68" ht="15" customHeight="1" x14ac:dyDescent="0.25">
      <c r="A23" s="4">
        <v>11</v>
      </c>
      <c r="B23" s="4" t="s">
        <v>532</v>
      </c>
      <c r="C23" s="4">
        <v>1</v>
      </c>
      <c r="D23" s="4" t="s">
        <v>1743</v>
      </c>
      <c r="E23" s="4">
        <v>11</v>
      </c>
      <c r="F23" s="6" t="str">
        <f ca="1">Master_List!$AW$1</f>
        <v>PERPUSTAKAAN PUSAT</v>
      </c>
      <c r="G23" s="27" t="str">
        <f ca="1">Master_List!$AW$2</f>
        <v>09:30 PM</v>
      </c>
      <c r="H23" s="32" t="str">
        <f ca="1">Master_List!$AW$3</f>
        <v>20/07/2026</v>
      </c>
      <c r="I23" s="28" t="str">
        <f ca="1">Master_List!$AW$4</f>
        <v>28.5</v>
      </c>
      <c r="J23" s="6" t="str">
        <f ca="1">Master_List!$AW$5</f>
        <v>65</v>
      </c>
      <c r="K23" s="6" t="s">
        <v>563</v>
      </c>
      <c r="L23" s="22"/>
      <c r="M23" s="22"/>
      <c r="N23" s="22"/>
      <c r="O23" s="22"/>
      <c r="P23" s="22"/>
      <c r="Q23" s="22"/>
      <c r="R23" s="22"/>
      <c r="S23" s="22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6"/>
      <c r="BE23" s="6"/>
      <c r="BF23" s="6"/>
      <c r="BG23" s="6"/>
      <c r="BH23" s="24"/>
      <c r="BL23" s="4" t="s">
        <v>1744</v>
      </c>
      <c r="BM23" s="4" t="s">
        <v>1758</v>
      </c>
      <c r="BN23" s="4" t="s">
        <v>1748</v>
      </c>
      <c r="BO23" s="4" t="str">
        <f t="shared" si="0"/>
        <v>C:\Users\aremi\Desktop\REPORT CBM\PO TIANU JB\03. Raw Material\40. 10052026 SSU MEDINI SIGNATURE 33KV (VI)\IR</v>
      </c>
      <c r="BP23" t="s">
        <v>565</v>
      </c>
    </row>
    <row r="24" spans="1:68" ht="15" customHeight="1" x14ac:dyDescent="0.25">
      <c r="A24" s="4">
        <v>12</v>
      </c>
      <c r="B24" s="4" t="s">
        <v>532</v>
      </c>
      <c r="C24" s="4">
        <v>1</v>
      </c>
      <c r="D24" s="4" t="s">
        <v>1743</v>
      </c>
      <c r="E24" s="4">
        <v>12</v>
      </c>
      <c r="F24" s="6" t="str">
        <f ca="1">Master_List!$AW$1</f>
        <v>PERPUSTAKAAN PUSAT</v>
      </c>
      <c r="G24" s="27" t="str">
        <f ca="1">Master_List!$AW$2</f>
        <v>09:30 PM</v>
      </c>
      <c r="H24" s="32" t="str">
        <f ca="1">Master_List!$AW$3</f>
        <v>20/07/2026</v>
      </c>
      <c r="I24" s="28" t="str">
        <f ca="1">Master_List!$AW$4</f>
        <v>28.5</v>
      </c>
      <c r="J24" s="6" t="str">
        <f ca="1">Master_List!$AW$5</f>
        <v>65</v>
      </c>
      <c r="K24" s="6" t="s">
        <v>566</v>
      </c>
      <c r="L24" s="22"/>
      <c r="M24" s="22"/>
      <c r="N24" s="22"/>
      <c r="O24" s="22"/>
      <c r="P24" s="22"/>
      <c r="Q24" s="22"/>
      <c r="R24" s="22"/>
      <c r="S24" s="22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6"/>
      <c r="BE24" s="6"/>
      <c r="BF24" s="6"/>
      <c r="BG24" s="6"/>
      <c r="BH24" s="24"/>
      <c r="BL24" s="4" t="s">
        <v>1744</v>
      </c>
      <c r="BM24" s="4" t="s">
        <v>1759</v>
      </c>
      <c r="BN24" s="4" t="s">
        <v>1746</v>
      </c>
      <c r="BO24" s="4" t="str">
        <f t="shared" si="0"/>
        <v>C:\Users\aremi\Desktop\REPORT CBM\PO TIANU JB\03. Raw Material\40. 10052026 SSU MEDINI SIGNATURE 33KV (VI)\IR</v>
      </c>
      <c r="BP24" t="s">
        <v>567</v>
      </c>
    </row>
    <row r="25" spans="1:68" ht="15" customHeight="1" x14ac:dyDescent="0.25">
      <c r="A25" s="4">
        <v>12</v>
      </c>
      <c r="B25" s="4" t="s">
        <v>532</v>
      </c>
      <c r="C25" s="4">
        <v>1</v>
      </c>
      <c r="D25" s="4" t="s">
        <v>1743</v>
      </c>
      <c r="E25" s="4">
        <v>12</v>
      </c>
      <c r="F25" s="6" t="str">
        <f ca="1">Master_List!$AW$1</f>
        <v>PERPUSTAKAAN PUSAT</v>
      </c>
      <c r="G25" s="27" t="str">
        <f ca="1">Master_List!$AW$2</f>
        <v>09:30 PM</v>
      </c>
      <c r="H25" s="32" t="str">
        <f ca="1">Master_List!$AW$3</f>
        <v>20/07/2026</v>
      </c>
      <c r="I25" s="28" t="str">
        <f ca="1">Master_List!$AW$4</f>
        <v>28.5</v>
      </c>
      <c r="J25" s="6" t="str">
        <f ca="1">Master_List!$AW$5</f>
        <v>65</v>
      </c>
      <c r="K25" s="6" t="s">
        <v>566</v>
      </c>
      <c r="L25" s="22"/>
      <c r="M25" s="22"/>
      <c r="N25" s="22"/>
      <c r="O25" s="22"/>
      <c r="P25" s="22"/>
      <c r="Q25" s="22"/>
      <c r="R25" s="22"/>
      <c r="S25" s="22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6"/>
      <c r="BE25" s="6"/>
      <c r="BF25" s="6"/>
      <c r="BG25" s="6"/>
      <c r="BH25" s="24"/>
      <c r="BL25" s="4" t="s">
        <v>1744</v>
      </c>
      <c r="BM25" s="4" t="s">
        <v>1759</v>
      </c>
      <c r="BN25" s="4" t="s">
        <v>1748</v>
      </c>
      <c r="BO25" s="4" t="str">
        <f t="shared" si="0"/>
        <v>C:\Users\aremi\Desktop\REPORT CBM\PO TIANU JB\03. Raw Material\40. 10052026 SSU MEDINI SIGNATURE 33KV (VI)\IR</v>
      </c>
      <c r="BP25" t="s">
        <v>568</v>
      </c>
    </row>
    <row r="26" spans="1:68" ht="15" customHeight="1" x14ac:dyDescent="0.25">
      <c r="A26" s="4">
        <v>13</v>
      </c>
      <c r="B26" s="4" t="s">
        <v>569</v>
      </c>
      <c r="C26" s="4">
        <v>2</v>
      </c>
      <c r="D26" s="4" t="s">
        <v>1760</v>
      </c>
      <c r="E26" s="4">
        <v>1</v>
      </c>
      <c r="F26" s="6" t="str">
        <f ca="1">Master_List!$AW$1</f>
        <v>PERPUSTAKAAN PUSAT</v>
      </c>
      <c r="G26" s="27" t="str">
        <f ca="1">Master_List!$AW$2</f>
        <v>09:30 PM</v>
      </c>
      <c r="H26" s="32" t="str">
        <f ca="1">Master_List!$AW$3</f>
        <v>20/07/2026</v>
      </c>
      <c r="I26" s="28" t="str">
        <f ca="1">Master_List!$AW$4</f>
        <v>28.5</v>
      </c>
      <c r="J26" s="6" t="str">
        <f ca="1">Master_List!$AW$5</f>
        <v>65</v>
      </c>
      <c r="K26" s="6" t="s">
        <v>570</v>
      </c>
      <c r="L26" s="22"/>
      <c r="M26" s="22"/>
      <c r="N26" s="22"/>
      <c r="O26" s="22"/>
      <c r="P26" s="22"/>
      <c r="Q26" s="22"/>
      <c r="R26" s="22"/>
      <c r="S26" s="22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6"/>
      <c r="BE26" s="6"/>
      <c r="BF26" s="6"/>
      <c r="BG26" s="6"/>
      <c r="BH26" s="24"/>
      <c r="BL26" s="4" t="s">
        <v>1744</v>
      </c>
      <c r="BM26" s="4" t="s">
        <v>1761</v>
      </c>
      <c r="BN26" s="4" t="s">
        <v>1746</v>
      </c>
      <c r="BO26" s="4" t="str">
        <f t="shared" si="0"/>
        <v>C:\Users\aremi\Desktop\REPORT CBM\PO TIANU JB\03. Raw Material\40. 10052026 SSU MEDINI SIGNATURE 33KV (VI)\IR</v>
      </c>
      <c r="BP26" t="s">
        <v>571</v>
      </c>
    </row>
    <row r="27" spans="1:68" ht="15" customHeight="1" x14ac:dyDescent="0.25">
      <c r="A27" s="4">
        <v>13</v>
      </c>
      <c r="B27" s="4" t="s">
        <v>569</v>
      </c>
      <c r="C27" s="4">
        <v>2</v>
      </c>
      <c r="D27" s="4" t="s">
        <v>1760</v>
      </c>
      <c r="E27" s="4">
        <v>1</v>
      </c>
      <c r="F27" s="6" t="str">
        <f ca="1">Master_List!$AW$1</f>
        <v>PERPUSTAKAAN PUSAT</v>
      </c>
      <c r="G27" s="27" t="str">
        <f ca="1">Master_List!$AW$2</f>
        <v>09:30 PM</v>
      </c>
      <c r="H27" s="32" t="str">
        <f ca="1">Master_List!$AW$3</f>
        <v>20/07/2026</v>
      </c>
      <c r="I27" s="28" t="str">
        <f ca="1">Master_List!$AW$4</f>
        <v>28.5</v>
      </c>
      <c r="J27" s="6" t="str">
        <f ca="1">Master_List!$AW$5</f>
        <v>65</v>
      </c>
      <c r="K27" s="6" t="s">
        <v>570</v>
      </c>
      <c r="L27" s="22"/>
      <c r="M27" s="22"/>
      <c r="N27" s="22"/>
      <c r="O27" s="22"/>
      <c r="P27" s="22"/>
      <c r="Q27" s="22"/>
      <c r="R27" s="22"/>
      <c r="S27" s="22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6"/>
      <c r="BE27" s="6"/>
      <c r="BF27" s="6"/>
      <c r="BG27" s="6"/>
      <c r="BH27" s="24"/>
      <c r="BL27" s="4" t="s">
        <v>1744</v>
      </c>
      <c r="BM27" s="4" t="s">
        <v>1761</v>
      </c>
      <c r="BN27" s="4" t="s">
        <v>1748</v>
      </c>
      <c r="BO27" s="4" t="str">
        <f t="shared" si="0"/>
        <v>C:\Users\aremi\Desktop\REPORT CBM\PO TIANU JB\03. Raw Material\40. 10052026 SSU MEDINI SIGNATURE 33KV (VI)\IR</v>
      </c>
      <c r="BP27" t="s">
        <v>572</v>
      </c>
    </row>
    <row r="28" spans="1:68" ht="15" customHeight="1" x14ac:dyDescent="0.25">
      <c r="A28" s="4">
        <v>14</v>
      </c>
      <c r="B28" s="4" t="s">
        <v>569</v>
      </c>
      <c r="C28" s="4">
        <v>2</v>
      </c>
      <c r="D28" s="4" t="s">
        <v>1760</v>
      </c>
      <c r="E28" s="4">
        <v>2</v>
      </c>
      <c r="F28" s="6" t="str">
        <f ca="1">Master_List!$AW$1</f>
        <v>PERPUSTAKAAN PUSAT</v>
      </c>
      <c r="G28" s="27" t="str">
        <f ca="1">Master_List!$AW$2</f>
        <v>09:30 PM</v>
      </c>
      <c r="H28" s="32" t="str">
        <f ca="1">Master_List!$AW$3</f>
        <v>20/07/2026</v>
      </c>
      <c r="I28" s="28" t="str">
        <f ca="1">Master_List!$AW$4</f>
        <v>28.5</v>
      </c>
      <c r="J28" s="6" t="str">
        <f ca="1">Master_List!$AW$5</f>
        <v>65</v>
      </c>
      <c r="K28" s="6" t="s">
        <v>573</v>
      </c>
      <c r="L28" s="22"/>
      <c r="M28" s="22"/>
      <c r="N28" s="22"/>
      <c r="O28" s="22"/>
      <c r="P28" s="22"/>
      <c r="Q28" s="22"/>
      <c r="R28" s="22"/>
      <c r="S28" s="22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6"/>
      <c r="BE28" s="6"/>
      <c r="BF28" s="6"/>
      <c r="BG28" s="6"/>
      <c r="BH28" s="24"/>
      <c r="BL28" s="4" t="s">
        <v>1744</v>
      </c>
      <c r="BM28" s="4" t="s">
        <v>1762</v>
      </c>
      <c r="BN28" s="4" t="s">
        <v>1746</v>
      </c>
      <c r="BO28" s="4" t="str">
        <f t="shared" si="0"/>
        <v>C:\Users\aremi\Desktop\REPORT CBM\PO TIANU JB\03. Raw Material\40. 10052026 SSU MEDINI SIGNATURE 33KV (VI)\IR</v>
      </c>
      <c r="BP28" t="s">
        <v>574</v>
      </c>
    </row>
    <row r="29" spans="1:68" ht="15" customHeight="1" x14ac:dyDescent="0.25">
      <c r="A29" s="4">
        <v>14</v>
      </c>
      <c r="B29" s="4" t="s">
        <v>569</v>
      </c>
      <c r="C29" s="4">
        <v>2</v>
      </c>
      <c r="D29" s="4" t="s">
        <v>1760</v>
      </c>
      <c r="E29" s="4">
        <v>2</v>
      </c>
      <c r="F29" s="6" t="str">
        <f ca="1">Master_List!$AW$1</f>
        <v>PERPUSTAKAAN PUSAT</v>
      </c>
      <c r="G29" s="27" t="str">
        <f ca="1">Master_List!$AW$2</f>
        <v>09:30 PM</v>
      </c>
      <c r="H29" s="32" t="str">
        <f ca="1">Master_List!$AW$3</f>
        <v>20/07/2026</v>
      </c>
      <c r="I29" s="28" t="str">
        <f ca="1">Master_List!$AW$4</f>
        <v>28.5</v>
      </c>
      <c r="J29" s="6" t="str">
        <f ca="1">Master_List!$AW$5</f>
        <v>65</v>
      </c>
      <c r="K29" s="6" t="s">
        <v>573</v>
      </c>
      <c r="L29" s="22"/>
      <c r="M29" s="22"/>
      <c r="N29" s="22"/>
      <c r="O29" s="22"/>
      <c r="P29" s="22"/>
      <c r="Q29" s="22"/>
      <c r="R29" s="22"/>
      <c r="S29" s="22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6"/>
      <c r="BE29" s="6"/>
      <c r="BF29" s="6"/>
      <c r="BG29" s="6"/>
      <c r="BH29" s="24"/>
      <c r="BL29" s="4" t="s">
        <v>1744</v>
      </c>
      <c r="BM29" s="4" t="s">
        <v>1762</v>
      </c>
      <c r="BN29" s="4" t="s">
        <v>1748</v>
      </c>
      <c r="BO29" s="4" t="str">
        <f t="shared" si="0"/>
        <v>C:\Users\aremi\Desktop\REPORT CBM\PO TIANU JB\03. Raw Material\40. 10052026 SSU MEDINI SIGNATURE 33KV (VI)\IR</v>
      </c>
      <c r="BP29" t="s">
        <v>575</v>
      </c>
    </row>
    <row r="30" spans="1:68" ht="15" customHeight="1" x14ac:dyDescent="0.25">
      <c r="A30" s="4">
        <v>15</v>
      </c>
      <c r="B30" s="4" t="s">
        <v>569</v>
      </c>
      <c r="C30" s="4">
        <v>2</v>
      </c>
      <c r="D30" s="4" t="s">
        <v>1760</v>
      </c>
      <c r="E30" s="4">
        <v>3</v>
      </c>
      <c r="F30" s="6" t="str">
        <f ca="1">Master_List!$AW$1</f>
        <v>PERPUSTAKAAN PUSAT</v>
      </c>
      <c r="G30" s="27" t="str">
        <f ca="1">Master_List!$AW$2</f>
        <v>09:30 PM</v>
      </c>
      <c r="H30" s="32" t="str">
        <f ca="1">Master_List!$AW$3</f>
        <v>20/07/2026</v>
      </c>
      <c r="I30" s="28" t="str">
        <f ca="1">Master_List!$AW$4</f>
        <v>28.5</v>
      </c>
      <c r="J30" s="6" t="str">
        <f ca="1">Master_List!$AW$5</f>
        <v>65</v>
      </c>
      <c r="K30" s="6" t="s">
        <v>576</v>
      </c>
      <c r="L30" s="22"/>
      <c r="M30" s="22"/>
      <c r="N30" s="22"/>
      <c r="O30" s="22"/>
      <c r="P30" s="22"/>
      <c r="Q30" s="22"/>
      <c r="R30" s="22"/>
      <c r="S30" s="22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6"/>
      <c r="BE30" s="6"/>
      <c r="BF30" s="6"/>
      <c r="BG30" s="6"/>
      <c r="BH30" s="24"/>
      <c r="BL30" s="4" t="s">
        <v>1744</v>
      </c>
      <c r="BM30" s="4" t="s">
        <v>1763</v>
      </c>
      <c r="BN30" s="4" t="s">
        <v>1746</v>
      </c>
      <c r="BO30" s="4" t="str">
        <f t="shared" si="0"/>
        <v>C:\Users\aremi\Desktop\REPORT CBM\PO TIANU JB\03. Raw Material\40. 10052026 SSU MEDINI SIGNATURE 33KV (VI)\IR</v>
      </c>
      <c r="BP30" t="s">
        <v>577</v>
      </c>
    </row>
    <row r="31" spans="1:68" ht="15" customHeight="1" x14ac:dyDescent="0.25">
      <c r="A31" s="4">
        <v>15</v>
      </c>
      <c r="B31" s="4" t="s">
        <v>569</v>
      </c>
      <c r="C31" s="4">
        <v>2</v>
      </c>
      <c r="D31" s="4" t="s">
        <v>1760</v>
      </c>
      <c r="E31" s="4">
        <v>3</v>
      </c>
      <c r="F31" s="6" t="str">
        <f ca="1">Master_List!$AW$1</f>
        <v>PERPUSTAKAAN PUSAT</v>
      </c>
      <c r="G31" s="27" t="str">
        <f ca="1">Master_List!$AW$2</f>
        <v>09:30 PM</v>
      </c>
      <c r="H31" s="32" t="str">
        <f ca="1">Master_List!$AW$3</f>
        <v>20/07/2026</v>
      </c>
      <c r="I31" s="28" t="str">
        <f ca="1">Master_List!$AW$4</f>
        <v>28.5</v>
      </c>
      <c r="J31" s="6" t="str">
        <f ca="1">Master_List!$AW$5</f>
        <v>65</v>
      </c>
      <c r="K31" s="6" t="s">
        <v>576</v>
      </c>
      <c r="L31" s="22"/>
      <c r="M31" s="22"/>
      <c r="N31" s="22"/>
      <c r="O31" s="22"/>
      <c r="P31" s="22"/>
      <c r="Q31" s="22"/>
      <c r="R31" s="22"/>
      <c r="S31" s="22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6"/>
      <c r="BE31" s="6"/>
      <c r="BF31" s="6"/>
      <c r="BG31" s="6"/>
      <c r="BH31" s="24"/>
      <c r="BL31" s="4" t="s">
        <v>1744</v>
      </c>
      <c r="BM31" s="4" t="s">
        <v>1763</v>
      </c>
      <c r="BN31" s="4" t="s">
        <v>1748</v>
      </c>
      <c r="BO31" s="4" t="str">
        <f t="shared" si="0"/>
        <v>C:\Users\aremi\Desktop\REPORT CBM\PO TIANU JB\03. Raw Material\40. 10052026 SSU MEDINI SIGNATURE 33KV (VI)\IR</v>
      </c>
      <c r="BP31" t="s">
        <v>578</v>
      </c>
    </row>
    <row r="32" spans="1:68" ht="15" customHeight="1" x14ac:dyDescent="0.25">
      <c r="A32" s="4">
        <v>16</v>
      </c>
      <c r="B32" s="4" t="s">
        <v>569</v>
      </c>
      <c r="C32" s="4">
        <v>2</v>
      </c>
      <c r="D32" s="4" t="s">
        <v>1760</v>
      </c>
      <c r="E32" s="4">
        <v>4</v>
      </c>
      <c r="F32" s="6" t="str">
        <f ca="1">Master_List!$AW$1</f>
        <v>PERPUSTAKAAN PUSAT</v>
      </c>
      <c r="G32" s="27" t="str">
        <f ca="1">Master_List!$AW$2</f>
        <v>09:30 PM</v>
      </c>
      <c r="H32" s="32" t="str">
        <f ca="1">Master_List!$AW$3</f>
        <v>20/07/2026</v>
      </c>
      <c r="I32" s="28" t="str">
        <f ca="1">Master_List!$AW$4</f>
        <v>28.5</v>
      </c>
      <c r="J32" s="6" t="str">
        <f ca="1">Master_List!$AW$5</f>
        <v>65</v>
      </c>
      <c r="K32" s="6" t="s">
        <v>579</v>
      </c>
      <c r="L32" s="22"/>
      <c r="M32" s="22"/>
      <c r="N32" s="22"/>
      <c r="O32" s="22"/>
      <c r="P32" s="22"/>
      <c r="Q32" s="22"/>
      <c r="R32" s="22"/>
      <c r="S32" s="22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6"/>
      <c r="BE32" s="6"/>
      <c r="BF32" s="6"/>
      <c r="BG32" s="6"/>
      <c r="BH32" s="24"/>
      <c r="BL32" s="4" t="s">
        <v>1744</v>
      </c>
      <c r="BM32" s="4" t="s">
        <v>1764</v>
      </c>
      <c r="BN32" s="4" t="s">
        <v>1746</v>
      </c>
      <c r="BO32" s="4" t="str">
        <f t="shared" si="0"/>
        <v>C:\Users\aremi\Desktop\REPORT CBM\PO TIANU JB\03. Raw Material\40. 10052026 SSU MEDINI SIGNATURE 33KV (VI)\IR</v>
      </c>
      <c r="BP32" t="s">
        <v>580</v>
      </c>
    </row>
    <row r="33" spans="1:68" ht="15" customHeight="1" x14ac:dyDescent="0.25">
      <c r="A33" s="4">
        <v>16</v>
      </c>
      <c r="B33" s="4" t="s">
        <v>569</v>
      </c>
      <c r="C33" s="4">
        <v>2</v>
      </c>
      <c r="D33" s="4" t="s">
        <v>1760</v>
      </c>
      <c r="E33" s="4">
        <v>4</v>
      </c>
      <c r="F33" s="6" t="str">
        <f ca="1">Master_List!$AW$1</f>
        <v>PERPUSTAKAAN PUSAT</v>
      </c>
      <c r="G33" s="27" t="str">
        <f ca="1">Master_List!$AW$2</f>
        <v>09:30 PM</v>
      </c>
      <c r="H33" s="32" t="str">
        <f ca="1">Master_List!$AW$3</f>
        <v>20/07/2026</v>
      </c>
      <c r="I33" s="28" t="str">
        <f ca="1">Master_List!$AW$4</f>
        <v>28.5</v>
      </c>
      <c r="J33" s="6" t="str">
        <f ca="1">Master_List!$AW$5</f>
        <v>65</v>
      </c>
      <c r="K33" s="6" t="s">
        <v>579</v>
      </c>
      <c r="L33" s="22"/>
      <c r="M33" s="22"/>
      <c r="N33" s="22"/>
      <c r="O33" s="22"/>
      <c r="P33" s="22"/>
      <c r="Q33" s="22"/>
      <c r="R33" s="22"/>
      <c r="S33" s="22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6"/>
      <c r="BE33" s="6"/>
      <c r="BF33" s="6"/>
      <c r="BG33" s="6"/>
      <c r="BH33" s="24"/>
      <c r="BL33" s="4" t="s">
        <v>1744</v>
      </c>
      <c r="BM33" s="4" t="s">
        <v>1764</v>
      </c>
      <c r="BN33" s="4" t="s">
        <v>1748</v>
      </c>
      <c r="BO33" s="4" t="str">
        <f t="shared" si="0"/>
        <v>C:\Users\aremi\Desktop\REPORT CBM\PO TIANU JB\03. Raw Material\40. 10052026 SSU MEDINI SIGNATURE 33KV (VI)\IR</v>
      </c>
      <c r="BP33" t="s">
        <v>581</v>
      </c>
    </row>
    <row r="34" spans="1:68" ht="15" customHeight="1" x14ac:dyDescent="0.25">
      <c r="A34" s="4">
        <v>17</v>
      </c>
      <c r="B34" s="4" t="s">
        <v>569</v>
      </c>
      <c r="C34" s="4">
        <v>2</v>
      </c>
      <c r="D34" s="4" t="s">
        <v>1760</v>
      </c>
      <c r="E34" s="4">
        <v>5</v>
      </c>
      <c r="F34" s="6" t="str">
        <f ca="1">Master_List!$AW$1</f>
        <v>PERPUSTAKAAN PUSAT</v>
      </c>
      <c r="G34" s="27" t="str">
        <f ca="1">Master_List!$AW$2</f>
        <v>09:30 PM</v>
      </c>
      <c r="H34" s="32" t="str">
        <f ca="1">Master_List!$AW$3</f>
        <v>20/07/2026</v>
      </c>
      <c r="I34" s="28" t="str">
        <f ca="1">Master_List!$AW$4</f>
        <v>28.5</v>
      </c>
      <c r="J34" s="6" t="str">
        <f ca="1">Master_List!$AW$5</f>
        <v>65</v>
      </c>
      <c r="K34" s="6" t="s">
        <v>582</v>
      </c>
      <c r="L34" s="22"/>
      <c r="M34" s="22"/>
      <c r="N34" s="22"/>
      <c r="O34" s="22"/>
      <c r="P34" s="22"/>
      <c r="Q34" s="22"/>
      <c r="R34" s="22"/>
      <c r="S34" s="22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6"/>
      <c r="BE34" s="6"/>
      <c r="BF34" s="6"/>
      <c r="BG34" s="6"/>
      <c r="BH34" s="24"/>
      <c r="BL34" s="4" t="s">
        <v>1744</v>
      </c>
      <c r="BM34" s="4" t="s">
        <v>1765</v>
      </c>
      <c r="BN34" s="4" t="s">
        <v>1746</v>
      </c>
      <c r="BO34" s="4" t="str">
        <f t="shared" si="0"/>
        <v>C:\Users\aremi\Desktop\REPORT CBM\PO TIANU JB\03. Raw Material\40. 10052026 SSU MEDINI SIGNATURE 33KV (VI)\IR</v>
      </c>
      <c r="BP34" t="s">
        <v>583</v>
      </c>
    </row>
    <row r="35" spans="1:68" ht="15" customHeight="1" x14ac:dyDescent="0.25">
      <c r="A35" s="4">
        <v>17</v>
      </c>
      <c r="B35" s="4" t="s">
        <v>569</v>
      </c>
      <c r="C35" s="4">
        <v>2</v>
      </c>
      <c r="D35" s="4" t="s">
        <v>1760</v>
      </c>
      <c r="E35" s="4">
        <v>5</v>
      </c>
      <c r="F35" s="6" t="str">
        <f ca="1">Master_List!$AW$1</f>
        <v>PERPUSTAKAAN PUSAT</v>
      </c>
      <c r="G35" s="27" t="str">
        <f ca="1">Master_List!$AW$2</f>
        <v>09:30 PM</v>
      </c>
      <c r="H35" s="32" t="str">
        <f ca="1">Master_List!$AW$3</f>
        <v>20/07/2026</v>
      </c>
      <c r="I35" s="28" t="str">
        <f ca="1">Master_List!$AW$4</f>
        <v>28.5</v>
      </c>
      <c r="J35" s="6" t="str">
        <f ca="1">Master_List!$AW$5</f>
        <v>65</v>
      </c>
      <c r="K35" s="6" t="s">
        <v>582</v>
      </c>
      <c r="L35" s="22"/>
      <c r="M35" s="22"/>
      <c r="N35" s="22"/>
      <c r="O35" s="22"/>
      <c r="P35" s="22"/>
      <c r="Q35" s="22"/>
      <c r="R35" s="22"/>
      <c r="S35" s="22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6"/>
      <c r="BE35" s="6"/>
      <c r="BF35" s="6"/>
      <c r="BG35" s="6"/>
      <c r="BH35" s="24"/>
      <c r="BL35" s="4" t="s">
        <v>1744</v>
      </c>
      <c r="BM35" s="4" t="s">
        <v>1765</v>
      </c>
      <c r="BN35" s="4" t="s">
        <v>1748</v>
      </c>
      <c r="BO35" s="4" t="str">
        <f t="shared" si="0"/>
        <v>C:\Users\aremi\Desktop\REPORT CBM\PO TIANU JB\03. Raw Material\40. 10052026 SSU MEDINI SIGNATURE 33KV (VI)\IR</v>
      </c>
      <c r="BP35" t="s">
        <v>584</v>
      </c>
    </row>
    <row r="36" spans="1:68" ht="15" customHeight="1" x14ac:dyDescent="0.25">
      <c r="A36" s="4">
        <v>18</v>
      </c>
      <c r="B36" s="4" t="s">
        <v>569</v>
      </c>
      <c r="C36" s="4">
        <v>2</v>
      </c>
      <c r="D36" s="4" t="s">
        <v>1760</v>
      </c>
      <c r="E36" s="4">
        <v>6</v>
      </c>
      <c r="F36" s="6" t="str">
        <f ca="1">Master_List!$AW$1</f>
        <v>PERPUSTAKAAN PUSAT</v>
      </c>
      <c r="G36" s="27" t="str">
        <f ca="1">Master_List!$AW$2</f>
        <v>09:30 PM</v>
      </c>
      <c r="H36" s="32" t="str">
        <f ca="1">Master_List!$AW$3</f>
        <v>20/07/2026</v>
      </c>
      <c r="I36" s="28" t="str">
        <f ca="1">Master_List!$AW$4</f>
        <v>28.5</v>
      </c>
      <c r="J36" s="6" t="str">
        <f ca="1">Master_List!$AW$5</f>
        <v>65</v>
      </c>
      <c r="K36" s="6" t="s">
        <v>585</v>
      </c>
      <c r="L36" s="22"/>
      <c r="M36" s="22"/>
      <c r="N36" s="22"/>
      <c r="O36" s="22"/>
      <c r="P36" s="22"/>
      <c r="Q36" s="22"/>
      <c r="R36" s="22"/>
      <c r="S36" s="22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6"/>
      <c r="BE36" s="6"/>
      <c r="BF36" s="6"/>
      <c r="BG36" s="6"/>
      <c r="BH36" s="24"/>
      <c r="BL36" s="4" t="s">
        <v>1744</v>
      </c>
      <c r="BM36" s="4" t="s">
        <v>1766</v>
      </c>
      <c r="BN36" s="4" t="s">
        <v>1746</v>
      </c>
      <c r="BO36" s="4" t="str">
        <f t="shared" si="0"/>
        <v>C:\Users\aremi\Desktop\REPORT CBM\PO TIANU JB\03. Raw Material\40. 10052026 SSU MEDINI SIGNATURE 33KV (VI)\IR</v>
      </c>
      <c r="BP36" t="s">
        <v>586</v>
      </c>
    </row>
    <row r="37" spans="1:68" ht="15" customHeight="1" x14ac:dyDescent="0.25">
      <c r="A37" s="4">
        <v>18</v>
      </c>
      <c r="B37" s="4" t="s">
        <v>569</v>
      </c>
      <c r="C37" s="4">
        <v>2</v>
      </c>
      <c r="D37" s="4" t="s">
        <v>1760</v>
      </c>
      <c r="E37" s="4">
        <v>6</v>
      </c>
      <c r="F37" s="6" t="str">
        <f ca="1">Master_List!$AW$1</f>
        <v>PERPUSTAKAAN PUSAT</v>
      </c>
      <c r="G37" s="27" t="str">
        <f ca="1">Master_List!$AW$2</f>
        <v>09:30 PM</v>
      </c>
      <c r="H37" s="32" t="str">
        <f ca="1">Master_List!$AW$3</f>
        <v>20/07/2026</v>
      </c>
      <c r="I37" s="28" t="str">
        <f ca="1">Master_List!$AW$4</f>
        <v>28.5</v>
      </c>
      <c r="J37" s="6" t="str">
        <f ca="1">Master_List!$AW$5</f>
        <v>65</v>
      </c>
      <c r="K37" s="6" t="s">
        <v>585</v>
      </c>
      <c r="L37" s="22"/>
      <c r="M37" s="22"/>
      <c r="N37" s="22"/>
      <c r="O37" s="22"/>
      <c r="P37" s="22"/>
      <c r="Q37" s="22"/>
      <c r="R37" s="22"/>
      <c r="S37" s="22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6"/>
      <c r="BE37" s="6"/>
      <c r="BF37" s="6"/>
      <c r="BG37" s="6"/>
      <c r="BH37" s="24"/>
      <c r="BL37" s="4" t="s">
        <v>1744</v>
      </c>
      <c r="BM37" s="4" t="s">
        <v>1766</v>
      </c>
      <c r="BN37" s="4" t="s">
        <v>1748</v>
      </c>
      <c r="BO37" s="4" t="str">
        <f t="shared" si="0"/>
        <v>C:\Users\aremi\Desktop\REPORT CBM\PO TIANU JB\03. Raw Material\40. 10052026 SSU MEDINI SIGNATURE 33KV (VI)\IR</v>
      </c>
      <c r="BP37" t="s">
        <v>587</v>
      </c>
    </row>
    <row r="38" spans="1:68" ht="15" customHeight="1" x14ac:dyDescent="0.25">
      <c r="A38" s="4">
        <v>19</v>
      </c>
      <c r="B38" s="4" t="s">
        <v>569</v>
      </c>
      <c r="C38" s="4">
        <v>2</v>
      </c>
      <c r="D38" s="4" t="s">
        <v>1767</v>
      </c>
      <c r="E38" s="4">
        <v>7</v>
      </c>
      <c r="F38" s="6" t="str">
        <f ca="1">Master_List!$AW$1</f>
        <v>PERPUSTAKAAN PUSAT</v>
      </c>
      <c r="G38" s="27" t="str">
        <f ca="1">Master_List!$AW$2</f>
        <v>09:30 PM</v>
      </c>
      <c r="H38" s="32" t="str">
        <f ca="1">Master_List!$AW$3</f>
        <v>20/07/2026</v>
      </c>
      <c r="I38" s="28" t="str">
        <f ca="1">Master_List!$AW$4</f>
        <v>28.5</v>
      </c>
      <c r="J38" s="6" t="str">
        <f ca="1">Master_List!$AW$5</f>
        <v>65</v>
      </c>
      <c r="K38" s="6" t="s">
        <v>588</v>
      </c>
      <c r="L38" s="22"/>
      <c r="M38" s="22"/>
      <c r="N38" s="22"/>
      <c r="O38" s="22"/>
      <c r="P38" s="22"/>
      <c r="Q38" s="22"/>
      <c r="R38" s="22"/>
      <c r="S38" s="22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6"/>
      <c r="BE38" s="6"/>
      <c r="BF38" s="6"/>
      <c r="BG38" s="6"/>
      <c r="BH38" s="24"/>
      <c r="BL38" s="4" t="s">
        <v>1744</v>
      </c>
      <c r="BM38" s="4" t="s">
        <v>1768</v>
      </c>
      <c r="BN38" s="4" t="s">
        <v>1746</v>
      </c>
      <c r="BO38" s="4" t="str">
        <f t="shared" si="0"/>
        <v>C:\Users\aremi\Desktop\REPORT CBM\PO TIANU JB\03. Raw Material\40. 10052026 SSU MEDINI SIGNATURE 33KV (VI)\IR</v>
      </c>
      <c r="BP38" t="s">
        <v>589</v>
      </c>
    </row>
    <row r="39" spans="1:68" ht="15" customHeight="1" x14ac:dyDescent="0.25">
      <c r="A39" s="4">
        <v>19</v>
      </c>
      <c r="B39" s="4" t="s">
        <v>569</v>
      </c>
      <c r="C39" s="4">
        <v>2</v>
      </c>
      <c r="D39" s="4" t="s">
        <v>1767</v>
      </c>
      <c r="E39" s="4">
        <v>7</v>
      </c>
      <c r="F39" s="6" t="str">
        <f ca="1">Master_List!$AW$1</f>
        <v>PERPUSTAKAAN PUSAT</v>
      </c>
      <c r="G39" s="27" t="str">
        <f ca="1">Master_List!$AW$2</f>
        <v>09:30 PM</v>
      </c>
      <c r="H39" s="32" t="str">
        <f ca="1">Master_List!$AW$3</f>
        <v>20/07/2026</v>
      </c>
      <c r="I39" s="28" t="str">
        <f ca="1">Master_List!$AW$4</f>
        <v>28.5</v>
      </c>
      <c r="J39" s="6" t="str">
        <f ca="1">Master_List!$AW$5</f>
        <v>65</v>
      </c>
      <c r="K39" s="6" t="s">
        <v>588</v>
      </c>
      <c r="L39" s="22"/>
      <c r="M39" s="22"/>
      <c r="N39" s="22"/>
      <c r="O39" s="22"/>
      <c r="P39" s="22"/>
      <c r="Q39" s="22"/>
      <c r="R39" s="22"/>
      <c r="S39" s="22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6"/>
      <c r="BE39" s="6"/>
      <c r="BF39" s="6"/>
      <c r="BG39" s="6"/>
      <c r="BH39" s="24"/>
      <c r="BL39" s="4" t="s">
        <v>1744</v>
      </c>
      <c r="BM39" s="4" t="s">
        <v>1768</v>
      </c>
      <c r="BN39" s="4" t="s">
        <v>1748</v>
      </c>
      <c r="BO39" s="4" t="str">
        <f t="shared" si="0"/>
        <v>C:\Users\aremi\Desktop\REPORT CBM\PO TIANU JB\03. Raw Material\40. 10052026 SSU MEDINI SIGNATURE 33KV (VI)\IR</v>
      </c>
      <c r="BP39" t="s">
        <v>590</v>
      </c>
    </row>
    <row r="40" spans="1:68" ht="15" customHeight="1" x14ac:dyDescent="0.25">
      <c r="A40" s="4">
        <v>20</v>
      </c>
      <c r="B40" s="4" t="s">
        <v>569</v>
      </c>
      <c r="C40" s="4">
        <v>2</v>
      </c>
      <c r="D40" s="4" t="s">
        <v>1769</v>
      </c>
      <c r="E40" s="4">
        <v>8</v>
      </c>
      <c r="F40" s="6" t="str">
        <f ca="1">Master_List!$AW$1</f>
        <v>PERPUSTAKAAN PUSAT</v>
      </c>
      <c r="G40" s="27" t="str">
        <f ca="1">Master_List!$AW$2</f>
        <v>09:30 PM</v>
      </c>
      <c r="H40" s="32" t="str">
        <f ca="1">Master_List!$AW$3</f>
        <v>20/07/2026</v>
      </c>
      <c r="I40" s="28" t="str">
        <f ca="1">Master_List!$AW$4</f>
        <v>28.5</v>
      </c>
      <c r="J40" s="6" t="str">
        <f ca="1">Master_List!$AW$5</f>
        <v>65</v>
      </c>
      <c r="K40" s="6" t="s">
        <v>591</v>
      </c>
      <c r="L40" s="22"/>
      <c r="M40" s="22"/>
      <c r="N40" s="22"/>
      <c r="O40" s="22"/>
      <c r="P40" s="22"/>
      <c r="Q40" s="22"/>
      <c r="R40" s="22"/>
      <c r="S40" s="22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6"/>
      <c r="BE40" s="6"/>
      <c r="BF40" s="6"/>
      <c r="BG40" s="6"/>
      <c r="BH40" s="24"/>
      <c r="BL40" s="4" t="s">
        <v>1744</v>
      </c>
      <c r="BM40" s="4" t="s">
        <v>1770</v>
      </c>
      <c r="BN40" s="4" t="s">
        <v>1746</v>
      </c>
      <c r="BO40" s="4" t="str">
        <f t="shared" si="0"/>
        <v>C:\Users\aremi\Desktop\REPORT CBM\PO TIANU JB\03. Raw Material\40. 10052026 SSU MEDINI SIGNATURE 33KV (VI)\IR</v>
      </c>
      <c r="BP40" t="s">
        <v>592</v>
      </c>
    </row>
    <row r="41" spans="1:68" ht="15" customHeight="1" x14ac:dyDescent="0.25">
      <c r="A41" s="4">
        <v>20</v>
      </c>
      <c r="B41" s="4" t="s">
        <v>569</v>
      </c>
      <c r="C41" s="4">
        <v>2</v>
      </c>
      <c r="D41" s="4" t="s">
        <v>1769</v>
      </c>
      <c r="E41" s="4">
        <v>8</v>
      </c>
      <c r="F41" s="6" t="str">
        <f ca="1">Master_List!$AW$1</f>
        <v>PERPUSTAKAAN PUSAT</v>
      </c>
      <c r="G41" s="27" t="str">
        <f ca="1">Master_List!$AW$2</f>
        <v>09:30 PM</v>
      </c>
      <c r="H41" s="32" t="str">
        <f ca="1">Master_List!$AW$3</f>
        <v>20/07/2026</v>
      </c>
      <c r="I41" s="28" t="str">
        <f ca="1">Master_List!$AW$4</f>
        <v>28.5</v>
      </c>
      <c r="J41" s="6" t="str">
        <f ca="1">Master_List!$AW$5</f>
        <v>65</v>
      </c>
      <c r="K41" s="6" t="s">
        <v>591</v>
      </c>
      <c r="L41" s="22"/>
      <c r="M41" s="22"/>
      <c r="N41" s="22"/>
      <c r="O41" s="22"/>
      <c r="P41" s="22"/>
      <c r="Q41" s="22"/>
      <c r="R41" s="22"/>
      <c r="S41" s="22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6"/>
      <c r="BE41" s="6"/>
      <c r="BF41" s="6"/>
      <c r="BG41" s="6"/>
      <c r="BH41" s="24"/>
      <c r="BL41" s="4" t="s">
        <v>1744</v>
      </c>
      <c r="BM41" s="4" t="s">
        <v>1770</v>
      </c>
      <c r="BN41" s="4" t="s">
        <v>1748</v>
      </c>
      <c r="BO41" s="4" t="str">
        <f t="shared" si="0"/>
        <v>C:\Users\aremi\Desktop\REPORT CBM\PO TIANU JB\03. Raw Material\40. 10052026 SSU MEDINI SIGNATURE 33KV (VI)\IR</v>
      </c>
      <c r="BP41" t="s">
        <v>593</v>
      </c>
    </row>
    <row r="42" spans="1:68" ht="15" customHeight="1" x14ac:dyDescent="0.25">
      <c r="A42" s="4">
        <v>21</v>
      </c>
      <c r="B42" s="4" t="s">
        <v>594</v>
      </c>
      <c r="C42" s="4">
        <v>2</v>
      </c>
      <c r="D42" s="4" t="s">
        <v>1760</v>
      </c>
      <c r="E42" s="4">
        <v>1</v>
      </c>
      <c r="F42" s="6" t="str">
        <f ca="1">Master_List!$AW$1</f>
        <v>PERPUSTAKAAN PUSAT</v>
      </c>
      <c r="G42" s="27" t="str">
        <f ca="1">Master_List!$AW$2</f>
        <v>09:30 PM</v>
      </c>
      <c r="H42" s="32" t="str">
        <f ca="1">Master_List!$AW$3</f>
        <v>20/07/2026</v>
      </c>
      <c r="I42" s="28" t="str">
        <f ca="1">Master_List!$AW$4</f>
        <v>28.5</v>
      </c>
      <c r="J42" s="6" t="str">
        <f ca="1">Master_List!$AW$5</f>
        <v>65</v>
      </c>
      <c r="K42" s="6" t="s">
        <v>570</v>
      </c>
      <c r="L42" s="22"/>
      <c r="M42" s="22"/>
      <c r="N42" s="22"/>
      <c r="O42" s="22"/>
      <c r="P42" s="22"/>
      <c r="Q42" s="22"/>
      <c r="R42" s="22"/>
      <c r="S42" s="22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6"/>
      <c r="BE42" s="6"/>
      <c r="BF42" s="6"/>
      <c r="BG42" s="6"/>
      <c r="BH42" s="24"/>
      <c r="BL42" s="4" t="s">
        <v>1744</v>
      </c>
      <c r="BM42" s="4" t="s">
        <v>1771</v>
      </c>
      <c r="BN42" s="4" t="s">
        <v>1746</v>
      </c>
      <c r="BO42" s="4" t="str">
        <f t="shared" si="0"/>
        <v>C:\Users\aremi\Desktop\REPORT CBM\PO TIANU JB\03. Raw Material\40. 10052026 SSU MEDINI SIGNATURE 33KV (VI)\IR</v>
      </c>
      <c r="BP42" t="s">
        <v>595</v>
      </c>
    </row>
    <row r="43" spans="1:68" ht="15" customHeight="1" x14ac:dyDescent="0.25">
      <c r="A43" s="4">
        <v>21</v>
      </c>
      <c r="B43" s="4" t="s">
        <v>594</v>
      </c>
      <c r="C43" s="4">
        <v>2</v>
      </c>
      <c r="D43" s="4" t="s">
        <v>1760</v>
      </c>
      <c r="E43" s="4">
        <v>1</v>
      </c>
      <c r="F43" s="6" t="str">
        <f ca="1">Master_List!$AW$1</f>
        <v>PERPUSTAKAAN PUSAT</v>
      </c>
      <c r="G43" s="27" t="str">
        <f ca="1">Master_List!$AW$2</f>
        <v>09:30 PM</v>
      </c>
      <c r="H43" s="32" t="str">
        <f ca="1">Master_List!$AW$3</f>
        <v>20/07/2026</v>
      </c>
      <c r="I43" s="28" t="str">
        <f ca="1">Master_List!$AW$4</f>
        <v>28.5</v>
      </c>
      <c r="J43" s="6" t="str">
        <f ca="1">Master_List!$AW$5</f>
        <v>65</v>
      </c>
      <c r="K43" s="6" t="s">
        <v>570</v>
      </c>
      <c r="L43" s="22"/>
      <c r="M43" s="22"/>
      <c r="N43" s="22"/>
      <c r="O43" s="22"/>
      <c r="P43" s="22"/>
      <c r="Q43" s="22"/>
      <c r="R43" s="22"/>
      <c r="S43" s="22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6"/>
      <c r="BE43" s="6"/>
      <c r="BF43" s="6"/>
      <c r="BG43" s="6"/>
      <c r="BH43" s="24"/>
      <c r="BL43" s="4" t="s">
        <v>1744</v>
      </c>
      <c r="BM43" s="4" t="s">
        <v>1771</v>
      </c>
      <c r="BN43" s="4" t="s">
        <v>1748</v>
      </c>
      <c r="BO43" s="4" t="str">
        <f t="shared" si="0"/>
        <v>C:\Users\aremi\Desktop\REPORT CBM\PO TIANU JB\03. Raw Material\40. 10052026 SSU MEDINI SIGNATURE 33KV (VI)\IR</v>
      </c>
      <c r="BP43" t="s">
        <v>596</v>
      </c>
    </row>
    <row r="44" spans="1:68" ht="15" customHeight="1" x14ac:dyDescent="0.25">
      <c r="A44" s="4">
        <v>22</v>
      </c>
      <c r="B44" s="4" t="s">
        <v>594</v>
      </c>
      <c r="C44" s="4">
        <v>2</v>
      </c>
      <c r="D44" s="4" t="s">
        <v>1760</v>
      </c>
      <c r="E44" s="4">
        <v>2</v>
      </c>
      <c r="F44" s="6" t="str">
        <f ca="1">Master_List!$AW$1</f>
        <v>PERPUSTAKAAN PUSAT</v>
      </c>
      <c r="G44" s="27" t="str">
        <f ca="1">Master_List!$AW$2</f>
        <v>09:30 PM</v>
      </c>
      <c r="H44" s="32" t="str">
        <f ca="1">Master_List!$AW$3</f>
        <v>20/07/2026</v>
      </c>
      <c r="I44" s="28" t="str">
        <f ca="1">Master_List!$AW$4</f>
        <v>28.5</v>
      </c>
      <c r="J44" s="6" t="str">
        <f ca="1">Master_List!$AW$5</f>
        <v>65</v>
      </c>
      <c r="K44" s="6" t="s">
        <v>573</v>
      </c>
      <c r="L44" s="22"/>
      <c r="M44" s="22"/>
      <c r="N44" s="22"/>
      <c r="O44" s="22"/>
      <c r="P44" s="22"/>
      <c r="Q44" s="22"/>
      <c r="R44" s="22"/>
      <c r="S44" s="22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6"/>
      <c r="BE44" s="6"/>
      <c r="BF44" s="6"/>
      <c r="BG44" s="6"/>
      <c r="BH44" s="24"/>
      <c r="BL44" s="4" t="s">
        <v>1744</v>
      </c>
      <c r="BM44" s="4" t="s">
        <v>1772</v>
      </c>
      <c r="BN44" s="4" t="s">
        <v>1746</v>
      </c>
      <c r="BO44" s="4" t="str">
        <f t="shared" si="0"/>
        <v>C:\Users\aremi\Desktop\REPORT CBM\PO TIANU JB\03. Raw Material\40. 10052026 SSU MEDINI SIGNATURE 33KV (VI)\IR</v>
      </c>
      <c r="BP44" t="s">
        <v>597</v>
      </c>
    </row>
    <row r="45" spans="1:68" ht="15" customHeight="1" x14ac:dyDescent="0.25">
      <c r="A45" s="4">
        <v>22</v>
      </c>
      <c r="B45" s="4" t="s">
        <v>594</v>
      </c>
      <c r="C45" s="4">
        <v>2</v>
      </c>
      <c r="D45" s="4" t="s">
        <v>1760</v>
      </c>
      <c r="E45" s="4">
        <v>2</v>
      </c>
      <c r="F45" s="6" t="str">
        <f ca="1">Master_List!$AW$1</f>
        <v>PERPUSTAKAAN PUSAT</v>
      </c>
      <c r="G45" s="27" t="str">
        <f ca="1">Master_List!$AW$2</f>
        <v>09:30 PM</v>
      </c>
      <c r="H45" s="32" t="str">
        <f ca="1">Master_List!$AW$3</f>
        <v>20/07/2026</v>
      </c>
      <c r="I45" s="28" t="str">
        <f ca="1">Master_List!$AW$4</f>
        <v>28.5</v>
      </c>
      <c r="J45" s="6" t="str">
        <f ca="1">Master_List!$AW$5</f>
        <v>65</v>
      </c>
      <c r="K45" s="6" t="s">
        <v>573</v>
      </c>
      <c r="L45" s="22"/>
      <c r="M45" s="22"/>
      <c r="N45" s="22"/>
      <c r="O45" s="22"/>
      <c r="P45" s="22"/>
      <c r="Q45" s="22"/>
      <c r="R45" s="22"/>
      <c r="S45" s="22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6"/>
      <c r="BE45" s="6"/>
      <c r="BF45" s="6"/>
      <c r="BG45" s="6"/>
      <c r="BH45" s="24"/>
      <c r="BL45" s="4" t="s">
        <v>1744</v>
      </c>
      <c r="BM45" s="4" t="s">
        <v>1772</v>
      </c>
      <c r="BN45" s="4" t="s">
        <v>1748</v>
      </c>
      <c r="BO45" s="4" t="str">
        <f t="shared" si="0"/>
        <v>C:\Users\aremi\Desktop\REPORT CBM\PO TIANU JB\03. Raw Material\40. 10052026 SSU MEDINI SIGNATURE 33KV (VI)\IR</v>
      </c>
      <c r="BP45" t="s">
        <v>598</v>
      </c>
    </row>
    <row r="46" spans="1:68" ht="15" customHeight="1" x14ac:dyDescent="0.25">
      <c r="A46" s="4">
        <v>23</v>
      </c>
      <c r="B46" s="4" t="s">
        <v>594</v>
      </c>
      <c r="C46" s="4">
        <v>2</v>
      </c>
      <c r="D46" s="4" t="s">
        <v>1760</v>
      </c>
      <c r="E46" s="4">
        <v>3</v>
      </c>
      <c r="F46" s="6" t="str">
        <f ca="1">Master_List!$AW$1</f>
        <v>PERPUSTAKAAN PUSAT</v>
      </c>
      <c r="G46" s="27" t="str">
        <f ca="1">Master_List!$AW$2</f>
        <v>09:30 PM</v>
      </c>
      <c r="H46" s="32" t="str">
        <f ca="1">Master_List!$AW$3</f>
        <v>20/07/2026</v>
      </c>
      <c r="I46" s="28" t="str">
        <f ca="1">Master_List!$AW$4</f>
        <v>28.5</v>
      </c>
      <c r="J46" s="6" t="str">
        <f ca="1">Master_List!$AW$5</f>
        <v>65</v>
      </c>
      <c r="K46" s="6" t="s">
        <v>576</v>
      </c>
      <c r="L46" s="22"/>
      <c r="M46" s="22"/>
      <c r="N46" s="22"/>
      <c r="O46" s="22"/>
      <c r="P46" s="22"/>
      <c r="Q46" s="22"/>
      <c r="R46" s="22"/>
      <c r="S46" s="22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6"/>
      <c r="BE46" s="6"/>
      <c r="BF46" s="6"/>
      <c r="BG46" s="6"/>
      <c r="BH46" s="24"/>
      <c r="BL46" s="4" t="s">
        <v>1744</v>
      </c>
      <c r="BM46" s="4" t="s">
        <v>1773</v>
      </c>
      <c r="BN46" s="4" t="s">
        <v>1746</v>
      </c>
      <c r="BO46" s="4" t="str">
        <f t="shared" si="0"/>
        <v>C:\Users\aremi\Desktop\REPORT CBM\PO TIANU JB\03. Raw Material\40. 10052026 SSU MEDINI SIGNATURE 33KV (VI)\IR</v>
      </c>
      <c r="BP46" t="s">
        <v>599</v>
      </c>
    </row>
    <row r="47" spans="1:68" ht="15" customHeight="1" x14ac:dyDescent="0.25">
      <c r="A47" s="4">
        <v>23</v>
      </c>
      <c r="B47" s="4" t="s">
        <v>594</v>
      </c>
      <c r="C47" s="4">
        <v>2</v>
      </c>
      <c r="D47" s="4" t="s">
        <v>1760</v>
      </c>
      <c r="E47" s="4">
        <v>3</v>
      </c>
      <c r="F47" s="6" t="str">
        <f ca="1">Master_List!$AW$1</f>
        <v>PERPUSTAKAAN PUSAT</v>
      </c>
      <c r="G47" s="27" t="str">
        <f ca="1">Master_List!$AW$2</f>
        <v>09:30 PM</v>
      </c>
      <c r="H47" s="32" t="str">
        <f ca="1">Master_List!$AW$3</f>
        <v>20/07/2026</v>
      </c>
      <c r="I47" s="28" t="str">
        <f ca="1">Master_List!$AW$4</f>
        <v>28.5</v>
      </c>
      <c r="J47" s="6" t="str">
        <f ca="1">Master_List!$AW$5</f>
        <v>65</v>
      </c>
      <c r="K47" s="6" t="s">
        <v>576</v>
      </c>
      <c r="L47" s="22"/>
      <c r="M47" s="22"/>
      <c r="N47" s="22"/>
      <c r="O47" s="22"/>
      <c r="P47" s="22"/>
      <c r="Q47" s="22"/>
      <c r="R47" s="22"/>
      <c r="S47" s="22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6"/>
      <c r="BE47" s="6"/>
      <c r="BF47" s="6"/>
      <c r="BG47" s="6"/>
      <c r="BH47" s="24"/>
      <c r="BL47" s="4" t="s">
        <v>1744</v>
      </c>
      <c r="BM47" s="4" t="s">
        <v>1773</v>
      </c>
      <c r="BN47" s="4" t="s">
        <v>1748</v>
      </c>
      <c r="BO47" s="4" t="str">
        <f t="shared" si="0"/>
        <v>C:\Users\aremi\Desktop\REPORT CBM\PO TIANU JB\03. Raw Material\40. 10052026 SSU MEDINI SIGNATURE 33KV (VI)\IR</v>
      </c>
      <c r="BP47" t="s">
        <v>600</v>
      </c>
    </row>
    <row r="48" spans="1:68" ht="15" customHeight="1" x14ac:dyDescent="0.25">
      <c r="A48" s="4">
        <v>24</v>
      </c>
      <c r="B48" s="4" t="s">
        <v>594</v>
      </c>
      <c r="C48" s="4">
        <v>2</v>
      </c>
      <c r="D48" s="4" t="s">
        <v>1760</v>
      </c>
      <c r="E48" s="4">
        <v>4</v>
      </c>
      <c r="F48" s="6" t="str">
        <f ca="1">Master_List!$AW$1</f>
        <v>PERPUSTAKAAN PUSAT</v>
      </c>
      <c r="G48" s="27" t="str">
        <f ca="1">Master_List!$AW$2</f>
        <v>09:30 PM</v>
      </c>
      <c r="H48" s="32" t="str">
        <f ca="1">Master_List!$AW$3</f>
        <v>20/07/2026</v>
      </c>
      <c r="I48" s="28" t="str">
        <f ca="1">Master_List!$AW$4</f>
        <v>28.5</v>
      </c>
      <c r="J48" s="6" t="str">
        <f ca="1">Master_List!$AW$5</f>
        <v>65</v>
      </c>
      <c r="K48" s="6" t="s">
        <v>579</v>
      </c>
      <c r="L48" s="22"/>
      <c r="M48" s="22"/>
      <c r="N48" s="22"/>
      <c r="O48" s="22"/>
      <c r="P48" s="22"/>
      <c r="Q48" s="22"/>
      <c r="R48" s="22"/>
      <c r="S48" s="22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6"/>
      <c r="BE48" s="6"/>
      <c r="BF48" s="6"/>
      <c r="BG48" s="6"/>
      <c r="BH48" s="24"/>
      <c r="BL48" s="4" t="s">
        <v>1744</v>
      </c>
      <c r="BM48" s="4" t="s">
        <v>1774</v>
      </c>
      <c r="BN48" s="4" t="s">
        <v>1746</v>
      </c>
      <c r="BO48" s="4" t="str">
        <f t="shared" si="0"/>
        <v>C:\Users\aremi\Desktop\REPORT CBM\PO TIANU JB\03. Raw Material\40. 10052026 SSU MEDINI SIGNATURE 33KV (VI)\IR</v>
      </c>
      <c r="BP48" t="s">
        <v>601</v>
      </c>
    </row>
    <row r="49" spans="1:68" ht="15" customHeight="1" x14ac:dyDescent="0.25">
      <c r="A49" s="4">
        <v>24</v>
      </c>
      <c r="B49" s="4" t="s">
        <v>594</v>
      </c>
      <c r="C49" s="4">
        <v>2</v>
      </c>
      <c r="D49" s="4" t="s">
        <v>1760</v>
      </c>
      <c r="E49" s="4">
        <v>4</v>
      </c>
      <c r="F49" s="6" t="str">
        <f ca="1">Master_List!$AW$1</f>
        <v>PERPUSTAKAAN PUSAT</v>
      </c>
      <c r="G49" s="27" t="str">
        <f ca="1">Master_List!$AW$2</f>
        <v>09:30 PM</v>
      </c>
      <c r="H49" s="32" t="str">
        <f ca="1">Master_List!$AW$3</f>
        <v>20/07/2026</v>
      </c>
      <c r="I49" s="28" t="str">
        <f ca="1">Master_List!$AW$4</f>
        <v>28.5</v>
      </c>
      <c r="J49" s="6" t="str">
        <f ca="1">Master_List!$AW$5</f>
        <v>65</v>
      </c>
      <c r="K49" s="6" t="s">
        <v>579</v>
      </c>
      <c r="L49" s="22"/>
      <c r="M49" s="22"/>
      <c r="N49" s="22"/>
      <c r="O49" s="22"/>
      <c r="P49" s="22"/>
      <c r="Q49" s="22"/>
      <c r="R49" s="22"/>
      <c r="S49" s="22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6"/>
      <c r="BE49" s="6"/>
      <c r="BF49" s="6"/>
      <c r="BG49" s="6"/>
      <c r="BH49" s="24"/>
      <c r="BL49" s="4" t="s">
        <v>1744</v>
      </c>
      <c r="BM49" s="4" t="s">
        <v>1774</v>
      </c>
      <c r="BN49" s="4" t="s">
        <v>1748</v>
      </c>
      <c r="BO49" s="4" t="str">
        <f t="shared" si="0"/>
        <v>C:\Users\aremi\Desktop\REPORT CBM\PO TIANU JB\03. Raw Material\40. 10052026 SSU MEDINI SIGNATURE 33KV (VI)\IR</v>
      </c>
      <c r="BP49" t="s">
        <v>602</v>
      </c>
    </row>
    <row r="50" spans="1:68" ht="15" customHeight="1" x14ac:dyDescent="0.25">
      <c r="A50" s="4">
        <v>25</v>
      </c>
      <c r="B50" s="4" t="s">
        <v>594</v>
      </c>
      <c r="C50" s="4">
        <v>2</v>
      </c>
      <c r="D50" s="4" t="s">
        <v>1760</v>
      </c>
      <c r="E50" s="4">
        <v>5</v>
      </c>
      <c r="F50" s="6" t="str">
        <f ca="1">Master_List!$AW$1</f>
        <v>PERPUSTAKAAN PUSAT</v>
      </c>
      <c r="G50" s="27" t="str">
        <f ca="1">Master_List!$AW$2</f>
        <v>09:30 PM</v>
      </c>
      <c r="H50" s="32" t="str">
        <f ca="1">Master_List!$AW$3</f>
        <v>20/07/2026</v>
      </c>
      <c r="I50" s="28" t="str">
        <f ca="1">Master_List!$AW$4</f>
        <v>28.5</v>
      </c>
      <c r="J50" s="6" t="str">
        <f ca="1">Master_List!$AW$5</f>
        <v>65</v>
      </c>
      <c r="K50" s="6" t="s">
        <v>582</v>
      </c>
      <c r="L50" s="22"/>
      <c r="M50" s="22"/>
      <c r="N50" s="22"/>
      <c r="O50" s="22"/>
      <c r="P50" s="22"/>
      <c r="Q50" s="22"/>
      <c r="R50" s="22"/>
      <c r="S50" s="22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6"/>
      <c r="BE50" s="6"/>
      <c r="BF50" s="6"/>
      <c r="BG50" s="6"/>
      <c r="BH50" s="24"/>
      <c r="BL50" s="4" t="s">
        <v>1744</v>
      </c>
      <c r="BM50" s="4" t="s">
        <v>1775</v>
      </c>
      <c r="BN50" s="4" t="s">
        <v>1746</v>
      </c>
      <c r="BO50" s="4" t="str">
        <f t="shared" si="0"/>
        <v>C:\Users\aremi\Desktop\REPORT CBM\PO TIANU JB\03. Raw Material\40. 10052026 SSU MEDINI SIGNATURE 33KV (VI)\IR</v>
      </c>
      <c r="BP50" t="s">
        <v>603</v>
      </c>
    </row>
    <row r="51" spans="1:68" ht="15" customHeight="1" x14ac:dyDescent="0.25">
      <c r="A51" s="4">
        <v>25</v>
      </c>
      <c r="B51" s="4" t="s">
        <v>594</v>
      </c>
      <c r="C51" s="4">
        <v>2</v>
      </c>
      <c r="D51" s="4" t="s">
        <v>1760</v>
      </c>
      <c r="E51" s="4">
        <v>5</v>
      </c>
      <c r="F51" s="6" t="str">
        <f ca="1">Master_List!$AW$1</f>
        <v>PERPUSTAKAAN PUSAT</v>
      </c>
      <c r="G51" s="27" t="str">
        <f ca="1">Master_List!$AW$2</f>
        <v>09:30 PM</v>
      </c>
      <c r="H51" s="32" t="str">
        <f ca="1">Master_List!$AW$3</f>
        <v>20/07/2026</v>
      </c>
      <c r="I51" s="28" t="str">
        <f ca="1">Master_List!$AW$4</f>
        <v>28.5</v>
      </c>
      <c r="J51" s="6" t="str">
        <f ca="1">Master_List!$AW$5</f>
        <v>65</v>
      </c>
      <c r="K51" s="6" t="s">
        <v>582</v>
      </c>
      <c r="L51" s="22"/>
      <c r="M51" s="22"/>
      <c r="N51" s="22"/>
      <c r="O51" s="22"/>
      <c r="P51" s="22"/>
      <c r="Q51" s="22"/>
      <c r="R51" s="22"/>
      <c r="S51" s="22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6"/>
      <c r="BE51" s="6"/>
      <c r="BF51" s="6"/>
      <c r="BG51" s="6"/>
      <c r="BH51" s="24"/>
      <c r="BL51" s="4" t="s">
        <v>1744</v>
      </c>
      <c r="BM51" s="4" t="s">
        <v>1775</v>
      </c>
      <c r="BN51" s="4" t="s">
        <v>1748</v>
      </c>
      <c r="BO51" s="4" t="str">
        <f t="shared" si="0"/>
        <v>C:\Users\aremi\Desktop\REPORT CBM\PO TIANU JB\03. Raw Material\40. 10052026 SSU MEDINI SIGNATURE 33KV (VI)\IR</v>
      </c>
      <c r="BP51" t="s">
        <v>604</v>
      </c>
    </row>
    <row r="52" spans="1:68" ht="15" customHeight="1" x14ac:dyDescent="0.25">
      <c r="A52" s="4">
        <v>26</v>
      </c>
      <c r="B52" s="4" t="s">
        <v>594</v>
      </c>
      <c r="C52" s="4">
        <v>2</v>
      </c>
      <c r="D52" s="4" t="s">
        <v>1760</v>
      </c>
      <c r="E52" s="4">
        <v>6</v>
      </c>
      <c r="F52" s="6" t="str">
        <f ca="1">Master_List!$AW$1</f>
        <v>PERPUSTAKAAN PUSAT</v>
      </c>
      <c r="G52" s="27" t="str">
        <f ca="1">Master_List!$AW$2</f>
        <v>09:30 PM</v>
      </c>
      <c r="H52" s="32" t="str">
        <f ca="1">Master_List!$AW$3</f>
        <v>20/07/2026</v>
      </c>
      <c r="I52" s="28" t="str">
        <f ca="1">Master_List!$AW$4</f>
        <v>28.5</v>
      </c>
      <c r="J52" s="6" t="str">
        <f ca="1">Master_List!$AW$5</f>
        <v>65</v>
      </c>
      <c r="K52" s="6" t="s">
        <v>585</v>
      </c>
      <c r="L52" s="22"/>
      <c r="M52" s="22"/>
      <c r="N52" s="22"/>
      <c r="O52" s="22"/>
      <c r="P52" s="22"/>
      <c r="Q52" s="22"/>
      <c r="R52" s="22"/>
      <c r="S52" s="22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6"/>
      <c r="BE52" s="6"/>
      <c r="BF52" s="6"/>
      <c r="BG52" s="6"/>
      <c r="BH52" s="24"/>
      <c r="BL52" s="4" t="s">
        <v>1744</v>
      </c>
      <c r="BM52" s="4" t="s">
        <v>1776</v>
      </c>
      <c r="BN52" s="4" t="s">
        <v>1746</v>
      </c>
      <c r="BO52" s="4" t="str">
        <f t="shared" si="0"/>
        <v>C:\Users\aremi\Desktop\REPORT CBM\PO TIANU JB\03. Raw Material\40. 10052026 SSU MEDINI SIGNATURE 33KV (VI)\IR</v>
      </c>
      <c r="BP52" t="s">
        <v>605</v>
      </c>
    </row>
    <row r="53" spans="1:68" ht="15" customHeight="1" x14ac:dyDescent="0.25">
      <c r="A53" s="4">
        <v>26</v>
      </c>
      <c r="B53" s="4" t="s">
        <v>594</v>
      </c>
      <c r="C53" s="4">
        <v>2</v>
      </c>
      <c r="D53" s="4" t="s">
        <v>1760</v>
      </c>
      <c r="E53" s="4">
        <v>6</v>
      </c>
      <c r="F53" s="6" t="str">
        <f ca="1">Master_List!$AW$1</f>
        <v>PERPUSTAKAAN PUSAT</v>
      </c>
      <c r="G53" s="27" t="str">
        <f ca="1">Master_List!$AW$2</f>
        <v>09:30 PM</v>
      </c>
      <c r="H53" s="32" t="str">
        <f ca="1">Master_List!$AW$3</f>
        <v>20/07/2026</v>
      </c>
      <c r="I53" s="28" t="str">
        <f ca="1">Master_List!$AW$4</f>
        <v>28.5</v>
      </c>
      <c r="J53" s="6" t="str">
        <f ca="1">Master_List!$AW$5</f>
        <v>65</v>
      </c>
      <c r="K53" s="6" t="s">
        <v>585</v>
      </c>
      <c r="L53" s="22"/>
      <c r="M53" s="22"/>
      <c r="N53" s="22"/>
      <c r="O53" s="22"/>
      <c r="P53" s="22"/>
      <c r="Q53" s="22"/>
      <c r="R53" s="22"/>
      <c r="S53" s="22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6"/>
      <c r="BE53" s="6"/>
      <c r="BF53" s="6"/>
      <c r="BG53" s="6"/>
      <c r="BH53" s="24"/>
      <c r="BL53" s="4" t="s">
        <v>1744</v>
      </c>
      <c r="BM53" s="4" t="s">
        <v>1776</v>
      </c>
      <c r="BN53" s="4" t="s">
        <v>1748</v>
      </c>
      <c r="BO53" s="4" t="str">
        <f t="shared" si="0"/>
        <v>C:\Users\aremi\Desktop\REPORT CBM\PO TIANU JB\03. Raw Material\40. 10052026 SSU MEDINI SIGNATURE 33KV (VI)\IR</v>
      </c>
      <c r="BP53" t="s">
        <v>606</v>
      </c>
    </row>
    <row r="54" spans="1:68" ht="15" customHeight="1" x14ac:dyDescent="0.25">
      <c r="A54" s="4">
        <v>27</v>
      </c>
      <c r="B54" s="4" t="s">
        <v>594</v>
      </c>
      <c r="C54" s="4">
        <v>2</v>
      </c>
      <c r="D54" s="4" t="s">
        <v>1767</v>
      </c>
      <c r="E54" s="4">
        <v>7</v>
      </c>
      <c r="F54" s="6" t="str">
        <f ca="1">Master_List!$AW$1</f>
        <v>PERPUSTAKAAN PUSAT</v>
      </c>
      <c r="G54" s="27" t="str">
        <f ca="1">Master_List!$AW$2</f>
        <v>09:30 PM</v>
      </c>
      <c r="H54" s="32" t="str">
        <f ca="1">Master_List!$AW$3</f>
        <v>20/07/2026</v>
      </c>
      <c r="I54" s="28" t="str">
        <f ca="1">Master_List!$AW$4</f>
        <v>28.5</v>
      </c>
      <c r="J54" s="6" t="str">
        <f ca="1">Master_List!$AW$5</f>
        <v>65</v>
      </c>
      <c r="K54" s="6" t="s">
        <v>588</v>
      </c>
      <c r="L54" s="22"/>
      <c r="M54" s="25"/>
      <c r="N54" s="25"/>
      <c r="O54" s="25"/>
      <c r="P54" s="25"/>
      <c r="Q54" s="25"/>
      <c r="R54" s="25"/>
      <c r="S54" s="25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6"/>
      <c r="BE54" s="6"/>
      <c r="BF54" s="6"/>
      <c r="BG54" s="6"/>
      <c r="BH54" s="24"/>
      <c r="BL54" s="4" t="s">
        <v>1744</v>
      </c>
      <c r="BM54" s="4" t="s">
        <v>1777</v>
      </c>
      <c r="BN54" s="4" t="s">
        <v>1746</v>
      </c>
      <c r="BO54" s="4" t="str">
        <f t="shared" si="0"/>
        <v>C:\Users\aremi\Desktop\REPORT CBM\PO TIANU JB\03. Raw Material\40. 10052026 SSU MEDINI SIGNATURE 33KV (VI)\IR</v>
      </c>
      <c r="BP54" t="s">
        <v>607</v>
      </c>
    </row>
    <row r="55" spans="1:68" ht="15" customHeight="1" x14ac:dyDescent="0.25">
      <c r="A55" s="4">
        <v>27</v>
      </c>
      <c r="B55" s="4" t="s">
        <v>594</v>
      </c>
      <c r="C55" s="4">
        <v>2</v>
      </c>
      <c r="D55" s="4" t="s">
        <v>1767</v>
      </c>
      <c r="E55" s="4">
        <v>7</v>
      </c>
      <c r="F55" s="6" t="str">
        <f ca="1">Master_List!$AW$1</f>
        <v>PERPUSTAKAAN PUSAT</v>
      </c>
      <c r="G55" s="27" t="str">
        <f ca="1">Master_List!$AW$2</f>
        <v>09:30 PM</v>
      </c>
      <c r="H55" s="32" t="str">
        <f ca="1">Master_List!$AW$3</f>
        <v>20/07/2026</v>
      </c>
      <c r="I55" s="28" t="str">
        <f ca="1">Master_List!$AW$4</f>
        <v>28.5</v>
      </c>
      <c r="J55" s="6" t="str">
        <f ca="1">Master_List!$AW$5</f>
        <v>65</v>
      </c>
      <c r="K55" s="6" t="s">
        <v>588</v>
      </c>
      <c r="L55" s="22"/>
      <c r="M55" s="25"/>
      <c r="N55" s="25"/>
      <c r="O55" s="25"/>
      <c r="P55" s="25"/>
      <c r="Q55" s="25"/>
      <c r="R55" s="25"/>
      <c r="S55" s="25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6"/>
      <c r="BE55" s="6"/>
      <c r="BF55" s="6"/>
      <c r="BG55" s="6"/>
      <c r="BH55" s="24"/>
      <c r="BL55" s="4" t="s">
        <v>1744</v>
      </c>
      <c r="BM55" s="4" t="s">
        <v>1777</v>
      </c>
      <c r="BN55" s="4" t="s">
        <v>1748</v>
      </c>
      <c r="BO55" s="4" t="str">
        <f t="shared" si="0"/>
        <v>C:\Users\aremi\Desktop\REPORT CBM\PO TIANU JB\03. Raw Material\40. 10052026 SSU MEDINI SIGNATURE 33KV (VI)\IR</v>
      </c>
      <c r="BP55" t="s">
        <v>608</v>
      </c>
    </row>
    <row r="56" spans="1:68" ht="15" customHeight="1" x14ac:dyDescent="0.25">
      <c r="A56" s="4">
        <v>28</v>
      </c>
      <c r="B56" s="4" t="s">
        <v>594</v>
      </c>
      <c r="C56" s="4">
        <v>2</v>
      </c>
      <c r="D56" s="4" t="s">
        <v>1769</v>
      </c>
      <c r="E56" s="4">
        <v>8</v>
      </c>
      <c r="F56" s="6" t="str">
        <f ca="1">Master_List!$AW$1</f>
        <v>PERPUSTAKAAN PUSAT</v>
      </c>
      <c r="G56" s="27" t="str">
        <f ca="1">Master_List!$AW$2</f>
        <v>09:30 PM</v>
      </c>
      <c r="H56" s="32" t="str">
        <f ca="1">Master_List!$AW$3</f>
        <v>20/07/2026</v>
      </c>
      <c r="I56" s="28" t="str">
        <f ca="1">Master_List!$AW$4</f>
        <v>28.5</v>
      </c>
      <c r="J56" s="6" t="str">
        <f ca="1">Master_List!$AW$5</f>
        <v>65</v>
      </c>
      <c r="K56" s="6" t="s">
        <v>591</v>
      </c>
      <c r="L56" s="22"/>
      <c r="M56" s="25"/>
      <c r="N56" s="25"/>
      <c r="O56" s="25"/>
      <c r="P56" s="25"/>
      <c r="Q56" s="25"/>
      <c r="R56" s="25"/>
      <c r="S56" s="25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6"/>
      <c r="BE56" s="6"/>
      <c r="BF56" s="6"/>
      <c r="BG56" s="6"/>
      <c r="BH56" s="24"/>
      <c r="BL56" s="4" t="s">
        <v>1744</v>
      </c>
      <c r="BM56" s="4" t="s">
        <v>1778</v>
      </c>
      <c r="BN56" s="4" t="s">
        <v>1746</v>
      </c>
      <c r="BO56" s="4" t="str">
        <f t="shared" si="0"/>
        <v>C:\Users\aremi\Desktop\REPORT CBM\PO TIANU JB\03. Raw Material\40. 10052026 SSU MEDINI SIGNATURE 33KV (VI)\IR</v>
      </c>
      <c r="BP56" t="s">
        <v>609</v>
      </c>
    </row>
    <row r="57" spans="1:68" ht="15" customHeight="1" x14ac:dyDescent="0.25">
      <c r="A57" s="4">
        <v>28</v>
      </c>
      <c r="B57" s="4" t="s">
        <v>594</v>
      </c>
      <c r="C57" s="4">
        <v>2</v>
      </c>
      <c r="D57" s="4" t="s">
        <v>1769</v>
      </c>
      <c r="E57" s="4">
        <v>8</v>
      </c>
      <c r="F57" s="6" t="str">
        <f ca="1">Master_List!$AW$1</f>
        <v>PERPUSTAKAAN PUSAT</v>
      </c>
      <c r="G57" s="27" t="str">
        <f ca="1">Master_List!$AW$2</f>
        <v>09:30 PM</v>
      </c>
      <c r="H57" s="32" t="str">
        <f ca="1">Master_List!$AW$3</f>
        <v>20/07/2026</v>
      </c>
      <c r="I57" s="28" t="str">
        <f ca="1">Master_List!$AW$4</f>
        <v>28.5</v>
      </c>
      <c r="J57" s="6" t="str">
        <f ca="1">Master_List!$AW$5</f>
        <v>65</v>
      </c>
      <c r="K57" s="6" t="s">
        <v>591</v>
      </c>
      <c r="L57" s="22"/>
      <c r="M57" s="25"/>
      <c r="N57" s="25"/>
      <c r="O57" s="25"/>
      <c r="P57" s="25"/>
      <c r="Q57" s="25"/>
      <c r="R57" s="25"/>
      <c r="S57" s="25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6"/>
      <c r="BE57" s="6"/>
      <c r="BF57" s="6"/>
      <c r="BG57" s="6"/>
      <c r="BH57" s="24"/>
      <c r="BL57" s="4" t="s">
        <v>1744</v>
      </c>
      <c r="BM57" s="4" t="s">
        <v>1778</v>
      </c>
      <c r="BN57" s="4" t="s">
        <v>1748</v>
      </c>
      <c r="BO57" s="4" t="str">
        <f t="shared" si="0"/>
        <v>C:\Users\aremi\Desktop\REPORT CBM\PO TIANU JB\03. Raw Material\40. 10052026 SSU MEDINI SIGNATURE 33KV (VI)\IR</v>
      </c>
      <c r="BP57" t="s">
        <v>610</v>
      </c>
    </row>
    <row r="58" spans="1:68" ht="15" customHeight="1" x14ac:dyDescent="0.25">
      <c r="A58" s="4">
        <v>29</v>
      </c>
      <c r="B58" s="4" t="s">
        <v>611</v>
      </c>
      <c r="C58" s="4">
        <v>2</v>
      </c>
      <c r="D58" s="4" t="s">
        <v>1760</v>
      </c>
      <c r="E58" s="4">
        <v>1</v>
      </c>
      <c r="F58" s="6" t="str">
        <f ca="1">Master_List!$AW$1</f>
        <v>PERPUSTAKAAN PUSAT</v>
      </c>
      <c r="G58" s="27" t="str">
        <f ca="1">Master_List!$AW$2</f>
        <v>09:30 PM</v>
      </c>
      <c r="H58" s="32" t="str">
        <f ca="1">Master_List!$AW$3</f>
        <v>20/07/2026</v>
      </c>
      <c r="I58" s="28" t="str">
        <f ca="1">Master_List!$AW$4</f>
        <v>28.5</v>
      </c>
      <c r="J58" s="6" t="str">
        <f ca="1">Master_List!$AW$5</f>
        <v>65</v>
      </c>
      <c r="K58" s="6" t="s">
        <v>570</v>
      </c>
      <c r="L58" s="22"/>
      <c r="M58" s="22"/>
      <c r="N58" s="25"/>
      <c r="O58" s="25"/>
      <c r="P58" s="25"/>
      <c r="Q58" s="25"/>
      <c r="R58" s="25"/>
      <c r="S58" s="25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6"/>
      <c r="BE58" s="6"/>
      <c r="BF58" s="6"/>
      <c r="BG58" s="6"/>
      <c r="BH58" s="24"/>
      <c r="BL58" s="4" t="s">
        <v>1744</v>
      </c>
      <c r="BM58" s="4" t="s">
        <v>1779</v>
      </c>
      <c r="BN58" s="4" t="s">
        <v>1746</v>
      </c>
      <c r="BO58" s="4" t="str">
        <f t="shared" si="0"/>
        <v>C:\Users\aremi\Desktop\REPORT CBM\PO TIANU JB\03. Raw Material\40. 10052026 SSU MEDINI SIGNATURE 33KV (VI)\IR</v>
      </c>
      <c r="BP58" t="s">
        <v>612</v>
      </c>
    </row>
    <row r="59" spans="1:68" ht="15" customHeight="1" x14ac:dyDescent="0.25">
      <c r="A59" s="4">
        <v>29</v>
      </c>
      <c r="B59" s="4" t="s">
        <v>611</v>
      </c>
      <c r="C59" s="4">
        <v>2</v>
      </c>
      <c r="D59" s="4" t="s">
        <v>1760</v>
      </c>
      <c r="E59" s="4">
        <v>1</v>
      </c>
      <c r="F59" s="6" t="str">
        <f ca="1">Master_List!$AW$1</f>
        <v>PERPUSTAKAAN PUSAT</v>
      </c>
      <c r="G59" s="27" t="str">
        <f ca="1">Master_List!$AW$2</f>
        <v>09:30 PM</v>
      </c>
      <c r="H59" s="32" t="str">
        <f ca="1">Master_List!$AW$3</f>
        <v>20/07/2026</v>
      </c>
      <c r="I59" s="28" t="str">
        <f ca="1">Master_List!$AW$4</f>
        <v>28.5</v>
      </c>
      <c r="J59" s="6" t="str">
        <f ca="1">Master_List!$AW$5</f>
        <v>65</v>
      </c>
      <c r="K59" s="6" t="s">
        <v>570</v>
      </c>
      <c r="L59" s="22"/>
      <c r="M59" s="22"/>
      <c r="N59" s="25"/>
      <c r="O59" s="25"/>
      <c r="P59" s="25"/>
      <c r="Q59" s="25"/>
      <c r="R59" s="25"/>
      <c r="S59" s="25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6"/>
      <c r="BE59" s="6"/>
      <c r="BF59" s="6"/>
      <c r="BG59" s="6"/>
      <c r="BH59" s="24"/>
      <c r="BL59" s="4" t="s">
        <v>1744</v>
      </c>
      <c r="BM59" s="4" t="s">
        <v>1779</v>
      </c>
      <c r="BN59" s="4" t="s">
        <v>1748</v>
      </c>
      <c r="BO59" s="4" t="str">
        <f t="shared" si="0"/>
        <v>C:\Users\aremi\Desktop\REPORT CBM\PO TIANU JB\03. Raw Material\40. 10052026 SSU MEDINI SIGNATURE 33KV (VI)\IR</v>
      </c>
      <c r="BP59" t="s">
        <v>613</v>
      </c>
    </row>
    <row r="60" spans="1:68" ht="15" customHeight="1" x14ac:dyDescent="0.25">
      <c r="A60" s="4">
        <v>30</v>
      </c>
      <c r="B60" s="4" t="s">
        <v>611</v>
      </c>
      <c r="C60" s="4">
        <v>2</v>
      </c>
      <c r="D60" s="4" t="s">
        <v>1760</v>
      </c>
      <c r="E60" s="4">
        <v>2</v>
      </c>
      <c r="F60" s="6" t="str">
        <f ca="1">Master_List!$AW$1</f>
        <v>PERPUSTAKAAN PUSAT</v>
      </c>
      <c r="G60" s="27" t="str">
        <f ca="1">Master_List!$AW$2</f>
        <v>09:30 PM</v>
      </c>
      <c r="H60" s="32" t="str">
        <f ca="1">Master_List!$AW$3</f>
        <v>20/07/2026</v>
      </c>
      <c r="I60" s="28" t="str">
        <f ca="1">Master_List!$AW$4</f>
        <v>28.5</v>
      </c>
      <c r="J60" s="6" t="str">
        <f ca="1">Master_List!$AW$5</f>
        <v>65</v>
      </c>
      <c r="K60" s="6" t="s">
        <v>573</v>
      </c>
      <c r="L60" s="22"/>
      <c r="M60" s="22"/>
      <c r="N60" s="25"/>
      <c r="O60" s="25"/>
      <c r="P60" s="25"/>
      <c r="Q60" s="25"/>
      <c r="R60" s="25"/>
      <c r="S60" s="25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6"/>
      <c r="BE60" s="6"/>
      <c r="BF60" s="6"/>
      <c r="BG60" s="6"/>
      <c r="BH60" s="24"/>
      <c r="BL60" s="4" t="s">
        <v>1744</v>
      </c>
      <c r="BM60" s="4" t="s">
        <v>1780</v>
      </c>
      <c r="BN60" s="4" t="s">
        <v>1746</v>
      </c>
      <c r="BO60" s="4" t="str">
        <f t="shared" si="0"/>
        <v>C:\Users\aremi\Desktop\REPORT CBM\PO TIANU JB\03. Raw Material\40. 10052026 SSU MEDINI SIGNATURE 33KV (VI)\IR</v>
      </c>
      <c r="BP60" t="s">
        <v>614</v>
      </c>
    </row>
    <row r="61" spans="1:68" ht="15" customHeight="1" x14ac:dyDescent="0.25">
      <c r="A61" s="4">
        <v>30</v>
      </c>
      <c r="B61" s="4" t="s">
        <v>611</v>
      </c>
      <c r="C61" s="4">
        <v>2</v>
      </c>
      <c r="D61" s="4" t="s">
        <v>1760</v>
      </c>
      <c r="E61" s="4">
        <v>2</v>
      </c>
      <c r="F61" s="6" t="str">
        <f ca="1">Master_List!$AW$1</f>
        <v>PERPUSTAKAAN PUSAT</v>
      </c>
      <c r="G61" s="27" t="str">
        <f ca="1">Master_List!$AW$2</f>
        <v>09:30 PM</v>
      </c>
      <c r="H61" s="32" t="str">
        <f ca="1">Master_List!$AW$3</f>
        <v>20/07/2026</v>
      </c>
      <c r="I61" s="28" t="str">
        <f ca="1">Master_List!$AW$4</f>
        <v>28.5</v>
      </c>
      <c r="J61" s="6" t="str">
        <f ca="1">Master_List!$AW$5</f>
        <v>65</v>
      </c>
      <c r="K61" s="6" t="s">
        <v>573</v>
      </c>
      <c r="L61" s="22"/>
      <c r="M61" s="22"/>
      <c r="N61" s="25"/>
      <c r="O61" s="25"/>
      <c r="P61" s="25"/>
      <c r="Q61" s="25"/>
      <c r="R61" s="25"/>
      <c r="S61" s="25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6"/>
      <c r="BE61" s="6"/>
      <c r="BF61" s="6"/>
      <c r="BG61" s="6"/>
      <c r="BH61" s="24"/>
      <c r="BL61" s="4" t="s">
        <v>1744</v>
      </c>
      <c r="BM61" s="4" t="s">
        <v>1780</v>
      </c>
      <c r="BN61" s="4" t="s">
        <v>1748</v>
      </c>
      <c r="BO61" s="4" t="str">
        <f t="shared" si="0"/>
        <v>C:\Users\aremi\Desktop\REPORT CBM\PO TIANU JB\03. Raw Material\40. 10052026 SSU MEDINI SIGNATURE 33KV (VI)\IR</v>
      </c>
      <c r="BP61" t="s">
        <v>615</v>
      </c>
    </row>
    <row r="62" spans="1:68" ht="15" customHeight="1" x14ac:dyDescent="0.25">
      <c r="A62" s="4">
        <v>31</v>
      </c>
      <c r="B62" s="4" t="s">
        <v>611</v>
      </c>
      <c r="C62" s="4">
        <v>2</v>
      </c>
      <c r="D62" s="4" t="s">
        <v>1760</v>
      </c>
      <c r="E62" s="4">
        <v>3</v>
      </c>
      <c r="F62" s="6" t="str">
        <f ca="1">Master_List!$AW$1</f>
        <v>PERPUSTAKAAN PUSAT</v>
      </c>
      <c r="G62" s="27" t="str">
        <f ca="1">Master_List!$AW$2</f>
        <v>09:30 PM</v>
      </c>
      <c r="H62" s="32" t="str">
        <f ca="1">Master_List!$AW$3</f>
        <v>20/07/2026</v>
      </c>
      <c r="I62" s="28" t="str">
        <f ca="1">Master_List!$AW$4</f>
        <v>28.5</v>
      </c>
      <c r="J62" s="6" t="str">
        <f ca="1">Master_List!$AW$5</f>
        <v>65</v>
      </c>
      <c r="K62" s="6" t="s">
        <v>576</v>
      </c>
      <c r="L62" s="22"/>
      <c r="M62" s="22"/>
      <c r="N62" s="25"/>
      <c r="O62" s="25"/>
      <c r="P62" s="25"/>
      <c r="Q62" s="25"/>
      <c r="R62" s="25"/>
      <c r="S62" s="25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6"/>
      <c r="BE62" s="6"/>
      <c r="BF62" s="6"/>
      <c r="BG62" s="6"/>
      <c r="BH62" s="24"/>
      <c r="BL62" s="4" t="s">
        <v>1744</v>
      </c>
      <c r="BM62" s="4" t="s">
        <v>1781</v>
      </c>
      <c r="BN62" s="4" t="s">
        <v>1746</v>
      </c>
      <c r="BO62" s="4" t="str">
        <f t="shared" si="0"/>
        <v>C:\Users\aremi\Desktop\REPORT CBM\PO TIANU JB\03. Raw Material\40. 10052026 SSU MEDINI SIGNATURE 33KV (VI)\IR</v>
      </c>
      <c r="BP62" t="s">
        <v>616</v>
      </c>
    </row>
    <row r="63" spans="1:68" ht="15" customHeight="1" x14ac:dyDescent="0.25">
      <c r="A63" s="4">
        <v>31</v>
      </c>
      <c r="B63" s="4" t="s">
        <v>611</v>
      </c>
      <c r="C63" s="4">
        <v>2</v>
      </c>
      <c r="D63" s="4" t="s">
        <v>1760</v>
      </c>
      <c r="E63" s="4">
        <v>3</v>
      </c>
      <c r="F63" s="6" t="str">
        <f ca="1">Master_List!$AW$1</f>
        <v>PERPUSTAKAAN PUSAT</v>
      </c>
      <c r="G63" s="27" t="str">
        <f ca="1">Master_List!$AW$2</f>
        <v>09:30 PM</v>
      </c>
      <c r="H63" s="32" t="str">
        <f ca="1">Master_List!$AW$3</f>
        <v>20/07/2026</v>
      </c>
      <c r="I63" s="28" t="str">
        <f ca="1">Master_List!$AW$4</f>
        <v>28.5</v>
      </c>
      <c r="J63" s="6" t="str">
        <f ca="1">Master_List!$AW$5</f>
        <v>65</v>
      </c>
      <c r="K63" s="6" t="s">
        <v>576</v>
      </c>
      <c r="L63" s="22"/>
      <c r="M63" s="22"/>
      <c r="N63" s="25"/>
      <c r="O63" s="25"/>
      <c r="P63" s="25"/>
      <c r="Q63" s="25"/>
      <c r="R63" s="25"/>
      <c r="S63" s="25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6"/>
      <c r="BE63" s="6"/>
      <c r="BF63" s="6"/>
      <c r="BG63" s="6"/>
      <c r="BH63" s="24"/>
      <c r="BL63" s="4" t="s">
        <v>1744</v>
      </c>
      <c r="BM63" s="4" t="s">
        <v>1781</v>
      </c>
      <c r="BN63" s="4" t="s">
        <v>1748</v>
      </c>
      <c r="BO63" s="4" t="str">
        <f t="shared" si="0"/>
        <v>C:\Users\aremi\Desktop\REPORT CBM\PO TIANU JB\03. Raw Material\40. 10052026 SSU MEDINI SIGNATURE 33KV (VI)\IR</v>
      </c>
      <c r="BP63" t="s">
        <v>617</v>
      </c>
    </row>
    <row r="64" spans="1:68" ht="15" customHeight="1" x14ac:dyDescent="0.25">
      <c r="A64" s="4">
        <v>32</v>
      </c>
      <c r="B64" s="4" t="s">
        <v>611</v>
      </c>
      <c r="C64" s="4">
        <v>2</v>
      </c>
      <c r="D64" s="4" t="s">
        <v>1760</v>
      </c>
      <c r="E64" s="4">
        <v>4</v>
      </c>
      <c r="F64" s="6" t="str">
        <f ca="1">Master_List!$AW$1</f>
        <v>PERPUSTAKAAN PUSAT</v>
      </c>
      <c r="G64" s="27" t="str">
        <f ca="1">Master_List!$AW$2</f>
        <v>09:30 PM</v>
      </c>
      <c r="H64" s="32" t="str">
        <f ca="1">Master_List!$AW$3</f>
        <v>20/07/2026</v>
      </c>
      <c r="I64" s="28" t="str">
        <f ca="1">Master_List!$AW$4</f>
        <v>28.5</v>
      </c>
      <c r="J64" s="6" t="str">
        <f ca="1">Master_List!$AW$5</f>
        <v>65</v>
      </c>
      <c r="K64" s="6" t="s">
        <v>579</v>
      </c>
      <c r="L64" s="22"/>
      <c r="M64" s="22"/>
      <c r="N64" s="25"/>
      <c r="O64" s="25"/>
      <c r="P64" s="25"/>
      <c r="Q64" s="25"/>
      <c r="R64" s="25"/>
      <c r="S64" s="25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6"/>
      <c r="BE64" s="6"/>
      <c r="BF64" s="6"/>
      <c r="BG64" s="6"/>
      <c r="BH64" s="24"/>
      <c r="BL64" s="4" t="s">
        <v>1744</v>
      </c>
      <c r="BM64" s="4" t="s">
        <v>1782</v>
      </c>
      <c r="BN64" s="4" t="s">
        <v>1746</v>
      </c>
      <c r="BO64" s="4" t="str">
        <f t="shared" si="0"/>
        <v>C:\Users\aremi\Desktop\REPORT CBM\PO TIANU JB\03. Raw Material\40. 10052026 SSU MEDINI SIGNATURE 33KV (VI)\IR</v>
      </c>
      <c r="BP64" t="s">
        <v>618</v>
      </c>
    </row>
    <row r="65" spans="1:68" ht="15" customHeight="1" x14ac:dyDescent="0.25">
      <c r="A65" s="4">
        <v>32</v>
      </c>
      <c r="B65" s="4" t="s">
        <v>611</v>
      </c>
      <c r="C65" s="4">
        <v>2</v>
      </c>
      <c r="D65" s="4" t="s">
        <v>1760</v>
      </c>
      <c r="E65" s="4">
        <v>4</v>
      </c>
      <c r="F65" s="6" t="str">
        <f ca="1">Master_List!$AW$1</f>
        <v>PERPUSTAKAAN PUSAT</v>
      </c>
      <c r="G65" s="27" t="str">
        <f ca="1">Master_List!$AW$2</f>
        <v>09:30 PM</v>
      </c>
      <c r="H65" s="32" t="str">
        <f ca="1">Master_List!$AW$3</f>
        <v>20/07/2026</v>
      </c>
      <c r="I65" s="28" t="str">
        <f ca="1">Master_List!$AW$4</f>
        <v>28.5</v>
      </c>
      <c r="J65" s="6" t="str">
        <f ca="1">Master_List!$AW$5</f>
        <v>65</v>
      </c>
      <c r="K65" s="6" t="s">
        <v>579</v>
      </c>
      <c r="L65" s="22"/>
      <c r="M65" s="22"/>
      <c r="N65" s="25"/>
      <c r="O65" s="25"/>
      <c r="P65" s="25"/>
      <c r="Q65" s="25"/>
      <c r="R65" s="25"/>
      <c r="S65" s="25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6"/>
      <c r="BE65" s="6"/>
      <c r="BF65" s="6"/>
      <c r="BG65" s="6"/>
      <c r="BH65" s="24"/>
      <c r="BL65" s="4" t="s">
        <v>1744</v>
      </c>
      <c r="BM65" s="4" t="s">
        <v>1782</v>
      </c>
      <c r="BN65" s="4" t="s">
        <v>1748</v>
      </c>
      <c r="BO65" s="4" t="str">
        <f t="shared" si="0"/>
        <v>C:\Users\aremi\Desktop\REPORT CBM\PO TIANU JB\03. Raw Material\40. 10052026 SSU MEDINI SIGNATURE 33KV (VI)\IR</v>
      </c>
      <c r="BP65" t="s">
        <v>619</v>
      </c>
    </row>
    <row r="66" spans="1:68" ht="15" customHeight="1" x14ac:dyDescent="0.25">
      <c r="A66" s="4">
        <v>33</v>
      </c>
      <c r="B66" s="4" t="s">
        <v>611</v>
      </c>
      <c r="C66" s="4">
        <v>2</v>
      </c>
      <c r="D66" s="4" t="s">
        <v>1760</v>
      </c>
      <c r="E66" s="4">
        <v>5</v>
      </c>
      <c r="F66" s="6" t="str">
        <f ca="1">Master_List!$AW$1</f>
        <v>PERPUSTAKAAN PUSAT</v>
      </c>
      <c r="G66" s="27" t="str">
        <f ca="1">Master_List!$AW$2</f>
        <v>09:30 PM</v>
      </c>
      <c r="H66" s="32" t="str">
        <f ca="1">Master_List!$AW$3</f>
        <v>20/07/2026</v>
      </c>
      <c r="I66" s="28" t="str">
        <f ca="1">Master_List!$AW$4</f>
        <v>28.5</v>
      </c>
      <c r="J66" s="6" t="str">
        <f ca="1">Master_List!$AW$5</f>
        <v>65</v>
      </c>
      <c r="K66" s="6" t="s">
        <v>582</v>
      </c>
      <c r="L66" s="22"/>
      <c r="M66" s="22"/>
      <c r="N66" s="25"/>
      <c r="O66" s="25"/>
      <c r="P66" s="25"/>
      <c r="Q66" s="25"/>
      <c r="R66" s="25"/>
      <c r="S66" s="25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6"/>
      <c r="BE66" s="6"/>
      <c r="BF66" s="6"/>
      <c r="BG66" s="6"/>
      <c r="BH66" s="24"/>
      <c r="BL66" s="4" t="s">
        <v>1744</v>
      </c>
      <c r="BM66" s="4" t="s">
        <v>1783</v>
      </c>
      <c r="BN66" s="4" t="s">
        <v>1746</v>
      </c>
      <c r="BO66" s="4" t="str">
        <f t="shared" si="0"/>
        <v>C:\Users\aremi\Desktop\REPORT CBM\PO TIANU JB\03. Raw Material\40. 10052026 SSU MEDINI SIGNATURE 33KV (VI)\IR</v>
      </c>
      <c r="BP66" t="s">
        <v>620</v>
      </c>
    </row>
    <row r="67" spans="1:68" ht="15" customHeight="1" x14ac:dyDescent="0.25">
      <c r="A67" s="4">
        <v>33</v>
      </c>
      <c r="B67" s="4" t="s">
        <v>611</v>
      </c>
      <c r="C67" s="4">
        <v>2</v>
      </c>
      <c r="D67" s="4" t="s">
        <v>1760</v>
      </c>
      <c r="E67" s="4">
        <v>5</v>
      </c>
      <c r="F67" s="6" t="str">
        <f ca="1">Master_List!$AW$1</f>
        <v>PERPUSTAKAAN PUSAT</v>
      </c>
      <c r="G67" s="27" t="str">
        <f ca="1">Master_List!$AW$2</f>
        <v>09:30 PM</v>
      </c>
      <c r="H67" s="32" t="str">
        <f ca="1">Master_List!$AW$3</f>
        <v>20/07/2026</v>
      </c>
      <c r="I67" s="28" t="str">
        <f ca="1">Master_List!$AW$4</f>
        <v>28.5</v>
      </c>
      <c r="J67" s="6" t="str">
        <f ca="1">Master_List!$AW$5</f>
        <v>65</v>
      </c>
      <c r="K67" s="6" t="s">
        <v>582</v>
      </c>
      <c r="L67" s="22"/>
      <c r="M67" s="22"/>
      <c r="N67" s="25"/>
      <c r="O67" s="25"/>
      <c r="P67" s="25"/>
      <c r="Q67" s="25"/>
      <c r="R67" s="25"/>
      <c r="S67" s="25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6"/>
      <c r="BE67" s="6"/>
      <c r="BF67" s="6"/>
      <c r="BG67" s="6"/>
      <c r="BH67" s="24"/>
      <c r="BL67" s="4" t="s">
        <v>1744</v>
      </c>
      <c r="BM67" s="4" t="s">
        <v>1783</v>
      </c>
      <c r="BN67" s="4" t="s">
        <v>1748</v>
      </c>
      <c r="BO67" s="4" t="str">
        <f t="shared" ref="BO67:BO130" si="1">BO66</f>
        <v>C:\Users\aremi\Desktop\REPORT CBM\PO TIANU JB\03. Raw Material\40. 10052026 SSU MEDINI SIGNATURE 33KV (VI)\IR</v>
      </c>
      <c r="BP67" t="s">
        <v>621</v>
      </c>
    </row>
    <row r="68" spans="1:68" ht="15" customHeight="1" x14ac:dyDescent="0.25">
      <c r="A68" s="4">
        <v>34</v>
      </c>
      <c r="B68" s="4" t="s">
        <v>611</v>
      </c>
      <c r="C68" s="4">
        <v>2</v>
      </c>
      <c r="D68" s="4" t="s">
        <v>1760</v>
      </c>
      <c r="E68" s="4">
        <v>6</v>
      </c>
      <c r="F68" s="6" t="str">
        <f ca="1">Master_List!$AW$1</f>
        <v>PERPUSTAKAAN PUSAT</v>
      </c>
      <c r="G68" s="27" t="str">
        <f ca="1">Master_List!$AW$2</f>
        <v>09:30 PM</v>
      </c>
      <c r="H68" s="32" t="str">
        <f ca="1">Master_List!$AW$3</f>
        <v>20/07/2026</v>
      </c>
      <c r="I68" s="28" t="str">
        <f ca="1">Master_List!$AW$4</f>
        <v>28.5</v>
      </c>
      <c r="J68" s="6" t="str">
        <f ca="1">Master_List!$AW$5</f>
        <v>65</v>
      </c>
      <c r="K68" s="6" t="s">
        <v>585</v>
      </c>
      <c r="L68" s="22"/>
      <c r="M68" s="22"/>
      <c r="N68" s="25"/>
      <c r="O68" s="25"/>
      <c r="P68" s="25"/>
      <c r="Q68" s="25"/>
      <c r="R68" s="25"/>
      <c r="S68" s="25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6"/>
      <c r="BE68" s="6"/>
      <c r="BF68" s="6"/>
      <c r="BG68" s="6"/>
      <c r="BH68" s="24"/>
      <c r="BL68" s="4" t="s">
        <v>1744</v>
      </c>
      <c r="BM68" s="4" t="s">
        <v>1784</v>
      </c>
      <c r="BN68" s="4" t="s">
        <v>1746</v>
      </c>
      <c r="BO68" s="4" t="str">
        <f t="shared" si="1"/>
        <v>C:\Users\aremi\Desktop\REPORT CBM\PO TIANU JB\03. Raw Material\40. 10052026 SSU MEDINI SIGNATURE 33KV (VI)\IR</v>
      </c>
      <c r="BP68" t="s">
        <v>622</v>
      </c>
    </row>
    <row r="69" spans="1:68" ht="15" customHeight="1" x14ac:dyDescent="0.25">
      <c r="A69" s="4">
        <v>34</v>
      </c>
      <c r="B69" s="4" t="s">
        <v>611</v>
      </c>
      <c r="C69" s="4">
        <v>2</v>
      </c>
      <c r="D69" s="4" t="s">
        <v>1760</v>
      </c>
      <c r="E69" s="4">
        <v>6</v>
      </c>
      <c r="F69" s="6" t="str">
        <f ca="1">Master_List!$AW$1</f>
        <v>PERPUSTAKAAN PUSAT</v>
      </c>
      <c r="G69" s="27" t="str">
        <f ca="1">Master_List!$AW$2</f>
        <v>09:30 PM</v>
      </c>
      <c r="H69" s="32" t="str">
        <f ca="1">Master_List!$AW$3</f>
        <v>20/07/2026</v>
      </c>
      <c r="I69" s="28" t="str">
        <f ca="1">Master_List!$AW$4</f>
        <v>28.5</v>
      </c>
      <c r="J69" s="6" t="str">
        <f ca="1">Master_List!$AW$5</f>
        <v>65</v>
      </c>
      <c r="K69" s="6" t="s">
        <v>585</v>
      </c>
      <c r="L69" s="22"/>
      <c r="M69" s="22"/>
      <c r="N69" s="25"/>
      <c r="O69" s="25"/>
      <c r="P69" s="25"/>
      <c r="Q69" s="25"/>
      <c r="R69" s="25"/>
      <c r="S69" s="25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6"/>
      <c r="BE69" s="6"/>
      <c r="BF69" s="6"/>
      <c r="BG69" s="6"/>
      <c r="BH69" s="24"/>
      <c r="BL69" s="4" t="s">
        <v>1744</v>
      </c>
      <c r="BM69" s="4" t="s">
        <v>1784</v>
      </c>
      <c r="BN69" s="4" t="s">
        <v>1748</v>
      </c>
      <c r="BO69" s="4" t="str">
        <f t="shared" si="1"/>
        <v>C:\Users\aremi\Desktop\REPORT CBM\PO TIANU JB\03. Raw Material\40. 10052026 SSU MEDINI SIGNATURE 33KV (VI)\IR</v>
      </c>
      <c r="BP69" t="s">
        <v>623</v>
      </c>
    </row>
    <row r="70" spans="1:68" ht="15" customHeight="1" x14ac:dyDescent="0.25">
      <c r="A70" s="4">
        <v>35</v>
      </c>
      <c r="B70" s="4" t="s">
        <v>611</v>
      </c>
      <c r="C70" s="4">
        <v>2</v>
      </c>
      <c r="D70" s="4" t="s">
        <v>1767</v>
      </c>
      <c r="E70" s="4">
        <v>7</v>
      </c>
      <c r="F70" s="6" t="str">
        <f ca="1">Master_List!$AW$1</f>
        <v>PERPUSTAKAAN PUSAT</v>
      </c>
      <c r="G70" s="27" t="str">
        <f ca="1">Master_List!$AW$2</f>
        <v>09:30 PM</v>
      </c>
      <c r="H70" s="32" t="str">
        <f ca="1">Master_List!$AW$3</f>
        <v>20/07/2026</v>
      </c>
      <c r="I70" s="28" t="str">
        <f ca="1">Master_List!$AW$4</f>
        <v>28.5</v>
      </c>
      <c r="J70" s="6" t="str">
        <f ca="1">Master_List!$AW$5</f>
        <v>65</v>
      </c>
      <c r="K70" s="6" t="s">
        <v>588</v>
      </c>
      <c r="L70" s="22"/>
      <c r="M70" s="25"/>
      <c r="N70" s="25"/>
      <c r="O70" s="25"/>
      <c r="P70" s="25"/>
      <c r="Q70" s="25"/>
      <c r="R70" s="25"/>
      <c r="S70" s="25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6"/>
      <c r="BE70" s="6"/>
      <c r="BF70" s="6"/>
      <c r="BG70" s="6"/>
      <c r="BH70" s="24"/>
      <c r="BL70" s="4" t="s">
        <v>1744</v>
      </c>
      <c r="BM70" s="4" t="s">
        <v>1785</v>
      </c>
      <c r="BN70" s="4" t="s">
        <v>1746</v>
      </c>
      <c r="BO70" s="4" t="str">
        <f t="shared" si="1"/>
        <v>C:\Users\aremi\Desktop\REPORT CBM\PO TIANU JB\03. Raw Material\40. 10052026 SSU MEDINI SIGNATURE 33KV (VI)\IR</v>
      </c>
      <c r="BP70" t="s">
        <v>624</v>
      </c>
    </row>
    <row r="71" spans="1:68" ht="15" customHeight="1" x14ac:dyDescent="0.25">
      <c r="A71" s="4">
        <v>35</v>
      </c>
      <c r="B71" s="4" t="s">
        <v>611</v>
      </c>
      <c r="C71" s="4">
        <v>2</v>
      </c>
      <c r="D71" s="4" t="s">
        <v>1767</v>
      </c>
      <c r="E71" s="4">
        <v>7</v>
      </c>
      <c r="F71" s="6" t="str">
        <f ca="1">Master_List!$AW$1</f>
        <v>PERPUSTAKAAN PUSAT</v>
      </c>
      <c r="G71" s="27" t="str">
        <f ca="1">Master_List!$AW$2</f>
        <v>09:30 PM</v>
      </c>
      <c r="H71" s="32" t="str">
        <f ca="1">Master_List!$AW$3</f>
        <v>20/07/2026</v>
      </c>
      <c r="I71" s="28" t="str">
        <f ca="1">Master_List!$AW$4</f>
        <v>28.5</v>
      </c>
      <c r="J71" s="6" t="str">
        <f ca="1">Master_List!$AW$5</f>
        <v>65</v>
      </c>
      <c r="K71" s="6" t="s">
        <v>588</v>
      </c>
      <c r="L71" s="22"/>
      <c r="M71" s="25"/>
      <c r="N71" s="25"/>
      <c r="O71" s="25"/>
      <c r="P71" s="25"/>
      <c r="Q71" s="25"/>
      <c r="R71" s="25"/>
      <c r="S71" s="25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6"/>
      <c r="BE71" s="6"/>
      <c r="BF71" s="6"/>
      <c r="BG71" s="6"/>
      <c r="BH71" s="24"/>
      <c r="BL71" s="4" t="s">
        <v>1744</v>
      </c>
      <c r="BM71" s="4" t="s">
        <v>1785</v>
      </c>
      <c r="BN71" s="4" t="s">
        <v>1748</v>
      </c>
      <c r="BO71" s="4" t="str">
        <f t="shared" si="1"/>
        <v>C:\Users\aremi\Desktop\REPORT CBM\PO TIANU JB\03. Raw Material\40. 10052026 SSU MEDINI SIGNATURE 33KV (VI)\IR</v>
      </c>
      <c r="BP71" t="s">
        <v>625</v>
      </c>
    </row>
    <row r="72" spans="1:68" ht="15" customHeight="1" x14ac:dyDescent="0.25">
      <c r="A72" s="4">
        <v>36</v>
      </c>
      <c r="B72" s="4" t="s">
        <v>611</v>
      </c>
      <c r="C72" s="4">
        <v>2</v>
      </c>
      <c r="D72" s="4" t="s">
        <v>1769</v>
      </c>
      <c r="E72" s="4">
        <v>8</v>
      </c>
      <c r="F72" s="6" t="str">
        <f ca="1">Master_List!$AW$1</f>
        <v>PERPUSTAKAAN PUSAT</v>
      </c>
      <c r="G72" s="27" t="str">
        <f ca="1">Master_List!$AW$2</f>
        <v>09:30 PM</v>
      </c>
      <c r="H72" s="32" t="str">
        <f ca="1">Master_List!$AW$3</f>
        <v>20/07/2026</v>
      </c>
      <c r="I72" s="28" t="str">
        <f ca="1">Master_List!$AW$4</f>
        <v>28.5</v>
      </c>
      <c r="J72" s="6" t="str">
        <f ca="1">Master_List!$AW$5</f>
        <v>65</v>
      </c>
      <c r="K72" s="6" t="s">
        <v>591</v>
      </c>
      <c r="L72" s="22"/>
      <c r="M72" s="25"/>
      <c r="N72" s="25"/>
      <c r="O72" s="25"/>
      <c r="P72" s="25"/>
      <c r="Q72" s="25"/>
      <c r="R72" s="25"/>
      <c r="S72" s="25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6"/>
      <c r="BE72" s="6"/>
      <c r="BF72" s="6"/>
      <c r="BG72" s="6"/>
      <c r="BH72" s="24"/>
      <c r="BL72" s="4" t="s">
        <v>1744</v>
      </c>
      <c r="BM72" s="4" t="s">
        <v>1786</v>
      </c>
      <c r="BN72" s="4" t="s">
        <v>1746</v>
      </c>
      <c r="BO72" s="4" t="str">
        <f t="shared" si="1"/>
        <v>C:\Users\aremi\Desktop\REPORT CBM\PO TIANU JB\03. Raw Material\40. 10052026 SSU MEDINI SIGNATURE 33KV (VI)\IR</v>
      </c>
      <c r="BP72" t="s">
        <v>626</v>
      </c>
    </row>
    <row r="73" spans="1:68" ht="15" customHeight="1" x14ac:dyDescent="0.25">
      <c r="A73" s="4">
        <v>36</v>
      </c>
      <c r="B73" s="4" t="s">
        <v>611</v>
      </c>
      <c r="C73" s="4">
        <v>2</v>
      </c>
      <c r="D73" s="4" t="s">
        <v>1769</v>
      </c>
      <c r="E73" s="4">
        <v>8</v>
      </c>
      <c r="F73" s="6" t="str">
        <f ca="1">Master_List!$AW$1</f>
        <v>PERPUSTAKAAN PUSAT</v>
      </c>
      <c r="G73" s="27" t="str">
        <f ca="1">Master_List!$AW$2</f>
        <v>09:30 PM</v>
      </c>
      <c r="H73" s="32" t="str">
        <f ca="1">Master_List!$AW$3</f>
        <v>20/07/2026</v>
      </c>
      <c r="I73" s="28" t="str">
        <f ca="1">Master_List!$AW$4</f>
        <v>28.5</v>
      </c>
      <c r="J73" s="6" t="str">
        <f ca="1">Master_List!$AW$5</f>
        <v>65</v>
      </c>
      <c r="K73" s="6" t="s">
        <v>591</v>
      </c>
      <c r="L73" s="22"/>
      <c r="M73" s="25"/>
      <c r="N73" s="25"/>
      <c r="O73" s="25"/>
      <c r="P73" s="25"/>
      <c r="Q73" s="25"/>
      <c r="R73" s="25"/>
      <c r="S73" s="25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6"/>
      <c r="BE73" s="6"/>
      <c r="BF73" s="6"/>
      <c r="BG73" s="6"/>
      <c r="BH73" s="24"/>
      <c r="BL73" s="4" t="s">
        <v>1744</v>
      </c>
      <c r="BM73" s="4" t="s">
        <v>1786</v>
      </c>
      <c r="BN73" s="4" t="s">
        <v>1748</v>
      </c>
      <c r="BO73" s="4" t="str">
        <f t="shared" si="1"/>
        <v>C:\Users\aremi\Desktop\REPORT CBM\PO TIANU JB\03. Raw Material\40. 10052026 SSU MEDINI SIGNATURE 33KV (VI)\IR</v>
      </c>
      <c r="BP73" t="s">
        <v>627</v>
      </c>
    </row>
    <row r="74" spans="1:68" ht="15" customHeight="1" x14ac:dyDescent="0.25">
      <c r="A74" s="4">
        <v>37</v>
      </c>
      <c r="B74" s="4" t="s">
        <v>628</v>
      </c>
      <c r="C74" s="4">
        <v>2</v>
      </c>
      <c r="D74" s="4" t="s">
        <v>1760</v>
      </c>
      <c r="E74" s="4">
        <v>1</v>
      </c>
      <c r="F74" s="6" t="str">
        <f ca="1">Master_List!$AW$1</f>
        <v>PERPUSTAKAAN PUSAT</v>
      </c>
      <c r="G74" s="27" t="str">
        <f ca="1">Master_List!$AW$2</f>
        <v>09:30 PM</v>
      </c>
      <c r="H74" s="32" t="str">
        <f ca="1">Master_List!$AW$3</f>
        <v>20/07/2026</v>
      </c>
      <c r="I74" s="28" t="str">
        <f ca="1">Master_List!$AW$4</f>
        <v>28.5</v>
      </c>
      <c r="J74" s="6" t="str">
        <f ca="1">Master_List!$AW$5</f>
        <v>65</v>
      </c>
      <c r="K74" s="6" t="s">
        <v>570</v>
      </c>
      <c r="L74" s="22"/>
      <c r="M74" s="22"/>
      <c r="N74" s="25"/>
      <c r="O74" s="25"/>
      <c r="P74" s="25"/>
      <c r="Q74" s="25"/>
      <c r="R74" s="25"/>
      <c r="S74" s="25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6"/>
      <c r="BE74" s="6"/>
      <c r="BF74" s="6"/>
      <c r="BG74" s="6"/>
      <c r="BH74" s="24"/>
      <c r="BL74" s="4" t="s">
        <v>1744</v>
      </c>
      <c r="BM74" s="4" t="s">
        <v>1787</v>
      </c>
      <c r="BN74" s="4" t="s">
        <v>1746</v>
      </c>
      <c r="BO74" s="4" t="str">
        <f t="shared" si="1"/>
        <v>C:\Users\aremi\Desktop\REPORT CBM\PO TIANU JB\03. Raw Material\40. 10052026 SSU MEDINI SIGNATURE 33KV (VI)\IR</v>
      </c>
      <c r="BP74" t="s">
        <v>629</v>
      </c>
    </row>
    <row r="75" spans="1:68" ht="15" customHeight="1" x14ac:dyDescent="0.25">
      <c r="A75" s="4">
        <v>37</v>
      </c>
      <c r="B75" s="4" t="s">
        <v>628</v>
      </c>
      <c r="C75" s="4">
        <v>2</v>
      </c>
      <c r="D75" s="4" t="s">
        <v>1760</v>
      </c>
      <c r="E75" s="4">
        <v>1</v>
      </c>
      <c r="F75" s="6" t="str">
        <f ca="1">Master_List!$AW$1</f>
        <v>PERPUSTAKAAN PUSAT</v>
      </c>
      <c r="G75" s="27" t="str">
        <f ca="1">Master_List!$AW$2</f>
        <v>09:30 PM</v>
      </c>
      <c r="H75" s="32" t="str">
        <f ca="1">Master_List!$AW$3</f>
        <v>20/07/2026</v>
      </c>
      <c r="I75" s="28" t="str">
        <f ca="1">Master_List!$AW$4</f>
        <v>28.5</v>
      </c>
      <c r="J75" s="6" t="str">
        <f ca="1">Master_List!$AW$5</f>
        <v>65</v>
      </c>
      <c r="K75" s="6" t="s">
        <v>570</v>
      </c>
      <c r="L75" s="22"/>
      <c r="M75" s="22"/>
      <c r="N75" s="25"/>
      <c r="O75" s="25"/>
      <c r="P75" s="25"/>
      <c r="Q75" s="25"/>
      <c r="R75" s="25"/>
      <c r="S75" s="25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6"/>
      <c r="BE75" s="6"/>
      <c r="BF75" s="6"/>
      <c r="BG75" s="6"/>
      <c r="BH75" s="24"/>
      <c r="BL75" s="4" t="s">
        <v>1744</v>
      </c>
      <c r="BM75" s="4" t="s">
        <v>1787</v>
      </c>
      <c r="BN75" s="4" t="s">
        <v>1748</v>
      </c>
      <c r="BO75" s="4" t="str">
        <f t="shared" si="1"/>
        <v>C:\Users\aremi\Desktop\REPORT CBM\PO TIANU JB\03. Raw Material\40. 10052026 SSU MEDINI SIGNATURE 33KV (VI)\IR</v>
      </c>
      <c r="BP75" t="s">
        <v>630</v>
      </c>
    </row>
    <row r="76" spans="1:68" ht="15" customHeight="1" x14ac:dyDescent="0.25">
      <c r="A76" s="4">
        <v>38</v>
      </c>
      <c r="B76" s="4" t="s">
        <v>628</v>
      </c>
      <c r="C76" s="4">
        <v>2</v>
      </c>
      <c r="D76" s="4" t="s">
        <v>1760</v>
      </c>
      <c r="E76" s="4">
        <v>2</v>
      </c>
      <c r="F76" s="6" t="str">
        <f ca="1">Master_List!$AW$1</f>
        <v>PERPUSTAKAAN PUSAT</v>
      </c>
      <c r="G76" s="27" t="str">
        <f ca="1">Master_List!$AW$2</f>
        <v>09:30 PM</v>
      </c>
      <c r="H76" s="32" t="str">
        <f ca="1">Master_List!$AW$3</f>
        <v>20/07/2026</v>
      </c>
      <c r="I76" s="28" t="str">
        <f ca="1">Master_List!$AW$4</f>
        <v>28.5</v>
      </c>
      <c r="J76" s="6" t="str">
        <f ca="1">Master_List!$AW$5</f>
        <v>65</v>
      </c>
      <c r="K76" s="6" t="s">
        <v>573</v>
      </c>
      <c r="L76" s="22"/>
      <c r="M76" s="22"/>
      <c r="N76" s="25"/>
      <c r="O76" s="25"/>
      <c r="P76" s="25"/>
      <c r="Q76" s="25"/>
      <c r="R76" s="25"/>
      <c r="S76" s="25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6"/>
      <c r="BE76" s="6"/>
      <c r="BF76" s="6"/>
      <c r="BG76" s="6"/>
      <c r="BH76" s="24"/>
      <c r="BL76" s="4" t="s">
        <v>1744</v>
      </c>
      <c r="BM76" s="4" t="s">
        <v>1788</v>
      </c>
      <c r="BN76" s="4" t="s">
        <v>1746</v>
      </c>
      <c r="BO76" s="4" t="str">
        <f t="shared" si="1"/>
        <v>C:\Users\aremi\Desktop\REPORT CBM\PO TIANU JB\03. Raw Material\40. 10052026 SSU MEDINI SIGNATURE 33KV (VI)\IR</v>
      </c>
      <c r="BP76" t="s">
        <v>631</v>
      </c>
    </row>
    <row r="77" spans="1:68" ht="15" customHeight="1" x14ac:dyDescent="0.25">
      <c r="A77" s="4">
        <v>38</v>
      </c>
      <c r="B77" s="4" t="s">
        <v>628</v>
      </c>
      <c r="C77" s="4">
        <v>2</v>
      </c>
      <c r="D77" s="4" t="s">
        <v>1760</v>
      </c>
      <c r="E77" s="4">
        <v>2</v>
      </c>
      <c r="F77" s="6" t="str">
        <f ca="1">Master_List!$AW$1</f>
        <v>PERPUSTAKAAN PUSAT</v>
      </c>
      <c r="G77" s="27" t="str">
        <f ca="1">Master_List!$AW$2</f>
        <v>09:30 PM</v>
      </c>
      <c r="H77" s="32" t="str">
        <f ca="1">Master_List!$AW$3</f>
        <v>20/07/2026</v>
      </c>
      <c r="I77" s="28" t="str">
        <f ca="1">Master_List!$AW$4</f>
        <v>28.5</v>
      </c>
      <c r="J77" s="6" t="str">
        <f ca="1">Master_List!$AW$5</f>
        <v>65</v>
      </c>
      <c r="K77" s="6" t="s">
        <v>573</v>
      </c>
      <c r="L77" s="22"/>
      <c r="M77" s="22"/>
      <c r="N77" s="25"/>
      <c r="O77" s="25"/>
      <c r="P77" s="25"/>
      <c r="Q77" s="25"/>
      <c r="R77" s="25"/>
      <c r="S77" s="25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6"/>
      <c r="BE77" s="6"/>
      <c r="BF77" s="6"/>
      <c r="BG77" s="6"/>
      <c r="BH77" s="24"/>
      <c r="BL77" s="4" t="s">
        <v>1744</v>
      </c>
      <c r="BM77" s="4" t="s">
        <v>1788</v>
      </c>
      <c r="BN77" s="4" t="s">
        <v>1748</v>
      </c>
      <c r="BO77" s="4" t="str">
        <f t="shared" si="1"/>
        <v>C:\Users\aremi\Desktop\REPORT CBM\PO TIANU JB\03. Raw Material\40. 10052026 SSU MEDINI SIGNATURE 33KV (VI)\IR</v>
      </c>
      <c r="BP77" t="s">
        <v>632</v>
      </c>
    </row>
    <row r="78" spans="1:68" ht="15" customHeight="1" x14ac:dyDescent="0.25">
      <c r="A78" s="4">
        <v>39</v>
      </c>
      <c r="B78" s="4" t="s">
        <v>628</v>
      </c>
      <c r="C78" s="4">
        <v>2</v>
      </c>
      <c r="D78" s="4" t="s">
        <v>1760</v>
      </c>
      <c r="E78" s="4">
        <v>3</v>
      </c>
      <c r="F78" s="6" t="str">
        <f ca="1">Master_List!$AW$1</f>
        <v>PERPUSTAKAAN PUSAT</v>
      </c>
      <c r="G78" s="27" t="str">
        <f ca="1">Master_List!$AW$2</f>
        <v>09:30 PM</v>
      </c>
      <c r="H78" s="32" t="str">
        <f ca="1">Master_List!$AW$3</f>
        <v>20/07/2026</v>
      </c>
      <c r="I78" s="28" t="str">
        <f ca="1">Master_List!$AW$4</f>
        <v>28.5</v>
      </c>
      <c r="J78" s="6" t="str">
        <f ca="1">Master_List!$AW$5</f>
        <v>65</v>
      </c>
      <c r="K78" s="6" t="s">
        <v>576</v>
      </c>
      <c r="L78" s="22"/>
      <c r="M78" s="22"/>
      <c r="N78" s="25"/>
      <c r="O78" s="25"/>
      <c r="P78" s="25"/>
      <c r="Q78" s="25"/>
      <c r="R78" s="25"/>
      <c r="S78" s="25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6"/>
      <c r="BE78" s="6"/>
      <c r="BF78" s="6"/>
      <c r="BG78" s="6"/>
      <c r="BH78" s="24"/>
      <c r="BL78" s="4" t="s">
        <v>1744</v>
      </c>
      <c r="BM78" s="4" t="s">
        <v>1789</v>
      </c>
      <c r="BN78" s="4" t="s">
        <v>1746</v>
      </c>
      <c r="BO78" s="4" t="str">
        <f t="shared" si="1"/>
        <v>C:\Users\aremi\Desktop\REPORT CBM\PO TIANU JB\03. Raw Material\40. 10052026 SSU MEDINI SIGNATURE 33KV (VI)\IR</v>
      </c>
      <c r="BP78" t="s">
        <v>633</v>
      </c>
    </row>
    <row r="79" spans="1:68" ht="15" customHeight="1" x14ac:dyDescent="0.25">
      <c r="A79" s="4">
        <v>39</v>
      </c>
      <c r="B79" s="4" t="s">
        <v>628</v>
      </c>
      <c r="C79" s="4">
        <v>2</v>
      </c>
      <c r="D79" s="4" t="s">
        <v>1760</v>
      </c>
      <c r="E79" s="4">
        <v>3</v>
      </c>
      <c r="F79" s="6" t="str">
        <f ca="1">Master_List!$AW$1</f>
        <v>PERPUSTAKAAN PUSAT</v>
      </c>
      <c r="G79" s="27" t="str">
        <f ca="1">Master_List!$AW$2</f>
        <v>09:30 PM</v>
      </c>
      <c r="H79" s="32" t="str">
        <f ca="1">Master_List!$AW$3</f>
        <v>20/07/2026</v>
      </c>
      <c r="I79" s="28" t="str">
        <f ca="1">Master_List!$AW$4</f>
        <v>28.5</v>
      </c>
      <c r="J79" s="6" t="str">
        <f ca="1">Master_List!$AW$5</f>
        <v>65</v>
      </c>
      <c r="K79" s="6" t="s">
        <v>576</v>
      </c>
      <c r="L79" s="22"/>
      <c r="M79" s="22"/>
      <c r="N79" s="25"/>
      <c r="O79" s="25"/>
      <c r="P79" s="25"/>
      <c r="Q79" s="25"/>
      <c r="R79" s="25"/>
      <c r="S79" s="25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6"/>
      <c r="BE79" s="6"/>
      <c r="BF79" s="6"/>
      <c r="BG79" s="6"/>
      <c r="BH79" s="24"/>
      <c r="BL79" s="4" t="s">
        <v>1744</v>
      </c>
      <c r="BM79" s="4" t="s">
        <v>1789</v>
      </c>
      <c r="BN79" s="4" t="s">
        <v>1748</v>
      </c>
      <c r="BO79" s="4" t="str">
        <f t="shared" si="1"/>
        <v>C:\Users\aremi\Desktop\REPORT CBM\PO TIANU JB\03. Raw Material\40. 10052026 SSU MEDINI SIGNATURE 33KV (VI)\IR</v>
      </c>
      <c r="BP79" t="s">
        <v>634</v>
      </c>
    </row>
    <row r="80" spans="1:68" ht="15" customHeight="1" x14ac:dyDescent="0.25">
      <c r="A80" s="4">
        <v>40</v>
      </c>
      <c r="B80" s="4" t="s">
        <v>628</v>
      </c>
      <c r="C80" s="4">
        <v>2</v>
      </c>
      <c r="D80" s="4" t="s">
        <v>1760</v>
      </c>
      <c r="E80" s="4">
        <v>4</v>
      </c>
      <c r="F80" s="6" t="str">
        <f ca="1">Master_List!$AW$1</f>
        <v>PERPUSTAKAAN PUSAT</v>
      </c>
      <c r="G80" s="27" t="str">
        <f ca="1">Master_List!$AW$2</f>
        <v>09:30 PM</v>
      </c>
      <c r="H80" s="32" t="str">
        <f ca="1">Master_List!$AW$3</f>
        <v>20/07/2026</v>
      </c>
      <c r="I80" s="28" t="str">
        <f ca="1">Master_List!$AW$4</f>
        <v>28.5</v>
      </c>
      <c r="J80" s="6" t="str">
        <f ca="1">Master_List!$AW$5</f>
        <v>65</v>
      </c>
      <c r="K80" s="6" t="s">
        <v>579</v>
      </c>
      <c r="L80" s="22"/>
      <c r="M80" s="22"/>
      <c r="N80" s="25"/>
      <c r="O80" s="25"/>
      <c r="P80" s="25"/>
      <c r="Q80" s="25"/>
      <c r="R80" s="25"/>
      <c r="S80" s="25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6"/>
      <c r="BE80" s="6"/>
      <c r="BF80" s="6"/>
      <c r="BG80" s="6"/>
      <c r="BH80" s="24"/>
      <c r="BL80" s="4" t="s">
        <v>1744</v>
      </c>
      <c r="BM80" s="4" t="s">
        <v>1790</v>
      </c>
      <c r="BN80" s="4" t="s">
        <v>1746</v>
      </c>
      <c r="BO80" s="4" t="str">
        <f t="shared" si="1"/>
        <v>C:\Users\aremi\Desktop\REPORT CBM\PO TIANU JB\03. Raw Material\40. 10052026 SSU MEDINI SIGNATURE 33KV (VI)\IR</v>
      </c>
      <c r="BP80" t="s">
        <v>635</v>
      </c>
    </row>
    <row r="81" spans="1:68" ht="15" customHeight="1" x14ac:dyDescent="0.25">
      <c r="A81" s="4">
        <v>40</v>
      </c>
      <c r="B81" s="4" t="s">
        <v>628</v>
      </c>
      <c r="C81" s="4">
        <v>2</v>
      </c>
      <c r="D81" s="4" t="s">
        <v>1760</v>
      </c>
      <c r="E81" s="4">
        <v>4</v>
      </c>
      <c r="F81" s="6" t="str">
        <f ca="1">Master_List!$AW$1</f>
        <v>PERPUSTAKAAN PUSAT</v>
      </c>
      <c r="G81" s="27" t="str">
        <f ca="1">Master_List!$AW$2</f>
        <v>09:30 PM</v>
      </c>
      <c r="H81" s="32" t="str">
        <f ca="1">Master_List!$AW$3</f>
        <v>20/07/2026</v>
      </c>
      <c r="I81" s="28" t="str">
        <f ca="1">Master_List!$AW$4</f>
        <v>28.5</v>
      </c>
      <c r="J81" s="6" t="str">
        <f ca="1">Master_List!$AW$5</f>
        <v>65</v>
      </c>
      <c r="K81" s="6" t="s">
        <v>579</v>
      </c>
      <c r="L81" s="22"/>
      <c r="M81" s="22"/>
      <c r="N81" s="25"/>
      <c r="O81" s="25"/>
      <c r="P81" s="25"/>
      <c r="Q81" s="25"/>
      <c r="R81" s="25"/>
      <c r="S81" s="25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6"/>
      <c r="BE81" s="6"/>
      <c r="BF81" s="6"/>
      <c r="BG81" s="6"/>
      <c r="BH81" s="24"/>
      <c r="BL81" s="4" t="s">
        <v>1744</v>
      </c>
      <c r="BM81" s="4" t="s">
        <v>1790</v>
      </c>
      <c r="BN81" s="4" t="s">
        <v>1748</v>
      </c>
      <c r="BO81" s="4" t="str">
        <f t="shared" si="1"/>
        <v>C:\Users\aremi\Desktop\REPORT CBM\PO TIANU JB\03. Raw Material\40. 10052026 SSU MEDINI SIGNATURE 33KV (VI)\IR</v>
      </c>
      <c r="BP81" t="s">
        <v>636</v>
      </c>
    </row>
    <row r="82" spans="1:68" ht="15" customHeight="1" x14ac:dyDescent="0.25">
      <c r="A82" s="4">
        <v>41</v>
      </c>
      <c r="B82" s="4" t="s">
        <v>628</v>
      </c>
      <c r="C82" s="4">
        <v>2</v>
      </c>
      <c r="D82" s="4" t="s">
        <v>1760</v>
      </c>
      <c r="E82" s="4">
        <v>5</v>
      </c>
      <c r="F82" s="6" t="str">
        <f ca="1">Master_List!$AW$1</f>
        <v>PERPUSTAKAAN PUSAT</v>
      </c>
      <c r="G82" s="27" t="str">
        <f ca="1">Master_List!$AW$2</f>
        <v>09:30 PM</v>
      </c>
      <c r="H82" s="32" t="str">
        <f ca="1">Master_List!$AW$3</f>
        <v>20/07/2026</v>
      </c>
      <c r="I82" s="28" t="str">
        <f ca="1">Master_List!$AW$4</f>
        <v>28.5</v>
      </c>
      <c r="J82" s="6" t="str">
        <f ca="1">Master_List!$AW$5</f>
        <v>65</v>
      </c>
      <c r="K82" s="6" t="s">
        <v>582</v>
      </c>
      <c r="L82" s="22"/>
      <c r="M82" s="22"/>
      <c r="N82" s="25"/>
      <c r="O82" s="25"/>
      <c r="P82" s="25"/>
      <c r="Q82" s="25"/>
      <c r="R82" s="25"/>
      <c r="S82" s="25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6"/>
      <c r="BE82" s="6"/>
      <c r="BF82" s="6"/>
      <c r="BG82" s="6"/>
      <c r="BH82" s="24"/>
      <c r="BL82" s="4" t="s">
        <v>1744</v>
      </c>
      <c r="BM82" s="4" t="s">
        <v>1791</v>
      </c>
      <c r="BN82" s="4" t="s">
        <v>1746</v>
      </c>
      <c r="BO82" s="4" t="str">
        <f t="shared" si="1"/>
        <v>C:\Users\aremi\Desktop\REPORT CBM\PO TIANU JB\03. Raw Material\40. 10052026 SSU MEDINI SIGNATURE 33KV (VI)\IR</v>
      </c>
      <c r="BP82" t="s">
        <v>637</v>
      </c>
    </row>
    <row r="83" spans="1:68" ht="15" customHeight="1" x14ac:dyDescent="0.25">
      <c r="A83" s="4">
        <v>41</v>
      </c>
      <c r="B83" s="4" t="s">
        <v>628</v>
      </c>
      <c r="C83" s="4">
        <v>2</v>
      </c>
      <c r="D83" s="4" t="s">
        <v>1760</v>
      </c>
      <c r="E83" s="4">
        <v>5</v>
      </c>
      <c r="F83" s="6" t="str">
        <f ca="1">Master_List!$AW$1</f>
        <v>PERPUSTAKAAN PUSAT</v>
      </c>
      <c r="G83" s="27" t="str">
        <f ca="1">Master_List!$AW$2</f>
        <v>09:30 PM</v>
      </c>
      <c r="H83" s="32" t="str">
        <f ca="1">Master_List!$AW$3</f>
        <v>20/07/2026</v>
      </c>
      <c r="I83" s="28" t="str">
        <f ca="1">Master_List!$AW$4</f>
        <v>28.5</v>
      </c>
      <c r="J83" s="6" t="str">
        <f ca="1">Master_List!$AW$5</f>
        <v>65</v>
      </c>
      <c r="K83" s="6" t="s">
        <v>582</v>
      </c>
      <c r="L83" s="22"/>
      <c r="M83" s="22"/>
      <c r="N83" s="25"/>
      <c r="O83" s="25"/>
      <c r="P83" s="25"/>
      <c r="Q83" s="25"/>
      <c r="R83" s="25"/>
      <c r="S83" s="25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6"/>
      <c r="BE83" s="6"/>
      <c r="BF83" s="6"/>
      <c r="BG83" s="6"/>
      <c r="BH83" s="24"/>
      <c r="BL83" s="4" t="s">
        <v>1744</v>
      </c>
      <c r="BM83" s="4" t="s">
        <v>1791</v>
      </c>
      <c r="BN83" s="4" t="s">
        <v>1748</v>
      </c>
      <c r="BO83" s="4" t="str">
        <f t="shared" si="1"/>
        <v>C:\Users\aremi\Desktop\REPORT CBM\PO TIANU JB\03. Raw Material\40. 10052026 SSU MEDINI SIGNATURE 33KV (VI)\IR</v>
      </c>
      <c r="BP83" t="s">
        <v>638</v>
      </c>
    </row>
    <row r="84" spans="1:68" ht="15" customHeight="1" x14ac:dyDescent="0.25">
      <c r="A84" s="4">
        <v>42</v>
      </c>
      <c r="B84" s="4" t="s">
        <v>628</v>
      </c>
      <c r="C84" s="4">
        <v>2</v>
      </c>
      <c r="D84" s="4" t="s">
        <v>1760</v>
      </c>
      <c r="E84" s="4">
        <v>6</v>
      </c>
      <c r="F84" s="6" t="str">
        <f ca="1">Master_List!$AW$1</f>
        <v>PERPUSTAKAAN PUSAT</v>
      </c>
      <c r="G84" s="27" t="str">
        <f ca="1">Master_List!$AW$2</f>
        <v>09:30 PM</v>
      </c>
      <c r="H84" s="32" t="str">
        <f ca="1">Master_List!$AW$3</f>
        <v>20/07/2026</v>
      </c>
      <c r="I84" s="28" t="str">
        <f ca="1">Master_List!$AW$4</f>
        <v>28.5</v>
      </c>
      <c r="J84" s="6" t="str">
        <f ca="1">Master_List!$AW$5</f>
        <v>65</v>
      </c>
      <c r="K84" s="6" t="s">
        <v>585</v>
      </c>
      <c r="L84" s="22"/>
      <c r="M84" s="22"/>
      <c r="N84" s="25"/>
      <c r="O84" s="25"/>
      <c r="P84" s="25"/>
      <c r="Q84" s="25"/>
      <c r="R84" s="25"/>
      <c r="S84" s="25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6"/>
      <c r="BE84" s="6"/>
      <c r="BF84" s="6"/>
      <c r="BG84" s="6"/>
      <c r="BH84" s="24"/>
      <c r="BL84" s="4" t="s">
        <v>1744</v>
      </c>
      <c r="BM84" s="4" t="s">
        <v>1792</v>
      </c>
      <c r="BN84" s="4" t="s">
        <v>1746</v>
      </c>
      <c r="BO84" s="4" t="str">
        <f t="shared" si="1"/>
        <v>C:\Users\aremi\Desktop\REPORT CBM\PO TIANU JB\03. Raw Material\40. 10052026 SSU MEDINI SIGNATURE 33KV (VI)\IR</v>
      </c>
      <c r="BP84" t="s">
        <v>639</v>
      </c>
    </row>
    <row r="85" spans="1:68" ht="15" customHeight="1" x14ac:dyDescent="0.25">
      <c r="A85" s="4">
        <v>42</v>
      </c>
      <c r="B85" s="4" t="s">
        <v>628</v>
      </c>
      <c r="C85" s="4">
        <v>2</v>
      </c>
      <c r="D85" s="4" t="s">
        <v>1760</v>
      </c>
      <c r="E85" s="4">
        <v>6</v>
      </c>
      <c r="F85" s="6" t="str">
        <f ca="1">Master_List!$AW$1</f>
        <v>PERPUSTAKAAN PUSAT</v>
      </c>
      <c r="G85" s="27" t="str">
        <f ca="1">Master_List!$AW$2</f>
        <v>09:30 PM</v>
      </c>
      <c r="H85" s="32" t="str">
        <f ca="1">Master_List!$AW$3</f>
        <v>20/07/2026</v>
      </c>
      <c r="I85" s="28" t="str">
        <f ca="1">Master_List!$AW$4</f>
        <v>28.5</v>
      </c>
      <c r="J85" s="6" t="str">
        <f ca="1">Master_List!$AW$5</f>
        <v>65</v>
      </c>
      <c r="K85" s="6" t="s">
        <v>585</v>
      </c>
      <c r="L85" s="22"/>
      <c r="M85" s="22"/>
      <c r="N85" s="25"/>
      <c r="O85" s="25"/>
      <c r="P85" s="25"/>
      <c r="Q85" s="25"/>
      <c r="R85" s="25"/>
      <c r="S85" s="25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6"/>
      <c r="BE85" s="6"/>
      <c r="BF85" s="6"/>
      <c r="BG85" s="6"/>
      <c r="BH85" s="24"/>
      <c r="BL85" s="4" t="s">
        <v>1744</v>
      </c>
      <c r="BM85" s="4" t="s">
        <v>1792</v>
      </c>
      <c r="BN85" s="4" t="s">
        <v>1748</v>
      </c>
      <c r="BO85" s="4" t="str">
        <f t="shared" si="1"/>
        <v>C:\Users\aremi\Desktop\REPORT CBM\PO TIANU JB\03. Raw Material\40. 10052026 SSU MEDINI SIGNATURE 33KV (VI)\IR</v>
      </c>
      <c r="BP85" t="s">
        <v>640</v>
      </c>
    </row>
    <row r="86" spans="1:68" ht="15" customHeight="1" x14ac:dyDescent="0.25">
      <c r="A86" s="4">
        <v>43</v>
      </c>
      <c r="B86" s="4" t="s">
        <v>628</v>
      </c>
      <c r="C86" s="4">
        <v>2</v>
      </c>
      <c r="D86" s="4" t="s">
        <v>1767</v>
      </c>
      <c r="E86" s="4">
        <v>7</v>
      </c>
      <c r="F86" s="6" t="str">
        <f ca="1">Master_List!$AW$1</f>
        <v>PERPUSTAKAAN PUSAT</v>
      </c>
      <c r="G86" s="27" t="str">
        <f ca="1">Master_List!$AW$2</f>
        <v>09:30 PM</v>
      </c>
      <c r="H86" s="32" t="str">
        <f ca="1">Master_List!$AW$3</f>
        <v>20/07/2026</v>
      </c>
      <c r="I86" s="28" t="str">
        <f ca="1">Master_List!$AW$4</f>
        <v>28.5</v>
      </c>
      <c r="J86" s="6" t="str">
        <f ca="1">Master_List!$AW$5</f>
        <v>65</v>
      </c>
      <c r="K86" s="6" t="s">
        <v>588</v>
      </c>
      <c r="L86" s="22"/>
      <c r="M86" s="25"/>
      <c r="N86" s="25"/>
      <c r="O86" s="25"/>
      <c r="P86" s="25"/>
      <c r="Q86" s="25"/>
      <c r="R86" s="25"/>
      <c r="S86" s="25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6"/>
      <c r="BE86" s="6"/>
      <c r="BF86" s="6"/>
      <c r="BG86" s="6"/>
      <c r="BH86" s="24"/>
      <c r="BL86" s="4" t="s">
        <v>1744</v>
      </c>
      <c r="BM86" s="4" t="s">
        <v>1793</v>
      </c>
      <c r="BN86" s="4" t="s">
        <v>1746</v>
      </c>
      <c r="BO86" s="4" t="str">
        <f t="shared" si="1"/>
        <v>C:\Users\aremi\Desktop\REPORT CBM\PO TIANU JB\03. Raw Material\40. 10052026 SSU MEDINI SIGNATURE 33KV (VI)\IR</v>
      </c>
      <c r="BP86" t="s">
        <v>641</v>
      </c>
    </row>
    <row r="87" spans="1:68" ht="15" customHeight="1" x14ac:dyDescent="0.25">
      <c r="A87" s="4">
        <v>43</v>
      </c>
      <c r="B87" s="4" t="s">
        <v>628</v>
      </c>
      <c r="C87" s="4">
        <v>2</v>
      </c>
      <c r="D87" s="4" t="s">
        <v>1767</v>
      </c>
      <c r="E87" s="4">
        <v>7</v>
      </c>
      <c r="F87" s="6" t="str">
        <f ca="1">Master_List!$AW$1</f>
        <v>PERPUSTAKAAN PUSAT</v>
      </c>
      <c r="G87" s="27" t="str">
        <f ca="1">Master_List!$AW$2</f>
        <v>09:30 PM</v>
      </c>
      <c r="H87" s="32" t="str">
        <f ca="1">Master_List!$AW$3</f>
        <v>20/07/2026</v>
      </c>
      <c r="I87" s="28" t="str">
        <f ca="1">Master_List!$AW$4</f>
        <v>28.5</v>
      </c>
      <c r="J87" s="6" t="str">
        <f ca="1">Master_List!$AW$5</f>
        <v>65</v>
      </c>
      <c r="K87" s="6" t="s">
        <v>588</v>
      </c>
      <c r="L87" s="22"/>
      <c r="M87" s="25"/>
      <c r="N87" s="25"/>
      <c r="O87" s="25"/>
      <c r="P87" s="25"/>
      <c r="Q87" s="25"/>
      <c r="R87" s="25"/>
      <c r="S87" s="25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6"/>
      <c r="BE87" s="6"/>
      <c r="BF87" s="6"/>
      <c r="BG87" s="6"/>
      <c r="BH87" s="24"/>
      <c r="BL87" s="4" t="s">
        <v>1744</v>
      </c>
      <c r="BM87" s="4" t="s">
        <v>1793</v>
      </c>
      <c r="BN87" s="4" t="s">
        <v>1748</v>
      </c>
      <c r="BO87" s="4" t="str">
        <f t="shared" si="1"/>
        <v>C:\Users\aremi\Desktop\REPORT CBM\PO TIANU JB\03. Raw Material\40. 10052026 SSU MEDINI SIGNATURE 33KV (VI)\IR</v>
      </c>
      <c r="BP87" t="s">
        <v>642</v>
      </c>
    </row>
    <row r="88" spans="1:68" ht="15" customHeight="1" x14ac:dyDescent="0.25">
      <c r="A88" s="4">
        <v>44</v>
      </c>
      <c r="B88" s="4" t="s">
        <v>628</v>
      </c>
      <c r="C88" s="4">
        <v>2</v>
      </c>
      <c r="D88" s="4" t="s">
        <v>1769</v>
      </c>
      <c r="E88" s="4">
        <v>8</v>
      </c>
      <c r="F88" s="6" t="str">
        <f ca="1">Master_List!$AW$1</f>
        <v>PERPUSTAKAAN PUSAT</v>
      </c>
      <c r="G88" s="27" t="str">
        <f ca="1">Master_List!$AW$2</f>
        <v>09:30 PM</v>
      </c>
      <c r="H88" s="32" t="str">
        <f ca="1">Master_List!$AW$3</f>
        <v>20/07/2026</v>
      </c>
      <c r="I88" s="28" t="str">
        <f ca="1">Master_List!$AW$4</f>
        <v>28.5</v>
      </c>
      <c r="J88" s="6" t="str">
        <f ca="1">Master_List!$AW$5</f>
        <v>65</v>
      </c>
      <c r="K88" s="6" t="s">
        <v>591</v>
      </c>
      <c r="L88" s="22"/>
      <c r="M88" s="25"/>
      <c r="N88" s="25"/>
      <c r="O88" s="25"/>
      <c r="P88" s="25"/>
      <c r="Q88" s="25"/>
      <c r="R88" s="25"/>
      <c r="S88" s="25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6"/>
      <c r="BE88" s="6"/>
      <c r="BF88" s="6"/>
      <c r="BG88" s="6"/>
      <c r="BH88" s="24"/>
      <c r="BL88" s="4" t="s">
        <v>1744</v>
      </c>
      <c r="BM88" s="4" t="s">
        <v>1794</v>
      </c>
      <c r="BN88" s="4" t="s">
        <v>1746</v>
      </c>
      <c r="BO88" s="4" t="str">
        <f t="shared" si="1"/>
        <v>C:\Users\aremi\Desktop\REPORT CBM\PO TIANU JB\03. Raw Material\40. 10052026 SSU MEDINI SIGNATURE 33KV (VI)\IR</v>
      </c>
      <c r="BP88" t="s">
        <v>643</v>
      </c>
    </row>
    <row r="89" spans="1:68" ht="15" customHeight="1" x14ac:dyDescent="0.25">
      <c r="A89" s="4">
        <v>44</v>
      </c>
      <c r="B89" s="4" t="s">
        <v>628</v>
      </c>
      <c r="C89" s="4">
        <v>2</v>
      </c>
      <c r="D89" s="4" t="s">
        <v>1769</v>
      </c>
      <c r="E89" s="4">
        <v>8</v>
      </c>
      <c r="F89" s="6" t="str">
        <f ca="1">Master_List!$AW$1</f>
        <v>PERPUSTAKAAN PUSAT</v>
      </c>
      <c r="G89" s="27" t="str">
        <f ca="1">Master_List!$AW$2</f>
        <v>09:30 PM</v>
      </c>
      <c r="H89" s="32" t="str">
        <f ca="1">Master_List!$AW$3</f>
        <v>20/07/2026</v>
      </c>
      <c r="I89" s="28" t="str">
        <f ca="1">Master_List!$AW$4</f>
        <v>28.5</v>
      </c>
      <c r="J89" s="6" t="str">
        <f ca="1">Master_List!$AW$5</f>
        <v>65</v>
      </c>
      <c r="K89" s="6" t="s">
        <v>591</v>
      </c>
      <c r="L89" s="22"/>
      <c r="M89" s="25"/>
      <c r="N89" s="25"/>
      <c r="O89" s="25"/>
      <c r="P89" s="25"/>
      <c r="Q89" s="25"/>
      <c r="R89" s="25"/>
      <c r="S89" s="25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6"/>
      <c r="BE89" s="6"/>
      <c r="BF89" s="6"/>
      <c r="BG89" s="6"/>
      <c r="BH89" s="24"/>
      <c r="BL89" s="4" t="s">
        <v>1744</v>
      </c>
      <c r="BM89" s="4" t="s">
        <v>1794</v>
      </c>
      <c r="BN89" s="4" t="s">
        <v>1748</v>
      </c>
      <c r="BO89" s="4" t="str">
        <f t="shared" si="1"/>
        <v>C:\Users\aremi\Desktop\REPORT CBM\PO TIANU JB\03. Raw Material\40. 10052026 SSU MEDINI SIGNATURE 33KV (VI)\IR</v>
      </c>
      <c r="BP89" t="s">
        <v>644</v>
      </c>
    </row>
    <row r="90" spans="1:68" ht="15" customHeight="1" x14ac:dyDescent="0.25">
      <c r="A90" s="4">
        <v>45</v>
      </c>
      <c r="B90" s="4" t="s">
        <v>645</v>
      </c>
      <c r="C90" s="4">
        <v>2</v>
      </c>
      <c r="D90" s="4" t="s">
        <v>1760</v>
      </c>
      <c r="E90" s="4">
        <v>1</v>
      </c>
      <c r="F90" s="6" t="str">
        <f ca="1">Master_List!$AW$1</f>
        <v>PERPUSTAKAAN PUSAT</v>
      </c>
      <c r="G90" s="27" t="str">
        <f ca="1">Master_List!$AW$2</f>
        <v>09:30 PM</v>
      </c>
      <c r="H90" s="32" t="str">
        <f ca="1">Master_List!$AW$3</f>
        <v>20/07/2026</v>
      </c>
      <c r="I90" s="28" t="str">
        <f ca="1">Master_List!$AW$4</f>
        <v>28.5</v>
      </c>
      <c r="J90" s="6" t="str">
        <f ca="1">Master_List!$AW$5</f>
        <v>65</v>
      </c>
      <c r="K90" s="6" t="s">
        <v>570</v>
      </c>
      <c r="L90" s="22"/>
      <c r="M90" s="25"/>
      <c r="N90" s="25"/>
      <c r="O90" s="25"/>
      <c r="P90" s="25"/>
      <c r="Q90" s="25"/>
      <c r="R90" s="25"/>
      <c r="S90" s="25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6"/>
      <c r="BE90" s="6"/>
      <c r="BF90" s="6"/>
      <c r="BG90" s="6"/>
      <c r="BH90" s="24"/>
      <c r="BL90" s="4" t="s">
        <v>1744</v>
      </c>
      <c r="BM90" s="4" t="s">
        <v>1795</v>
      </c>
      <c r="BN90" s="4" t="s">
        <v>1746</v>
      </c>
      <c r="BO90" s="4" t="str">
        <f t="shared" si="1"/>
        <v>C:\Users\aremi\Desktop\REPORT CBM\PO TIANU JB\03. Raw Material\40. 10052026 SSU MEDINI SIGNATURE 33KV (VI)\IR</v>
      </c>
      <c r="BP90" t="s">
        <v>646</v>
      </c>
    </row>
    <row r="91" spans="1:68" ht="15" customHeight="1" x14ac:dyDescent="0.25">
      <c r="A91" s="4">
        <v>45</v>
      </c>
      <c r="B91" s="4" t="s">
        <v>645</v>
      </c>
      <c r="C91" s="4">
        <v>2</v>
      </c>
      <c r="D91" s="4" t="s">
        <v>1760</v>
      </c>
      <c r="E91" s="4">
        <v>1</v>
      </c>
      <c r="F91" s="6" t="str">
        <f ca="1">Master_List!$AW$1</f>
        <v>PERPUSTAKAAN PUSAT</v>
      </c>
      <c r="G91" s="27" t="str">
        <f ca="1">Master_List!$AW$2</f>
        <v>09:30 PM</v>
      </c>
      <c r="H91" s="32" t="str">
        <f ca="1">Master_List!$AW$3</f>
        <v>20/07/2026</v>
      </c>
      <c r="I91" s="28" t="str">
        <f ca="1">Master_List!$AW$4</f>
        <v>28.5</v>
      </c>
      <c r="J91" s="6" t="str">
        <f ca="1">Master_List!$AW$5</f>
        <v>65</v>
      </c>
      <c r="K91" s="6" t="s">
        <v>570</v>
      </c>
      <c r="L91" s="22"/>
      <c r="M91" s="25"/>
      <c r="N91" s="25"/>
      <c r="O91" s="25"/>
      <c r="P91" s="25"/>
      <c r="Q91" s="25"/>
      <c r="R91" s="25"/>
      <c r="S91" s="25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6"/>
      <c r="BE91" s="6"/>
      <c r="BF91" s="6"/>
      <c r="BG91" s="6"/>
      <c r="BH91" s="24"/>
      <c r="BL91" s="4" t="s">
        <v>1744</v>
      </c>
      <c r="BM91" s="4" t="s">
        <v>1795</v>
      </c>
      <c r="BN91" s="4" t="s">
        <v>1748</v>
      </c>
      <c r="BO91" s="4" t="str">
        <f t="shared" si="1"/>
        <v>C:\Users\aremi\Desktop\REPORT CBM\PO TIANU JB\03. Raw Material\40. 10052026 SSU MEDINI SIGNATURE 33KV (VI)\IR</v>
      </c>
      <c r="BP91" t="s">
        <v>647</v>
      </c>
    </row>
    <row r="92" spans="1:68" ht="15" customHeight="1" x14ac:dyDescent="0.25">
      <c r="A92" s="4">
        <v>46</v>
      </c>
      <c r="B92" s="4" t="s">
        <v>645</v>
      </c>
      <c r="C92" s="4">
        <v>2</v>
      </c>
      <c r="D92" s="4" t="s">
        <v>1760</v>
      </c>
      <c r="E92" s="4">
        <v>2</v>
      </c>
      <c r="F92" s="6" t="str">
        <f ca="1">Master_List!$AW$1</f>
        <v>PERPUSTAKAAN PUSAT</v>
      </c>
      <c r="G92" s="27" t="str">
        <f ca="1">Master_List!$AW$2</f>
        <v>09:30 PM</v>
      </c>
      <c r="H92" s="32" t="str">
        <f ca="1">Master_List!$AW$3</f>
        <v>20/07/2026</v>
      </c>
      <c r="I92" s="28" t="str">
        <f ca="1">Master_List!$AW$4</f>
        <v>28.5</v>
      </c>
      <c r="J92" s="6" t="str">
        <f ca="1">Master_List!$AW$5</f>
        <v>65</v>
      </c>
      <c r="K92" s="6" t="s">
        <v>573</v>
      </c>
      <c r="L92" s="22"/>
      <c r="M92" s="25"/>
      <c r="N92" s="25"/>
      <c r="O92" s="25"/>
      <c r="P92" s="25"/>
      <c r="Q92" s="25"/>
      <c r="R92" s="25"/>
      <c r="S92" s="25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6"/>
      <c r="BE92" s="6"/>
      <c r="BF92" s="6"/>
      <c r="BG92" s="6"/>
      <c r="BH92" s="24"/>
      <c r="BL92" s="4" t="s">
        <v>1744</v>
      </c>
      <c r="BM92" s="4" t="s">
        <v>1796</v>
      </c>
      <c r="BN92" s="4" t="s">
        <v>1746</v>
      </c>
      <c r="BO92" s="4" t="str">
        <f t="shared" si="1"/>
        <v>C:\Users\aremi\Desktop\REPORT CBM\PO TIANU JB\03. Raw Material\40. 10052026 SSU MEDINI SIGNATURE 33KV (VI)\IR</v>
      </c>
      <c r="BP92" t="s">
        <v>648</v>
      </c>
    </row>
    <row r="93" spans="1:68" ht="15" customHeight="1" x14ac:dyDescent="0.25">
      <c r="A93" s="4">
        <v>46</v>
      </c>
      <c r="B93" s="4" t="s">
        <v>645</v>
      </c>
      <c r="C93" s="4">
        <v>2</v>
      </c>
      <c r="D93" s="4" t="s">
        <v>1760</v>
      </c>
      <c r="E93" s="4">
        <v>2</v>
      </c>
      <c r="F93" s="6" t="str">
        <f ca="1">Master_List!$AW$1</f>
        <v>PERPUSTAKAAN PUSAT</v>
      </c>
      <c r="G93" s="27" t="str">
        <f ca="1">Master_List!$AW$2</f>
        <v>09:30 PM</v>
      </c>
      <c r="H93" s="32" t="str">
        <f ca="1">Master_List!$AW$3</f>
        <v>20/07/2026</v>
      </c>
      <c r="I93" s="28" t="str">
        <f ca="1">Master_List!$AW$4</f>
        <v>28.5</v>
      </c>
      <c r="J93" s="6" t="str">
        <f ca="1">Master_List!$AW$5</f>
        <v>65</v>
      </c>
      <c r="K93" s="6" t="s">
        <v>573</v>
      </c>
      <c r="L93" s="22"/>
      <c r="M93" s="25"/>
      <c r="N93" s="25"/>
      <c r="O93" s="25"/>
      <c r="P93" s="25"/>
      <c r="Q93" s="25"/>
      <c r="R93" s="25"/>
      <c r="S93" s="25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6"/>
      <c r="BE93" s="6"/>
      <c r="BF93" s="6"/>
      <c r="BG93" s="6"/>
      <c r="BH93" s="24"/>
      <c r="BL93" s="4" t="s">
        <v>1744</v>
      </c>
      <c r="BM93" s="4" t="s">
        <v>1796</v>
      </c>
      <c r="BN93" s="4" t="s">
        <v>1748</v>
      </c>
      <c r="BO93" s="4" t="str">
        <f t="shared" si="1"/>
        <v>C:\Users\aremi\Desktop\REPORT CBM\PO TIANU JB\03. Raw Material\40. 10052026 SSU MEDINI SIGNATURE 33KV (VI)\IR</v>
      </c>
      <c r="BP93" t="s">
        <v>649</v>
      </c>
    </row>
    <row r="94" spans="1:68" ht="15" customHeight="1" x14ac:dyDescent="0.25">
      <c r="A94" s="4">
        <v>47</v>
      </c>
      <c r="B94" s="4" t="s">
        <v>645</v>
      </c>
      <c r="C94" s="4">
        <v>2</v>
      </c>
      <c r="D94" s="4" t="s">
        <v>1760</v>
      </c>
      <c r="E94" s="4">
        <v>3</v>
      </c>
      <c r="F94" s="6" t="str">
        <f ca="1">Master_List!$AW$1</f>
        <v>PERPUSTAKAAN PUSAT</v>
      </c>
      <c r="G94" s="27" t="str">
        <f ca="1">Master_List!$AW$2</f>
        <v>09:30 PM</v>
      </c>
      <c r="H94" s="32" t="str">
        <f ca="1">Master_List!$AW$3</f>
        <v>20/07/2026</v>
      </c>
      <c r="I94" s="28" t="str">
        <f ca="1">Master_List!$AW$4</f>
        <v>28.5</v>
      </c>
      <c r="J94" s="6" t="str">
        <f ca="1">Master_List!$AW$5</f>
        <v>65</v>
      </c>
      <c r="K94" s="6" t="s">
        <v>576</v>
      </c>
      <c r="L94" s="22"/>
      <c r="M94" s="25"/>
      <c r="N94" s="25"/>
      <c r="O94" s="25"/>
      <c r="P94" s="25"/>
      <c r="Q94" s="25"/>
      <c r="R94" s="25"/>
      <c r="S94" s="25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6"/>
      <c r="BE94" s="6"/>
      <c r="BF94" s="6"/>
      <c r="BG94" s="6"/>
      <c r="BH94" s="24"/>
      <c r="BL94" s="4" t="s">
        <v>1744</v>
      </c>
      <c r="BM94" s="4" t="s">
        <v>1797</v>
      </c>
      <c r="BN94" s="4" t="s">
        <v>1746</v>
      </c>
      <c r="BO94" s="4" t="str">
        <f t="shared" si="1"/>
        <v>C:\Users\aremi\Desktop\REPORT CBM\PO TIANU JB\03. Raw Material\40. 10052026 SSU MEDINI SIGNATURE 33KV (VI)\IR</v>
      </c>
      <c r="BP94" t="s">
        <v>650</v>
      </c>
    </row>
    <row r="95" spans="1:68" ht="15" customHeight="1" x14ac:dyDescent="0.25">
      <c r="A95" s="4">
        <v>47</v>
      </c>
      <c r="B95" s="4" t="s">
        <v>645</v>
      </c>
      <c r="C95" s="4">
        <v>2</v>
      </c>
      <c r="D95" s="4" t="s">
        <v>1760</v>
      </c>
      <c r="E95" s="4">
        <v>3</v>
      </c>
      <c r="F95" s="6" t="str">
        <f ca="1">Master_List!$AW$1</f>
        <v>PERPUSTAKAAN PUSAT</v>
      </c>
      <c r="G95" s="27" t="str">
        <f ca="1">Master_List!$AW$2</f>
        <v>09:30 PM</v>
      </c>
      <c r="H95" s="32" t="str">
        <f ca="1">Master_List!$AW$3</f>
        <v>20/07/2026</v>
      </c>
      <c r="I95" s="28" t="str">
        <f ca="1">Master_List!$AW$4</f>
        <v>28.5</v>
      </c>
      <c r="J95" s="6" t="str">
        <f ca="1">Master_List!$AW$5</f>
        <v>65</v>
      </c>
      <c r="K95" s="6" t="s">
        <v>576</v>
      </c>
      <c r="L95" s="22"/>
      <c r="M95" s="25"/>
      <c r="N95" s="25"/>
      <c r="O95" s="25"/>
      <c r="P95" s="25"/>
      <c r="Q95" s="25"/>
      <c r="R95" s="25"/>
      <c r="S95" s="25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6"/>
      <c r="BE95" s="6"/>
      <c r="BF95" s="6"/>
      <c r="BG95" s="6"/>
      <c r="BH95" s="24"/>
      <c r="BL95" s="4" t="s">
        <v>1744</v>
      </c>
      <c r="BM95" s="4" t="s">
        <v>1797</v>
      </c>
      <c r="BN95" s="4" t="s">
        <v>1748</v>
      </c>
      <c r="BO95" s="4" t="str">
        <f t="shared" si="1"/>
        <v>C:\Users\aremi\Desktop\REPORT CBM\PO TIANU JB\03. Raw Material\40. 10052026 SSU MEDINI SIGNATURE 33KV (VI)\IR</v>
      </c>
      <c r="BP95" t="s">
        <v>651</v>
      </c>
    </row>
    <row r="96" spans="1:68" ht="15" customHeight="1" x14ac:dyDescent="0.25">
      <c r="A96" s="4">
        <v>48</v>
      </c>
      <c r="B96" s="4" t="s">
        <v>645</v>
      </c>
      <c r="C96" s="4">
        <v>2</v>
      </c>
      <c r="D96" s="4" t="s">
        <v>1760</v>
      </c>
      <c r="E96" s="4">
        <v>4</v>
      </c>
      <c r="F96" s="6" t="str">
        <f ca="1">Master_List!$AW$1</f>
        <v>PERPUSTAKAAN PUSAT</v>
      </c>
      <c r="G96" s="27" t="str">
        <f ca="1">Master_List!$AW$2</f>
        <v>09:30 PM</v>
      </c>
      <c r="H96" s="32" t="str">
        <f ca="1">Master_List!$AW$3</f>
        <v>20/07/2026</v>
      </c>
      <c r="I96" s="28" t="str">
        <f ca="1">Master_List!$AW$4</f>
        <v>28.5</v>
      </c>
      <c r="J96" s="6" t="str">
        <f ca="1">Master_List!$AW$5</f>
        <v>65</v>
      </c>
      <c r="K96" s="6" t="s">
        <v>579</v>
      </c>
      <c r="L96" s="22"/>
      <c r="M96" s="25"/>
      <c r="N96" s="25"/>
      <c r="O96" s="25"/>
      <c r="P96" s="25"/>
      <c r="Q96" s="25"/>
      <c r="R96" s="25"/>
      <c r="S96" s="25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6"/>
      <c r="BE96" s="6"/>
      <c r="BF96" s="6"/>
      <c r="BG96" s="6"/>
      <c r="BH96" s="24"/>
      <c r="BL96" s="4" t="s">
        <v>1744</v>
      </c>
      <c r="BM96" s="4" t="s">
        <v>1798</v>
      </c>
      <c r="BN96" s="4" t="s">
        <v>1746</v>
      </c>
      <c r="BO96" s="4" t="str">
        <f t="shared" si="1"/>
        <v>C:\Users\aremi\Desktop\REPORT CBM\PO TIANU JB\03. Raw Material\40. 10052026 SSU MEDINI SIGNATURE 33KV (VI)\IR</v>
      </c>
      <c r="BP96" t="s">
        <v>652</v>
      </c>
    </row>
    <row r="97" spans="1:68" ht="15" customHeight="1" x14ac:dyDescent="0.25">
      <c r="A97" s="4">
        <v>48</v>
      </c>
      <c r="B97" s="4" t="s">
        <v>645</v>
      </c>
      <c r="C97" s="4">
        <v>2</v>
      </c>
      <c r="D97" s="4" t="s">
        <v>1760</v>
      </c>
      <c r="E97" s="4">
        <v>4</v>
      </c>
      <c r="F97" s="6" t="str">
        <f ca="1">Master_List!$AW$1</f>
        <v>PERPUSTAKAAN PUSAT</v>
      </c>
      <c r="G97" s="27" t="str">
        <f ca="1">Master_List!$AW$2</f>
        <v>09:30 PM</v>
      </c>
      <c r="H97" s="32" t="str">
        <f ca="1">Master_List!$AW$3</f>
        <v>20/07/2026</v>
      </c>
      <c r="I97" s="28" t="str">
        <f ca="1">Master_List!$AW$4</f>
        <v>28.5</v>
      </c>
      <c r="J97" s="6" t="str">
        <f ca="1">Master_List!$AW$5</f>
        <v>65</v>
      </c>
      <c r="K97" s="6" t="s">
        <v>579</v>
      </c>
      <c r="L97" s="22"/>
      <c r="M97" s="25"/>
      <c r="N97" s="25"/>
      <c r="O97" s="25"/>
      <c r="P97" s="25"/>
      <c r="Q97" s="25"/>
      <c r="R97" s="25"/>
      <c r="S97" s="25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6"/>
      <c r="BE97" s="6"/>
      <c r="BF97" s="6"/>
      <c r="BG97" s="6"/>
      <c r="BH97" s="24"/>
      <c r="BL97" s="4" t="s">
        <v>1744</v>
      </c>
      <c r="BM97" s="4" t="s">
        <v>1798</v>
      </c>
      <c r="BN97" s="4" t="s">
        <v>1748</v>
      </c>
      <c r="BO97" s="4" t="str">
        <f t="shared" si="1"/>
        <v>C:\Users\aremi\Desktop\REPORT CBM\PO TIANU JB\03. Raw Material\40. 10052026 SSU MEDINI SIGNATURE 33KV (VI)\IR</v>
      </c>
      <c r="BP97" t="s">
        <v>653</v>
      </c>
    </row>
    <row r="98" spans="1:68" ht="15" customHeight="1" x14ac:dyDescent="0.25">
      <c r="A98" s="4">
        <v>49</v>
      </c>
      <c r="B98" s="4" t="s">
        <v>645</v>
      </c>
      <c r="C98" s="4">
        <v>2</v>
      </c>
      <c r="D98" s="4" t="s">
        <v>1760</v>
      </c>
      <c r="E98" s="4">
        <v>5</v>
      </c>
      <c r="F98" s="6" t="str">
        <f ca="1">Master_List!$AW$1</f>
        <v>PERPUSTAKAAN PUSAT</v>
      </c>
      <c r="G98" s="27" t="str">
        <f ca="1">Master_List!$AW$2</f>
        <v>09:30 PM</v>
      </c>
      <c r="H98" s="32" t="str">
        <f ca="1">Master_List!$AW$3</f>
        <v>20/07/2026</v>
      </c>
      <c r="I98" s="28" t="str">
        <f ca="1">Master_List!$AW$4</f>
        <v>28.5</v>
      </c>
      <c r="J98" s="6" t="str">
        <f ca="1">Master_List!$AW$5</f>
        <v>65</v>
      </c>
      <c r="K98" s="6" t="s">
        <v>582</v>
      </c>
      <c r="L98" s="22"/>
      <c r="M98" s="25"/>
      <c r="N98" s="25"/>
      <c r="O98" s="25"/>
      <c r="P98" s="25"/>
      <c r="Q98" s="25"/>
      <c r="R98" s="25"/>
      <c r="S98" s="25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6"/>
      <c r="BE98" s="6"/>
      <c r="BF98" s="6"/>
      <c r="BG98" s="6"/>
      <c r="BH98" s="24"/>
      <c r="BL98" s="4" t="s">
        <v>1744</v>
      </c>
      <c r="BM98" s="4" t="s">
        <v>1799</v>
      </c>
      <c r="BN98" s="4" t="s">
        <v>1746</v>
      </c>
      <c r="BO98" s="4" t="str">
        <f t="shared" si="1"/>
        <v>C:\Users\aremi\Desktop\REPORT CBM\PO TIANU JB\03. Raw Material\40. 10052026 SSU MEDINI SIGNATURE 33KV (VI)\IR</v>
      </c>
      <c r="BP98" t="s">
        <v>654</v>
      </c>
    </row>
    <row r="99" spans="1:68" ht="15" customHeight="1" x14ac:dyDescent="0.25">
      <c r="A99" s="4">
        <v>49</v>
      </c>
      <c r="B99" s="4" t="s">
        <v>645</v>
      </c>
      <c r="C99" s="4">
        <v>2</v>
      </c>
      <c r="D99" s="4" t="s">
        <v>1760</v>
      </c>
      <c r="E99" s="4">
        <v>5</v>
      </c>
      <c r="F99" s="6" t="str">
        <f ca="1">Master_List!$AW$1</f>
        <v>PERPUSTAKAAN PUSAT</v>
      </c>
      <c r="G99" s="27" t="str">
        <f ca="1">Master_List!$AW$2</f>
        <v>09:30 PM</v>
      </c>
      <c r="H99" s="32" t="str">
        <f ca="1">Master_List!$AW$3</f>
        <v>20/07/2026</v>
      </c>
      <c r="I99" s="28" t="str">
        <f ca="1">Master_List!$AW$4</f>
        <v>28.5</v>
      </c>
      <c r="J99" s="6" t="str">
        <f ca="1">Master_List!$AW$5</f>
        <v>65</v>
      </c>
      <c r="K99" s="6" t="s">
        <v>582</v>
      </c>
      <c r="L99" s="22"/>
      <c r="M99" s="25"/>
      <c r="N99" s="25"/>
      <c r="O99" s="25"/>
      <c r="P99" s="25"/>
      <c r="Q99" s="25"/>
      <c r="R99" s="25"/>
      <c r="S99" s="25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6"/>
      <c r="BE99" s="6"/>
      <c r="BF99" s="6"/>
      <c r="BG99" s="6"/>
      <c r="BH99" s="24"/>
      <c r="BL99" s="4" t="s">
        <v>1744</v>
      </c>
      <c r="BM99" s="4" t="s">
        <v>1799</v>
      </c>
      <c r="BN99" s="4" t="s">
        <v>1748</v>
      </c>
      <c r="BO99" s="4" t="str">
        <f t="shared" si="1"/>
        <v>C:\Users\aremi\Desktop\REPORT CBM\PO TIANU JB\03. Raw Material\40. 10052026 SSU MEDINI SIGNATURE 33KV (VI)\IR</v>
      </c>
      <c r="BP99" t="s">
        <v>655</v>
      </c>
    </row>
    <row r="100" spans="1:68" ht="15" customHeight="1" x14ac:dyDescent="0.25">
      <c r="A100" s="4">
        <v>50</v>
      </c>
      <c r="B100" s="4" t="s">
        <v>645</v>
      </c>
      <c r="C100" s="4">
        <v>2</v>
      </c>
      <c r="D100" s="4" t="s">
        <v>1760</v>
      </c>
      <c r="E100" s="4">
        <v>6</v>
      </c>
      <c r="F100" s="6" t="str">
        <f ca="1">Master_List!$AW$1</f>
        <v>PERPUSTAKAAN PUSAT</v>
      </c>
      <c r="G100" s="27" t="str">
        <f ca="1">Master_List!$AW$2</f>
        <v>09:30 PM</v>
      </c>
      <c r="H100" s="32" t="str">
        <f ca="1">Master_List!$AW$3</f>
        <v>20/07/2026</v>
      </c>
      <c r="I100" s="28" t="str">
        <f ca="1">Master_List!$AW$4</f>
        <v>28.5</v>
      </c>
      <c r="J100" s="6" t="str">
        <f ca="1">Master_List!$AW$5</f>
        <v>65</v>
      </c>
      <c r="K100" s="6" t="s">
        <v>585</v>
      </c>
      <c r="L100" s="22"/>
      <c r="M100" s="25"/>
      <c r="N100" s="25"/>
      <c r="O100" s="25"/>
      <c r="P100" s="25"/>
      <c r="Q100" s="25"/>
      <c r="R100" s="25"/>
      <c r="S100" s="25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6"/>
      <c r="BE100" s="6"/>
      <c r="BF100" s="6"/>
      <c r="BG100" s="6"/>
      <c r="BH100" s="24"/>
      <c r="BL100" s="4" t="s">
        <v>1744</v>
      </c>
      <c r="BM100" s="4" t="s">
        <v>1800</v>
      </c>
      <c r="BN100" s="4" t="s">
        <v>1746</v>
      </c>
      <c r="BO100" s="4" t="str">
        <f t="shared" si="1"/>
        <v>C:\Users\aremi\Desktop\REPORT CBM\PO TIANU JB\03. Raw Material\40. 10052026 SSU MEDINI SIGNATURE 33KV (VI)\IR</v>
      </c>
      <c r="BP100" t="s">
        <v>656</v>
      </c>
    </row>
    <row r="101" spans="1:68" ht="15" customHeight="1" x14ac:dyDescent="0.25">
      <c r="A101" s="4">
        <v>50</v>
      </c>
      <c r="B101" s="4" t="s">
        <v>645</v>
      </c>
      <c r="C101" s="4">
        <v>2</v>
      </c>
      <c r="D101" s="4" t="s">
        <v>1760</v>
      </c>
      <c r="E101" s="4">
        <v>6</v>
      </c>
      <c r="F101" s="6" t="str">
        <f ca="1">Master_List!$AW$1</f>
        <v>PERPUSTAKAAN PUSAT</v>
      </c>
      <c r="G101" s="27" t="str">
        <f ca="1">Master_List!$AW$2</f>
        <v>09:30 PM</v>
      </c>
      <c r="H101" s="32" t="str">
        <f ca="1">Master_List!$AW$3</f>
        <v>20/07/2026</v>
      </c>
      <c r="I101" s="28" t="str">
        <f ca="1">Master_List!$AW$4</f>
        <v>28.5</v>
      </c>
      <c r="J101" s="6" t="str">
        <f ca="1">Master_List!$AW$5</f>
        <v>65</v>
      </c>
      <c r="K101" s="6" t="s">
        <v>585</v>
      </c>
      <c r="L101" s="22"/>
      <c r="M101" s="25"/>
      <c r="N101" s="25"/>
      <c r="O101" s="25"/>
      <c r="P101" s="25"/>
      <c r="Q101" s="25"/>
      <c r="R101" s="25"/>
      <c r="S101" s="25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6"/>
      <c r="BE101" s="6"/>
      <c r="BF101" s="6"/>
      <c r="BG101" s="6"/>
      <c r="BH101" s="24"/>
      <c r="BL101" s="4" t="s">
        <v>1744</v>
      </c>
      <c r="BM101" s="4" t="s">
        <v>1800</v>
      </c>
      <c r="BN101" s="4" t="s">
        <v>1748</v>
      </c>
      <c r="BO101" s="4" t="str">
        <f t="shared" si="1"/>
        <v>C:\Users\aremi\Desktop\REPORT CBM\PO TIANU JB\03. Raw Material\40. 10052026 SSU MEDINI SIGNATURE 33KV (VI)\IR</v>
      </c>
      <c r="BP101" t="s">
        <v>657</v>
      </c>
    </row>
    <row r="102" spans="1:68" ht="15" customHeight="1" x14ac:dyDescent="0.25">
      <c r="A102" s="4">
        <v>51</v>
      </c>
      <c r="B102" s="4" t="s">
        <v>645</v>
      </c>
      <c r="C102" s="4">
        <v>2</v>
      </c>
      <c r="D102" s="4" t="s">
        <v>1767</v>
      </c>
      <c r="E102" s="4">
        <v>7</v>
      </c>
      <c r="F102" s="6" t="str">
        <f ca="1">Master_List!$AW$1</f>
        <v>PERPUSTAKAAN PUSAT</v>
      </c>
      <c r="G102" s="27" t="str">
        <f ca="1">Master_List!$AW$2</f>
        <v>09:30 PM</v>
      </c>
      <c r="H102" s="32" t="str">
        <f ca="1">Master_List!$AW$3</f>
        <v>20/07/2026</v>
      </c>
      <c r="I102" s="28" t="str">
        <f ca="1">Master_List!$AW$4</f>
        <v>28.5</v>
      </c>
      <c r="J102" s="6" t="str">
        <f ca="1">Master_List!$AW$5</f>
        <v>65</v>
      </c>
      <c r="K102" s="6" t="s">
        <v>588</v>
      </c>
      <c r="L102" s="22"/>
      <c r="M102" s="22"/>
      <c r="N102" s="25"/>
      <c r="O102" s="25"/>
      <c r="P102" s="25"/>
      <c r="Q102" s="25"/>
      <c r="R102" s="25"/>
      <c r="S102" s="25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6"/>
      <c r="BE102" s="6"/>
      <c r="BF102" s="6"/>
      <c r="BG102" s="6"/>
      <c r="BH102" s="6"/>
      <c r="BL102" s="4" t="s">
        <v>1744</v>
      </c>
      <c r="BM102" s="4" t="s">
        <v>1801</v>
      </c>
      <c r="BN102" s="4" t="s">
        <v>1746</v>
      </c>
      <c r="BO102" s="4" t="str">
        <f t="shared" si="1"/>
        <v>C:\Users\aremi\Desktop\REPORT CBM\PO TIANU JB\03. Raw Material\40. 10052026 SSU MEDINI SIGNATURE 33KV (VI)\IR</v>
      </c>
      <c r="BP102" t="s">
        <v>658</v>
      </c>
    </row>
    <row r="103" spans="1:68" ht="15" customHeight="1" x14ac:dyDescent="0.25">
      <c r="A103" s="4">
        <v>51</v>
      </c>
      <c r="B103" s="4" t="s">
        <v>645</v>
      </c>
      <c r="C103" s="4">
        <v>2</v>
      </c>
      <c r="D103" s="4" t="s">
        <v>1767</v>
      </c>
      <c r="E103" s="4">
        <v>7</v>
      </c>
      <c r="F103" s="6" t="str">
        <f ca="1">Master_List!$AW$1</f>
        <v>PERPUSTAKAAN PUSAT</v>
      </c>
      <c r="G103" s="27" t="str">
        <f ca="1">Master_List!$AW$2</f>
        <v>09:30 PM</v>
      </c>
      <c r="H103" s="32" t="str">
        <f ca="1">Master_List!$AW$3</f>
        <v>20/07/2026</v>
      </c>
      <c r="I103" s="28" t="str">
        <f ca="1">Master_List!$AW$4</f>
        <v>28.5</v>
      </c>
      <c r="J103" s="6" t="str">
        <f ca="1">Master_List!$AW$5</f>
        <v>65</v>
      </c>
      <c r="K103" s="6" t="s">
        <v>588</v>
      </c>
      <c r="L103" s="22"/>
      <c r="M103" s="22"/>
      <c r="N103" s="25"/>
      <c r="O103" s="25"/>
      <c r="P103" s="25"/>
      <c r="Q103" s="25"/>
      <c r="R103" s="25"/>
      <c r="S103" s="25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6"/>
      <c r="BE103" s="6"/>
      <c r="BF103" s="6"/>
      <c r="BG103" s="6"/>
      <c r="BH103" s="6"/>
      <c r="BL103" s="4" t="s">
        <v>1744</v>
      </c>
      <c r="BM103" s="4" t="s">
        <v>1801</v>
      </c>
      <c r="BN103" s="4" t="s">
        <v>1748</v>
      </c>
      <c r="BO103" s="4" t="str">
        <f t="shared" si="1"/>
        <v>C:\Users\aremi\Desktop\REPORT CBM\PO TIANU JB\03. Raw Material\40. 10052026 SSU MEDINI SIGNATURE 33KV (VI)\IR</v>
      </c>
      <c r="BP103" t="s">
        <v>659</v>
      </c>
    </row>
    <row r="104" spans="1:68" ht="15" customHeight="1" x14ac:dyDescent="0.25">
      <c r="A104" s="4">
        <v>52</v>
      </c>
      <c r="B104" s="4" t="s">
        <v>645</v>
      </c>
      <c r="C104" s="4">
        <v>2</v>
      </c>
      <c r="D104" s="4" t="s">
        <v>1769</v>
      </c>
      <c r="E104" s="4">
        <v>8</v>
      </c>
      <c r="F104" s="6" t="str">
        <f ca="1">Master_List!$AW$1</f>
        <v>PERPUSTAKAAN PUSAT</v>
      </c>
      <c r="G104" s="27" t="str">
        <f ca="1">Master_List!$AW$2</f>
        <v>09:30 PM</v>
      </c>
      <c r="H104" s="32" t="str">
        <f ca="1">Master_List!$AW$3</f>
        <v>20/07/2026</v>
      </c>
      <c r="I104" s="28" t="str">
        <f ca="1">Master_List!$AW$4</f>
        <v>28.5</v>
      </c>
      <c r="J104" s="6" t="str">
        <f ca="1">Master_List!$AW$5</f>
        <v>65</v>
      </c>
      <c r="K104" s="6" t="s">
        <v>591</v>
      </c>
      <c r="L104" s="22"/>
      <c r="M104" s="22"/>
      <c r="N104" s="25"/>
      <c r="O104" s="25"/>
      <c r="P104" s="25"/>
      <c r="Q104" s="25"/>
      <c r="R104" s="25"/>
      <c r="S104" s="25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6"/>
      <c r="BE104" s="6"/>
      <c r="BF104" s="6"/>
      <c r="BG104" s="6"/>
      <c r="BH104" s="6"/>
      <c r="BL104" s="4" t="s">
        <v>1744</v>
      </c>
      <c r="BM104" s="4" t="s">
        <v>1802</v>
      </c>
      <c r="BN104" s="4" t="s">
        <v>1746</v>
      </c>
      <c r="BO104" s="4" t="str">
        <f t="shared" si="1"/>
        <v>C:\Users\aremi\Desktop\REPORT CBM\PO TIANU JB\03. Raw Material\40. 10052026 SSU MEDINI SIGNATURE 33KV (VI)\IR</v>
      </c>
      <c r="BP104" t="s">
        <v>660</v>
      </c>
    </row>
    <row r="105" spans="1:68" ht="15" customHeight="1" x14ac:dyDescent="0.25">
      <c r="A105" s="4">
        <v>52</v>
      </c>
      <c r="B105" s="4" t="s">
        <v>645</v>
      </c>
      <c r="C105" s="4">
        <v>2</v>
      </c>
      <c r="D105" s="4" t="s">
        <v>1769</v>
      </c>
      <c r="E105" s="4">
        <v>8</v>
      </c>
      <c r="F105" s="6" t="str">
        <f ca="1">Master_List!$AW$1</f>
        <v>PERPUSTAKAAN PUSAT</v>
      </c>
      <c r="G105" s="27" t="str">
        <f ca="1">Master_List!$AW$2</f>
        <v>09:30 PM</v>
      </c>
      <c r="H105" s="32" t="str">
        <f ca="1">Master_List!$AW$3</f>
        <v>20/07/2026</v>
      </c>
      <c r="I105" s="28" t="str">
        <f ca="1">Master_List!$AW$4</f>
        <v>28.5</v>
      </c>
      <c r="J105" s="6" t="str">
        <f ca="1">Master_List!$AW$5</f>
        <v>65</v>
      </c>
      <c r="K105" s="6" t="s">
        <v>591</v>
      </c>
      <c r="L105" s="22"/>
      <c r="M105" s="22"/>
      <c r="N105" s="25"/>
      <c r="O105" s="25"/>
      <c r="P105" s="25"/>
      <c r="Q105" s="25"/>
      <c r="R105" s="25"/>
      <c r="S105" s="25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6"/>
      <c r="BE105" s="6"/>
      <c r="BF105" s="6"/>
      <c r="BG105" s="6"/>
      <c r="BH105" s="6"/>
      <c r="BL105" s="4" t="s">
        <v>1744</v>
      </c>
      <c r="BM105" s="4" t="s">
        <v>1802</v>
      </c>
      <c r="BN105" s="4" t="s">
        <v>1748</v>
      </c>
      <c r="BO105" s="4" t="str">
        <f t="shared" si="1"/>
        <v>C:\Users\aremi\Desktop\REPORT CBM\PO TIANU JB\03. Raw Material\40. 10052026 SSU MEDINI SIGNATURE 33KV (VI)\IR</v>
      </c>
      <c r="BP105" t="s">
        <v>661</v>
      </c>
    </row>
    <row r="106" spans="1:68" ht="15" customHeight="1" x14ac:dyDescent="0.25">
      <c r="A106" s="4">
        <v>53</v>
      </c>
      <c r="B106" s="4" t="s">
        <v>662</v>
      </c>
      <c r="C106" s="4">
        <v>3</v>
      </c>
      <c r="D106" s="4" t="s">
        <v>1760</v>
      </c>
      <c r="E106" s="4">
        <v>1</v>
      </c>
      <c r="F106" s="6" t="str">
        <f ca="1">Master_List!$AW$1</f>
        <v>PERPUSTAKAAN PUSAT</v>
      </c>
      <c r="G106" s="27" t="str">
        <f ca="1">Master_List!$AW$2</f>
        <v>09:30 PM</v>
      </c>
      <c r="H106" s="32" t="str">
        <f ca="1">Master_List!$AW$3</f>
        <v>20/07/2026</v>
      </c>
      <c r="I106" s="28" t="str">
        <f ca="1">Master_List!$AW$4</f>
        <v>28.5</v>
      </c>
      <c r="J106" s="6" t="str">
        <f ca="1">Master_List!$AW$5</f>
        <v>65</v>
      </c>
      <c r="K106" s="6" t="s">
        <v>570</v>
      </c>
      <c r="L106" s="22"/>
      <c r="M106" s="22"/>
      <c r="N106" s="25"/>
      <c r="O106" s="25"/>
      <c r="P106" s="25"/>
      <c r="Q106" s="25"/>
      <c r="R106" s="25"/>
      <c r="S106" s="25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6"/>
      <c r="BE106" s="6"/>
      <c r="BF106" s="6"/>
      <c r="BG106" s="6"/>
      <c r="BH106" s="6"/>
      <c r="BL106" s="4" t="s">
        <v>1744</v>
      </c>
      <c r="BM106" s="4" t="s">
        <v>1803</v>
      </c>
      <c r="BN106" s="4" t="s">
        <v>1746</v>
      </c>
      <c r="BO106" s="4" t="str">
        <f t="shared" si="1"/>
        <v>C:\Users\aremi\Desktop\REPORT CBM\PO TIANU JB\03. Raw Material\40. 10052026 SSU MEDINI SIGNATURE 33KV (VI)\IR</v>
      </c>
      <c r="BP106" t="s">
        <v>663</v>
      </c>
    </row>
    <row r="107" spans="1:68" ht="15" customHeight="1" x14ac:dyDescent="0.25">
      <c r="A107" s="4">
        <v>53</v>
      </c>
      <c r="B107" s="4" t="s">
        <v>662</v>
      </c>
      <c r="C107" s="4">
        <v>3</v>
      </c>
      <c r="D107" s="4" t="s">
        <v>1760</v>
      </c>
      <c r="E107" s="4">
        <v>1</v>
      </c>
      <c r="F107" s="6" t="str">
        <f ca="1">Master_List!$AW$1</f>
        <v>PERPUSTAKAAN PUSAT</v>
      </c>
      <c r="G107" s="27" t="str">
        <f ca="1">Master_List!$AW$2</f>
        <v>09:30 PM</v>
      </c>
      <c r="H107" s="32" t="str">
        <f ca="1">Master_List!$AW$3</f>
        <v>20/07/2026</v>
      </c>
      <c r="I107" s="28" t="str">
        <f ca="1">Master_List!$AW$4</f>
        <v>28.5</v>
      </c>
      <c r="J107" s="6" t="str">
        <f ca="1">Master_List!$AW$5</f>
        <v>65</v>
      </c>
      <c r="K107" s="6" t="s">
        <v>570</v>
      </c>
      <c r="L107" s="22"/>
      <c r="M107" s="22"/>
      <c r="N107" s="25"/>
      <c r="O107" s="25"/>
      <c r="P107" s="25"/>
      <c r="Q107" s="25"/>
      <c r="R107" s="25"/>
      <c r="S107" s="25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6"/>
      <c r="BE107" s="6"/>
      <c r="BF107" s="6"/>
      <c r="BG107" s="6"/>
      <c r="BH107" s="6"/>
      <c r="BL107" s="4" t="s">
        <v>1744</v>
      </c>
      <c r="BM107" s="4" t="s">
        <v>1803</v>
      </c>
      <c r="BN107" s="4" t="s">
        <v>1748</v>
      </c>
      <c r="BO107" s="4" t="str">
        <f t="shared" si="1"/>
        <v>C:\Users\aremi\Desktop\REPORT CBM\PO TIANU JB\03. Raw Material\40. 10052026 SSU MEDINI SIGNATURE 33KV (VI)\IR</v>
      </c>
      <c r="BP107" t="s">
        <v>664</v>
      </c>
    </row>
    <row r="108" spans="1:68" ht="15" customHeight="1" x14ac:dyDescent="0.25">
      <c r="A108" s="4">
        <v>54</v>
      </c>
      <c r="B108" s="4" t="s">
        <v>662</v>
      </c>
      <c r="C108" s="4">
        <v>3</v>
      </c>
      <c r="D108" s="4" t="s">
        <v>1760</v>
      </c>
      <c r="E108" s="4">
        <v>2</v>
      </c>
      <c r="F108" s="6" t="str">
        <f ca="1">Master_List!$AW$1</f>
        <v>PERPUSTAKAAN PUSAT</v>
      </c>
      <c r="G108" s="27" t="str">
        <f ca="1">Master_List!$AW$2</f>
        <v>09:30 PM</v>
      </c>
      <c r="H108" s="32" t="str">
        <f ca="1">Master_List!$AW$3</f>
        <v>20/07/2026</v>
      </c>
      <c r="I108" s="28" t="str">
        <f ca="1">Master_List!$AW$4</f>
        <v>28.5</v>
      </c>
      <c r="J108" s="6" t="str">
        <f ca="1">Master_List!$AW$5</f>
        <v>65</v>
      </c>
      <c r="K108" s="6" t="s">
        <v>573</v>
      </c>
      <c r="L108" s="22"/>
      <c r="M108" s="22"/>
      <c r="N108" s="25"/>
      <c r="O108" s="25"/>
      <c r="P108" s="25"/>
      <c r="Q108" s="25"/>
      <c r="R108" s="25"/>
      <c r="S108" s="25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6"/>
      <c r="BE108" s="6"/>
      <c r="BF108" s="6"/>
      <c r="BG108" s="6"/>
      <c r="BH108" s="6"/>
      <c r="BL108" s="4" t="s">
        <v>1744</v>
      </c>
      <c r="BM108" s="4" t="s">
        <v>1804</v>
      </c>
      <c r="BN108" s="4" t="s">
        <v>1746</v>
      </c>
      <c r="BO108" s="4" t="str">
        <f t="shared" si="1"/>
        <v>C:\Users\aremi\Desktop\REPORT CBM\PO TIANU JB\03. Raw Material\40. 10052026 SSU MEDINI SIGNATURE 33KV (VI)\IR</v>
      </c>
      <c r="BP108" t="s">
        <v>665</v>
      </c>
    </row>
    <row r="109" spans="1:68" ht="15" customHeight="1" x14ac:dyDescent="0.25">
      <c r="A109" s="4">
        <v>54</v>
      </c>
      <c r="B109" s="4" t="s">
        <v>662</v>
      </c>
      <c r="C109" s="4">
        <v>3</v>
      </c>
      <c r="D109" s="4" t="s">
        <v>1760</v>
      </c>
      <c r="E109" s="4">
        <v>2</v>
      </c>
      <c r="F109" s="6" t="str">
        <f ca="1">Master_List!$AW$1</f>
        <v>PERPUSTAKAAN PUSAT</v>
      </c>
      <c r="G109" s="27" t="str">
        <f ca="1">Master_List!$AW$2</f>
        <v>09:30 PM</v>
      </c>
      <c r="H109" s="32" t="str">
        <f ca="1">Master_List!$AW$3</f>
        <v>20/07/2026</v>
      </c>
      <c r="I109" s="28" t="str">
        <f ca="1">Master_List!$AW$4</f>
        <v>28.5</v>
      </c>
      <c r="J109" s="6" t="str">
        <f ca="1">Master_List!$AW$5</f>
        <v>65</v>
      </c>
      <c r="K109" s="6" t="s">
        <v>573</v>
      </c>
      <c r="L109" s="22"/>
      <c r="M109" s="22"/>
      <c r="N109" s="25"/>
      <c r="O109" s="25"/>
      <c r="P109" s="25"/>
      <c r="Q109" s="25"/>
      <c r="R109" s="25"/>
      <c r="S109" s="25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6"/>
      <c r="BE109" s="6"/>
      <c r="BF109" s="6"/>
      <c r="BG109" s="6"/>
      <c r="BH109" s="6"/>
      <c r="BL109" s="4" t="s">
        <v>1744</v>
      </c>
      <c r="BM109" s="4" t="s">
        <v>1804</v>
      </c>
      <c r="BN109" s="4" t="s">
        <v>1748</v>
      </c>
      <c r="BO109" s="4" t="str">
        <f t="shared" si="1"/>
        <v>C:\Users\aremi\Desktop\REPORT CBM\PO TIANU JB\03. Raw Material\40. 10052026 SSU MEDINI SIGNATURE 33KV (VI)\IR</v>
      </c>
      <c r="BP109" t="s">
        <v>666</v>
      </c>
    </row>
    <row r="110" spans="1:68" ht="15" customHeight="1" x14ac:dyDescent="0.25">
      <c r="A110" s="4">
        <v>55</v>
      </c>
      <c r="B110" s="4" t="s">
        <v>662</v>
      </c>
      <c r="C110" s="4">
        <v>3</v>
      </c>
      <c r="D110" s="4" t="s">
        <v>1760</v>
      </c>
      <c r="E110" s="4">
        <v>3</v>
      </c>
      <c r="F110" s="6" t="str">
        <f ca="1">Master_List!$AW$1</f>
        <v>PERPUSTAKAAN PUSAT</v>
      </c>
      <c r="G110" s="27" t="str">
        <f ca="1">Master_List!$AW$2</f>
        <v>09:30 PM</v>
      </c>
      <c r="H110" s="32" t="str">
        <f ca="1">Master_List!$AW$3</f>
        <v>20/07/2026</v>
      </c>
      <c r="I110" s="28" t="str">
        <f ca="1">Master_List!$AW$4</f>
        <v>28.5</v>
      </c>
      <c r="J110" s="6" t="str">
        <f ca="1">Master_List!$AW$5</f>
        <v>65</v>
      </c>
      <c r="K110" s="6" t="s">
        <v>576</v>
      </c>
      <c r="L110" s="22"/>
      <c r="M110" s="22"/>
      <c r="N110" s="25"/>
      <c r="O110" s="25"/>
      <c r="P110" s="25"/>
      <c r="Q110" s="25"/>
      <c r="R110" s="25"/>
      <c r="S110" s="25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6"/>
      <c r="BE110" s="6"/>
      <c r="BF110" s="6"/>
      <c r="BG110" s="6"/>
      <c r="BH110" s="6"/>
      <c r="BL110" s="4" t="s">
        <v>1744</v>
      </c>
      <c r="BM110" s="4" t="s">
        <v>1805</v>
      </c>
      <c r="BN110" s="4" t="s">
        <v>1746</v>
      </c>
      <c r="BO110" s="4" t="str">
        <f t="shared" si="1"/>
        <v>C:\Users\aremi\Desktop\REPORT CBM\PO TIANU JB\03. Raw Material\40. 10052026 SSU MEDINI SIGNATURE 33KV (VI)\IR</v>
      </c>
      <c r="BP110" t="s">
        <v>667</v>
      </c>
    </row>
    <row r="111" spans="1:68" ht="15" customHeight="1" x14ac:dyDescent="0.25">
      <c r="A111" s="4">
        <v>55</v>
      </c>
      <c r="B111" s="4" t="s">
        <v>662</v>
      </c>
      <c r="C111" s="4">
        <v>3</v>
      </c>
      <c r="D111" s="4" t="s">
        <v>1760</v>
      </c>
      <c r="E111" s="4">
        <v>3</v>
      </c>
      <c r="F111" s="6" t="str">
        <f ca="1">Master_List!$AW$1</f>
        <v>PERPUSTAKAAN PUSAT</v>
      </c>
      <c r="G111" s="27" t="str">
        <f ca="1">Master_List!$AW$2</f>
        <v>09:30 PM</v>
      </c>
      <c r="H111" s="32" t="str">
        <f ca="1">Master_List!$AW$3</f>
        <v>20/07/2026</v>
      </c>
      <c r="I111" s="28" t="str">
        <f ca="1">Master_List!$AW$4</f>
        <v>28.5</v>
      </c>
      <c r="J111" s="6" t="str">
        <f ca="1">Master_List!$AW$5</f>
        <v>65</v>
      </c>
      <c r="K111" s="6" t="s">
        <v>576</v>
      </c>
      <c r="L111" s="22"/>
      <c r="M111" s="22"/>
      <c r="N111" s="25"/>
      <c r="O111" s="25"/>
      <c r="P111" s="25"/>
      <c r="Q111" s="25"/>
      <c r="R111" s="25"/>
      <c r="S111" s="25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6"/>
      <c r="BE111" s="6"/>
      <c r="BF111" s="6"/>
      <c r="BG111" s="6"/>
      <c r="BH111" s="6"/>
      <c r="BL111" s="4" t="s">
        <v>1744</v>
      </c>
      <c r="BM111" s="4" t="s">
        <v>1805</v>
      </c>
      <c r="BN111" s="4" t="s">
        <v>1748</v>
      </c>
      <c r="BO111" s="4" t="str">
        <f t="shared" si="1"/>
        <v>C:\Users\aremi\Desktop\REPORT CBM\PO TIANU JB\03. Raw Material\40. 10052026 SSU MEDINI SIGNATURE 33KV (VI)\IR</v>
      </c>
      <c r="BP111" t="s">
        <v>668</v>
      </c>
    </row>
    <row r="112" spans="1:68" ht="15" customHeight="1" x14ac:dyDescent="0.25">
      <c r="A112" s="4">
        <v>56</v>
      </c>
      <c r="B112" s="4" t="s">
        <v>662</v>
      </c>
      <c r="C112" s="4">
        <v>3</v>
      </c>
      <c r="D112" s="4" t="s">
        <v>1760</v>
      </c>
      <c r="E112" s="4">
        <v>4</v>
      </c>
      <c r="F112" s="6" t="str">
        <f ca="1">Master_List!$AW$1</f>
        <v>PERPUSTAKAAN PUSAT</v>
      </c>
      <c r="G112" s="27" t="str">
        <f ca="1">Master_List!$AW$2</f>
        <v>09:30 PM</v>
      </c>
      <c r="H112" s="32" t="str">
        <f ca="1">Master_List!$AW$3</f>
        <v>20/07/2026</v>
      </c>
      <c r="I112" s="28" t="str">
        <f ca="1">Master_List!$AW$4</f>
        <v>28.5</v>
      </c>
      <c r="J112" s="6" t="str">
        <f ca="1">Master_List!$AW$5</f>
        <v>65</v>
      </c>
      <c r="K112" s="6" t="s">
        <v>579</v>
      </c>
      <c r="L112" s="22"/>
      <c r="M112" s="22"/>
      <c r="N112" s="25"/>
      <c r="O112" s="25"/>
      <c r="P112" s="25"/>
      <c r="Q112" s="25"/>
      <c r="R112" s="25"/>
      <c r="S112" s="25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6"/>
      <c r="BE112" s="6"/>
      <c r="BF112" s="6"/>
      <c r="BG112" s="6"/>
      <c r="BH112" s="6"/>
      <c r="BL112" s="4" t="s">
        <v>1744</v>
      </c>
      <c r="BM112" s="4" t="s">
        <v>1806</v>
      </c>
      <c r="BN112" s="4" t="s">
        <v>1746</v>
      </c>
      <c r="BO112" s="4" t="str">
        <f t="shared" si="1"/>
        <v>C:\Users\aremi\Desktop\REPORT CBM\PO TIANU JB\03. Raw Material\40. 10052026 SSU MEDINI SIGNATURE 33KV (VI)\IR</v>
      </c>
      <c r="BP112" t="s">
        <v>669</v>
      </c>
    </row>
    <row r="113" spans="1:68" ht="15" customHeight="1" x14ac:dyDescent="0.25">
      <c r="A113" s="4">
        <v>56</v>
      </c>
      <c r="B113" s="4" t="s">
        <v>662</v>
      </c>
      <c r="C113" s="4">
        <v>3</v>
      </c>
      <c r="D113" s="4" t="s">
        <v>1760</v>
      </c>
      <c r="E113" s="4">
        <v>4</v>
      </c>
      <c r="F113" s="6" t="str">
        <f ca="1">Master_List!$AW$1</f>
        <v>PERPUSTAKAAN PUSAT</v>
      </c>
      <c r="G113" s="27" t="str">
        <f ca="1">Master_List!$AW$2</f>
        <v>09:30 PM</v>
      </c>
      <c r="H113" s="32" t="str">
        <f ca="1">Master_List!$AW$3</f>
        <v>20/07/2026</v>
      </c>
      <c r="I113" s="28" t="str">
        <f ca="1">Master_List!$AW$4</f>
        <v>28.5</v>
      </c>
      <c r="J113" s="6" t="str">
        <f ca="1">Master_List!$AW$5</f>
        <v>65</v>
      </c>
      <c r="K113" s="6" t="s">
        <v>579</v>
      </c>
      <c r="L113" s="22"/>
      <c r="M113" s="22"/>
      <c r="N113" s="25"/>
      <c r="O113" s="25"/>
      <c r="P113" s="25"/>
      <c r="Q113" s="25"/>
      <c r="R113" s="25"/>
      <c r="S113" s="25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6"/>
      <c r="BE113" s="6"/>
      <c r="BF113" s="6"/>
      <c r="BG113" s="6"/>
      <c r="BH113" s="6"/>
      <c r="BL113" s="4" t="s">
        <v>1744</v>
      </c>
      <c r="BM113" s="4" t="s">
        <v>1806</v>
      </c>
      <c r="BN113" s="4" t="s">
        <v>1748</v>
      </c>
      <c r="BO113" s="4" t="str">
        <f t="shared" si="1"/>
        <v>C:\Users\aremi\Desktop\REPORT CBM\PO TIANU JB\03. Raw Material\40. 10052026 SSU MEDINI SIGNATURE 33KV (VI)\IR</v>
      </c>
      <c r="BP113" t="s">
        <v>670</v>
      </c>
    </row>
    <row r="114" spans="1:68" ht="15" customHeight="1" x14ac:dyDescent="0.25">
      <c r="A114" s="4">
        <v>57</v>
      </c>
      <c r="B114" s="4" t="s">
        <v>662</v>
      </c>
      <c r="C114" s="4">
        <v>3</v>
      </c>
      <c r="D114" s="4" t="s">
        <v>1760</v>
      </c>
      <c r="E114" s="4">
        <v>5</v>
      </c>
      <c r="F114" s="6" t="str">
        <f ca="1">Master_List!$AW$1</f>
        <v>PERPUSTAKAAN PUSAT</v>
      </c>
      <c r="G114" s="27" t="str">
        <f ca="1">Master_List!$AW$2</f>
        <v>09:30 PM</v>
      </c>
      <c r="H114" s="32" t="str">
        <f ca="1">Master_List!$AW$3</f>
        <v>20/07/2026</v>
      </c>
      <c r="I114" s="28" t="str">
        <f ca="1">Master_List!$AW$4</f>
        <v>28.5</v>
      </c>
      <c r="J114" s="6" t="str">
        <f ca="1">Master_List!$AW$5</f>
        <v>65</v>
      </c>
      <c r="K114" s="6" t="s">
        <v>582</v>
      </c>
      <c r="L114" s="22"/>
      <c r="M114" s="25"/>
      <c r="N114" s="25"/>
      <c r="O114" s="25"/>
      <c r="P114" s="25"/>
      <c r="Q114" s="25"/>
      <c r="R114" s="25"/>
      <c r="S114" s="25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6"/>
      <c r="BE114" s="6"/>
      <c r="BF114" s="6"/>
      <c r="BG114" s="6"/>
      <c r="BH114" s="6"/>
      <c r="BL114" s="4" t="s">
        <v>1744</v>
      </c>
      <c r="BM114" s="4" t="s">
        <v>1807</v>
      </c>
      <c r="BN114" s="4" t="s">
        <v>1746</v>
      </c>
      <c r="BO114" s="4" t="str">
        <f t="shared" si="1"/>
        <v>C:\Users\aremi\Desktop\REPORT CBM\PO TIANU JB\03. Raw Material\40. 10052026 SSU MEDINI SIGNATURE 33KV (VI)\IR</v>
      </c>
      <c r="BP114" t="s">
        <v>671</v>
      </c>
    </row>
    <row r="115" spans="1:68" ht="15" customHeight="1" x14ac:dyDescent="0.25">
      <c r="A115" s="4">
        <v>57</v>
      </c>
      <c r="B115" s="4" t="s">
        <v>662</v>
      </c>
      <c r="C115" s="4">
        <v>3</v>
      </c>
      <c r="D115" s="4" t="s">
        <v>1760</v>
      </c>
      <c r="E115" s="4">
        <v>5</v>
      </c>
      <c r="F115" s="6" t="str">
        <f ca="1">Master_List!$AW$1</f>
        <v>PERPUSTAKAAN PUSAT</v>
      </c>
      <c r="G115" s="27" t="str">
        <f ca="1">Master_List!$AW$2</f>
        <v>09:30 PM</v>
      </c>
      <c r="H115" s="32" t="str">
        <f ca="1">Master_List!$AW$3</f>
        <v>20/07/2026</v>
      </c>
      <c r="I115" s="28" t="str">
        <f ca="1">Master_List!$AW$4</f>
        <v>28.5</v>
      </c>
      <c r="J115" s="6" t="str">
        <f ca="1">Master_List!$AW$5</f>
        <v>65</v>
      </c>
      <c r="K115" s="6" t="s">
        <v>582</v>
      </c>
      <c r="L115" s="22"/>
      <c r="M115" s="25"/>
      <c r="N115" s="25"/>
      <c r="O115" s="25"/>
      <c r="P115" s="25"/>
      <c r="Q115" s="25"/>
      <c r="R115" s="25"/>
      <c r="S115" s="25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6"/>
      <c r="BE115" s="6"/>
      <c r="BF115" s="6"/>
      <c r="BG115" s="6"/>
      <c r="BH115" s="6"/>
      <c r="BL115" s="4" t="s">
        <v>1744</v>
      </c>
      <c r="BM115" s="4" t="s">
        <v>1807</v>
      </c>
      <c r="BN115" s="4" t="s">
        <v>1748</v>
      </c>
      <c r="BO115" s="4" t="str">
        <f t="shared" si="1"/>
        <v>C:\Users\aremi\Desktop\REPORT CBM\PO TIANU JB\03. Raw Material\40. 10052026 SSU MEDINI SIGNATURE 33KV (VI)\IR</v>
      </c>
      <c r="BP115" t="s">
        <v>672</v>
      </c>
    </row>
    <row r="116" spans="1:68" ht="15" customHeight="1" x14ac:dyDescent="0.25">
      <c r="A116" s="4">
        <v>58</v>
      </c>
      <c r="B116" s="4" t="s">
        <v>662</v>
      </c>
      <c r="C116" s="4">
        <v>3</v>
      </c>
      <c r="D116" s="4" t="s">
        <v>1760</v>
      </c>
      <c r="E116" s="4">
        <v>6</v>
      </c>
      <c r="F116" s="6" t="str">
        <f ca="1">Master_List!$AW$1</f>
        <v>PERPUSTAKAAN PUSAT</v>
      </c>
      <c r="G116" s="27" t="str">
        <f ca="1">Master_List!$AW$2</f>
        <v>09:30 PM</v>
      </c>
      <c r="H116" s="32" t="str">
        <f ca="1">Master_List!$AW$3</f>
        <v>20/07/2026</v>
      </c>
      <c r="I116" s="28" t="str">
        <f ca="1">Master_List!$AW$4</f>
        <v>28.5</v>
      </c>
      <c r="J116" s="6" t="str">
        <f ca="1">Master_List!$AW$5</f>
        <v>65</v>
      </c>
      <c r="K116" s="6" t="s">
        <v>585</v>
      </c>
      <c r="L116" s="22"/>
      <c r="M116" s="25"/>
      <c r="N116" s="25"/>
      <c r="O116" s="25"/>
      <c r="P116" s="25"/>
      <c r="Q116" s="25"/>
      <c r="R116" s="25"/>
      <c r="S116" s="25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6"/>
      <c r="BE116" s="6"/>
      <c r="BF116" s="6"/>
      <c r="BG116" s="6"/>
      <c r="BH116" s="6"/>
      <c r="BL116" s="4" t="s">
        <v>1744</v>
      </c>
      <c r="BM116" s="4" t="s">
        <v>1808</v>
      </c>
      <c r="BN116" s="4" t="s">
        <v>1746</v>
      </c>
      <c r="BO116" s="4" t="str">
        <f t="shared" si="1"/>
        <v>C:\Users\aremi\Desktop\REPORT CBM\PO TIANU JB\03. Raw Material\40. 10052026 SSU MEDINI SIGNATURE 33KV (VI)\IR</v>
      </c>
      <c r="BP116" t="s">
        <v>673</v>
      </c>
    </row>
    <row r="117" spans="1:68" ht="15" customHeight="1" x14ac:dyDescent="0.25">
      <c r="A117" s="4">
        <v>58</v>
      </c>
      <c r="B117" s="4" t="s">
        <v>662</v>
      </c>
      <c r="C117" s="4">
        <v>3</v>
      </c>
      <c r="D117" s="4" t="s">
        <v>1760</v>
      </c>
      <c r="E117" s="4">
        <v>6</v>
      </c>
      <c r="F117" s="6" t="str">
        <f ca="1">Master_List!$AW$1</f>
        <v>PERPUSTAKAAN PUSAT</v>
      </c>
      <c r="G117" s="27" t="str">
        <f ca="1">Master_List!$AW$2</f>
        <v>09:30 PM</v>
      </c>
      <c r="H117" s="32" t="str">
        <f ca="1">Master_List!$AW$3</f>
        <v>20/07/2026</v>
      </c>
      <c r="I117" s="28" t="str">
        <f ca="1">Master_List!$AW$4</f>
        <v>28.5</v>
      </c>
      <c r="J117" s="6" t="str">
        <f ca="1">Master_List!$AW$5</f>
        <v>65</v>
      </c>
      <c r="K117" s="6" t="s">
        <v>585</v>
      </c>
      <c r="L117" s="22"/>
      <c r="M117" s="25"/>
      <c r="N117" s="25"/>
      <c r="O117" s="25"/>
      <c r="P117" s="25"/>
      <c r="Q117" s="25"/>
      <c r="R117" s="25"/>
      <c r="S117" s="25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6"/>
      <c r="BE117" s="6"/>
      <c r="BF117" s="6"/>
      <c r="BG117" s="6"/>
      <c r="BH117" s="6"/>
      <c r="BL117" s="4" t="s">
        <v>1744</v>
      </c>
      <c r="BM117" s="4" t="s">
        <v>1808</v>
      </c>
      <c r="BN117" s="4" t="s">
        <v>1748</v>
      </c>
      <c r="BO117" s="4" t="str">
        <f t="shared" si="1"/>
        <v>C:\Users\aremi\Desktop\REPORT CBM\PO TIANU JB\03. Raw Material\40. 10052026 SSU MEDINI SIGNATURE 33KV (VI)\IR</v>
      </c>
      <c r="BP117" t="s">
        <v>674</v>
      </c>
    </row>
    <row r="118" spans="1:68" ht="15" customHeight="1" x14ac:dyDescent="0.25">
      <c r="A118" s="4">
        <v>59</v>
      </c>
      <c r="B118" s="4" t="s">
        <v>662</v>
      </c>
      <c r="C118" s="4">
        <v>3</v>
      </c>
      <c r="D118" s="4" t="s">
        <v>1767</v>
      </c>
      <c r="E118" s="4">
        <v>7</v>
      </c>
      <c r="F118" s="6" t="str">
        <f ca="1">Master_List!$AW$1</f>
        <v>PERPUSTAKAAN PUSAT</v>
      </c>
      <c r="G118" s="27" t="str">
        <f ca="1">Master_List!$AW$2</f>
        <v>09:30 PM</v>
      </c>
      <c r="H118" s="32" t="str">
        <f ca="1">Master_List!$AW$3</f>
        <v>20/07/2026</v>
      </c>
      <c r="I118" s="28" t="str">
        <f ca="1">Master_List!$AW$4</f>
        <v>28.5</v>
      </c>
      <c r="J118" s="6" t="str">
        <f ca="1">Master_List!$AW$5</f>
        <v>65</v>
      </c>
      <c r="K118" s="6" t="s">
        <v>588</v>
      </c>
      <c r="L118" s="22"/>
      <c r="M118" s="25"/>
      <c r="N118" s="25"/>
      <c r="O118" s="25"/>
      <c r="P118" s="25"/>
      <c r="Q118" s="25"/>
      <c r="R118" s="25"/>
      <c r="S118" s="25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6"/>
      <c r="BE118" s="6"/>
      <c r="BF118" s="6"/>
      <c r="BG118" s="6"/>
      <c r="BH118" s="6"/>
      <c r="BL118" s="4" t="s">
        <v>1744</v>
      </c>
      <c r="BM118" s="4" t="s">
        <v>1809</v>
      </c>
      <c r="BN118" s="4" t="s">
        <v>1746</v>
      </c>
      <c r="BO118" s="4" t="str">
        <f t="shared" si="1"/>
        <v>C:\Users\aremi\Desktop\REPORT CBM\PO TIANU JB\03. Raw Material\40. 10052026 SSU MEDINI SIGNATURE 33KV (VI)\IR</v>
      </c>
      <c r="BP118" t="s">
        <v>675</v>
      </c>
    </row>
    <row r="119" spans="1:68" ht="15" customHeight="1" x14ac:dyDescent="0.25">
      <c r="A119" s="4">
        <v>59</v>
      </c>
      <c r="B119" s="4" t="s">
        <v>662</v>
      </c>
      <c r="C119" s="4">
        <v>3</v>
      </c>
      <c r="D119" s="4" t="s">
        <v>1767</v>
      </c>
      <c r="E119" s="4">
        <v>7</v>
      </c>
      <c r="F119" s="6" t="str">
        <f ca="1">Master_List!$AW$1</f>
        <v>PERPUSTAKAAN PUSAT</v>
      </c>
      <c r="G119" s="27" t="str">
        <f ca="1">Master_List!$AW$2</f>
        <v>09:30 PM</v>
      </c>
      <c r="H119" s="32" t="str">
        <f ca="1">Master_List!$AW$3</f>
        <v>20/07/2026</v>
      </c>
      <c r="I119" s="28" t="str">
        <f ca="1">Master_List!$AW$4</f>
        <v>28.5</v>
      </c>
      <c r="J119" s="6" t="str">
        <f ca="1">Master_List!$AW$5</f>
        <v>65</v>
      </c>
      <c r="K119" s="6" t="s">
        <v>588</v>
      </c>
      <c r="L119" s="22"/>
      <c r="M119" s="25"/>
      <c r="N119" s="25"/>
      <c r="O119" s="25"/>
      <c r="P119" s="25"/>
      <c r="Q119" s="25"/>
      <c r="R119" s="25"/>
      <c r="S119" s="25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6"/>
      <c r="BE119" s="6"/>
      <c r="BF119" s="6"/>
      <c r="BG119" s="6"/>
      <c r="BH119" s="6"/>
      <c r="BL119" s="4" t="s">
        <v>1744</v>
      </c>
      <c r="BM119" s="4" t="s">
        <v>1809</v>
      </c>
      <c r="BN119" s="4" t="s">
        <v>1748</v>
      </c>
      <c r="BO119" s="4" t="str">
        <f t="shared" si="1"/>
        <v>C:\Users\aremi\Desktop\REPORT CBM\PO TIANU JB\03. Raw Material\40. 10052026 SSU MEDINI SIGNATURE 33KV (VI)\IR</v>
      </c>
      <c r="BP119" t="s">
        <v>676</v>
      </c>
    </row>
    <row r="120" spans="1:68" ht="15" customHeight="1" x14ac:dyDescent="0.25">
      <c r="A120" s="4">
        <v>60</v>
      </c>
      <c r="B120" s="4" t="s">
        <v>662</v>
      </c>
      <c r="C120" s="4">
        <v>3</v>
      </c>
      <c r="D120" s="4" t="s">
        <v>1769</v>
      </c>
      <c r="E120" s="4">
        <v>8</v>
      </c>
      <c r="F120" s="6" t="str">
        <f ca="1">Master_List!$AW$1</f>
        <v>PERPUSTAKAAN PUSAT</v>
      </c>
      <c r="G120" s="27" t="str">
        <f ca="1">Master_List!$AW$2</f>
        <v>09:30 PM</v>
      </c>
      <c r="H120" s="32" t="str">
        <f ca="1">Master_List!$AW$3</f>
        <v>20/07/2026</v>
      </c>
      <c r="I120" s="28" t="str">
        <f ca="1">Master_List!$AW$4</f>
        <v>28.5</v>
      </c>
      <c r="J120" s="6" t="str">
        <f ca="1">Master_List!$AW$5</f>
        <v>65</v>
      </c>
      <c r="K120" s="6" t="s">
        <v>591</v>
      </c>
      <c r="L120" s="22"/>
      <c r="M120" s="25"/>
      <c r="N120" s="25"/>
      <c r="O120" s="25"/>
      <c r="P120" s="25"/>
      <c r="Q120" s="25"/>
      <c r="R120" s="25"/>
      <c r="S120" s="25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6"/>
      <c r="BE120" s="6"/>
      <c r="BF120" s="6"/>
      <c r="BG120" s="6"/>
      <c r="BH120" s="6"/>
      <c r="BL120" s="4" t="s">
        <v>1744</v>
      </c>
      <c r="BM120" s="4" t="s">
        <v>1810</v>
      </c>
      <c r="BN120" s="4" t="s">
        <v>1746</v>
      </c>
      <c r="BO120" s="4" t="str">
        <f t="shared" si="1"/>
        <v>C:\Users\aremi\Desktop\REPORT CBM\PO TIANU JB\03. Raw Material\40. 10052026 SSU MEDINI SIGNATURE 33KV (VI)\IR</v>
      </c>
      <c r="BP120" t="s">
        <v>677</v>
      </c>
    </row>
    <row r="121" spans="1:68" ht="15" customHeight="1" x14ac:dyDescent="0.25">
      <c r="A121" s="4">
        <v>60</v>
      </c>
      <c r="B121" s="4" t="s">
        <v>662</v>
      </c>
      <c r="C121" s="4">
        <v>3</v>
      </c>
      <c r="D121" s="4" t="s">
        <v>1769</v>
      </c>
      <c r="E121" s="4">
        <v>8</v>
      </c>
      <c r="F121" s="6" t="str">
        <f ca="1">Master_List!$AW$1</f>
        <v>PERPUSTAKAAN PUSAT</v>
      </c>
      <c r="G121" s="27" t="str">
        <f ca="1">Master_List!$AW$2</f>
        <v>09:30 PM</v>
      </c>
      <c r="H121" s="32" t="str">
        <f ca="1">Master_List!$AW$3</f>
        <v>20/07/2026</v>
      </c>
      <c r="I121" s="28" t="str">
        <f ca="1">Master_List!$AW$4</f>
        <v>28.5</v>
      </c>
      <c r="J121" s="6" t="str">
        <f ca="1">Master_List!$AW$5</f>
        <v>65</v>
      </c>
      <c r="K121" s="6" t="s">
        <v>591</v>
      </c>
      <c r="L121" s="22"/>
      <c r="M121" s="25"/>
      <c r="N121" s="25"/>
      <c r="O121" s="25"/>
      <c r="P121" s="25"/>
      <c r="Q121" s="25"/>
      <c r="R121" s="25"/>
      <c r="S121" s="25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6"/>
      <c r="BE121" s="6"/>
      <c r="BF121" s="6"/>
      <c r="BG121" s="6"/>
      <c r="BH121" s="6"/>
      <c r="BL121" s="4" t="s">
        <v>1744</v>
      </c>
      <c r="BM121" s="4" t="s">
        <v>1810</v>
      </c>
      <c r="BN121" s="4" t="s">
        <v>1748</v>
      </c>
      <c r="BO121" s="4" t="str">
        <f t="shared" si="1"/>
        <v>C:\Users\aremi\Desktop\REPORT CBM\PO TIANU JB\03. Raw Material\40. 10052026 SSU MEDINI SIGNATURE 33KV (VI)\IR</v>
      </c>
      <c r="BP121" t="s">
        <v>678</v>
      </c>
    </row>
    <row r="122" spans="1:68" ht="15" customHeight="1" x14ac:dyDescent="0.25">
      <c r="A122" s="4">
        <v>61</v>
      </c>
      <c r="B122" s="4" t="s">
        <v>679</v>
      </c>
      <c r="C122" s="4">
        <v>3</v>
      </c>
      <c r="D122" s="4" t="s">
        <v>1760</v>
      </c>
      <c r="E122" s="4">
        <v>1</v>
      </c>
      <c r="F122" s="6" t="str">
        <f ca="1">Master_List!$AW$1</f>
        <v>PERPUSTAKAAN PUSAT</v>
      </c>
      <c r="G122" s="27" t="str">
        <f ca="1">Master_List!$AW$2</f>
        <v>09:30 PM</v>
      </c>
      <c r="H122" s="32" t="str">
        <f ca="1">Master_List!$AW$3</f>
        <v>20/07/2026</v>
      </c>
      <c r="I122" s="28" t="str">
        <f ca="1">Master_List!$AW$4</f>
        <v>28.5</v>
      </c>
      <c r="J122" s="6" t="str">
        <f ca="1">Master_List!$AW$5</f>
        <v>65</v>
      </c>
      <c r="K122" s="6" t="s">
        <v>570</v>
      </c>
      <c r="L122" s="22"/>
      <c r="M122" s="25"/>
      <c r="N122" s="25"/>
      <c r="O122" s="25"/>
      <c r="P122" s="25"/>
      <c r="Q122" s="25"/>
      <c r="R122" s="25"/>
      <c r="S122" s="25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6"/>
      <c r="BE122" s="6"/>
      <c r="BF122" s="6"/>
      <c r="BG122" s="6"/>
      <c r="BH122" s="6"/>
      <c r="BL122" s="4" t="s">
        <v>1744</v>
      </c>
      <c r="BM122" s="4" t="s">
        <v>1811</v>
      </c>
      <c r="BN122" s="4" t="s">
        <v>1746</v>
      </c>
      <c r="BO122" s="4" t="str">
        <f t="shared" si="1"/>
        <v>C:\Users\aremi\Desktop\REPORT CBM\PO TIANU JB\03. Raw Material\40. 10052026 SSU MEDINI SIGNATURE 33KV (VI)\IR</v>
      </c>
      <c r="BP122" t="s">
        <v>680</v>
      </c>
    </row>
    <row r="123" spans="1:68" ht="15" customHeight="1" x14ac:dyDescent="0.25">
      <c r="A123" s="4">
        <v>61</v>
      </c>
      <c r="B123" s="4" t="s">
        <v>679</v>
      </c>
      <c r="C123" s="4">
        <v>3</v>
      </c>
      <c r="D123" s="4" t="s">
        <v>1760</v>
      </c>
      <c r="E123" s="4">
        <v>1</v>
      </c>
      <c r="F123" s="6" t="str">
        <f ca="1">Master_List!$AW$1</f>
        <v>PERPUSTAKAAN PUSAT</v>
      </c>
      <c r="G123" s="27" t="str">
        <f ca="1">Master_List!$AW$2</f>
        <v>09:30 PM</v>
      </c>
      <c r="H123" s="32" t="str">
        <f ca="1">Master_List!$AW$3</f>
        <v>20/07/2026</v>
      </c>
      <c r="I123" s="28" t="str">
        <f ca="1">Master_List!$AW$4</f>
        <v>28.5</v>
      </c>
      <c r="J123" s="6" t="str">
        <f ca="1">Master_List!$AW$5</f>
        <v>65</v>
      </c>
      <c r="K123" s="6" t="s">
        <v>570</v>
      </c>
      <c r="L123" s="22"/>
      <c r="M123" s="25"/>
      <c r="N123" s="25"/>
      <c r="O123" s="25"/>
      <c r="P123" s="25"/>
      <c r="Q123" s="25"/>
      <c r="R123" s="25"/>
      <c r="S123" s="25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6"/>
      <c r="BE123" s="6"/>
      <c r="BF123" s="6"/>
      <c r="BG123" s="6"/>
      <c r="BH123" s="6"/>
      <c r="BL123" s="4" t="s">
        <v>1744</v>
      </c>
      <c r="BM123" s="4" t="s">
        <v>1811</v>
      </c>
      <c r="BN123" s="4" t="s">
        <v>1748</v>
      </c>
      <c r="BO123" s="4" t="str">
        <f t="shared" si="1"/>
        <v>C:\Users\aremi\Desktop\REPORT CBM\PO TIANU JB\03. Raw Material\40. 10052026 SSU MEDINI SIGNATURE 33KV (VI)\IR</v>
      </c>
      <c r="BP123" t="s">
        <v>681</v>
      </c>
    </row>
    <row r="124" spans="1:68" ht="15" customHeight="1" x14ac:dyDescent="0.25">
      <c r="A124" s="4">
        <v>62</v>
      </c>
      <c r="B124" s="4" t="s">
        <v>679</v>
      </c>
      <c r="C124" s="4">
        <v>3</v>
      </c>
      <c r="D124" s="4" t="s">
        <v>1760</v>
      </c>
      <c r="E124" s="4">
        <v>2</v>
      </c>
      <c r="F124" s="6" t="str">
        <f ca="1">Master_List!$AW$1</f>
        <v>PERPUSTAKAAN PUSAT</v>
      </c>
      <c r="G124" s="27" t="str">
        <f ca="1">Master_List!$AW$2</f>
        <v>09:30 PM</v>
      </c>
      <c r="H124" s="32" t="str">
        <f ca="1">Master_List!$AW$3</f>
        <v>20/07/2026</v>
      </c>
      <c r="I124" s="28" t="str">
        <f ca="1">Master_List!$AW$4</f>
        <v>28.5</v>
      </c>
      <c r="J124" s="6" t="str">
        <f ca="1">Master_List!$AW$5</f>
        <v>65</v>
      </c>
      <c r="K124" s="6" t="s">
        <v>573</v>
      </c>
      <c r="L124" s="22"/>
      <c r="M124" s="25"/>
      <c r="N124" s="25"/>
      <c r="O124" s="25"/>
      <c r="P124" s="25"/>
      <c r="Q124" s="25"/>
      <c r="R124" s="25"/>
      <c r="S124" s="25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6"/>
      <c r="BE124" s="6"/>
      <c r="BF124" s="6"/>
      <c r="BG124" s="6"/>
      <c r="BH124" s="6"/>
      <c r="BL124" s="4" t="s">
        <v>1744</v>
      </c>
      <c r="BM124" s="4" t="s">
        <v>1812</v>
      </c>
      <c r="BN124" s="4" t="s">
        <v>1746</v>
      </c>
      <c r="BO124" s="4" t="str">
        <f t="shared" si="1"/>
        <v>C:\Users\aremi\Desktop\REPORT CBM\PO TIANU JB\03. Raw Material\40. 10052026 SSU MEDINI SIGNATURE 33KV (VI)\IR</v>
      </c>
      <c r="BP124" t="s">
        <v>682</v>
      </c>
    </row>
    <row r="125" spans="1:68" ht="15" customHeight="1" x14ac:dyDescent="0.25">
      <c r="A125" s="4">
        <v>62</v>
      </c>
      <c r="B125" s="4" t="s">
        <v>679</v>
      </c>
      <c r="C125" s="4">
        <v>3</v>
      </c>
      <c r="D125" s="4" t="s">
        <v>1760</v>
      </c>
      <c r="E125" s="4">
        <v>2</v>
      </c>
      <c r="F125" s="6" t="str">
        <f ca="1">Master_List!$AW$1</f>
        <v>PERPUSTAKAAN PUSAT</v>
      </c>
      <c r="G125" s="27" t="str">
        <f ca="1">Master_List!$AW$2</f>
        <v>09:30 PM</v>
      </c>
      <c r="H125" s="32" t="str">
        <f ca="1">Master_List!$AW$3</f>
        <v>20/07/2026</v>
      </c>
      <c r="I125" s="28" t="str">
        <f ca="1">Master_List!$AW$4</f>
        <v>28.5</v>
      </c>
      <c r="J125" s="6" t="str">
        <f ca="1">Master_List!$AW$5</f>
        <v>65</v>
      </c>
      <c r="K125" s="6" t="s">
        <v>573</v>
      </c>
      <c r="L125" s="22"/>
      <c r="M125" s="25"/>
      <c r="N125" s="25"/>
      <c r="O125" s="25"/>
      <c r="P125" s="25"/>
      <c r="Q125" s="25"/>
      <c r="R125" s="25"/>
      <c r="S125" s="25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6"/>
      <c r="BE125" s="6"/>
      <c r="BF125" s="6"/>
      <c r="BG125" s="6"/>
      <c r="BH125" s="6"/>
      <c r="BL125" s="4" t="s">
        <v>1744</v>
      </c>
      <c r="BM125" s="4" t="s">
        <v>1812</v>
      </c>
      <c r="BN125" s="4" t="s">
        <v>1748</v>
      </c>
      <c r="BO125" s="4" t="str">
        <f t="shared" si="1"/>
        <v>C:\Users\aremi\Desktop\REPORT CBM\PO TIANU JB\03. Raw Material\40. 10052026 SSU MEDINI SIGNATURE 33KV (VI)\IR</v>
      </c>
      <c r="BP125" t="s">
        <v>683</v>
      </c>
    </row>
    <row r="126" spans="1:68" ht="15" customHeight="1" x14ac:dyDescent="0.25">
      <c r="A126" s="4">
        <v>63</v>
      </c>
      <c r="B126" s="4" t="s">
        <v>679</v>
      </c>
      <c r="C126" s="4">
        <v>3</v>
      </c>
      <c r="D126" s="4" t="s">
        <v>1760</v>
      </c>
      <c r="E126" s="4">
        <v>3</v>
      </c>
      <c r="F126" s="6" t="str">
        <f ca="1">Master_List!$AW$1</f>
        <v>PERPUSTAKAAN PUSAT</v>
      </c>
      <c r="G126" s="27" t="str">
        <f ca="1">Master_List!$AW$2</f>
        <v>09:30 PM</v>
      </c>
      <c r="H126" s="32" t="str">
        <f ca="1">Master_List!$AW$3</f>
        <v>20/07/2026</v>
      </c>
      <c r="I126" s="28" t="str">
        <f ca="1">Master_List!$AW$4</f>
        <v>28.5</v>
      </c>
      <c r="J126" s="6" t="str">
        <f ca="1">Master_List!$AW$5</f>
        <v>65</v>
      </c>
      <c r="K126" s="6" t="s">
        <v>576</v>
      </c>
      <c r="L126" s="22"/>
      <c r="M126" s="25"/>
      <c r="N126" s="25"/>
      <c r="O126" s="25"/>
      <c r="P126" s="25"/>
      <c r="Q126" s="25"/>
      <c r="R126" s="25"/>
      <c r="S126" s="25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6"/>
      <c r="BE126" s="6"/>
      <c r="BF126" s="6"/>
      <c r="BG126" s="6"/>
      <c r="BH126" s="6"/>
      <c r="BL126" s="4" t="s">
        <v>1744</v>
      </c>
      <c r="BM126" s="4" t="s">
        <v>1813</v>
      </c>
      <c r="BN126" s="4" t="s">
        <v>1746</v>
      </c>
      <c r="BO126" s="4" t="str">
        <f t="shared" si="1"/>
        <v>C:\Users\aremi\Desktop\REPORT CBM\PO TIANU JB\03. Raw Material\40. 10052026 SSU MEDINI SIGNATURE 33KV (VI)\IR</v>
      </c>
      <c r="BP126" t="s">
        <v>684</v>
      </c>
    </row>
    <row r="127" spans="1:68" ht="15" customHeight="1" x14ac:dyDescent="0.25">
      <c r="A127" s="4">
        <v>63</v>
      </c>
      <c r="B127" s="4" t="s">
        <v>679</v>
      </c>
      <c r="C127" s="4">
        <v>3</v>
      </c>
      <c r="D127" s="4" t="s">
        <v>1760</v>
      </c>
      <c r="E127" s="4">
        <v>3</v>
      </c>
      <c r="F127" s="6" t="str">
        <f ca="1">Master_List!$AW$1</f>
        <v>PERPUSTAKAAN PUSAT</v>
      </c>
      <c r="G127" s="27" t="str">
        <f ca="1">Master_List!$AW$2</f>
        <v>09:30 PM</v>
      </c>
      <c r="H127" s="32" t="str">
        <f ca="1">Master_List!$AW$3</f>
        <v>20/07/2026</v>
      </c>
      <c r="I127" s="28" t="str">
        <f ca="1">Master_List!$AW$4</f>
        <v>28.5</v>
      </c>
      <c r="J127" s="6" t="str">
        <f ca="1">Master_List!$AW$5</f>
        <v>65</v>
      </c>
      <c r="K127" s="6" t="s">
        <v>576</v>
      </c>
      <c r="L127" s="22"/>
      <c r="M127" s="25"/>
      <c r="N127" s="25"/>
      <c r="O127" s="25"/>
      <c r="P127" s="25"/>
      <c r="Q127" s="25"/>
      <c r="R127" s="25"/>
      <c r="S127" s="25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6"/>
      <c r="BE127" s="6"/>
      <c r="BF127" s="6"/>
      <c r="BG127" s="6"/>
      <c r="BH127" s="6"/>
      <c r="BL127" s="4" t="s">
        <v>1744</v>
      </c>
      <c r="BM127" s="4" t="s">
        <v>1813</v>
      </c>
      <c r="BN127" s="4" t="s">
        <v>1748</v>
      </c>
      <c r="BO127" s="4" t="str">
        <f t="shared" si="1"/>
        <v>C:\Users\aremi\Desktop\REPORT CBM\PO TIANU JB\03. Raw Material\40. 10052026 SSU MEDINI SIGNATURE 33KV (VI)\IR</v>
      </c>
      <c r="BP127" t="s">
        <v>685</v>
      </c>
    </row>
    <row r="128" spans="1:68" ht="15" customHeight="1" x14ac:dyDescent="0.25">
      <c r="A128" s="4">
        <v>64</v>
      </c>
      <c r="B128" s="4" t="s">
        <v>679</v>
      </c>
      <c r="C128" s="4">
        <v>3</v>
      </c>
      <c r="D128" s="4" t="s">
        <v>1760</v>
      </c>
      <c r="E128" s="4">
        <v>4</v>
      </c>
      <c r="F128" s="6" t="str">
        <f ca="1">Master_List!$AW$1</f>
        <v>PERPUSTAKAAN PUSAT</v>
      </c>
      <c r="G128" s="27" t="str">
        <f ca="1">Master_List!$AW$2</f>
        <v>09:30 PM</v>
      </c>
      <c r="H128" s="32" t="str">
        <f ca="1">Master_List!$AW$3</f>
        <v>20/07/2026</v>
      </c>
      <c r="I128" s="28" t="str">
        <f ca="1">Master_List!$AW$4</f>
        <v>28.5</v>
      </c>
      <c r="J128" s="6" t="str">
        <f ca="1">Master_List!$AW$5</f>
        <v>65</v>
      </c>
      <c r="K128" s="6" t="s">
        <v>579</v>
      </c>
      <c r="L128" s="22"/>
      <c r="M128" s="25"/>
      <c r="N128" s="25"/>
      <c r="O128" s="25"/>
      <c r="P128" s="25"/>
      <c r="Q128" s="25"/>
      <c r="R128" s="25"/>
      <c r="S128" s="25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6"/>
      <c r="BE128" s="6"/>
      <c r="BF128" s="6"/>
      <c r="BG128" s="6"/>
      <c r="BH128" s="6"/>
      <c r="BL128" s="4" t="s">
        <v>1744</v>
      </c>
      <c r="BM128" s="4" t="s">
        <v>1814</v>
      </c>
      <c r="BN128" s="4" t="s">
        <v>1746</v>
      </c>
      <c r="BO128" s="4" t="str">
        <f t="shared" si="1"/>
        <v>C:\Users\aremi\Desktop\REPORT CBM\PO TIANU JB\03. Raw Material\40. 10052026 SSU MEDINI SIGNATURE 33KV (VI)\IR</v>
      </c>
      <c r="BP128" t="s">
        <v>686</v>
      </c>
    </row>
    <row r="129" spans="1:68" ht="15" customHeight="1" x14ac:dyDescent="0.25">
      <c r="A129" s="4">
        <v>64</v>
      </c>
      <c r="B129" s="4" t="s">
        <v>679</v>
      </c>
      <c r="C129" s="4">
        <v>3</v>
      </c>
      <c r="D129" s="4" t="s">
        <v>1760</v>
      </c>
      <c r="E129" s="4">
        <v>4</v>
      </c>
      <c r="F129" s="6" t="str">
        <f ca="1">Master_List!$AW$1</f>
        <v>PERPUSTAKAAN PUSAT</v>
      </c>
      <c r="G129" s="27" t="str">
        <f ca="1">Master_List!$AW$2</f>
        <v>09:30 PM</v>
      </c>
      <c r="H129" s="32" t="str">
        <f ca="1">Master_List!$AW$3</f>
        <v>20/07/2026</v>
      </c>
      <c r="I129" s="28" t="str">
        <f ca="1">Master_List!$AW$4</f>
        <v>28.5</v>
      </c>
      <c r="J129" s="6" t="str">
        <f ca="1">Master_List!$AW$5</f>
        <v>65</v>
      </c>
      <c r="K129" s="6" t="s">
        <v>579</v>
      </c>
      <c r="L129" s="22"/>
      <c r="M129" s="25"/>
      <c r="N129" s="25"/>
      <c r="O129" s="25"/>
      <c r="P129" s="25"/>
      <c r="Q129" s="25"/>
      <c r="R129" s="25"/>
      <c r="S129" s="25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6"/>
      <c r="BE129" s="6"/>
      <c r="BF129" s="6"/>
      <c r="BG129" s="6"/>
      <c r="BH129" s="6"/>
      <c r="BL129" s="4" t="s">
        <v>1744</v>
      </c>
      <c r="BM129" s="4" t="s">
        <v>1814</v>
      </c>
      <c r="BN129" s="4" t="s">
        <v>1748</v>
      </c>
      <c r="BO129" s="4" t="str">
        <f t="shared" si="1"/>
        <v>C:\Users\aremi\Desktop\REPORT CBM\PO TIANU JB\03. Raw Material\40. 10052026 SSU MEDINI SIGNATURE 33KV (VI)\IR</v>
      </c>
      <c r="BP129" t="s">
        <v>687</v>
      </c>
    </row>
    <row r="130" spans="1:68" ht="15" customHeight="1" x14ac:dyDescent="0.25">
      <c r="A130" s="4">
        <v>65</v>
      </c>
      <c r="B130" s="4" t="s">
        <v>679</v>
      </c>
      <c r="C130" s="4">
        <v>3</v>
      </c>
      <c r="D130" s="4" t="s">
        <v>1760</v>
      </c>
      <c r="E130" s="4">
        <v>5</v>
      </c>
      <c r="F130" s="6" t="str">
        <f ca="1">Master_List!$AW$1</f>
        <v>PERPUSTAKAAN PUSAT</v>
      </c>
      <c r="G130" s="27" t="str">
        <f ca="1">Master_List!$AW$2</f>
        <v>09:30 PM</v>
      </c>
      <c r="H130" s="32" t="str">
        <f ca="1">Master_List!$AW$3</f>
        <v>20/07/2026</v>
      </c>
      <c r="I130" s="28" t="str">
        <f ca="1">Master_List!$AW$4</f>
        <v>28.5</v>
      </c>
      <c r="J130" s="6" t="str">
        <f ca="1">Master_List!$AW$5</f>
        <v>65</v>
      </c>
      <c r="K130" s="6" t="s">
        <v>582</v>
      </c>
      <c r="L130" s="22"/>
      <c r="M130" s="25"/>
      <c r="N130" s="25"/>
      <c r="O130" s="25"/>
      <c r="P130" s="25"/>
      <c r="Q130" s="25"/>
      <c r="R130" s="25"/>
      <c r="S130" s="25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6"/>
      <c r="BE130" s="6"/>
      <c r="BF130" s="6"/>
      <c r="BG130" s="6"/>
      <c r="BH130" s="6"/>
      <c r="BL130" s="4" t="s">
        <v>1744</v>
      </c>
      <c r="BM130" s="4" t="s">
        <v>1815</v>
      </c>
      <c r="BN130" s="4" t="s">
        <v>1746</v>
      </c>
      <c r="BO130" s="4" t="str">
        <f t="shared" si="1"/>
        <v>C:\Users\aremi\Desktop\REPORT CBM\PO TIANU JB\03. Raw Material\40. 10052026 SSU MEDINI SIGNATURE 33KV (VI)\IR</v>
      </c>
      <c r="BP130" t="s">
        <v>688</v>
      </c>
    </row>
    <row r="131" spans="1:68" ht="15" customHeight="1" x14ac:dyDescent="0.25">
      <c r="A131" s="4">
        <v>65</v>
      </c>
      <c r="B131" s="4" t="s">
        <v>679</v>
      </c>
      <c r="C131" s="4">
        <v>3</v>
      </c>
      <c r="D131" s="4" t="s">
        <v>1760</v>
      </c>
      <c r="E131" s="4">
        <v>5</v>
      </c>
      <c r="F131" s="6" t="str">
        <f ca="1">Master_List!$AW$1</f>
        <v>PERPUSTAKAAN PUSAT</v>
      </c>
      <c r="G131" s="27" t="str">
        <f ca="1">Master_List!$AW$2</f>
        <v>09:30 PM</v>
      </c>
      <c r="H131" s="32" t="str">
        <f ca="1">Master_List!$AW$3</f>
        <v>20/07/2026</v>
      </c>
      <c r="I131" s="28" t="str">
        <f ca="1">Master_List!$AW$4</f>
        <v>28.5</v>
      </c>
      <c r="J131" s="6" t="str">
        <f ca="1">Master_List!$AW$5</f>
        <v>65</v>
      </c>
      <c r="K131" s="6" t="s">
        <v>582</v>
      </c>
      <c r="L131" s="22"/>
      <c r="M131" s="25"/>
      <c r="N131" s="25"/>
      <c r="O131" s="25"/>
      <c r="P131" s="25"/>
      <c r="Q131" s="25"/>
      <c r="R131" s="25"/>
      <c r="S131" s="25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6"/>
      <c r="BE131" s="6"/>
      <c r="BF131" s="6"/>
      <c r="BG131" s="6"/>
      <c r="BH131" s="6"/>
      <c r="BL131" s="4" t="s">
        <v>1744</v>
      </c>
      <c r="BM131" s="4" t="s">
        <v>1815</v>
      </c>
      <c r="BN131" s="4" t="s">
        <v>1748</v>
      </c>
      <c r="BO131" s="4" t="str">
        <f t="shared" ref="BO131:BO194" si="2">BO130</f>
        <v>C:\Users\aremi\Desktop\REPORT CBM\PO TIANU JB\03. Raw Material\40. 10052026 SSU MEDINI SIGNATURE 33KV (VI)\IR</v>
      </c>
      <c r="BP131" t="s">
        <v>689</v>
      </c>
    </row>
    <row r="132" spans="1:68" ht="15" customHeight="1" x14ac:dyDescent="0.25">
      <c r="A132" s="4">
        <v>66</v>
      </c>
      <c r="B132" s="4" t="s">
        <v>679</v>
      </c>
      <c r="C132" s="4">
        <v>3</v>
      </c>
      <c r="D132" s="4" t="s">
        <v>1760</v>
      </c>
      <c r="E132" s="4">
        <v>6</v>
      </c>
      <c r="F132" s="6" t="str">
        <f ca="1">Master_List!$AW$1</f>
        <v>PERPUSTAKAAN PUSAT</v>
      </c>
      <c r="G132" s="27" t="str">
        <f ca="1">Master_List!$AW$2</f>
        <v>09:30 PM</v>
      </c>
      <c r="H132" s="32" t="str">
        <f ca="1">Master_List!$AW$3</f>
        <v>20/07/2026</v>
      </c>
      <c r="I132" s="28" t="str">
        <f ca="1">Master_List!$AW$4</f>
        <v>28.5</v>
      </c>
      <c r="J132" s="6" t="str">
        <f ca="1">Master_List!$AW$5</f>
        <v>65</v>
      </c>
      <c r="K132" s="6" t="s">
        <v>585</v>
      </c>
      <c r="L132" s="22"/>
      <c r="M132" s="25"/>
      <c r="N132" s="25"/>
      <c r="O132" s="25"/>
      <c r="P132" s="25"/>
      <c r="Q132" s="25"/>
      <c r="R132" s="25"/>
      <c r="S132" s="25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6"/>
      <c r="BE132" s="6"/>
      <c r="BF132" s="6"/>
      <c r="BG132" s="6"/>
      <c r="BH132" s="6"/>
      <c r="BL132" s="4" t="s">
        <v>1744</v>
      </c>
      <c r="BM132" s="4" t="s">
        <v>1816</v>
      </c>
      <c r="BN132" s="4" t="s">
        <v>1746</v>
      </c>
      <c r="BO132" s="4" t="str">
        <f t="shared" si="2"/>
        <v>C:\Users\aremi\Desktop\REPORT CBM\PO TIANU JB\03. Raw Material\40. 10052026 SSU MEDINI SIGNATURE 33KV (VI)\IR</v>
      </c>
      <c r="BP132" t="s">
        <v>690</v>
      </c>
    </row>
    <row r="133" spans="1:68" ht="15" customHeight="1" x14ac:dyDescent="0.25">
      <c r="A133" s="4">
        <v>66</v>
      </c>
      <c r="B133" s="4" t="s">
        <v>679</v>
      </c>
      <c r="C133" s="4">
        <v>3</v>
      </c>
      <c r="D133" s="4" t="s">
        <v>1760</v>
      </c>
      <c r="E133" s="4">
        <v>6</v>
      </c>
      <c r="F133" s="6" t="str">
        <f ca="1">Master_List!$AW$1</f>
        <v>PERPUSTAKAAN PUSAT</v>
      </c>
      <c r="G133" s="27" t="str">
        <f ca="1">Master_List!$AW$2</f>
        <v>09:30 PM</v>
      </c>
      <c r="H133" s="32" t="str">
        <f ca="1">Master_List!$AW$3</f>
        <v>20/07/2026</v>
      </c>
      <c r="I133" s="28" t="str">
        <f ca="1">Master_List!$AW$4</f>
        <v>28.5</v>
      </c>
      <c r="J133" s="6" t="str">
        <f ca="1">Master_List!$AW$5</f>
        <v>65</v>
      </c>
      <c r="K133" s="6" t="s">
        <v>585</v>
      </c>
      <c r="L133" s="22"/>
      <c r="M133" s="25"/>
      <c r="N133" s="25"/>
      <c r="O133" s="25"/>
      <c r="P133" s="25"/>
      <c r="Q133" s="25"/>
      <c r="R133" s="25"/>
      <c r="S133" s="25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6"/>
      <c r="BE133" s="6"/>
      <c r="BF133" s="6"/>
      <c r="BG133" s="6"/>
      <c r="BH133" s="6"/>
      <c r="BL133" s="4" t="s">
        <v>1744</v>
      </c>
      <c r="BM133" s="4" t="s">
        <v>1816</v>
      </c>
      <c r="BN133" s="4" t="s">
        <v>1748</v>
      </c>
      <c r="BO133" s="4" t="str">
        <f t="shared" si="2"/>
        <v>C:\Users\aremi\Desktop\REPORT CBM\PO TIANU JB\03. Raw Material\40. 10052026 SSU MEDINI SIGNATURE 33KV (VI)\IR</v>
      </c>
      <c r="BP133" t="s">
        <v>691</v>
      </c>
    </row>
    <row r="134" spans="1:68" ht="15" customHeight="1" x14ac:dyDescent="0.25">
      <c r="A134" s="4">
        <v>67</v>
      </c>
      <c r="B134" s="4" t="s">
        <v>679</v>
      </c>
      <c r="C134" s="4">
        <v>3</v>
      </c>
      <c r="D134" s="4" t="s">
        <v>1767</v>
      </c>
      <c r="E134" s="4">
        <v>7</v>
      </c>
      <c r="F134" s="6" t="str">
        <f ca="1">Master_List!$AW$1</f>
        <v>PERPUSTAKAAN PUSAT</v>
      </c>
      <c r="G134" s="27" t="str">
        <f ca="1">Master_List!$AW$2</f>
        <v>09:30 PM</v>
      </c>
      <c r="H134" s="32" t="str">
        <f ca="1">Master_List!$AW$3</f>
        <v>20/07/2026</v>
      </c>
      <c r="I134" s="28" t="str">
        <f ca="1">Master_List!$AW$4</f>
        <v>28.5</v>
      </c>
      <c r="J134" s="6" t="str">
        <f ca="1">Master_List!$AW$5</f>
        <v>65</v>
      </c>
      <c r="K134" s="6" t="s">
        <v>588</v>
      </c>
      <c r="L134" s="22"/>
      <c r="M134" s="25"/>
      <c r="N134" s="25"/>
      <c r="O134" s="25"/>
      <c r="P134" s="25"/>
      <c r="Q134" s="25"/>
      <c r="R134" s="25"/>
      <c r="S134" s="25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6"/>
      <c r="BE134" s="6"/>
      <c r="BF134" s="6"/>
      <c r="BG134" s="6"/>
      <c r="BH134" s="6"/>
      <c r="BL134" s="4" t="s">
        <v>1744</v>
      </c>
      <c r="BM134" s="4" t="s">
        <v>1817</v>
      </c>
      <c r="BN134" s="4" t="s">
        <v>1746</v>
      </c>
      <c r="BO134" s="4" t="str">
        <f t="shared" si="2"/>
        <v>C:\Users\aremi\Desktop\REPORT CBM\PO TIANU JB\03. Raw Material\40. 10052026 SSU MEDINI SIGNATURE 33KV (VI)\IR</v>
      </c>
      <c r="BP134" t="s">
        <v>692</v>
      </c>
    </row>
    <row r="135" spans="1:68" ht="15" customHeight="1" x14ac:dyDescent="0.25">
      <c r="A135" s="4">
        <v>67</v>
      </c>
      <c r="B135" s="4" t="s">
        <v>679</v>
      </c>
      <c r="C135" s="4">
        <v>3</v>
      </c>
      <c r="D135" s="4" t="s">
        <v>1767</v>
      </c>
      <c r="E135" s="4">
        <v>7</v>
      </c>
      <c r="F135" s="6" t="str">
        <f ca="1">Master_List!$AW$1</f>
        <v>PERPUSTAKAAN PUSAT</v>
      </c>
      <c r="G135" s="27" t="str">
        <f ca="1">Master_List!$AW$2</f>
        <v>09:30 PM</v>
      </c>
      <c r="H135" s="32" t="str">
        <f ca="1">Master_List!$AW$3</f>
        <v>20/07/2026</v>
      </c>
      <c r="I135" s="28" t="str">
        <f ca="1">Master_List!$AW$4</f>
        <v>28.5</v>
      </c>
      <c r="J135" s="6" t="str">
        <f ca="1">Master_List!$AW$5</f>
        <v>65</v>
      </c>
      <c r="K135" s="6" t="s">
        <v>588</v>
      </c>
      <c r="L135" s="22"/>
      <c r="M135" s="25"/>
      <c r="N135" s="25"/>
      <c r="O135" s="25"/>
      <c r="P135" s="25"/>
      <c r="Q135" s="25"/>
      <c r="R135" s="25"/>
      <c r="S135" s="25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6"/>
      <c r="BE135" s="6"/>
      <c r="BF135" s="6"/>
      <c r="BG135" s="6"/>
      <c r="BH135" s="6"/>
      <c r="BL135" s="4" t="s">
        <v>1744</v>
      </c>
      <c r="BM135" s="4" t="s">
        <v>1817</v>
      </c>
      <c r="BN135" s="4" t="s">
        <v>1748</v>
      </c>
      <c r="BO135" s="4" t="str">
        <f t="shared" si="2"/>
        <v>C:\Users\aremi\Desktop\REPORT CBM\PO TIANU JB\03. Raw Material\40. 10052026 SSU MEDINI SIGNATURE 33KV (VI)\IR</v>
      </c>
      <c r="BP135" t="s">
        <v>693</v>
      </c>
    </row>
    <row r="136" spans="1:68" ht="15" customHeight="1" x14ac:dyDescent="0.25">
      <c r="A136" s="4">
        <v>68</v>
      </c>
      <c r="B136" s="4" t="s">
        <v>679</v>
      </c>
      <c r="C136" s="4">
        <v>3</v>
      </c>
      <c r="D136" s="4" t="s">
        <v>1769</v>
      </c>
      <c r="E136" s="4">
        <v>8</v>
      </c>
      <c r="F136" s="6" t="str">
        <f ca="1">Master_List!$AW$1</f>
        <v>PERPUSTAKAAN PUSAT</v>
      </c>
      <c r="G136" s="27" t="str">
        <f ca="1">Master_List!$AW$2</f>
        <v>09:30 PM</v>
      </c>
      <c r="H136" s="32" t="str">
        <f ca="1">Master_List!$AW$3</f>
        <v>20/07/2026</v>
      </c>
      <c r="I136" s="28" t="str">
        <f ca="1">Master_List!$AW$4</f>
        <v>28.5</v>
      </c>
      <c r="J136" s="6" t="str">
        <f ca="1">Master_List!$AW$5</f>
        <v>65</v>
      </c>
      <c r="K136" s="6" t="s">
        <v>591</v>
      </c>
      <c r="L136" s="22"/>
      <c r="M136" s="25"/>
      <c r="N136" s="25"/>
      <c r="O136" s="25"/>
      <c r="P136" s="25"/>
      <c r="Q136" s="25"/>
      <c r="R136" s="25"/>
      <c r="S136" s="25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6"/>
      <c r="BE136" s="6"/>
      <c r="BF136" s="6"/>
      <c r="BG136" s="6"/>
      <c r="BH136" s="6"/>
      <c r="BL136" s="4" t="s">
        <v>1744</v>
      </c>
      <c r="BM136" s="4" t="s">
        <v>1818</v>
      </c>
      <c r="BN136" s="4" t="s">
        <v>1746</v>
      </c>
      <c r="BO136" s="4" t="str">
        <f t="shared" si="2"/>
        <v>C:\Users\aremi\Desktop\REPORT CBM\PO TIANU JB\03. Raw Material\40. 10052026 SSU MEDINI SIGNATURE 33KV (VI)\IR</v>
      </c>
      <c r="BP136" t="s">
        <v>694</v>
      </c>
    </row>
    <row r="137" spans="1:68" ht="15" customHeight="1" x14ac:dyDescent="0.25">
      <c r="A137" s="4">
        <v>68</v>
      </c>
      <c r="B137" s="4" t="s">
        <v>679</v>
      </c>
      <c r="C137" s="4">
        <v>3</v>
      </c>
      <c r="D137" s="4" t="s">
        <v>1769</v>
      </c>
      <c r="E137" s="4">
        <v>8</v>
      </c>
      <c r="F137" s="6" t="str">
        <f ca="1">Master_List!$AW$1</f>
        <v>PERPUSTAKAAN PUSAT</v>
      </c>
      <c r="G137" s="27" t="str">
        <f ca="1">Master_List!$AW$2</f>
        <v>09:30 PM</v>
      </c>
      <c r="H137" s="32" t="str">
        <f ca="1">Master_List!$AW$3</f>
        <v>20/07/2026</v>
      </c>
      <c r="I137" s="28" t="str">
        <f ca="1">Master_List!$AW$4</f>
        <v>28.5</v>
      </c>
      <c r="J137" s="6" t="str">
        <f ca="1">Master_List!$AW$5</f>
        <v>65</v>
      </c>
      <c r="K137" s="6" t="s">
        <v>591</v>
      </c>
      <c r="L137" s="22"/>
      <c r="M137" s="25"/>
      <c r="N137" s="25"/>
      <c r="O137" s="25"/>
      <c r="P137" s="25"/>
      <c r="Q137" s="25"/>
      <c r="R137" s="25"/>
      <c r="S137" s="25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6"/>
      <c r="BE137" s="6"/>
      <c r="BF137" s="6"/>
      <c r="BG137" s="6"/>
      <c r="BH137" s="6"/>
      <c r="BL137" s="4" t="s">
        <v>1744</v>
      </c>
      <c r="BM137" s="4" t="s">
        <v>1818</v>
      </c>
      <c r="BN137" s="4" t="s">
        <v>1748</v>
      </c>
      <c r="BO137" s="4" t="str">
        <f t="shared" si="2"/>
        <v>C:\Users\aremi\Desktop\REPORT CBM\PO TIANU JB\03. Raw Material\40. 10052026 SSU MEDINI SIGNATURE 33KV (VI)\IR</v>
      </c>
      <c r="BP137" t="s">
        <v>695</v>
      </c>
    </row>
    <row r="138" spans="1:68" ht="15" customHeight="1" x14ac:dyDescent="0.25">
      <c r="A138" s="4">
        <v>69</v>
      </c>
      <c r="B138" s="4" t="s">
        <v>696</v>
      </c>
      <c r="C138" s="4">
        <v>3</v>
      </c>
      <c r="D138" s="4" t="s">
        <v>1760</v>
      </c>
      <c r="E138" s="4">
        <v>1</v>
      </c>
      <c r="F138" s="6" t="str">
        <f ca="1">Master_List!$AW$1</f>
        <v>PERPUSTAKAAN PUSAT</v>
      </c>
      <c r="G138" s="27" t="str">
        <f ca="1">Master_List!$AW$2</f>
        <v>09:30 PM</v>
      </c>
      <c r="H138" s="32" t="str">
        <f ca="1">Master_List!$AW$3</f>
        <v>20/07/2026</v>
      </c>
      <c r="I138" s="28" t="str">
        <f ca="1">Master_List!$AW$4</f>
        <v>28.5</v>
      </c>
      <c r="J138" s="6" t="str">
        <f ca="1">Master_List!$AW$5</f>
        <v>65</v>
      </c>
      <c r="K138" s="6" t="s">
        <v>570</v>
      </c>
      <c r="L138" s="22"/>
      <c r="M138" s="25"/>
      <c r="N138" s="25"/>
      <c r="O138" s="25"/>
      <c r="P138" s="25"/>
      <c r="Q138" s="25"/>
      <c r="R138" s="25"/>
      <c r="S138" s="25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6"/>
      <c r="BE138" s="6"/>
      <c r="BF138" s="6"/>
      <c r="BG138" s="6"/>
      <c r="BH138" s="6"/>
      <c r="BL138" s="4" t="s">
        <v>1744</v>
      </c>
      <c r="BM138" s="4" t="s">
        <v>1819</v>
      </c>
      <c r="BN138" s="4" t="s">
        <v>1746</v>
      </c>
      <c r="BO138" s="4" t="str">
        <f t="shared" si="2"/>
        <v>C:\Users\aremi\Desktop\REPORT CBM\PO TIANU JB\03. Raw Material\40. 10052026 SSU MEDINI SIGNATURE 33KV (VI)\IR</v>
      </c>
      <c r="BP138" t="s">
        <v>697</v>
      </c>
    </row>
    <row r="139" spans="1:68" ht="15" customHeight="1" x14ac:dyDescent="0.25">
      <c r="A139" s="4">
        <v>69</v>
      </c>
      <c r="B139" s="4" t="s">
        <v>696</v>
      </c>
      <c r="C139" s="4">
        <v>3</v>
      </c>
      <c r="D139" s="4" t="s">
        <v>1760</v>
      </c>
      <c r="E139" s="4">
        <v>1</v>
      </c>
      <c r="F139" s="6" t="str">
        <f ca="1">Master_List!$AW$1</f>
        <v>PERPUSTAKAAN PUSAT</v>
      </c>
      <c r="G139" s="27" t="str">
        <f ca="1">Master_List!$AW$2</f>
        <v>09:30 PM</v>
      </c>
      <c r="H139" s="32" t="str">
        <f ca="1">Master_List!$AW$3</f>
        <v>20/07/2026</v>
      </c>
      <c r="I139" s="28" t="str">
        <f ca="1">Master_List!$AW$4</f>
        <v>28.5</v>
      </c>
      <c r="J139" s="6" t="str">
        <f ca="1">Master_List!$AW$5</f>
        <v>65</v>
      </c>
      <c r="K139" s="6" t="s">
        <v>570</v>
      </c>
      <c r="L139" s="22"/>
      <c r="M139" s="25"/>
      <c r="N139" s="25"/>
      <c r="O139" s="25"/>
      <c r="P139" s="25"/>
      <c r="Q139" s="25"/>
      <c r="R139" s="25"/>
      <c r="S139" s="25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6"/>
      <c r="BE139" s="6"/>
      <c r="BF139" s="6"/>
      <c r="BG139" s="6"/>
      <c r="BH139" s="6"/>
      <c r="BL139" s="4" t="s">
        <v>1744</v>
      </c>
      <c r="BM139" s="4" t="s">
        <v>1819</v>
      </c>
      <c r="BN139" s="4" t="s">
        <v>1748</v>
      </c>
      <c r="BO139" s="4" t="str">
        <f t="shared" si="2"/>
        <v>C:\Users\aremi\Desktop\REPORT CBM\PO TIANU JB\03. Raw Material\40. 10052026 SSU MEDINI SIGNATURE 33KV (VI)\IR</v>
      </c>
      <c r="BP139" t="s">
        <v>698</v>
      </c>
    </row>
    <row r="140" spans="1:68" ht="15" customHeight="1" x14ac:dyDescent="0.25">
      <c r="A140" s="4">
        <v>70</v>
      </c>
      <c r="B140" s="4" t="s">
        <v>696</v>
      </c>
      <c r="C140" s="4">
        <v>3</v>
      </c>
      <c r="D140" s="4" t="s">
        <v>1760</v>
      </c>
      <c r="E140" s="4">
        <v>2</v>
      </c>
      <c r="F140" s="6" t="str">
        <f ca="1">Master_List!$AW$1</f>
        <v>PERPUSTAKAAN PUSAT</v>
      </c>
      <c r="G140" s="27" t="str">
        <f ca="1">Master_List!$AW$2</f>
        <v>09:30 PM</v>
      </c>
      <c r="H140" s="32" t="str">
        <f ca="1">Master_List!$AW$3</f>
        <v>20/07/2026</v>
      </c>
      <c r="I140" s="28" t="str">
        <f ca="1">Master_List!$AW$4</f>
        <v>28.5</v>
      </c>
      <c r="J140" s="6" t="str">
        <f ca="1">Master_List!$AW$5</f>
        <v>65</v>
      </c>
      <c r="K140" s="6" t="s">
        <v>573</v>
      </c>
      <c r="L140" s="22"/>
      <c r="M140" s="25"/>
      <c r="N140" s="25"/>
      <c r="O140" s="25"/>
      <c r="P140" s="25"/>
      <c r="Q140" s="25"/>
      <c r="R140" s="25"/>
      <c r="S140" s="25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6"/>
      <c r="BE140" s="6"/>
      <c r="BF140" s="6"/>
      <c r="BG140" s="6"/>
      <c r="BH140" s="6"/>
      <c r="BL140" s="4" t="s">
        <v>1744</v>
      </c>
      <c r="BM140" s="4" t="s">
        <v>1820</v>
      </c>
      <c r="BN140" s="4" t="s">
        <v>1746</v>
      </c>
      <c r="BO140" s="4" t="str">
        <f t="shared" si="2"/>
        <v>C:\Users\aremi\Desktop\REPORT CBM\PO TIANU JB\03. Raw Material\40. 10052026 SSU MEDINI SIGNATURE 33KV (VI)\IR</v>
      </c>
      <c r="BP140" t="s">
        <v>699</v>
      </c>
    </row>
    <row r="141" spans="1:68" ht="15" customHeight="1" x14ac:dyDescent="0.25">
      <c r="A141" s="4">
        <v>70</v>
      </c>
      <c r="B141" s="4" t="s">
        <v>696</v>
      </c>
      <c r="C141" s="4">
        <v>3</v>
      </c>
      <c r="D141" s="4" t="s">
        <v>1760</v>
      </c>
      <c r="E141" s="4">
        <v>2</v>
      </c>
      <c r="F141" s="6" t="str">
        <f ca="1">Master_List!$AW$1</f>
        <v>PERPUSTAKAAN PUSAT</v>
      </c>
      <c r="G141" s="27" t="str">
        <f ca="1">Master_List!$AW$2</f>
        <v>09:30 PM</v>
      </c>
      <c r="H141" s="32" t="str">
        <f ca="1">Master_List!$AW$3</f>
        <v>20/07/2026</v>
      </c>
      <c r="I141" s="28" t="str">
        <f ca="1">Master_List!$AW$4</f>
        <v>28.5</v>
      </c>
      <c r="J141" s="6" t="str">
        <f ca="1">Master_List!$AW$5</f>
        <v>65</v>
      </c>
      <c r="K141" s="6" t="s">
        <v>573</v>
      </c>
      <c r="L141" s="22"/>
      <c r="M141" s="25"/>
      <c r="N141" s="25"/>
      <c r="O141" s="25"/>
      <c r="P141" s="25"/>
      <c r="Q141" s="25"/>
      <c r="R141" s="25"/>
      <c r="S141" s="25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6"/>
      <c r="BE141" s="6"/>
      <c r="BF141" s="6"/>
      <c r="BG141" s="6"/>
      <c r="BH141" s="6"/>
      <c r="BL141" s="4" t="s">
        <v>1744</v>
      </c>
      <c r="BM141" s="4" t="s">
        <v>1820</v>
      </c>
      <c r="BN141" s="4" t="s">
        <v>1748</v>
      </c>
      <c r="BO141" s="4" t="str">
        <f t="shared" si="2"/>
        <v>C:\Users\aremi\Desktop\REPORT CBM\PO TIANU JB\03. Raw Material\40. 10052026 SSU MEDINI SIGNATURE 33KV (VI)\IR</v>
      </c>
      <c r="BP141" t="s">
        <v>700</v>
      </c>
    </row>
    <row r="142" spans="1:68" ht="15" customHeight="1" x14ac:dyDescent="0.25">
      <c r="A142" s="4">
        <v>71</v>
      </c>
      <c r="B142" s="4" t="s">
        <v>696</v>
      </c>
      <c r="C142" s="4">
        <v>3</v>
      </c>
      <c r="D142" s="4" t="s">
        <v>1760</v>
      </c>
      <c r="E142" s="4">
        <v>3</v>
      </c>
      <c r="F142" s="6" t="str">
        <f ca="1">Master_List!$AW$1</f>
        <v>PERPUSTAKAAN PUSAT</v>
      </c>
      <c r="G142" s="27" t="str">
        <f ca="1">Master_List!$AW$2</f>
        <v>09:30 PM</v>
      </c>
      <c r="H142" s="32" t="str">
        <f ca="1">Master_List!$AW$3</f>
        <v>20/07/2026</v>
      </c>
      <c r="I142" s="28" t="str">
        <f ca="1">Master_List!$AW$4</f>
        <v>28.5</v>
      </c>
      <c r="J142" s="6" t="str">
        <f ca="1">Master_List!$AW$5</f>
        <v>65</v>
      </c>
      <c r="K142" s="6" t="s">
        <v>576</v>
      </c>
      <c r="L142" s="22"/>
      <c r="M142" s="25"/>
      <c r="N142" s="25"/>
      <c r="O142" s="25"/>
      <c r="P142" s="25"/>
      <c r="Q142" s="25"/>
      <c r="R142" s="25"/>
      <c r="S142" s="25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6"/>
      <c r="BE142" s="6"/>
      <c r="BF142" s="6"/>
      <c r="BG142" s="6"/>
      <c r="BH142" s="6"/>
      <c r="BL142" s="4" t="s">
        <v>1744</v>
      </c>
      <c r="BM142" s="4" t="s">
        <v>1821</v>
      </c>
      <c r="BN142" s="4" t="s">
        <v>1746</v>
      </c>
      <c r="BO142" s="4" t="str">
        <f t="shared" si="2"/>
        <v>C:\Users\aremi\Desktop\REPORT CBM\PO TIANU JB\03. Raw Material\40. 10052026 SSU MEDINI SIGNATURE 33KV (VI)\IR</v>
      </c>
      <c r="BP142" t="s">
        <v>701</v>
      </c>
    </row>
    <row r="143" spans="1:68" ht="15" customHeight="1" x14ac:dyDescent="0.25">
      <c r="A143" s="4">
        <v>71</v>
      </c>
      <c r="B143" s="4" t="s">
        <v>696</v>
      </c>
      <c r="C143" s="4">
        <v>3</v>
      </c>
      <c r="D143" s="4" t="s">
        <v>1760</v>
      </c>
      <c r="E143" s="4">
        <v>3</v>
      </c>
      <c r="F143" s="6" t="str">
        <f ca="1">Master_List!$AW$1</f>
        <v>PERPUSTAKAAN PUSAT</v>
      </c>
      <c r="G143" s="27" t="str">
        <f ca="1">Master_List!$AW$2</f>
        <v>09:30 PM</v>
      </c>
      <c r="H143" s="32" t="str">
        <f ca="1">Master_List!$AW$3</f>
        <v>20/07/2026</v>
      </c>
      <c r="I143" s="28" t="str">
        <f ca="1">Master_List!$AW$4</f>
        <v>28.5</v>
      </c>
      <c r="J143" s="6" t="str">
        <f ca="1">Master_List!$AW$5</f>
        <v>65</v>
      </c>
      <c r="K143" s="6" t="s">
        <v>576</v>
      </c>
      <c r="L143" s="22"/>
      <c r="M143" s="25"/>
      <c r="N143" s="25"/>
      <c r="O143" s="25"/>
      <c r="P143" s="25"/>
      <c r="Q143" s="25"/>
      <c r="R143" s="25"/>
      <c r="S143" s="25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6"/>
      <c r="BE143" s="6"/>
      <c r="BF143" s="6"/>
      <c r="BG143" s="6"/>
      <c r="BH143" s="6"/>
      <c r="BL143" s="4" t="s">
        <v>1744</v>
      </c>
      <c r="BM143" s="4" t="s">
        <v>1821</v>
      </c>
      <c r="BN143" s="4" t="s">
        <v>1748</v>
      </c>
      <c r="BO143" s="4" t="str">
        <f t="shared" si="2"/>
        <v>C:\Users\aremi\Desktop\REPORT CBM\PO TIANU JB\03. Raw Material\40. 10052026 SSU MEDINI SIGNATURE 33KV (VI)\IR</v>
      </c>
      <c r="BP143" t="s">
        <v>702</v>
      </c>
    </row>
    <row r="144" spans="1:68" ht="15" customHeight="1" x14ac:dyDescent="0.25">
      <c r="A144" s="4">
        <v>72</v>
      </c>
      <c r="B144" s="4" t="s">
        <v>696</v>
      </c>
      <c r="C144" s="4">
        <v>3</v>
      </c>
      <c r="D144" s="4" t="s">
        <v>1760</v>
      </c>
      <c r="E144" s="4">
        <v>4</v>
      </c>
      <c r="F144" s="6" t="str">
        <f ca="1">Master_List!$AW$1</f>
        <v>PERPUSTAKAAN PUSAT</v>
      </c>
      <c r="G144" s="27" t="str">
        <f ca="1">Master_List!$AW$2</f>
        <v>09:30 PM</v>
      </c>
      <c r="H144" s="32" t="str">
        <f ca="1">Master_List!$AW$3</f>
        <v>20/07/2026</v>
      </c>
      <c r="I144" s="28" t="str">
        <f ca="1">Master_List!$AW$4</f>
        <v>28.5</v>
      </c>
      <c r="J144" s="6" t="str">
        <f ca="1">Master_List!$AW$5</f>
        <v>65</v>
      </c>
      <c r="K144" s="6" t="s">
        <v>579</v>
      </c>
      <c r="L144" s="22"/>
      <c r="M144" s="25"/>
      <c r="N144" s="25"/>
      <c r="O144" s="25"/>
      <c r="P144" s="25"/>
      <c r="Q144" s="25"/>
      <c r="R144" s="25"/>
      <c r="S144" s="25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6"/>
      <c r="BE144" s="6"/>
      <c r="BF144" s="6"/>
      <c r="BG144" s="6"/>
      <c r="BH144" s="6"/>
      <c r="BL144" s="4" t="s">
        <v>1744</v>
      </c>
      <c r="BM144" s="4" t="s">
        <v>1822</v>
      </c>
      <c r="BN144" s="4" t="s">
        <v>1746</v>
      </c>
      <c r="BO144" s="4" t="str">
        <f t="shared" si="2"/>
        <v>C:\Users\aremi\Desktop\REPORT CBM\PO TIANU JB\03. Raw Material\40. 10052026 SSU MEDINI SIGNATURE 33KV (VI)\IR</v>
      </c>
      <c r="BP144" t="s">
        <v>703</v>
      </c>
    </row>
    <row r="145" spans="1:68" ht="15" customHeight="1" x14ac:dyDescent="0.25">
      <c r="A145" s="4">
        <v>72</v>
      </c>
      <c r="B145" s="4" t="s">
        <v>696</v>
      </c>
      <c r="C145" s="4">
        <v>3</v>
      </c>
      <c r="D145" s="4" t="s">
        <v>1760</v>
      </c>
      <c r="E145" s="4">
        <v>4</v>
      </c>
      <c r="F145" s="6" t="str">
        <f ca="1">Master_List!$AW$1</f>
        <v>PERPUSTAKAAN PUSAT</v>
      </c>
      <c r="G145" s="27" t="str">
        <f ca="1">Master_List!$AW$2</f>
        <v>09:30 PM</v>
      </c>
      <c r="H145" s="32" t="str">
        <f ca="1">Master_List!$AW$3</f>
        <v>20/07/2026</v>
      </c>
      <c r="I145" s="28" t="str">
        <f ca="1">Master_List!$AW$4</f>
        <v>28.5</v>
      </c>
      <c r="J145" s="6" t="str">
        <f ca="1">Master_List!$AW$5</f>
        <v>65</v>
      </c>
      <c r="K145" s="6" t="s">
        <v>579</v>
      </c>
      <c r="L145" s="22"/>
      <c r="M145" s="25"/>
      <c r="N145" s="25"/>
      <c r="O145" s="25"/>
      <c r="P145" s="25"/>
      <c r="Q145" s="25"/>
      <c r="R145" s="25"/>
      <c r="S145" s="25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6"/>
      <c r="BE145" s="6"/>
      <c r="BF145" s="6"/>
      <c r="BG145" s="6"/>
      <c r="BH145" s="6"/>
      <c r="BL145" s="4" t="s">
        <v>1744</v>
      </c>
      <c r="BM145" s="4" t="s">
        <v>1822</v>
      </c>
      <c r="BN145" s="4" t="s">
        <v>1748</v>
      </c>
      <c r="BO145" s="4" t="str">
        <f t="shared" si="2"/>
        <v>C:\Users\aremi\Desktop\REPORT CBM\PO TIANU JB\03. Raw Material\40. 10052026 SSU MEDINI SIGNATURE 33KV (VI)\IR</v>
      </c>
      <c r="BP145" t="s">
        <v>704</v>
      </c>
    </row>
    <row r="146" spans="1:68" ht="15" customHeight="1" x14ac:dyDescent="0.25">
      <c r="A146" s="4">
        <v>73</v>
      </c>
      <c r="B146" s="4" t="s">
        <v>696</v>
      </c>
      <c r="C146" s="4">
        <v>3</v>
      </c>
      <c r="D146" s="4" t="s">
        <v>1760</v>
      </c>
      <c r="E146" s="4">
        <v>5</v>
      </c>
      <c r="F146" s="6" t="str">
        <f ca="1">Master_List!$AW$1</f>
        <v>PERPUSTAKAAN PUSAT</v>
      </c>
      <c r="G146" s="27" t="str">
        <f ca="1">Master_List!$AW$2</f>
        <v>09:30 PM</v>
      </c>
      <c r="H146" s="32" t="str">
        <f ca="1">Master_List!$AW$3</f>
        <v>20/07/2026</v>
      </c>
      <c r="I146" s="28" t="str">
        <f ca="1">Master_List!$AW$4</f>
        <v>28.5</v>
      </c>
      <c r="J146" s="6" t="str">
        <f ca="1">Master_List!$AW$5</f>
        <v>65</v>
      </c>
      <c r="K146" s="6" t="s">
        <v>582</v>
      </c>
      <c r="L146" s="22"/>
      <c r="M146" s="25"/>
      <c r="N146" s="25"/>
      <c r="O146" s="25"/>
      <c r="P146" s="25"/>
      <c r="Q146" s="25"/>
      <c r="R146" s="25"/>
      <c r="S146" s="25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6"/>
      <c r="BE146" s="6"/>
      <c r="BF146" s="6"/>
      <c r="BG146" s="6"/>
      <c r="BH146" s="6"/>
      <c r="BL146" s="4" t="s">
        <v>1744</v>
      </c>
      <c r="BM146" s="4" t="s">
        <v>1823</v>
      </c>
      <c r="BN146" s="4" t="s">
        <v>1746</v>
      </c>
      <c r="BO146" s="4" t="str">
        <f t="shared" si="2"/>
        <v>C:\Users\aremi\Desktop\REPORT CBM\PO TIANU JB\03. Raw Material\40. 10052026 SSU MEDINI SIGNATURE 33KV (VI)\IR</v>
      </c>
      <c r="BP146" t="s">
        <v>705</v>
      </c>
    </row>
    <row r="147" spans="1:68" ht="15" customHeight="1" x14ac:dyDescent="0.25">
      <c r="A147" s="4">
        <v>73</v>
      </c>
      <c r="B147" s="4" t="s">
        <v>696</v>
      </c>
      <c r="C147" s="4">
        <v>3</v>
      </c>
      <c r="D147" s="4" t="s">
        <v>1760</v>
      </c>
      <c r="E147" s="4">
        <v>5</v>
      </c>
      <c r="F147" s="6" t="str">
        <f ca="1">Master_List!$AW$1</f>
        <v>PERPUSTAKAAN PUSAT</v>
      </c>
      <c r="G147" s="27" t="str">
        <f ca="1">Master_List!$AW$2</f>
        <v>09:30 PM</v>
      </c>
      <c r="H147" s="32" t="str">
        <f ca="1">Master_List!$AW$3</f>
        <v>20/07/2026</v>
      </c>
      <c r="I147" s="28" t="str">
        <f ca="1">Master_List!$AW$4</f>
        <v>28.5</v>
      </c>
      <c r="J147" s="6" t="str">
        <f ca="1">Master_List!$AW$5</f>
        <v>65</v>
      </c>
      <c r="K147" s="6" t="s">
        <v>582</v>
      </c>
      <c r="L147" s="22"/>
      <c r="M147" s="25"/>
      <c r="N147" s="25"/>
      <c r="O147" s="25"/>
      <c r="P147" s="25"/>
      <c r="Q147" s="25"/>
      <c r="R147" s="25"/>
      <c r="S147" s="25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6"/>
      <c r="BE147" s="6"/>
      <c r="BF147" s="6"/>
      <c r="BG147" s="6"/>
      <c r="BH147" s="6"/>
      <c r="BL147" s="4" t="s">
        <v>1744</v>
      </c>
      <c r="BM147" s="4" t="s">
        <v>1823</v>
      </c>
      <c r="BN147" s="4" t="s">
        <v>1748</v>
      </c>
      <c r="BO147" s="4" t="str">
        <f t="shared" si="2"/>
        <v>C:\Users\aremi\Desktop\REPORT CBM\PO TIANU JB\03. Raw Material\40. 10052026 SSU MEDINI SIGNATURE 33KV (VI)\IR</v>
      </c>
      <c r="BP147" t="s">
        <v>706</v>
      </c>
    </row>
    <row r="148" spans="1:68" ht="15" customHeight="1" x14ac:dyDescent="0.25">
      <c r="A148" s="4">
        <v>74</v>
      </c>
      <c r="B148" s="4" t="s">
        <v>696</v>
      </c>
      <c r="C148" s="4">
        <v>3</v>
      </c>
      <c r="D148" s="4" t="s">
        <v>1760</v>
      </c>
      <c r="E148" s="4">
        <v>6</v>
      </c>
      <c r="F148" s="6" t="str">
        <f ca="1">Master_List!$AW$1</f>
        <v>PERPUSTAKAAN PUSAT</v>
      </c>
      <c r="G148" s="27" t="str">
        <f ca="1">Master_List!$AW$2</f>
        <v>09:30 PM</v>
      </c>
      <c r="H148" s="32" t="str">
        <f ca="1">Master_List!$AW$3</f>
        <v>20/07/2026</v>
      </c>
      <c r="I148" s="28" t="str">
        <f ca="1">Master_List!$AW$4</f>
        <v>28.5</v>
      </c>
      <c r="J148" s="6" t="str">
        <f ca="1">Master_List!$AW$5</f>
        <v>65</v>
      </c>
      <c r="K148" s="6" t="s">
        <v>585</v>
      </c>
      <c r="L148" s="22"/>
      <c r="M148" s="25"/>
      <c r="N148" s="25"/>
      <c r="O148" s="25"/>
      <c r="P148" s="25"/>
      <c r="Q148" s="25"/>
      <c r="R148" s="25"/>
      <c r="S148" s="25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6"/>
      <c r="BE148" s="6"/>
      <c r="BF148" s="6"/>
      <c r="BG148" s="6"/>
      <c r="BH148" s="6"/>
      <c r="BL148" s="4" t="s">
        <v>1744</v>
      </c>
      <c r="BM148" s="4" t="s">
        <v>1824</v>
      </c>
      <c r="BN148" s="4" t="s">
        <v>1746</v>
      </c>
      <c r="BO148" s="4" t="str">
        <f t="shared" si="2"/>
        <v>C:\Users\aremi\Desktop\REPORT CBM\PO TIANU JB\03. Raw Material\40. 10052026 SSU MEDINI SIGNATURE 33KV (VI)\IR</v>
      </c>
      <c r="BP148" t="s">
        <v>707</v>
      </c>
    </row>
    <row r="149" spans="1:68" ht="15" customHeight="1" x14ac:dyDescent="0.25">
      <c r="A149" s="4">
        <v>74</v>
      </c>
      <c r="B149" s="4" t="s">
        <v>696</v>
      </c>
      <c r="C149" s="4">
        <v>3</v>
      </c>
      <c r="D149" s="4" t="s">
        <v>1760</v>
      </c>
      <c r="E149" s="4">
        <v>6</v>
      </c>
      <c r="F149" s="6" t="str">
        <f ca="1">Master_List!$AW$1</f>
        <v>PERPUSTAKAAN PUSAT</v>
      </c>
      <c r="G149" s="27" t="str">
        <f ca="1">Master_List!$AW$2</f>
        <v>09:30 PM</v>
      </c>
      <c r="H149" s="32" t="str">
        <f ca="1">Master_List!$AW$3</f>
        <v>20/07/2026</v>
      </c>
      <c r="I149" s="28" t="str">
        <f ca="1">Master_List!$AW$4</f>
        <v>28.5</v>
      </c>
      <c r="J149" s="6" t="str">
        <f ca="1">Master_List!$AW$5</f>
        <v>65</v>
      </c>
      <c r="K149" s="6" t="s">
        <v>585</v>
      </c>
      <c r="L149" s="22"/>
      <c r="M149" s="25"/>
      <c r="N149" s="25"/>
      <c r="O149" s="25"/>
      <c r="P149" s="25"/>
      <c r="Q149" s="25"/>
      <c r="R149" s="25"/>
      <c r="S149" s="25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6"/>
      <c r="BE149" s="6"/>
      <c r="BF149" s="6"/>
      <c r="BG149" s="6"/>
      <c r="BH149" s="6"/>
      <c r="BL149" s="4" t="s">
        <v>1744</v>
      </c>
      <c r="BM149" s="4" t="s">
        <v>1824</v>
      </c>
      <c r="BN149" s="4" t="s">
        <v>1748</v>
      </c>
      <c r="BO149" s="4" t="str">
        <f t="shared" si="2"/>
        <v>C:\Users\aremi\Desktop\REPORT CBM\PO TIANU JB\03. Raw Material\40. 10052026 SSU MEDINI SIGNATURE 33KV (VI)\IR</v>
      </c>
      <c r="BP149" t="s">
        <v>708</v>
      </c>
    </row>
    <row r="150" spans="1:68" ht="15" customHeight="1" x14ac:dyDescent="0.25">
      <c r="A150" s="4">
        <v>75</v>
      </c>
      <c r="B150" s="4" t="s">
        <v>696</v>
      </c>
      <c r="C150" s="4">
        <v>3</v>
      </c>
      <c r="D150" s="4" t="s">
        <v>1767</v>
      </c>
      <c r="E150" s="4">
        <v>7</v>
      </c>
      <c r="F150" s="6" t="str">
        <f ca="1">Master_List!$AW$1</f>
        <v>PERPUSTAKAAN PUSAT</v>
      </c>
      <c r="G150" s="27" t="str">
        <f ca="1">Master_List!$AW$2</f>
        <v>09:30 PM</v>
      </c>
      <c r="H150" s="32" t="str">
        <f ca="1">Master_List!$AW$3</f>
        <v>20/07/2026</v>
      </c>
      <c r="I150" s="28" t="str">
        <f ca="1">Master_List!$AW$4</f>
        <v>28.5</v>
      </c>
      <c r="J150" s="6" t="str">
        <f ca="1">Master_List!$AW$5</f>
        <v>65</v>
      </c>
      <c r="K150" s="6" t="s">
        <v>588</v>
      </c>
      <c r="L150" s="22"/>
      <c r="M150" s="25"/>
      <c r="N150" s="25"/>
      <c r="O150" s="25"/>
      <c r="P150" s="25"/>
      <c r="Q150" s="25"/>
      <c r="R150" s="25"/>
      <c r="S150" s="25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6"/>
      <c r="BE150" s="6"/>
      <c r="BF150" s="6"/>
      <c r="BG150" s="6"/>
      <c r="BH150" s="6"/>
      <c r="BL150" s="4" t="s">
        <v>1744</v>
      </c>
      <c r="BM150" s="4" t="s">
        <v>1825</v>
      </c>
      <c r="BN150" s="4" t="s">
        <v>1746</v>
      </c>
      <c r="BO150" s="4" t="str">
        <f t="shared" si="2"/>
        <v>C:\Users\aremi\Desktop\REPORT CBM\PO TIANU JB\03. Raw Material\40. 10052026 SSU MEDINI SIGNATURE 33KV (VI)\IR</v>
      </c>
      <c r="BP150" t="s">
        <v>709</v>
      </c>
    </row>
    <row r="151" spans="1:68" ht="15" customHeight="1" x14ac:dyDescent="0.25">
      <c r="A151" s="4">
        <v>75</v>
      </c>
      <c r="B151" s="4" t="s">
        <v>696</v>
      </c>
      <c r="C151" s="4">
        <v>3</v>
      </c>
      <c r="D151" s="4" t="s">
        <v>1767</v>
      </c>
      <c r="E151" s="4">
        <v>7</v>
      </c>
      <c r="F151" s="6" t="str">
        <f ca="1">Master_List!$AW$1</f>
        <v>PERPUSTAKAAN PUSAT</v>
      </c>
      <c r="G151" s="27" t="str">
        <f ca="1">Master_List!$AW$2</f>
        <v>09:30 PM</v>
      </c>
      <c r="H151" s="32" t="str">
        <f ca="1">Master_List!$AW$3</f>
        <v>20/07/2026</v>
      </c>
      <c r="I151" s="28" t="str">
        <f ca="1">Master_List!$AW$4</f>
        <v>28.5</v>
      </c>
      <c r="J151" s="6" t="str">
        <f ca="1">Master_List!$AW$5</f>
        <v>65</v>
      </c>
      <c r="K151" s="6" t="s">
        <v>588</v>
      </c>
      <c r="L151" s="22"/>
      <c r="M151" s="25"/>
      <c r="N151" s="25"/>
      <c r="O151" s="25"/>
      <c r="P151" s="25"/>
      <c r="Q151" s="25"/>
      <c r="R151" s="25"/>
      <c r="S151" s="25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6"/>
      <c r="BE151" s="6"/>
      <c r="BF151" s="6"/>
      <c r="BG151" s="6"/>
      <c r="BH151" s="6"/>
      <c r="BL151" s="4" t="s">
        <v>1744</v>
      </c>
      <c r="BM151" s="4" t="s">
        <v>1825</v>
      </c>
      <c r="BN151" s="4" t="s">
        <v>1748</v>
      </c>
      <c r="BO151" s="4" t="str">
        <f t="shared" si="2"/>
        <v>C:\Users\aremi\Desktop\REPORT CBM\PO TIANU JB\03. Raw Material\40. 10052026 SSU MEDINI SIGNATURE 33KV (VI)\IR</v>
      </c>
      <c r="BP151" t="s">
        <v>710</v>
      </c>
    </row>
    <row r="152" spans="1:68" ht="15" customHeight="1" x14ac:dyDescent="0.25">
      <c r="A152" s="4">
        <v>76</v>
      </c>
      <c r="B152" s="4" t="s">
        <v>696</v>
      </c>
      <c r="C152" s="4">
        <v>3</v>
      </c>
      <c r="D152" s="4" t="s">
        <v>1769</v>
      </c>
      <c r="E152" s="4">
        <v>8</v>
      </c>
      <c r="F152" s="6" t="str">
        <f ca="1">Master_List!$AW$1</f>
        <v>PERPUSTAKAAN PUSAT</v>
      </c>
      <c r="G152" s="27" t="str">
        <f ca="1">Master_List!$AW$2</f>
        <v>09:30 PM</v>
      </c>
      <c r="H152" s="32" t="str">
        <f ca="1">Master_List!$AW$3</f>
        <v>20/07/2026</v>
      </c>
      <c r="I152" s="28" t="str">
        <f ca="1">Master_List!$AW$4</f>
        <v>28.5</v>
      </c>
      <c r="J152" s="6" t="str">
        <f ca="1">Master_List!$AW$5</f>
        <v>65</v>
      </c>
      <c r="K152" s="6" t="s">
        <v>591</v>
      </c>
      <c r="L152" s="22"/>
      <c r="M152" s="25"/>
      <c r="N152" s="25"/>
      <c r="O152" s="25"/>
      <c r="P152" s="25"/>
      <c r="Q152" s="25"/>
      <c r="R152" s="25"/>
      <c r="S152" s="25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6"/>
      <c r="BE152" s="6"/>
      <c r="BF152" s="6"/>
      <c r="BG152" s="6"/>
      <c r="BH152" s="6"/>
      <c r="BL152" s="4" t="s">
        <v>1744</v>
      </c>
      <c r="BM152" s="4" t="s">
        <v>1826</v>
      </c>
      <c r="BN152" s="4" t="s">
        <v>1746</v>
      </c>
      <c r="BO152" s="4" t="str">
        <f t="shared" si="2"/>
        <v>C:\Users\aremi\Desktop\REPORT CBM\PO TIANU JB\03. Raw Material\40. 10052026 SSU MEDINI SIGNATURE 33KV (VI)\IR</v>
      </c>
      <c r="BP152" t="s">
        <v>711</v>
      </c>
    </row>
    <row r="153" spans="1:68" ht="15" customHeight="1" x14ac:dyDescent="0.25">
      <c r="A153" s="4">
        <v>76</v>
      </c>
      <c r="B153" s="4" t="s">
        <v>696</v>
      </c>
      <c r="C153" s="4">
        <v>3</v>
      </c>
      <c r="D153" s="4" t="s">
        <v>1769</v>
      </c>
      <c r="E153" s="4">
        <v>8</v>
      </c>
      <c r="F153" s="6" t="str">
        <f ca="1">Master_List!$AW$1</f>
        <v>PERPUSTAKAAN PUSAT</v>
      </c>
      <c r="G153" s="27" t="str">
        <f ca="1">Master_List!$AW$2</f>
        <v>09:30 PM</v>
      </c>
      <c r="H153" s="32" t="str">
        <f ca="1">Master_List!$AW$3</f>
        <v>20/07/2026</v>
      </c>
      <c r="I153" s="28" t="str">
        <f ca="1">Master_List!$AW$4</f>
        <v>28.5</v>
      </c>
      <c r="J153" s="6" t="str">
        <f ca="1">Master_List!$AW$5</f>
        <v>65</v>
      </c>
      <c r="K153" s="6" t="s">
        <v>591</v>
      </c>
      <c r="L153" s="22"/>
      <c r="M153" s="25"/>
      <c r="N153" s="25"/>
      <c r="O153" s="25"/>
      <c r="P153" s="25"/>
      <c r="Q153" s="25"/>
      <c r="R153" s="25"/>
      <c r="S153" s="25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6"/>
      <c r="BE153" s="6"/>
      <c r="BF153" s="6"/>
      <c r="BG153" s="6"/>
      <c r="BH153" s="6"/>
      <c r="BL153" s="4" t="s">
        <v>1744</v>
      </c>
      <c r="BM153" s="4" t="s">
        <v>1826</v>
      </c>
      <c r="BN153" s="4" t="s">
        <v>1748</v>
      </c>
      <c r="BO153" s="4" t="str">
        <f t="shared" si="2"/>
        <v>C:\Users\aremi\Desktop\REPORT CBM\PO TIANU JB\03. Raw Material\40. 10052026 SSU MEDINI SIGNATURE 33KV (VI)\IR</v>
      </c>
      <c r="BP153" t="s">
        <v>712</v>
      </c>
    </row>
    <row r="154" spans="1:68" ht="15" customHeight="1" x14ac:dyDescent="0.25">
      <c r="A154" s="4">
        <v>77</v>
      </c>
      <c r="B154" s="4" t="s">
        <v>713</v>
      </c>
      <c r="C154" s="4">
        <v>3</v>
      </c>
      <c r="D154" s="4" t="s">
        <v>1760</v>
      </c>
      <c r="E154" s="4">
        <v>1</v>
      </c>
      <c r="F154" s="6" t="str">
        <f ca="1">Master_List!$AW$1</f>
        <v>PERPUSTAKAAN PUSAT</v>
      </c>
      <c r="G154" s="27" t="str">
        <f ca="1">Master_List!$AW$2</f>
        <v>09:30 PM</v>
      </c>
      <c r="H154" s="32" t="str">
        <f ca="1">Master_List!$AW$3</f>
        <v>20/07/2026</v>
      </c>
      <c r="I154" s="28" t="str">
        <f ca="1">Master_List!$AW$4</f>
        <v>28.5</v>
      </c>
      <c r="J154" s="6" t="str">
        <f ca="1">Master_List!$AW$5</f>
        <v>65</v>
      </c>
      <c r="K154" s="6" t="s">
        <v>570</v>
      </c>
      <c r="L154" s="22"/>
      <c r="M154" s="25"/>
      <c r="N154" s="25"/>
      <c r="O154" s="25"/>
      <c r="P154" s="25"/>
      <c r="Q154" s="25"/>
      <c r="R154" s="25"/>
      <c r="S154" s="25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6"/>
      <c r="BE154" s="6"/>
      <c r="BF154" s="6"/>
      <c r="BG154" s="6"/>
      <c r="BH154" s="6"/>
      <c r="BL154" s="4" t="s">
        <v>1744</v>
      </c>
      <c r="BM154" s="4" t="s">
        <v>1827</v>
      </c>
      <c r="BN154" s="4" t="s">
        <v>1746</v>
      </c>
      <c r="BO154" s="4" t="str">
        <f t="shared" si="2"/>
        <v>C:\Users\aremi\Desktop\REPORT CBM\PO TIANU JB\03. Raw Material\40. 10052026 SSU MEDINI SIGNATURE 33KV (VI)\IR</v>
      </c>
      <c r="BP154" t="s">
        <v>714</v>
      </c>
    </row>
    <row r="155" spans="1:68" ht="15" customHeight="1" x14ac:dyDescent="0.25">
      <c r="A155" s="4">
        <v>77</v>
      </c>
      <c r="B155" s="4" t="s">
        <v>713</v>
      </c>
      <c r="C155" s="4">
        <v>3</v>
      </c>
      <c r="D155" s="4" t="s">
        <v>1760</v>
      </c>
      <c r="E155" s="4">
        <v>1</v>
      </c>
      <c r="F155" s="6" t="str">
        <f ca="1">Master_List!$AW$1</f>
        <v>PERPUSTAKAAN PUSAT</v>
      </c>
      <c r="G155" s="27" t="str">
        <f ca="1">Master_List!$AW$2</f>
        <v>09:30 PM</v>
      </c>
      <c r="H155" s="32" t="str">
        <f ca="1">Master_List!$AW$3</f>
        <v>20/07/2026</v>
      </c>
      <c r="I155" s="28" t="str">
        <f ca="1">Master_List!$AW$4</f>
        <v>28.5</v>
      </c>
      <c r="J155" s="6" t="str">
        <f ca="1">Master_List!$AW$5</f>
        <v>65</v>
      </c>
      <c r="K155" s="6" t="s">
        <v>570</v>
      </c>
      <c r="L155" s="22"/>
      <c r="M155" s="25"/>
      <c r="N155" s="25"/>
      <c r="O155" s="25"/>
      <c r="P155" s="25"/>
      <c r="Q155" s="25"/>
      <c r="R155" s="25"/>
      <c r="S155" s="25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6"/>
      <c r="BE155" s="6"/>
      <c r="BF155" s="6"/>
      <c r="BG155" s="6"/>
      <c r="BH155" s="6"/>
      <c r="BL155" s="4" t="s">
        <v>1744</v>
      </c>
      <c r="BM155" s="4" t="s">
        <v>1827</v>
      </c>
      <c r="BN155" s="4" t="s">
        <v>1748</v>
      </c>
      <c r="BO155" s="4" t="str">
        <f t="shared" si="2"/>
        <v>C:\Users\aremi\Desktop\REPORT CBM\PO TIANU JB\03. Raw Material\40. 10052026 SSU MEDINI SIGNATURE 33KV (VI)\IR</v>
      </c>
      <c r="BP155" t="s">
        <v>715</v>
      </c>
    </row>
    <row r="156" spans="1:68" ht="15" customHeight="1" x14ac:dyDescent="0.25">
      <c r="A156" s="4">
        <v>78</v>
      </c>
      <c r="B156" s="4" t="s">
        <v>713</v>
      </c>
      <c r="C156" s="4">
        <v>3</v>
      </c>
      <c r="D156" s="4" t="s">
        <v>1760</v>
      </c>
      <c r="E156" s="4">
        <v>2</v>
      </c>
      <c r="F156" s="6" t="str">
        <f ca="1">Master_List!$AW$1</f>
        <v>PERPUSTAKAAN PUSAT</v>
      </c>
      <c r="G156" s="27" t="str">
        <f ca="1">Master_List!$AW$2</f>
        <v>09:30 PM</v>
      </c>
      <c r="H156" s="32" t="str">
        <f ca="1">Master_List!$AW$3</f>
        <v>20/07/2026</v>
      </c>
      <c r="I156" s="28" t="str">
        <f ca="1">Master_List!$AW$4</f>
        <v>28.5</v>
      </c>
      <c r="J156" s="6" t="str">
        <f ca="1">Master_List!$AW$5</f>
        <v>65</v>
      </c>
      <c r="K156" s="6" t="s">
        <v>573</v>
      </c>
      <c r="L156" s="22"/>
      <c r="M156" s="25"/>
      <c r="N156" s="25"/>
      <c r="O156" s="25"/>
      <c r="P156" s="25"/>
      <c r="Q156" s="25"/>
      <c r="R156" s="25"/>
      <c r="S156" s="25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6"/>
      <c r="BE156" s="6"/>
      <c r="BF156" s="6"/>
      <c r="BG156" s="6"/>
      <c r="BH156" s="6"/>
      <c r="BL156" s="4" t="s">
        <v>1744</v>
      </c>
      <c r="BM156" s="4" t="s">
        <v>1828</v>
      </c>
      <c r="BN156" s="4" t="s">
        <v>1746</v>
      </c>
      <c r="BO156" s="4" t="str">
        <f t="shared" si="2"/>
        <v>C:\Users\aremi\Desktop\REPORT CBM\PO TIANU JB\03. Raw Material\40. 10052026 SSU MEDINI SIGNATURE 33KV (VI)\IR</v>
      </c>
      <c r="BP156" t="s">
        <v>716</v>
      </c>
    </row>
    <row r="157" spans="1:68" ht="15" customHeight="1" x14ac:dyDescent="0.25">
      <c r="A157" s="4">
        <v>78</v>
      </c>
      <c r="B157" s="4" t="s">
        <v>713</v>
      </c>
      <c r="C157" s="4">
        <v>3</v>
      </c>
      <c r="D157" s="4" t="s">
        <v>1760</v>
      </c>
      <c r="E157" s="4">
        <v>2</v>
      </c>
      <c r="F157" s="6" t="str">
        <f ca="1">Master_List!$AW$1</f>
        <v>PERPUSTAKAAN PUSAT</v>
      </c>
      <c r="G157" s="27" t="str">
        <f ca="1">Master_List!$AW$2</f>
        <v>09:30 PM</v>
      </c>
      <c r="H157" s="32" t="str">
        <f ca="1">Master_List!$AW$3</f>
        <v>20/07/2026</v>
      </c>
      <c r="I157" s="28" t="str">
        <f ca="1">Master_List!$AW$4</f>
        <v>28.5</v>
      </c>
      <c r="J157" s="6" t="str">
        <f ca="1">Master_List!$AW$5</f>
        <v>65</v>
      </c>
      <c r="K157" s="6" t="s">
        <v>573</v>
      </c>
      <c r="L157" s="22"/>
      <c r="M157" s="25"/>
      <c r="N157" s="25"/>
      <c r="O157" s="25"/>
      <c r="P157" s="25"/>
      <c r="Q157" s="25"/>
      <c r="R157" s="25"/>
      <c r="S157" s="25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6"/>
      <c r="BE157" s="6"/>
      <c r="BF157" s="6"/>
      <c r="BG157" s="6"/>
      <c r="BH157" s="6"/>
      <c r="BL157" s="4" t="s">
        <v>1744</v>
      </c>
      <c r="BM157" s="4" t="s">
        <v>1828</v>
      </c>
      <c r="BN157" s="4" t="s">
        <v>1748</v>
      </c>
      <c r="BO157" s="4" t="str">
        <f t="shared" si="2"/>
        <v>C:\Users\aremi\Desktop\REPORT CBM\PO TIANU JB\03. Raw Material\40. 10052026 SSU MEDINI SIGNATURE 33KV (VI)\IR</v>
      </c>
      <c r="BP157" t="s">
        <v>717</v>
      </c>
    </row>
    <row r="158" spans="1:68" ht="15" customHeight="1" x14ac:dyDescent="0.25">
      <c r="A158" s="4">
        <v>79</v>
      </c>
      <c r="B158" s="4" t="s">
        <v>713</v>
      </c>
      <c r="C158" s="4">
        <v>3</v>
      </c>
      <c r="D158" s="4" t="s">
        <v>1760</v>
      </c>
      <c r="E158" s="4">
        <v>3</v>
      </c>
      <c r="F158" s="6" t="str">
        <f ca="1">Master_List!$AW$1</f>
        <v>PERPUSTAKAAN PUSAT</v>
      </c>
      <c r="G158" s="27" t="str">
        <f ca="1">Master_List!$AW$2</f>
        <v>09:30 PM</v>
      </c>
      <c r="H158" s="32" t="str">
        <f ca="1">Master_List!$AW$3</f>
        <v>20/07/2026</v>
      </c>
      <c r="I158" s="28" t="str">
        <f ca="1">Master_List!$AW$4</f>
        <v>28.5</v>
      </c>
      <c r="J158" s="6" t="str">
        <f ca="1">Master_List!$AW$5</f>
        <v>65</v>
      </c>
      <c r="K158" s="6" t="s">
        <v>576</v>
      </c>
      <c r="L158" s="22"/>
      <c r="M158" s="25"/>
      <c r="N158" s="25"/>
      <c r="O158" s="25"/>
      <c r="P158" s="25"/>
      <c r="Q158" s="25"/>
      <c r="R158" s="25"/>
      <c r="S158" s="25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6"/>
      <c r="BE158" s="6"/>
      <c r="BF158" s="6"/>
      <c r="BG158" s="6"/>
      <c r="BH158" s="6"/>
      <c r="BL158" s="4" t="s">
        <v>1744</v>
      </c>
      <c r="BM158" s="4" t="s">
        <v>1829</v>
      </c>
      <c r="BN158" s="4" t="s">
        <v>1746</v>
      </c>
      <c r="BO158" s="4" t="str">
        <f t="shared" si="2"/>
        <v>C:\Users\aremi\Desktop\REPORT CBM\PO TIANU JB\03. Raw Material\40. 10052026 SSU MEDINI SIGNATURE 33KV (VI)\IR</v>
      </c>
      <c r="BP158" t="s">
        <v>718</v>
      </c>
    </row>
    <row r="159" spans="1:68" ht="15" customHeight="1" x14ac:dyDescent="0.25">
      <c r="A159" s="4">
        <v>79</v>
      </c>
      <c r="B159" s="4" t="s">
        <v>713</v>
      </c>
      <c r="C159" s="4">
        <v>3</v>
      </c>
      <c r="D159" s="4" t="s">
        <v>1760</v>
      </c>
      <c r="E159" s="4">
        <v>3</v>
      </c>
      <c r="F159" s="6" t="str">
        <f ca="1">Master_List!$AW$1</f>
        <v>PERPUSTAKAAN PUSAT</v>
      </c>
      <c r="G159" s="27" t="str">
        <f ca="1">Master_List!$AW$2</f>
        <v>09:30 PM</v>
      </c>
      <c r="H159" s="32" t="str">
        <f ca="1">Master_List!$AW$3</f>
        <v>20/07/2026</v>
      </c>
      <c r="I159" s="28" t="str">
        <f ca="1">Master_List!$AW$4</f>
        <v>28.5</v>
      </c>
      <c r="J159" s="6" t="str">
        <f ca="1">Master_List!$AW$5</f>
        <v>65</v>
      </c>
      <c r="K159" s="6" t="s">
        <v>576</v>
      </c>
      <c r="L159" s="22"/>
      <c r="M159" s="25"/>
      <c r="N159" s="25"/>
      <c r="O159" s="25"/>
      <c r="P159" s="25"/>
      <c r="Q159" s="25"/>
      <c r="R159" s="25"/>
      <c r="S159" s="25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6"/>
      <c r="BE159" s="6"/>
      <c r="BF159" s="6"/>
      <c r="BG159" s="6"/>
      <c r="BH159" s="6"/>
      <c r="BL159" s="4" t="s">
        <v>1744</v>
      </c>
      <c r="BM159" s="4" t="s">
        <v>1829</v>
      </c>
      <c r="BN159" s="4" t="s">
        <v>1748</v>
      </c>
      <c r="BO159" s="4" t="str">
        <f t="shared" si="2"/>
        <v>C:\Users\aremi\Desktop\REPORT CBM\PO TIANU JB\03. Raw Material\40. 10052026 SSU MEDINI SIGNATURE 33KV (VI)\IR</v>
      </c>
      <c r="BP159" t="s">
        <v>719</v>
      </c>
    </row>
    <row r="160" spans="1:68" ht="15" customHeight="1" x14ac:dyDescent="0.25">
      <c r="A160" s="4">
        <v>80</v>
      </c>
      <c r="B160" s="4" t="s">
        <v>713</v>
      </c>
      <c r="C160" s="4">
        <v>3</v>
      </c>
      <c r="D160" s="4" t="s">
        <v>1760</v>
      </c>
      <c r="E160" s="4">
        <v>4</v>
      </c>
      <c r="F160" s="6" t="str">
        <f ca="1">Master_List!$AW$1</f>
        <v>PERPUSTAKAAN PUSAT</v>
      </c>
      <c r="G160" s="27" t="str">
        <f ca="1">Master_List!$AW$2</f>
        <v>09:30 PM</v>
      </c>
      <c r="H160" s="32" t="str">
        <f ca="1">Master_List!$AW$3</f>
        <v>20/07/2026</v>
      </c>
      <c r="I160" s="28" t="str">
        <f ca="1">Master_List!$AW$4</f>
        <v>28.5</v>
      </c>
      <c r="J160" s="6" t="str">
        <f ca="1">Master_List!$AW$5</f>
        <v>65</v>
      </c>
      <c r="K160" s="6" t="s">
        <v>579</v>
      </c>
      <c r="L160" s="22"/>
      <c r="M160" s="25"/>
      <c r="N160" s="25"/>
      <c r="O160" s="25"/>
      <c r="P160" s="25"/>
      <c r="Q160" s="25"/>
      <c r="R160" s="25"/>
      <c r="S160" s="25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6"/>
      <c r="BE160" s="6"/>
      <c r="BF160" s="6"/>
      <c r="BG160" s="6"/>
      <c r="BH160" s="6"/>
      <c r="BL160" s="4" t="s">
        <v>1744</v>
      </c>
      <c r="BM160" s="4" t="s">
        <v>1830</v>
      </c>
      <c r="BN160" s="4" t="s">
        <v>1746</v>
      </c>
      <c r="BO160" s="4" t="str">
        <f t="shared" si="2"/>
        <v>C:\Users\aremi\Desktop\REPORT CBM\PO TIANU JB\03. Raw Material\40. 10052026 SSU MEDINI SIGNATURE 33KV (VI)\IR</v>
      </c>
      <c r="BP160" t="s">
        <v>720</v>
      </c>
    </row>
    <row r="161" spans="1:68" ht="15" customHeight="1" x14ac:dyDescent="0.25">
      <c r="A161" s="4">
        <v>80</v>
      </c>
      <c r="B161" s="4" t="s">
        <v>713</v>
      </c>
      <c r="C161" s="4">
        <v>3</v>
      </c>
      <c r="D161" s="4" t="s">
        <v>1760</v>
      </c>
      <c r="E161" s="4">
        <v>4</v>
      </c>
      <c r="F161" s="6" t="str">
        <f ca="1">Master_List!$AW$1</f>
        <v>PERPUSTAKAAN PUSAT</v>
      </c>
      <c r="G161" s="27" t="str">
        <f ca="1">Master_List!$AW$2</f>
        <v>09:30 PM</v>
      </c>
      <c r="H161" s="32" t="str">
        <f ca="1">Master_List!$AW$3</f>
        <v>20/07/2026</v>
      </c>
      <c r="I161" s="28" t="str">
        <f ca="1">Master_List!$AW$4</f>
        <v>28.5</v>
      </c>
      <c r="J161" s="6" t="str">
        <f ca="1">Master_List!$AW$5</f>
        <v>65</v>
      </c>
      <c r="K161" s="6" t="s">
        <v>579</v>
      </c>
      <c r="L161" s="22"/>
      <c r="M161" s="25"/>
      <c r="N161" s="25"/>
      <c r="O161" s="25"/>
      <c r="P161" s="25"/>
      <c r="Q161" s="25"/>
      <c r="R161" s="25"/>
      <c r="S161" s="25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6"/>
      <c r="BE161" s="6"/>
      <c r="BF161" s="6"/>
      <c r="BG161" s="6"/>
      <c r="BH161" s="6"/>
      <c r="BL161" s="4" t="s">
        <v>1744</v>
      </c>
      <c r="BM161" s="4" t="s">
        <v>1830</v>
      </c>
      <c r="BN161" s="4" t="s">
        <v>1748</v>
      </c>
      <c r="BO161" s="4" t="str">
        <f t="shared" si="2"/>
        <v>C:\Users\aremi\Desktop\REPORT CBM\PO TIANU JB\03. Raw Material\40. 10052026 SSU MEDINI SIGNATURE 33KV (VI)\IR</v>
      </c>
      <c r="BP161" t="s">
        <v>721</v>
      </c>
    </row>
    <row r="162" spans="1:68" ht="15" customHeight="1" x14ac:dyDescent="0.25">
      <c r="A162" s="4">
        <v>81</v>
      </c>
      <c r="B162" s="4" t="s">
        <v>713</v>
      </c>
      <c r="C162" s="4">
        <v>3</v>
      </c>
      <c r="D162" s="4" t="s">
        <v>1760</v>
      </c>
      <c r="E162" s="4">
        <v>5</v>
      </c>
      <c r="F162" s="6" t="str">
        <f ca="1">Master_List!$AW$1</f>
        <v>PERPUSTAKAAN PUSAT</v>
      </c>
      <c r="G162" s="27" t="str">
        <f ca="1">Master_List!$AW$2</f>
        <v>09:30 PM</v>
      </c>
      <c r="H162" s="32" t="str">
        <f ca="1">Master_List!$AW$3</f>
        <v>20/07/2026</v>
      </c>
      <c r="I162" s="28" t="str">
        <f ca="1">Master_List!$AW$4</f>
        <v>28.5</v>
      </c>
      <c r="J162" s="6" t="str">
        <f ca="1">Master_List!$AW$5</f>
        <v>65</v>
      </c>
      <c r="K162" s="6" t="s">
        <v>582</v>
      </c>
      <c r="L162" s="22"/>
      <c r="M162" s="25"/>
      <c r="N162" s="25"/>
      <c r="O162" s="25"/>
      <c r="P162" s="25"/>
      <c r="Q162" s="25"/>
      <c r="R162" s="25"/>
      <c r="S162" s="25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6"/>
      <c r="BE162" s="6"/>
      <c r="BF162" s="6"/>
      <c r="BG162" s="6"/>
      <c r="BH162" s="6"/>
      <c r="BL162" s="4" t="s">
        <v>1744</v>
      </c>
      <c r="BM162" s="4" t="s">
        <v>1831</v>
      </c>
      <c r="BN162" s="4" t="s">
        <v>1746</v>
      </c>
      <c r="BO162" s="4" t="str">
        <f t="shared" si="2"/>
        <v>C:\Users\aremi\Desktop\REPORT CBM\PO TIANU JB\03. Raw Material\40. 10052026 SSU MEDINI SIGNATURE 33KV (VI)\IR</v>
      </c>
      <c r="BP162" t="s">
        <v>722</v>
      </c>
    </row>
    <row r="163" spans="1:68" ht="15" customHeight="1" x14ac:dyDescent="0.25">
      <c r="A163" s="4">
        <v>81</v>
      </c>
      <c r="B163" s="4" t="s">
        <v>713</v>
      </c>
      <c r="C163" s="4">
        <v>3</v>
      </c>
      <c r="D163" s="4" t="s">
        <v>1760</v>
      </c>
      <c r="E163" s="4">
        <v>5</v>
      </c>
      <c r="F163" s="6" t="str">
        <f ca="1">Master_List!$AW$1</f>
        <v>PERPUSTAKAAN PUSAT</v>
      </c>
      <c r="G163" s="27" t="str">
        <f ca="1">Master_List!$AW$2</f>
        <v>09:30 PM</v>
      </c>
      <c r="H163" s="32" t="str">
        <f ca="1">Master_List!$AW$3</f>
        <v>20/07/2026</v>
      </c>
      <c r="I163" s="28" t="str">
        <f ca="1">Master_List!$AW$4</f>
        <v>28.5</v>
      </c>
      <c r="J163" s="6" t="str">
        <f ca="1">Master_List!$AW$5</f>
        <v>65</v>
      </c>
      <c r="K163" s="6" t="s">
        <v>582</v>
      </c>
      <c r="L163" s="22"/>
      <c r="M163" s="25"/>
      <c r="N163" s="25"/>
      <c r="O163" s="25"/>
      <c r="P163" s="25"/>
      <c r="Q163" s="25"/>
      <c r="R163" s="25"/>
      <c r="S163" s="25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6"/>
      <c r="BE163" s="6"/>
      <c r="BF163" s="6"/>
      <c r="BG163" s="6"/>
      <c r="BH163" s="6"/>
      <c r="BL163" s="4" t="s">
        <v>1744</v>
      </c>
      <c r="BM163" s="4" t="s">
        <v>1831</v>
      </c>
      <c r="BN163" s="4" t="s">
        <v>1748</v>
      </c>
      <c r="BO163" s="4" t="str">
        <f t="shared" si="2"/>
        <v>C:\Users\aremi\Desktop\REPORT CBM\PO TIANU JB\03. Raw Material\40. 10052026 SSU MEDINI SIGNATURE 33KV (VI)\IR</v>
      </c>
      <c r="BP163" t="s">
        <v>723</v>
      </c>
    </row>
    <row r="164" spans="1:68" ht="15" customHeight="1" x14ac:dyDescent="0.25">
      <c r="A164" s="4">
        <v>82</v>
      </c>
      <c r="B164" s="4" t="s">
        <v>713</v>
      </c>
      <c r="C164" s="4">
        <v>3</v>
      </c>
      <c r="D164" s="4" t="s">
        <v>1760</v>
      </c>
      <c r="E164" s="4">
        <v>6</v>
      </c>
      <c r="F164" s="6" t="str">
        <f ca="1">Master_List!$AW$1</f>
        <v>PERPUSTAKAAN PUSAT</v>
      </c>
      <c r="G164" s="27" t="str">
        <f ca="1">Master_List!$AW$2</f>
        <v>09:30 PM</v>
      </c>
      <c r="H164" s="32" t="str">
        <f ca="1">Master_List!$AW$3</f>
        <v>20/07/2026</v>
      </c>
      <c r="I164" s="28" t="str">
        <f ca="1">Master_List!$AW$4</f>
        <v>28.5</v>
      </c>
      <c r="J164" s="6" t="str">
        <f ca="1">Master_List!$AW$5</f>
        <v>65</v>
      </c>
      <c r="K164" s="6" t="s">
        <v>585</v>
      </c>
      <c r="L164" s="22"/>
      <c r="M164" s="25"/>
      <c r="N164" s="25"/>
      <c r="O164" s="25"/>
      <c r="P164" s="25"/>
      <c r="Q164" s="25"/>
      <c r="R164" s="25"/>
      <c r="S164" s="25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6"/>
      <c r="BE164" s="6"/>
      <c r="BF164" s="6"/>
      <c r="BG164" s="6"/>
      <c r="BH164" s="6"/>
      <c r="BL164" s="4" t="s">
        <v>1744</v>
      </c>
      <c r="BM164" s="4" t="s">
        <v>1832</v>
      </c>
      <c r="BN164" s="4" t="s">
        <v>1746</v>
      </c>
      <c r="BO164" s="4" t="str">
        <f t="shared" si="2"/>
        <v>C:\Users\aremi\Desktop\REPORT CBM\PO TIANU JB\03. Raw Material\40. 10052026 SSU MEDINI SIGNATURE 33KV (VI)\IR</v>
      </c>
      <c r="BP164" t="s">
        <v>724</v>
      </c>
    </row>
    <row r="165" spans="1:68" ht="15" customHeight="1" x14ac:dyDescent="0.25">
      <c r="A165" s="4">
        <v>82</v>
      </c>
      <c r="B165" s="4" t="s">
        <v>713</v>
      </c>
      <c r="C165" s="4">
        <v>3</v>
      </c>
      <c r="D165" s="4" t="s">
        <v>1760</v>
      </c>
      <c r="E165" s="4">
        <v>6</v>
      </c>
      <c r="F165" s="6" t="str">
        <f ca="1">Master_List!$AW$1</f>
        <v>PERPUSTAKAAN PUSAT</v>
      </c>
      <c r="G165" s="27" t="str">
        <f ca="1">Master_List!$AW$2</f>
        <v>09:30 PM</v>
      </c>
      <c r="H165" s="32" t="str">
        <f ca="1">Master_List!$AW$3</f>
        <v>20/07/2026</v>
      </c>
      <c r="I165" s="28" t="str">
        <f ca="1">Master_List!$AW$4</f>
        <v>28.5</v>
      </c>
      <c r="J165" s="6" t="str">
        <f ca="1">Master_List!$AW$5</f>
        <v>65</v>
      </c>
      <c r="K165" s="6" t="s">
        <v>585</v>
      </c>
      <c r="L165" s="22"/>
      <c r="M165" s="25"/>
      <c r="N165" s="25"/>
      <c r="O165" s="25"/>
      <c r="P165" s="25"/>
      <c r="Q165" s="25"/>
      <c r="R165" s="25"/>
      <c r="S165" s="25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6"/>
      <c r="BE165" s="6"/>
      <c r="BF165" s="6"/>
      <c r="BG165" s="6"/>
      <c r="BH165" s="6"/>
      <c r="BL165" s="4" t="s">
        <v>1744</v>
      </c>
      <c r="BM165" s="4" t="s">
        <v>1832</v>
      </c>
      <c r="BN165" s="4" t="s">
        <v>1748</v>
      </c>
      <c r="BO165" s="4" t="str">
        <f t="shared" si="2"/>
        <v>C:\Users\aremi\Desktop\REPORT CBM\PO TIANU JB\03. Raw Material\40. 10052026 SSU MEDINI SIGNATURE 33KV (VI)\IR</v>
      </c>
      <c r="BP165" t="s">
        <v>725</v>
      </c>
    </row>
    <row r="166" spans="1:68" ht="15" customHeight="1" x14ac:dyDescent="0.25">
      <c r="A166" s="4">
        <v>83</v>
      </c>
      <c r="B166" s="4" t="s">
        <v>713</v>
      </c>
      <c r="C166" s="4">
        <v>3</v>
      </c>
      <c r="D166" s="4" t="s">
        <v>1767</v>
      </c>
      <c r="E166" s="4">
        <v>7</v>
      </c>
      <c r="F166" s="6" t="str">
        <f ca="1">Master_List!$AW$1</f>
        <v>PERPUSTAKAAN PUSAT</v>
      </c>
      <c r="G166" s="27" t="str">
        <f ca="1">Master_List!$AW$2</f>
        <v>09:30 PM</v>
      </c>
      <c r="H166" s="32" t="str">
        <f ca="1">Master_List!$AW$3</f>
        <v>20/07/2026</v>
      </c>
      <c r="I166" s="28" t="str">
        <f ca="1">Master_List!$AW$4</f>
        <v>28.5</v>
      </c>
      <c r="J166" s="6" t="str">
        <f ca="1">Master_List!$AW$5</f>
        <v>65</v>
      </c>
      <c r="K166" s="6" t="s">
        <v>588</v>
      </c>
      <c r="L166" s="22"/>
      <c r="M166" s="25"/>
      <c r="N166" s="25"/>
      <c r="O166" s="25"/>
      <c r="P166" s="25"/>
      <c r="Q166" s="25"/>
      <c r="R166" s="25"/>
      <c r="S166" s="25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6"/>
      <c r="BE166" s="6"/>
      <c r="BF166" s="6"/>
      <c r="BG166" s="6"/>
      <c r="BH166" s="6"/>
      <c r="BL166" s="4" t="s">
        <v>1744</v>
      </c>
      <c r="BM166" s="4" t="s">
        <v>1833</v>
      </c>
      <c r="BN166" s="4" t="s">
        <v>1746</v>
      </c>
      <c r="BO166" s="4" t="str">
        <f t="shared" si="2"/>
        <v>C:\Users\aremi\Desktop\REPORT CBM\PO TIANU JB\03. Raw Material\40. 10052026 SSU MEDINI SIGNATURE 33KV (VI)\IR</v>
      </c>
      <c r="BP166" t="s">
        <v>726</v>
      </c>
    </row>
    <row r="167" spans="1:68" ht="15" customHeight="1" x14ac:dyDescent="0.25">
      <c r="A167" s="4">
        <v>83</v>
      </c>
      <c r="B167" s="4" t="s">
        <v>713</v>
      </c>
      <c r="C167" s="4">
        <v>3</v>
      </c>
      <c r="D167" s="4" t="s">
        <v>1767</v>
      </c>
      <c r="E167" s="4">
        <v>7</v>
      </c>
      <c r="F167" s="6" t="str">
        <f ca="1">Master_List!$AW$1</f>
        <v>PERPUSTAKAAN PUSAT</v>
      </c>
      <c r="G167" s="27" t="str">
        <f ca="1">Master_List!$AW$2</f>
        <v>09:30 PM</v>
      </c>
      <c r="H167" s="32" t="str">
        <f ca="1">Master_List!$AW$3</f>
        <v>20/07/2026</v>
      </c>
      <c r="I167" s="28" t="str">
        <f ca="1">Master_List!$AW$4</f>
        <v>28.5</v>
      </c>
      <c r="J167" s="6" t="str">
        <f ca="1">Master_List!$AW$5</f>
        <v>65</v>
      </c>
      <c r="K167" s="6" t="s">
        <v>588</v>
      </c>
      <c r="L167" s="22"/>
      <c r="M167" s="25"/>
      <c r="N167" s="25"/>
      <c r="O167" s="25"/>
      <c r="P167" s="25"/>
      <c r="Q167" s="25"/>
      <c r="R167" s="25"/>
      <c r="S167" s="25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6"/>
      <c r="BE167" s="6"/>
      <c r="BF167" s="6"/>
      <c r="BG167" s="6"/>
      <c r="BH167" s="6"/>
      <c r="BL167" s="4" t="s">
        <v>1744</v>
      </c>
      <c r="BM167" s="4" t="s">
        <v>1833</v>
      </c>
      <c r="BN167" s="4" t="s">
        <v>1748</v>
      </c>
      <c r="BO167" s="4" t="str">
        <f t="shared" si="2"/>
        <v>C:\Users\aremi\Desktop\REPORT CBM\PO TIANU JB\03. Raw Material\40. 10052026 SSU MEDINI SIGNATURE 33KV (VI)\IR</v>
      </c>
      <c r="BP167" t="s">
        <v>727</v>
      </c>
    </row>
    <row r="168" spans="1:68" ht="15" customHeight="1" x14ac:dyDescent="0.25">
      <c r="A168" s="4">
        <v>84</v>
      </c>
      <c r="B168" s="4" t="s">
        <v>713</v>
      </c>
      <c r="C168" s="4">
        <v>3</v>
      </c>
      <c r="D168" s="4" t="s">
        <v>1769</v>
      </c>
      <c r="E168" s="4">
        <v>8</v>
      </c>
      <c r="F168" s="6" t="str">
        <f ca="1">Master_List!$AW$1</f>
        <v>PERPUSTAKAAN PUSAT</v>
      </c>
      <c r="G168" s="27" t="str">
        <f ca="1">Master_List!$AW$2</f>
        <v>09:30 PM</v>
      </c>
      <c r="H168" s="32" t="str">
        <f ca="1">Master_List!$AW$3</f>
        <v>20/07/2026</v>
      </c>
      <c r="I168" s="28" t="str">
        <f ca="1">Master_List!$AW$4</f>
        <v>28.5</v>
      </c>
      <c r="J168" s="6" t="str">
        <f ca="1">Master_List!$AW$5</f>
        <v>65</v>
      </c>
      <c r="K168" s="6" t="s">
        <v>591</v>
      </c>
      <c r="L168" s="22"/>
      <c r="M168" s="25"/>
      <c r="N168" s="25"/>
      <c r="O168" s="25"/>
      <c r="P168" s="25"/>
      <c r="Q168" s="25"/>
      <c r="R168" s="25"/>
      <c r="S168" s="25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6"/>
      <c r="BE168" s="6"/>
      <c r="BF168" s="6"/>
      <c r="BG168" s="6"/>
      <c r="BH168" s="6"/>
      <c r="BL168" s="4" t="s">
        <v>1744</v>
      </c>
      <c r="BM168" s="4" t="s">
        <v>1834</v>
      </c>
      <c r="BN168" s="4" t="s">
        <v>1746</v>
      </c>
      <c r="BO168" s="4" t="str">
        <f t="shared" si="2"/>
        <v>C:\Users\aremi\Desktop\REPORT CBM\PO TIANU JB\03. Raw Material\40. 10052026 SSU MEDINI SIGNATURE 33KV (VI)\IR</v>
      </c>
      <c r="BP168" t="s">
        <v>728</v>
      </c>
    </row>
    <row r="169" spans="1:68" ht="15" customHeight="1" x14ac:dyDescent="0.25">
      <c r="A169" s="4">
        <v>84</v>
      </c>
      <c r="B169" s="4" t="s">
        <v>713</v>
      </c>
      <c r="C169" s="4">
        <v>3</v>
      </c>
      <c r="D169" s="4" t="s">
        <v>1769</v>
      </c>
      <c r="E169" s="4">
        <v>8</v>
      </c>
      <c r="F169" s="6" t="str">
        <f ca="1">Master_List!$AW$1</f>
        <v>PERPUSTAKAAN PUSAT</v>
      </c>
      <c r="G169" s="27" t="str">
        <f ca="1">Master_List!$AW$2</f>
        <v>09:30 PM</v>
      </c>
      <c r="H169" s="32" t="str">
        <f ca="1">Master_List!$AW$3</f>
        <v>20/07/2026</v>
      </c>
      <c r="I169" s="28" t="str">
        <f ca="1">Master_List!$AW$4</f>
        <v>28.5</v>
      </c>
      <c r="J169" s="6" t="str">
        <f ca="1">Master_List!$AW$5</f>
        <v>65</v>
      </c>
      <c r="K169" s="6" t="s">
        <v>591</v>
      </c>
      <c r="L169" s="22"/>
      <c r="M169" s="25"/>
      <c r="N169" s="25"/>
      <c r="O169" s="25"/>
      <c r="P169" s="25"/>
      <c r="Q169" s="25"/>
      <c r="R169" s="25"/>
      <c r="S169" s="25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6"/>
      <c r="BE169" s="6"/>
      <c r="BF169" s="6"/>
      <c r="BG169" s="6"/>
      <c r="BH169" s="6"/>
      <c r="BL169" s="4" t="s">
        <v>1744</v>
      </c>
      <c r="BM169" s="4" t="s">
        <v>1834</v>
      </c>
      <c r="BN169" s="4" t="s">
        <v>1748</v>
      </c>
      <c r="BO169" s="4" t="str">
        <f t="shared" si="2"/>
        <v>C:\Users\aremi\Desktop\REPORT CBM\PO TIANU JB\03. Raw Material\40. 10052026 SSU MEDINI SIGNATURE 33KV (VI)\IR</v>
      </c>
      <c r="BP169" t="s">
        <v>729</v>
      </c>
    </row>
    <row r="170" spans="1:68" ht="15" customHeight="1" x14ac:dyDescent="0.25">
      <c r="A170" s="4">
        <v>85</v>
      </c>
      <c r="B170" s="4" t="s">
        <v>730</v>
      </c>
      <c r="C170" s="4">
        <v>3</v>
      </c>
      <c r="D170" s="4" t="s">
        <v>1760</v>
      </c>
      <c r="E170" s="4">
        <v>1</v>
      </c>
      <c r="F170" s="6" t="str">
        <f ca="1">Master_List!$AW$1</f>
        <v>PERPUSTAKAAN PUSAT</v>
      </c>
      <c r="G170" s="27" t="str">
        <f ca="1">Master_List!$AW$2</f>
        <v>09:30 PM</v>
      </c>
      <c r="H170" s="32" t="str">
        <f ca="1">Master_List!$AW$3</f>
        <v>20/07/2026</v>
      </c>
      <c r="I170" s="28" t="str">
        <f ca="1">Master_List!$AW$4</f>
        <v>28.5</v>
      </c>
      <c r="J170" s="6" t="str">
        <f ca="1">Master_List!$AW$5</f>
        <v>65</v>
      </c>
      <c r="K170" s="6" t="s">
        <v>570</v>
      </c>
      <c r="L170" s="22"/>
      <c r="M170" s="25"/>
      <c r="N170" s="25"/>
      <c r="O170" s="25"/>
      <c r="P170" s="25"/>
      <c r="Q170" s="25"/>
      <c r="R170" s="25"/>
      <c r="S170" s="25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6"/>
      <c r="BE170" s="6"/>
      <c r="BF170" s="6"/>
      <c r="BG170" s="6"/>
      <c r="BH170" s="6"/>
      <c r="BL170" s="4" t="s">
        <v>1744</v>
      </c>
      <c r="BM170" s="4" t="s">
        <v>1835</v>
      </c>
      <c r="BN170" s="4" t="s">
        <v>1746</v>
      </c>
      <c r="BO170" s="4" t="str">
        <f t="shared" si="2"/>
        <v>C:\Users\aremi\Desktop\REPORT CBM\PO TIANU JB\03. Raw Material\40. 10052026 SSU MEDINI SIGNATURE 33KV (VI)\IR</v>
      </c>
      <c r="BP170" t="s">
        <v>731</v>
      </c>
    </row>
    <row r="171" spans="1:68" ht="15" customHeight="1" x14ac:dyDescent="0.25">
      <c r="A171" s="4">
        <v>85</v>
      </c>
      <c r="B171" s="4" t="s">
        <v>730</v>
      </c>
      <c r="C171" s="4">
        <v>3</v>
      </c>
      <c r="D171" s="4" t="s">
        <v>1760</v>
      </c>
      <c r="E171" s="4">
        <v>1</v>
      </c>
      <c r="F171" s="6" t="str">
        <f ca="1">Master_List!$AW$1</f>
        <v>PERPUSTAKAAN PUSAT</v>
      </c>
      <c r="G171" s="27" t="str">
        <f ca="1">Master_List!$AW$2</f>
        <v>09:30 PM</v>
      </c>
      <c r="H171" s="32" t="str">
        <f ca="1">Master_List!$AW$3</f>
        <v>20/07/2026</v>
      </c>
      <c r="I171" s="28" t="str">
        <f ca="1">Master_List!$AW$4</f>
        <v>28.5</v>
      </c>
      <c r="J171" s="6" t="str">
        <f ca="1">Master_List!$AW$5</f>
        <v>65</v>
      </c>
      <c r="K171" s="6" t="s">
        <v>570</v>
      </c>
      <c r="L171" s="22"/>
      <c r="M171" s="25"/>
      <c r="N171" s="25"/>
      <c r="O171" s="25"/>
      <c r="P171" s="25"/>
      <c r="Q171" s="25"/>
      <c r="R171" s="25"/>
      <c r="S171" s="25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6"/>
      <c r="BE171" s="6"/>
      <c r="BF171" s="6"/>
      <c r="BG171" s="6"/>
      <c r="BH171" s="6"/>
      <c r="BL171" s="4" t="s">
        <v>1744</v>
      </c>
      <c r="BM171" s="4" t="s">
        <v>1835</v>
      </c>
      <c r="BN171" s="4" t="s">
        <v>1748</v>
      </c>
      <c r="BO171" s="4" t="str">
        <f t="shared" si="2"/>
        <v>C:\Users\aremi\Desktop\REPORT CBM\PO TIANU JB\03. Raw Material\40. 10052026 SSU MEDINI SIGNATURE 33KV (VI)\IR</v>
      </c>
      <c r="BP171" t="s">
        <v>732</v>
      </c>
    </row>
    <row r="172" spans="1:68" ht="15" customHeight="1" x14ac:dyDescent="0.25">
      <c r="A172" s="4">
        <v>86</v>
      </c>
      <c r="B172" s="4" t="s">
        <v>730</v>
      </c>
      <c r="C172" s="4">
        <v>3</v>
      </c>
      <c r="D172" s="4" t="s">
        <v>1760</v>
      </c>
      <c r="E172" s="4">
        <v>2</v>
      </c>
      <c r="F172" s="6" t="str">
        <f ca="1">Master_List!$AW$1</f>
        <v>PERPUSTAKAAN PUSAT</v>
      </c>
      <c r="G172" s="27" t="str">
        <f ca="1">Master_List!$AW$2</f>
        <v>09:30 PM</v>
      </c>
      <c r="H172" s="32" t="str">
        <f ca="1">Master_List!$AW$3</f>
        <v>20/07/2026</v>
      </c>
      <c r="I172" s="28" t="str">
        <f ca="1">Master_List!$AW$4</f>
        <v>28.5</v>
      </c>
      <c r="J172" s="6" t="str">
        <f ca="1">Master_List!$AW$5</f>
        <v>65</v>
      </c>
      <c r="K172" s="6" t="s">
        <v>573</v>
      </c>
      <c r="L172" s="22"/>
      <c r="M172" s="25"/>
      <c r="N172" s="25"/>
      <c r="O172" s="25"/>
      <c r="P172" s="25"/>
      <c r="Q172" s="25"/>
      <c r="R172" s="25"/>
      <c r="S172" s="25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6"/>
      <c r="BE172" s="6"/>
      <c r="BF172" s="6"/>
      <c r="BG172" s="6"/>
      <c r="BH172" s="6"/>
      <c r="BL172" s="4" t="s">
        <v>1744</v>
      </c>
      <c r="BM172" s="4" t="s">
        <v>1836</v>
      </c>
      <c r="BN172" s="4" t="s">
        <v>1746</v>
      </c>
      <c r="BO172" s="4" t="str">
        <f t="shared" si="2"/>
        <v>C:\Users\aremi\Desktop\REPORT CBM\PO TIANU JB\03. Raw Material\40. 10052026 SSU MEDINI SIGNATURE 33KV (VI)\IR</v>
      </c>
      <c r="BP172" t="s">
        <v>733</v>
      </c>
    </row>
    <row r="173" spans="1:68" ht="15" customHeight="1" x14ac:dyDescent="0.25">
      <c r="A173" s="4">
        <v>86</v>
      </c>
      <c r="B173" s="4" t="s">
        <v>730</v>
      </c>
      <c r="C173" s="4">
        <v>3</v>
      </c>
      <c r="D173" s="4" t="s">
        <v>1760</v>
      </c>
      <c r="E173" s="4">
        <v>2</v>
      </c>
      <c r="F173" s="6" t="str">
        <f ca="1">Master_List!$AW$1</f>
        <v>PERPUSTAKAAN PUSAT</v>
      </c>
      <c r="G173" s="27" t="str">
        <f ca="1">Master_List!$AW$2</f>
        <v>09:30 PM</v>
      </c>
      <c r="H173" s="32" t="str">
        <f ca="1">Master_List!$AW$3</f>
        <v>20/07/2026</v>
      </c>
      <c r="I173" s="28" t="str">
        <f ca="1">Master_List!$AW$4</f>
        <v>28.5</v>
      </c>
      <c r="J173" s="6" t="str">
        <f ca="1">Master_List!$AW$5</f>
        <v>65</v>
      </c>
      <c r="K173" s="6" t="s">
        <v>573</v>
      </c>
      <c r="L173" s="22"/>
      <c r="M173" s="25"/>
      <c r="N173" s="25"/>
      <c r="O173" s="25"/>
      <c r="P173" s="25"/>
      <c r="Q173" s="25"/>
      <c r="R173" s="25"/>
      <c r="S173" s="25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6"/>
      <c r="BE173" s="6"/>
      <c r="BF173" s="6"/>
      <c r="BG173" s="6"/>
      <c r="BH173" s="6"/>
      <c r="BL173" s="4" t="s">
        <v>1744</v>
      </c>
      <c r="BM173" s="4" t="s">
        <v>1836</v>
      </c>
      <c r="BN173" s="4" t="s">
        <v>1748</v>
      </c>
      <c r="BO173" s="4" t="str">
        <f t="shared" si="2"/>
        <v>C:\Users\aremi\Desktop\REPORT CBM\PO TIANU JB\03. Raw Material\40. 10052026 SSU MEDINI SIGNATURE 33KV (VI)\IR</v>
      </c>
      <c r="BP173" t="s">
        <v>734</v>
      </c>
    </row>
    <row r="174" spans="1:68" ht="15" customHeight="1" x14ac:dyDescent="0.25">
      <c r="A174" s="4">
        <v>87</v>
      </c>
      <c r="B174" s="4" t="s">
        <v>730</v>
      </c>
      <c r="C174" s="4">
        <v>3</v>
      </c>
      <c r="D174" s="4" t="s">
        <v>1760</v>
      </c>
      <c r="E174" s="4">
        <v>3</v>
      </c>
      <c r="F174" s="6" t="str">
        <f ca="1">Master_List!$AW$1</f>
        <v>PERPUSTAKAAN PUSAT</v>
      </c>
      <c r="G174" s="27" t="str">
        <f ca="1">Master_List!$AW$2</f>
        <v>09:30 PM</v>
      </c>
      <c r="H174" s="32" t="str">
        <f ca="1">Master_List!$AW$3</f>
        <v>20/07/2026</v>
      </c>
      <c r="I174" s="28" t="str">
        <f ca="1">Master_List!$AW$4</f>
        <v>28.5</v>
      </c>
      <c r="J174" s="6" t="str">
        <f ca="1">Master_List!$AW$5</f>
        <v>65</v>
      </c>
      <c r="K174" s="6" t="s">
        <v>576</v>
      </c>
      <c r="L174" s="22"/>
      <c r="M174" s="25"/>
      <c r="N174" s="25"/>
      <c r="O174" s="25"/>
      <c r="P174" s="25"/>
      <c r="Q174" s="25"/>
      <c r="R174" s="25"/>
      <c r="S174" s="25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6"/>
      <c r="BE174" s="6"/>
      <c r="BF174" s="6"/>
      <c r="BG174" s="6"/>
      <c r="BH174" s="6"/>
      <c r="BL174" s="4" t="s">
        <v>1744</v>
      </c>
      <c r="BM174" s="4" t="s">
        <v>1837</v>
      </c>
      <c r="BN174" s="4" t="s">
        <v>1746</v>
      </c>
      <c r="BO174" s="4" t="str">
        <f t="shared" si="2"/>
        <v>C:\Users\aremi\Desktop\REPORT CBM\PO TIANU JB\03. Raw Material\40. 10052026 SSU MEDINI SIGNATURE 33KV (VI)\IR</v>
      </c>
      <c r="BP174" t="s">
        <v>735</v>
      </c>
    </row>
    <row r="175" spans="1:68" ht="15" customHeight="1" x14ac:dyDescent="0.25">
      <c r="A175" s="4">
        <v>87</v>
      </c>
      <c r="B175" s="4" t="s">
        <v>730</v>
      </c>
      <c r="C175" s="4">
        <v>3</v>
      </c>
      <c r="D175" s="4" t="s">
        <v>1760</v>
      </c>
      <c r="E175" s="4">
        <v>3</v>
      </c>
      <c r="F175" s="6" t="str">
        <f ca="1">Master_List!$AW$1</f>
        <v>PERPUSTAKAAN PUSAT</v>
      </c>
      <c r="G175" s="27" t="str">
        <f ca="1">Master_List!$AW$2</f>
        <v>09:30 PM</v>
      </c>
      <c r="H175" s="32" t="str">
        <f ca="1">Master_List!$AW$3</f>
        <v>20/07/2026</v>
      </c>
      <c r="I175" s="28" t="str">
        <f ca="1">Master_List!$AW$4</f>
        <v>28.5</v>
      </c>
      <c r="J175" s="6" t="str">
        <f ca="1">Master_List!$AW$5</f>
        <v>65</v>
      </c>
      <c r="K175" s="6" t="s">
        <v>576</v>
      </c>
      <c r="L175" s="22"/>
      <c r="M175" s="25"/>
      <c r="N175" s="25"/>
      <c r="O175" s="25"/>
      <c r="P175" s="25"/>
      <c r="Q175" s="25"/>
      <c r="R175" s="25"/>
      <c r="S175" s="25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6"/>
      <c r="BE175" s="6"/>
      <c r="BF175" s="6"/>
      <c r="BG175" s="6"/>
      <c r="BH175" s="6"/>
      <c r="BL175" s="4" t="s">
        <v>1744</v>
      </c>
      <c r="BM175" s="4" t="s">
        <v>1837</v>
      </c>
      <c r="BN175" s="4" t="s">
        <v>1748</v>
      </c>
      <c r="BO175" s="4" t="str">
        <f t="shared" si="2"/>
        <v>C:\Users\aremi\Desktop\REPORT CBM\PO TIANU JB\03. Raw Material\40. 10052026 SSU MEDINI SIGNATURE 33KV (VI)\IR</v>
      </c>
      <c r="BP175" t="s">
        <v>736</v>
      </c>
    </row>
    <row r="176" spans="1:68" ht="15" customHeight="1" x14ac:dyDescent="0.25">
      <c r="A176" s="4">
        <v>88</v>
      </c>
      <c r="B176" s="4" t="s">
        <v>730</v>
      </c>
      <c r="C176" s="4">
        <v>3</v>
      </c>
      <c r="D176" s="4" t="s">
        <v>1760</v>
      </c>
      <c r="E176" s="4">
        <v>4</v>
      </c>
      <c r="F176" s="6" t="str">
        <f ca="1">Master_List!$AW$1</f>
        <v>PERPUSTAKAAN PUSAT</v>
      </c>
      <c r="G176" s="27" t="str">
        <f ca="1">Master_List!$AW$2</f>
        <v>09:30 PM</v>
      </c>
      <c r="H176" s="32" t="str">
        <f ca="1">Master_List!$AW$3</f>
        <v>20/07/2026</v>
      </c>
      <c r="I176" s="28" t="str">
        <f ca="1">Master_List!$AW$4</f>
        <v>28.5</v>
      </c>
      <c r="J176" s="6" t="str">
        <f ca="1">Master_List!$AW$5</f>
        <v>65</v>
      </c>
      <c r="K176" s="6" t="s">
        <v>579</v>
      </c>
      <c r="L176" s="22"/>
      <c r="M176" s="25"/>
      <c r="N176" s="25"/>
      <c r="O176" s="25"/>
      <c r="P176" s="25"/>
      <c r="Q176" s="25"/>
      <c r="R176" s="25"/>
      <c r="S176" s="25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6"/>
      <c r="BE176" s="6"/>
      <c r="BF176" s="6"/>
      <c r="BG176" s="6"/>
      <c r="BH176" s="6"/>
      <c r="BL176" s="4" t="s">
        <v>1744</v>
      </c>
      <c r="BM176" s="4" t="s">
        <v>1838</v>
      </c>
      <c r="BN176" s="4" t="s">
        <v>1746</v>
      </c>
      <c r="BO176" s="4" t="str">
        <f t="shared" si="2"/>
        <v>C:\Users\aremi\Desktop\REPORT CBM\PO TIANU JB\03. Raw Material\40. 10052026 SSU MEDINI SIGNATURE 33KV (VI)\IR</v>
      </c>
      <c r="BP176" t="s">
        <v>737</v>
      </c>
    </row>
    <row r="177" spans="1:68" ht="15" customHeight="1" x14ac:dyDescent="0.25">
      <c r="A177" s="4">
        <v>88</v>
      </c>
      <c r="B177" s="4" t="s">
        <v>730</v>
      </c>
      <c r="C177" s="4">
        <v>3</v>
      </c>
      <c r="D177" s="4" t="s">
        <v>1760</v>
      </c>
      <c r="E177" s="4">
        <v>4</v>
      </c>
      <c r="F177" s="6" t="str">
        <f ca="1">Master_List!$AW$1</f>
        <v>PERPUSTAKAAN PUSAT</v>
      </c>
      <c r="G177" s="27" t="str">
        <f ca="1">Master_List!$AW$2</f>
        <v>09:30 PM</v>
      </c>
      <c r="H177" s="32" t="str">
        <f ca="1">Master_List!$AW$3</f>
        <v>20/07/2026</v>
      </c>
      <c r="I177" s="28" t="str">
        <f ca="1">Master_List!$AW$4</f>
        <v>28.5</v>
      </c>
      <c r="J177" s="6" t="str">
        <f ca="1">Master_List!$AW$5</f>
        <v>65</v>
      </c>
      <c r="K177" s="6" t="s">
        <v>579</v>
      </c>
      <c r="L177" s="22"/>
      <c r="M177" s="25"/>
      <c r="N177" s="25"/>
      <c r="O177" s="25"/>
      <c r="P177" s="25"/>
      <c r="Q177" s="25"/>
      <c r="R177" s="25"/>
      <c r="S177" s="25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6"/>
      <c r="BE177" s="6"/>
      <c r="BF177" s="6"/>
      <c r="BG177" s="6"/>
      <c r="BH177" s="6"/>
      <c r="BL177" s="4" t="s">
        <v>1744</v>
      </c>
      <c r="BM177" s="4" t="s">
        <v>1838</v>
      </c>
      <c r="BN177" s="4" t="s">
        <v>1748</v>
      </c>
      <c r="BO177" s="4" t="str">
        <f t="shared" si="2"/>
        <v>C:\Users\aremi\Desktop\REPORT CBM\PO TIANU JB\03. Raw Material\40. 10052026 SSU MEDINI SIGNATURE 33KV (VI)\IR</v>
      </c>
      <c r="BP177" t="s">
        <v>738</v>
      </c>
    </row>
    <row r="178" spans="1:68" ht="15" customHeight="1" x14ac:dyDescent="0.25">
      <c r="A178" s="4">
        <v>89</v>
      </c>
      <c r="B178" s="4" t="s">
        <v>730</v>
      </c>
      <c r="C178" s="4">
        <v>3</v>
      </c>
      <c r="D178" s="4" t="s">
        <v>1760</v>
      </c>
      <c r="E178" s="4">
        <v>5</v>
      </c>
      <c r="F178" s="6" t="str">
        <f ca="1">Master_List!$AW$1</f>
        <v>PERPUSTAKAAN PUSAT</v>
      </c>
      <c r="G178" s="27" t="str">
        <f ca="1">Master_List!$AW$2</f>
        <v>09:30 PM</v>
      </c>
      <c r="H178" s="32" t="str">
        <f ca="1">Master_List!$AW$3</f>
        <v>20/07/2026</v>
      </c>
      <c r="I178" s="28" t="str">
        <f ca="1">Master_List!$AW$4</f>
        <v>28.5</v>
      </c>
      <c r="J178" s="6" t="str">
        <f ca="1">Master_List!$AW$5</f>
        <v>65</v>
      </c>
      <c r="K178" s="6" t="s">
        <v>582</v>
      </c>
      <c r="L178" s="22"/>
      <c r="M178" s="25"/>
      <c r="N178" s="25"/>
      <c r="O178" s="25"/>
      <c r="P178" s="25"/>
      <c r="Q178" s="25"/>
      <c r="R178" s="25"/>
      <c r="S178" s="25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6"/>
      <c r="BE178" s="6"/>
      <c r="BF178" s="6"/>
      <c r="BG178" s="6"/>
      <c r="BH178" s="6"/>
      <c r="BL178" s="4" t="s">
        <v>1744</v>
      </c>
      <c r="BM178" s="4" t="s">
        <v>1839</v>
      </c>
      <c r="BN178" s="4" t="s">
        <v>1746</v>
      </c>
      <c r="BO178" s="4" t="str">
        <f t="shared" si="2"/>
        <v>C:\Users\aremi\Desktop\REPORT CBM\PO TIANU JB\03. Raw Material\40. 10052026 SSU MEDINI SIGNATURE 33KV (VI)\IR</v>
      </c>
      <c r="BP178" t="s">
        <v>739</v>
      </c>
    </row>
    <row r="179" spans="1:68" ht="15" customHeight="1" x14ac:dyDescent="0.25">
      <c r="A179" s="4">
        <v>89</v>
      </c>
      <c r="B179" s="4" t="s">
        <v>730</v>
      </c>
      <c r="C179" s="4">
        <v>3</v>
      </c>
      <c r="D179" s="4" t="s">
        <v>1760</v>
      </c>
      <c r="E179" s="4">
        <v>5</v>
      </c>
      <c r="F179" s="6" t="str">
        <f ca="1">Master_List!$AW$1</f>
        <v>PERPUSTAKAAN PUSAT</v>
      </c>
      <c r="G179" s="27" t="str">
        <f ca="1">Master_List!$AW$2</f>
        <v>09:30 PM</v>
      </c>
      <c r="H179" s="32" t="str">
        <f ca="1">Master_List!$AW$3</f>
        <v>20/07/2026</v>
      </c>
      <c r="I179" s="28" t="str">
        <f ca="1">Master_List!$AW$4</f>
        <v>28.5</v>
      </c>
      <c r="J179" s="6" t="str">
        <f ca="1">Master_List!$AW$5</f>
        <v>65</v>
      </c>
      <c r="K179" s="6" t="s">
        <v>582</v>
      </c>
      <c r="L179" s="22"/>
      <c r="M179" s="25"/>
      <c r="N179" s="25"/>
      <c r="O179" s="25"/>
      <c r="P179" s="25"/>
      <c r="Q179" s="25"/>
      <c r="R179" s="25"/>
      <c r="S179" s="25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6"/>
      <c r="BE179" s="6"/>
      <c r="BF179" s="6"/>
      <c r="BG179" s="6"/>
      <c r="BH179" s="6"/>
      <c r="BL179" s="4" t="s">
        <v>1744</v>
      </c>
      <c r="BM179" s="4" t="s">
        <v>1839</v>
      </c>
      <c r="BN179" s="4" t="s">
        <v>1748</v>
      </c>
      <c r="BO179" s="4" t="str">
        <f t="shared" si="2"/>
        <v>C:\Users\aremi\Desktop\REPORT CBM\PO TIANU JB\03. Raw Material\40. 10052026 SSU MEDINI SIGNATURE 33KV (VI)\IR</v>
      </c>
      <c r="BP179" t="s">
        <v>740</v>
      </c>
    </row>
    <row r="180" spans="1:68" ht="15" customHeight="1" x14ac:dyDescent="0.25">
      <c r="A180" s="4">
        <v>90</v>
      </c>
      <c r="B180" s="4" t="s">
        <v>730</v>
      </c>
      <c r="C180" s="4">
        <v>3</v>
      </c>
      <c r="D180" s="4" t="s">
        <v>1760</v>
      </c>
      <c r="E180" s="4">
        <v>6</v>
      </c>
      <c r="F180" s="6" t="str">
        <f ca="1">Master_List!$AW$1</f>
        <v>PERPUSTAKAAN PUSAT</v>
      </c>
      <c r="G180" s="27" t="str">
        <f ca="1">Master_List!$AW$2</f>
        <v>09:30 PM</v>
      </c>
      <c r="H180" s="32" t="str">
        <f ca="1">Master_List!$AW$3</f>
        <v>20/07/2026</v>
      </c>
      <c r="I180" s="28" t="str">
        <f ca="1">Master_List!$AW$4</f>
        <v>28.5</v>
      </c>
      <c r="J180" s="6" t="str">
        <f ca="1">Master_List!$AW$5</f>
        <v>65</v>
      </c>
      <c r="K180" s="6" t="s">
        <v>585</v>
      </c>
      <c r="L180" s="22"/>
      <c r="M180" s="25"/>
      <c r="N180" s="25"/>
      <c r="O180" s="25"/>
      <c r="P180" s="25"/>
      <c r="Q180" s="25"/>
      <c r="R180" s="25"/>
      <c r="S180" s="25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6"/>
      <c r="BE180" s="6"/>
      <c r="BF180" s="6"/>
      <c r="BG180" s="6"/>
      <c r="BH180" s="6"/>
      <c r="BL180" s="4" t="s">
        <v>1744</v>
      </c>
      <c r="BM180" s="4" t="s">
        <v>1840</v>
      </c>
      <c r="BN180" s="4" t="s">
        <v>1746</v>
      </c>
      <c r="BO180" s="4" t="str">
        <f t="shared" si="2"/>
        <v>C:\Users\aremi\Desktop\REPORT CBM\PO TIANU JB\03. Raw Material\40. 10052026 SSU MEDINI SIGNATURE 33KV (VI)\IR</v>
      </c>
      <c r="BP180" t="s">
        <v>741</v>
      </c>
    </row>
    <row r="181" spans="1:68" ht="15" customHeight="1" x14ac:dyDescent="0.25">
      <c r="A181" s="4">
        <v>90</v>
      </c>
      <c r="B181" s="4" t="s">
        <v>730</v>
      </c>
      <c r="C181" s="4">
        <v>3</v>
      </c>
      <c r="D181" s="4" t="s">
        <v>1760</v>
      </c>
      <c r="E181" s="4">
        <v>6</v>
      </c>
      <c r="F181" s="6" t="str">
        <f ca="1">Master_List!$AW$1</f>
        <v>PERPUSTAKAAN PUSAT</v>
      </c>
      <c r="G181" s="27" t="str">
        <f ca="1">Master_List!$AW$2</f>
        <v>09:30 PM</v>
      </c>
      <c r="H181" s="32" t="str">
        <f ca="1">Master_List!$AW$3</f>
        <v>20/07/2026</v>
      </c>
      <c r="I181" s="28" t="str">
        <f ca="1">Master_List!$AW$4</f>
        <v>28.5</v>
      </c>
      <c r="J181" s="6" t="str">
        <f ca="1">Master_List!$AW$5</f>
        <v>65</v>
      </c>
      <c r="K181" s="6" t="s">
        <v>585</v>
      </c>
      <c r="L181" s="22"/>
      <c r="M181" s="25"/>
      <c r="N181" s="25"/>
      <c r="O181" s="25"/>
      <c r="P181" s="25"/>
      <c r="Q181" s="25"/>
      <c r="R181" s="25"/>
      <c r="S181" s="25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6"/>
      <c r="BE181" s="6"/>
      <c r="BF181" s="6"/>
      <c r="BG181" s="6"/>
      <c r="BH181" s="6"/>
      <c r="BL181" s="4" t="s">
        <v>1744</v>
      </c>
      <c r="BM181" s="4" t="s">
        <v>1840</v>
      </c>
      <c r="BN181" s="4" t="s">
        <v>1748</v>
      </c>
      <c r="BO181" s="4" t="str">
        <f t="shared" si="2"/>
        <v>C:\Users\aremi\Desktop\REPORT CBM\PO TIANU JB\03. Raw Material\40. 10052026 SSU MEDINI SIGNATURE 33KV (VI)\IR</v>
      </c>
      <c r="BP181" t="s">
        <v>742</v>
      </c>
    </row>
    <row r="182" spans="1:68" ht="15" customHeight="1" x14ac:dyDescent="0.25">
      <c r="A182" s="4">
        <v>91</v>
      </c>
      <c r="B182" s="4" t="s">
        <v>730</v>
      </c>
      <c r="C182" s="4">
        <v>3</v>
      </c>
      <c r="D182" s="4" t="s">
        <v>1767</v>
      </c>
      <c r="E182" s="4">
        <v>7</v>
      </c>
      <c r="F182" s="6" t="str">
        <f ca="1">Master_List!$AW$1</f>
        <v>PERPUSTAKAAN PUSAT</v>
      </c>
      <c r="G182" s="27" t="str">
        <f ca="1">Master_List!$AW$2</f>
        <v>09:30 PM</v>
      </c>
      <c r="H182" s="32" t="str">
        <f ca="1">Master_List!$AW$3</f>
        <v>20/07/2026</v>
      </c>
      <c r="I182" s="28" t="str">
        <f ca="1">Master_List!$AW$4</f>
        <v>28.5</v>
      </c>
      <c r="J182" s="6" t="str">
        <f ca="1">Master_List!$AW$5</f>
        <v>65</v>
      </c>
      <c r="K182" s="6" t="s">
        <v>588</v>
      </c>
      <c r="L182" s="22"/>
      <c r="M182" s="25"/>
      <c r="N182" s="25"/>
      <c r="O182" s="25"/>
      <c r="P182" s="25"/>
      <c r="Q182" s="25"/>
      <c r="R182" s="25"/>
      <c r="S182" s="25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6"/>
      <c r="BE182" s="6"/>
      <c r="BF182" s="6"/>
      <c r="BG182" s="6"/>
      <c r="BH182" s="6"/>
      <c r="BL182" s="4" t="s">
        <v>1744</v>
      </c>
      <c r="BM182" s="4" t="s">
        <v>1841</v>
      </c>
      <c r="BN182" s="4" t="s">
        <v>1746</v>
      </c>
      <c r="BO182" s="4" t="str">
        <f t="shared" si="2"/>
        <v>C:\Users\aremi\Desktop\REPORT CBM\PO TIANU JB\03. Raw Material\40. 10052026 SSU MEDINI SIGNATURE 33KV (VI)\IR</v>
      </c>
      <c r="BP182" t="s">
        <v>743</v>
      </c>
    </row>
    <row r="183" spans="1:68" ht="15" customHeight="1" x14ac:dyDescent="0.25">
      <c r="A183" s="4">
        <v>91</v>
      </c>
      <c r="B183" s="4" t="s">
        <v>730</v>
      </c>
      <c r="C183" s="4">
        <v>3</v>
      </c>
      <c r="D183" s="4" t="s">
        <v>1767</v>
      </c>
      <c r="E183" s="4">
        <v>7</v>
      </c>
      <c r="F183" s="6" t="str">
        <f ca="1">Master_List!$AW$1</f>
        <v>PERPUSTAKAAN PUSAT</v>
      </c>
      <c r="G183" s="27" t="str">
        <f ca="1">Master_List!$AW$2</f>
        <v>09:30 PM</v>
      </c>
      <c r="H183" s="32" t="str">
        <f ca="1">Master_List!$AW$3</f>
        <v>20/07/2026</v>
      </c>
      <c r="I183" s="28" t="str">
        <f ca="1">Master_List!$AW$4</f>
        <v>28.5</v>
      </c>
      <c r="J183" s="6" t="str">
        <f ca="1">Master_List!$AW$5</f>
        <v>65</v>
      </c>
      <c r="K183" s="6" t="s">
        <v>588</v>
      </c>
      <c r="L183" s="22"/>
      <c r="M183" s="25"/>
      <c r="N183" s="25"/>
      <c r="O183" s="25"/>
      <c r="P183" s="25"/>
      <c r="Q183" s="25"/>
      <c r="R183" s="25"/>
      <c r="S183" s="25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6"/>
      <c r="BE183" s="6"/>
      <c r="BF183" s="6"/>
      <c r="BG183" s="6"/>
      <c r="BH183" s="6"/>
      <c r="BL183" s="4" t="s">
        <v>1744</v>
      </c>
      <c r="BM183" s="4" t="s">
        <v>1841</v>
      </c>
      <c r="BN183" s="4" t="s">
        <v>1748</v>
      </c>
      <c r="BO183" s="4" t="str">
        <f t="shared" si="2"/>
        <v>C:\Users\aremi\Desktop\REPORT CBM\PO TIANU JB\03. Raw Material\40. 10052026 SSU MEDINI SIGNATURE 33KV (VI)\IR</v>
      </c>
      <c r="BP183" t="s">
        <v>744</v>
      </c>
    </row>
    <row r="184" spans="1:68" ht="15" customHeight="1" x14ac:dyDescent="0.25">
      <c r="A184" s="4">
        <v>92</v>
      </c>
      <c r="B184" s="4" t="s">
        <v>730</v>
      </c>
      <c r="C184" s="4">
        <v>3</v>
      </c>
      <c r="D184" s="4" t="s">
        <v>1769</v>
      </c>
      <c r="E184" s="4">
        <v>8</v>
      </c>
      <c r="F184" s="6" t="str">
        <f ca="1">Master_List!$AW$1</f>
        <v>PERPUSTAKAAN PUSAT</v>
      </c>
      <c r="G184" s="27" t="str">
        <f ca="1">Master_List!$AW$2</f>
        <v>09:30 PM</v>
      </c>
      <c r="H184" s="32" t="str">
        <f ca="1">Master_List!$AW$3</f>
        <v>20/07/2026</v>
      </c>
      <c r="I184" s="28" t="str">
        <f ca="1">Master_List!$AW$4</f>
        <v>28.5</v>
      </c>
      <c r="J184" s="6" t="str">
        <f ca="1">Master_List!$AW$5</f>
        <v>65</v>
      </c>
      <c r="K184" s="6" t="s">
        <v>591</v>
      </c>
      <c r="L184" s="22"/>
      <c r="M184" s="25"/>
      <c r="N184" s="25"/>
      <c r="O184" s="25"/>
      <c r="P184" s="25"/>
      <c r="Q184" s="25"/>
      <c r="R184" s="25"/>
      <c r="S184" s="25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6"/>
      <c r="BE184" s="6"/>
      <c r="BF184" s="6"/>
      <c r="BG184" s="6"/>
      <c r="BH184" s="6"/>
      <c r="BL184" s="4" t="s">
        <v>1744</v>
      </c>
      <c r="BM184" s="4" t="s">
        <v>1842</v>
      </c>
      <c r="BN184" s="4" t="s">
        <v>1746</v>
      </c>
      <c r="BO184" s="4" t="str">
        <f t="shared" si="2"/>
        <v>C:\Users\aremi\Desktop\REPORT CBM\PO TIANU JB\03. Raw Material\40. 10052026 SSU MEDINI SIGNATURE 33KV (VI)\IR</v>
      </c>
      <c r="BP184" t="s">
        <v>745</v>
      </c>
    </row>
    <row r="185" spans="1:68" ht="15" customHeight="1" x14ac:dyDescent="0.25">
      <c r="A185" s="4">
        <v>92</v>
      </c>
      <c r="B185" s="4" t="s">
        <v>730</v>
      </c>
      <c r="C185" s="4">
        <v>3</v>
      </c>
      <c r="D185" s="4" t="s">
        <v>1769</v>
      </c>
      <c r="E185" s="4">
        <v>8</v>
      </c>
      <c r="F185" s="6" t="str">
        <f ca="1">Master_List!$AW$1</f>
        <v>PERPUSTAKAAN PUSAT</v>
      </c>
      <c r="G185" s="27" t="str">
        <f ca="1">Master_List!$AW$2</f>
        <v>09:30 PM</v>
      </c>
      <c r="H185" s="32" t="str">
        <f ca="1">Master_List!$AW$3</f>
        <v>20/07/2026</v>
      </c>
      <c r="I185" s="28" t="str">
        <f ca="1">Master_List!$AW$4</f>
        <v>28.5</v>
      </c>
      <c r="J185" s="6" t="str">
        <f ca="1">Master_List!$AW$5</f>
        <v>65</v>
      </c>
      <c r="K185" s="6" t="s">
        <v>591</v>
      </c>
      <c r="L185" s="22"/>
      <c r="M185" s="25"/>
      <c r="N185" s="25"/>
      <c r="O185" s="25"/>
      <c r="P185" s="25"/>
      <c r="Q185" s="25"/>
      <c r="R185" s="25"/>
      <c r="S185" s="25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6"/>
      <c r="BE185" s="6"/>
      <c r="BF185" s="6"/>
      <c r="BG185" s="6"/>
      <c r="BH185" s="6"/>
      <c r="BL185" s="4" t="s">
        <v>1744</v>
      </c>
      <c r="BM185" s="4" t="s">
        <v>1842</v>
      </c>
      <c r="BN185" s="4" t="s">
        <v>1748</v>
      </c>
      <c r="BO185" s="4" t="str">
        <f t="shared" si="2"/>
        <v>C:\Users\aremi\Desktop\REPORT CBM\PO TIANU JB\03. Raw Material\40. 10052026 SSU MEDINI SIGNATURE 33KV (VI)\IR</v>
      </c>
      <c r="BP185" t="s">
        <v>746</v>
      </c>
    </row>
    <row r="186" spans="1:68" ht="15" customHeight="1" x14ac:dyDescent="0.25">
      <c r="A186" s="4">
        <v>93</v>
      </c>
      <c r="B186" s="4" t="s">
        <v>747</v>
      </c>
      <c r="C186" s="4">
        <v>4</v>
      </c>
      <c r="D186" s="4" t="s">
        <v>1760</v>
      </c>
      <c r="E186" s="4">
        <v>1</v>
      </c>
      <c r="F186" s="6" t="str">
        <f ca="1">Master_List!$AW$1</f>
        <v>PERPUSTAKAAN PUSAT</v>
      </c>
      <c r="G186" s="27" t="str">
        <f ca="1">Master_List!$AW$2</f>
        <v>09:30 PM</v>
      </c>
      <c r="H186" s="32" t="str">
        <f ca="1">Master_List!$AW$3</f>
        <v>20/07/2026</v>
      </c>
      <c r="I186" s="28" t="str">
        <f ca="1">Master_List!$AW$4</f>
        <v>28.5</v>
      </c>
      <c r="J186" s="6" t="str">
        <f ca="1">Master_List!$AW$5</f>
        <v>65</v>
      </c>
      <c r="K186" s="6" t="s">
        <v>570</v>
      </c>
      <c r="L186" s="22"/>
      <c r="M186" s="25"/>
      <c r="N186" s="25"/>
      <c r="O186" s="25"/>
      <c r="P186" s="25"/>
      <c r="Q186" s="25"/>
      <c r="R186" s="25"/>
      <c r="S186" s="25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6"/>
      <c r="BE186" s="6"/>
      <c r="BF186" s="6"/>
      <c r="BG186" s="6"/>
      <c r="BH186" s="6"/>
      <c r="BL186" s="4" t="s">
        <v>1744</v>
      </c>
      <c r="BM186" s="4" t="s">
        <v>1843</v>
      </c>
      <c r="BN186" s="4" t="s">
        <v>1746</v>
      </c>
      <c r="BO186" s="4" t="str">
        <f t="shared" si="2"/>
        <v>C:\Users\aremi\Desktop\REPORT CBM\PO TIANU JB\03. Raw Material\40. 10052026 SSU MEDINI SIGNATURE 33KV (VI)\IR</v>
      </c>
      <c r="BP186" t="s">
        <v>748</v>
      </c>
    </row>
    <row r="187" spans="1:68" ht="15" customHeight="1" x14ac:dyDescent="0.25">
      <c r="A187" s="4">
        <v>93</v>
      </c>
      <c r="B187" s="4" t="s">
        <v>747</v>
      </c>
      <c r="C187" s="4">
        <v>4</v>
      </c>
      <c r="D187" s="4" t="s">
        <v>1760</v>
      </c>
      <c r="E187" s="4">
        <v>1</v>
      </c>
      <c r="F187" s="6" t="str">
        <f ca="1">Master_List!$AW$1</f>
        <v>PERPUSTAKAAN PUSAT</v>
      </c>
      <c r="G187" s="27" t="str">
        <f ca="1">Master_List!$AW$2</f>
        <v>09:30 PM</v>
      </c>
      <c r="H187" s="32" t="str">
        <f ca="1">Master_List!$AW$3</f>
        <v>20/07/2026</v>
      </c>
      <c r="I187" s="28" t="str">
        <f ca="1">Master_List!$AW$4</f>
        <v>28.5</v>
      </c>
      <c r="J187" s="6" t="str">
        <f ca="1">Master_List!$AW$5</f>
        <v>65</v>
      </c>
      <c r="K187" s="6" t="s">
        <v>570</v>
      </c>
      <c r="L187" s="22"/>
      <c r="M187" s="25"/>
      <c r="N187" s="25"/>
      <c r="O187" s="25"/>
      <c r="P187" s="25"/>
      <c r="Q187" s="25"/>
      <c r="R187" s="25"/>
      <c r="S187" s="25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6"/>
      <c r="BE187" s="6"/>
      <c r="BF187" s="6"/>
      <c r="BG187" s="6"/>
      <c r="BH187" s="6"/>
      <c r="BL187" s="4" t="s">
        <v>1744</v>
      </c>
      <c r="BM187" s="4" t="s">
        <v>1843</v>
      </c>
      <c r="BN187" s="4" t="s">
        <v>1748</v>
      </c>
      <c r="BO187" s="4" t="str">
        <f t="shared" si="2"/>
        <v>C:\Users\aremi\Desktop\REPORT CBM\PO TIANU JB\03. Raw Material\40. 10052026 SSU MEDINI SIGNATURE 33KV (VI)\IR</v>
      </c>
      <c r="BP187" t="s">
        <v>749</v>
      </c>
    </row>
    <row r="188" spans="1:68" ht="15" customHeight="1" x14ac:dyDescent="0.25">
      <c r="A188" s="4">
        <v>94</v>
      </c>
      <c r="B188" s="4" t="s">
        <v>747</v>
      </c>
      <c r="C188" s="4">
        <v>4</v>
      </c>
      <c r="D188" s="4" t="s">
        <v>1760</v>
      </c>
      <c r="E188" s="4">
        <v>2</v>
      </c>
      <c r="F188" s="6" t="str">
        <f ca="1">Master_List!$AW$1</f>
        <v>PERPUSTAKAAN PUSAT</v>
      </c>
      <c r="G188" s="27" t="str">
        <f ca="1">Master_List!$AW$2</f>
        <v>09:30 PM</v>
      </c>
      <c r="H188" s="32" t="str">
        <f ca="1">Master_List!$AW$3</f>
        <v>20/07/2026</v>
      </c>
      <c r="I188" s="28" t="str">
        <f ca="1">Master_List!$AW$4</f>
        <v>28.5</v>
      </c>
      <c r="J188" s="6" t="str">
        <f ca="1">Master_List!$AW$5</f>
        <v>65</v>
      </c>
      <c r="K188" s="6" t="s">
        <v>573</v>
      </c>
      <c r="L188" s="22"/>
      <c r="M188" s="25"/>
      <c r="N188" s="25"/>
      <c r="O188" s="25"/>
      <c r="P188" s="25"/>
      <c r="Q188" s="25"/>
      <c r="R188" s="25"/>
      <c r="S188" s="25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6"/>
      <c r="BE188" s="6"/>
      <c r="BF188" s="6"/>
      <c r="BG188" s="6"/>
      <c r="BH188" s="6"/>
      <c r="BL188" s="4" t="s">
        <v>1744</v>
      </c>
      <c r="BM188" s="4" t="s">
        <v>1844</v>
      </c>
      <c r="BN188" s="4" t="s">
        <v>1746</v>
      </c>
      <c r="BO188" s="4" t="str">
        <f t="shared" si="2"/>
        <v>C:\Users\aremi\Desktop\REPORT CBM\PO TIANU JB\03. Raw Material\40. 10052026 SSU MEDINI SIGNATURE 33KV (VI)\IR</v>
      </c>
      <c r="BP188" t="s">
        <v>750</v>
      </c>
    </row>
    <row r="189" spans="1:68" ht="15" customHeight="1" x14ac:dyDescent="0.25">
      <c r="A189" s="4">
        <v>94</v>
      </c>
      <c r="B189" s="4" t="s">
        <v>747</v>
      </c>
      <c r="C189" s="4">
        <v>4</v>
      </c>
      <c r="D189" s="4" t="s">
        <v>1760</v>
      </c>
      <c r="E189" s="4">
        <v>2</v>
      </c>
      <c r="F189" s="6" t="str">
        <f ca="1">Master_List!$AW$1</f>
        <v>PERPUSTAKAAN PUSAT</v>
      </c>
      <c r="G189" s="27" t="str">
        <f ca="1">Master_List!$AW$2</f>
        <v>09:30 PM</v>
      </c>
      <c r="H189" s="32" t="str">
        <f ca="1">Master_List!$AW$3</f>
        <v>20/07/2026</v>
      </c>
      <c r="I189" s="28" t="str">
        <f ca="1">Master_List!$AW$4</f>
        <v>28.5</v>
      </c>
      <c r="J189" s="6" t="str">
        <f ca="1">Master_List!$AW$5</f>
        <v>65</v>
      </c>
      <c r="K189" s="6" t="s">
        <v>573</v>
      </c>
      <c r="L189" s="22"/>
      <c r="M189" s="25"/>
      <c r="N189" s="25"/>
      <c r="O189" s="25"/>
      <c r="P189" s="25"/>
      <c r="Q189" s="25"/>
      <c r="R189" s="25"/>
      <c r="S189" s="25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6"/>
      <c r="BE189" s="6"/>
      <c r="BF189" s="6"/>
      <c r="BG189" s="6"/>
      <c r="BH189" s="6"/>
      <c r="BL189" s="4" t="s">
        <v>1744</v>
      </c>
      <c r="BM189" s="4" t="s">
        <v>1844</v>
      </c>
      <c r="BN189" s="4" t="s">
        <v>1748</v>
      </c>
      <c r="BO189" s="4" t="str">
        <f t="shared" si="2"/>
        <v>C:\Users\aremi\Desktop\REPORT CBM\PO TIANU JB\03. Raw Material\40. 10052026 SSU MEDINI SIGNATURE 33KV (VI)\IR</v>
      </c>
      <c r="BP189" t="s">
        <v>751</v>
      </c>
    </row>
    <row r="190" spans="1:68" ht="15" customHeight="1" x14ac:dyDescent="0.25">
      <c r="A190" s="4">
        <v>95</v>
      </c>
      <c r="B190" s="4" t="s">
        <v>747</v>
      </c>
      <c r="C190" s="4">
        <v>4</v>
      </c>
      <c r="D190" s="4" t="s">
        <v>1760</v>
      </c>
      <c r="E190" s="4">
        <v>3</v>
      </c>
      <c r="F190" s="6" t="str">
        <f ca="1">Master_List!$AW$1</f>
        <v>PERPUSTAKAAN PUSAT</v>
      </c>
      <c r="G190" s="27" t="str">
        <f ca="1">Master_List!$AW$2</f>
        <v>09:30 PM</v>
      </c>
      <c r="H190" s="32" t="str">
        <f ca="1">Master_List!$AW$3</f>
        <v>20/07/2026</v>
      </c>
      <c r="I190" s="28" t="str">
        <f ca="1">Master_List!$AW$4</f>
        <v>28.5</v>
      </c>
      <c r="J190" s="6" t="str">
        <f ca="1">Master_List!$AW$5</f>
        <v>65</v>
      </c>
      <c r="K190" s="6" t="s">
        <v>576</v>
      </c>
      <c r="L190" s="22"/>
      <c r="M190" s="25"/>
      <c r="N190" s="25"/>
      <c r="O190" s="25"/>
      <c r="P190" s="25"/>
      <c r="Q190" s="25"/>
      <c r="R190" s="25"/>
      <c r="S190" s="25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6"/>
      <c r="BE190" s="6"/>
      <c r="BF190" s="6"/>
      <c r="BG190" s="6"/>
      <c r="BH190" s="6"/>
      <c r="BL190" s="4" t="s">
        <v>1744</v>
      </c>
      <c r="BM190" s="4" t="s">
        <v>1845</v>
      </c>
      <c r="BN190" s="4" t="s">
        <v>1746</v>
      </c>
      <c r="BO190" s="4" t="str">
        <f t="shared" si="2"/>
        <v>C:\Users\aremi\Desktop\REPORT CBM\PO TIANU JB\03. Raw Material\40. 10052026 SSU MEDINI SIGNATURE 33KV (VI)\IR</v>
      </c>
      <c r="BP190" t="s">
        <v>752</v>
      </c>
    </row>
    <row r="191" spans="1:68" ht="15" customHeight="1" x14ac:dyDescent="0.25">
      <c r="A191" s="4">
        <v>95</v>
      </c>
      <c r="B191" s="4" t="s">
        <v>747</v>
      </c>
      <c r="C191" s="4">
        <v>4</v>
      </c>
      <c r="D191" s="4" t="s">
        <v>1760</v>
      </c>
      <c r="E191" s="4">
        <v>3</v>
      </c>
      <c r="F191" s="6" t="str">
        <f ca="1">Master_List!$AW$1</f>
        <v>PERPUSTAKAAN PUSAT</v>
      </c>
      <c r="G191" s="27" t="str">
        <f ca="1">Master_List!$AW$2</f>
        <v>09:30 PM</v>
      </c>
      <c r="H191" s="32" t="str">
        <f ca="1">Master_List!$AW$3</f>
        <v>20/07/2026</v>
      </c>
      <c r="I191" s="28" t="str">
        <f ca="1">Master_List!$AW$4</f>
        <v>28.5</v>
      </c>
      <c r="J191" s="6" t="str">
        <f ca="1">Master_List!$AW$5</f>
        <v>65</v>
      </c>
      <c r="K191" s="6" t="s">
        <v>576</v>
      </c>
      <c r="L191" s="22"/>
      <c r="M191" s="25"/>
      <c r="N191" s="25"/>
      <c r="O191" s="25"/>
      <c r="P191" s="25"/>
      <c r="Q191" s="25"/>
      <c r="R191" s="25"/>
      <c r="S191" s="25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6"/>
      <c r="BE191" s="6"/>
      <c r="BF191" s="6"/>
      <c r="BG191" s="6"/>
      <c r="BH191" s="6"/>
      <c r="BL191" s="4" t="s">
        <v>1744</v>
      </c>
      <c r="BM191" s="4" t="s">
        <v>1845</v>
      </c>
      <c r="BN191" s="4" t="s">
        <v>1748</v>
      </c>
      <c r="BO191" s="4" t="str">
        <f t="shared" si="2"/>
        <v>C:\Users\aremi\Desktop\REPORT CBM\PO TIANU JB\03. Raw Material\40. 10052026 SSU MEDINI SIGNATURE 33KV (VI)\IR</v>
      </c>
      <c r="BP191" t="s">
        <v>753</v>
      </c>
    </row>
    <row r="192" spans="1:68" ht="15" customHeight="1" x14ac:dyDescent="0.25">
      <c r="A192" s="4">
        <v>96</v>
      </c>
      <c r="B192" s="4" t="s">
        <v>747</v>
      </c>
      <c r="C192" s="4">
        <v>4</v>
      </c>
      <c r="D192" s="4" t="s">
        <v>1760</v>
      </c>
      <c r="E192" s="4">
        <v>4</v>
      </c>
      <c r="F192" s="6" t="str">
        <f ca="1">Master_List!$AW$1</f>
        <v>PERPUSTAKAAN PUSAT</v>
      </c>
      <c r="G192" s="27" t="str">
        <f ca="1">Master_List!$AW$2</f>
        <v>09:30 PM</v>
      </c>
      <c r="H192" s="32" t="str">
        <f ca="1">Master_List!$AW$3</f>
        <v>20/07/2026</v>
      </c>
      <c r="I192" s="28" t="str">
        <f ca="1">Master_List!$AW$4</f>
        <v>28.5</v>
      </c>
      <c r="J192" s="6" t="str">
        <f ca="1">Master_List!$AW$5</f>
        <v>65</v>
      </c>
      <c r="K192" s="6" t="s">
        <v>579</v>
      </c>
      <c r="L192" s="22"/>
      <c r="M192" s="25"/>
      <c r="N192" s="25"/>
      <c r="O192" s="25"/>
      <c r="P192" s="25"/>
      <c r="Q192" s="25"/>
      <c r="R192" s="25"/>
      <c r="S192" s="25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6"/>
      <c r="BE192" s="6"/>
      <c r="BF192" s="6"/>
      <c r="BG192" s="6"/>
      <c r="BH192" s="6"/>
      <c r="BL192" s="4" t="s">
        <v>1744</v>
      </c>
      <c r="BM192" s="4" t="s">
        <v>1846</v>
      </c>
      <c r="BN192" s="4" t="s">
        <v>1746</v>
      </c>
      <c r="BO192" s="4" t="str">
        <f t="shared" si="2"/>
        <v>C:\Users\aremi\Desktop\REPORT CBM\PO TIANU JB\03. Raw Material\40. 10052026 SSU MEDINI SIGNATURE 33KV (VI)\IR</v>
      </c>
      <c r="BP192" t="s">
        <v>754</v>
      </c>
    </row>
    <row r="193" spans="1:68" ht="15" customHeight="1" x14ac:dyDescent="0.25">
      <c r="A193" s="4">
        <v>96</v>
      </c>
      <c r="B193" s="4" t="s">
        <v>747</v>
      </c>
      <c r="C193" s="4">
        <v>4</v>
      </c>
      <c r="D193" s="4" t="s">
        <v>1760</v>
      </c>
      <c r="E193" s="4">
        <v>4</v>
      </c>
      <c r="F193" s="6" t="str">
        <f ca="1">Master_List!$AW$1</f>
        <v>PERPUSTAKAAN PUSAT</v>
      </c>
      <c r="G193" s="27" t="str">
        <f ca="1">Master_List!$AW$2</f>
        <v>09:30 PM</v>
      </c>
      <c r="H193" s="32" t="str">
        <f ca="1">Master_List!$AW$3</f>
        <v>20/07/2026</v>
      </c>
      <c r="I193" s="28" t="str">
        <f ca="1">Master_List!$AW$4</f>
        <v>28.5</v>
      </c>
      <c r="J193" s="6" t="str">
        <f ca="1">Master_List!$AW$5</f>
        <v>65</v>
      </c>
      <c r="K193" s="6" t="s">
        <v>579</v>
      </c>
      <c r="L193" s="22"/>
      <c r="M193" s="25"/>
      <c r="N193" s="25"/>
      <c r="O193" s="25"/>
      <c r="P193" s="25"/>
      <c r="Q193" s="25"/>
      <c r="R193" s="25"/>
      <c r="S193" s="25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6"/>
      <c r="BE193" s="6"/>
      <c r="BF193" s="6"/>
      <c r="BG193" s="6"/>
      <c r="BH193" s="6"/>
      <c r="BL193" s="4" t="s">
        <v>1744</v>
      </c>
      <c r="BM193" s="4" t="s">
        <v>1846</v>
      </c>
      <c r="BN193" s="4" t="s">
        <v>1748</v>
      </c>
      <c r="BO193" s="4" t="str">
        <f t="shared" si="2"/>
        <v>C:\Users\aremi\Desktop\REPORT CBM\PO TIANU JB\03. Raw Material\40. 10052026 SSU MEDINI SIGNATURE 33KV (VI)\IR</v>
      </c>
      <c r="BP193" t="s">
        <v>755</v>
      </c>
    </row>
    <row r="194" spans="1:68" ht="15" customHeight="1" x14ac:dyDescent="0.25">
      <c r="A194" s="4">
        <v>97</v>
      </c>
      <c r="B194" s="4" t="s">
        <v>747</v>
      </c>
      <c r="C194" s="4">
        <v>4</v>
      </c>
      <c r="D194" s="4" t="s">
        <v>1760</v>
      </c>
      <c r="E194" s="4">
        <v>5</v>
      </c>
      <c r="F194" s="6" t="str">
        <f ca="1">Master_List!$AW$1</f>
        <v>PERPUSTAKAAN PUSAT</v>
      </c>
      <c r="G194" s="27" t="str">
        <f ca="1">Master_List!$AW$2</f>
        <v>09:30 PM</v>
      </c>
      <c r="H194" s="32" t="str">
        <f ca="1">Master_List!$AW$3</f>
        <v>20/07/2026</v>
      </c>
      <c r="I194" s="28" t="str">
        <f ca="1">Master_List!$AW$4</f>
        <v>28.5</v>
      </c>
      <c r="J194" s="6" t="str">
        <f ca="1">Master_List!$AW$5</f>
        <v>65</v>
      </c>
      <c r="K194" s="6" t="s">
        <v>582</v>
      </c>
      <c r="L194" s="22"/>
      <c r="M194" s="25"/>
      <c r="N194" s="25"/>
      <c r="O194" s="25"/>
      <c r="P194" s="25"/>
      <c r="Q194" s="25"/>
      <c r="R194" s="25"/>
      <c r="S194" s="25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6"/>
      <c r="BE194" s="6"/>
      <c r="BF194" s="6"/>
      <c r="BG194" s="6"/>
      <c r="BH194" s="6"/>
      <c r="BL194" s="4" t="s">
        <v>1744</v>
      </c>
      <c r="BM194" s="4" t="s">
        <v>1847</v>
      </c>
      <c r="BN194" s="4" t="s">
        <v>1746</v>
      </c>
      <c r="BO194" s="4" t="str">
        <f t="shared" si="2"/>
        <v>C:\Users\aremi\Desktop\REPORT CBM\PO TIANU JB\03. Raw Material\40. 10052026 SSU MEDINI SIGNATURE 33KV (VI)\IR</v>
      </c>
      <c r="BP194" t="s">
        <v>756</v>
      </c>
    </row>
    <row r="195" spans="1:68" ht="15" customHeight="1" x14ac:dyDescent="0.25">
      <c r="A195" s="4">
        <v>97</v>
      </c>
      <c r="B195" s="4" t="s">
        <v>747</v>
      </c>
      <c r="C195" s="4">
        <v>4</v>
      </c>
      <c r="D195" s="4" t="s">
        <v>1760</v>
      </c>
      <c r="E195" s="4">
        <v>5</v>
      </c>
      <c r="F195" s="6" t="str">
        <f ca="1">Master_List!$AW$1</f>
        <v>PERPUSTAKAAN PUSAT</v>
      </c>
      <c r="G195" s="27" t="str">
        <f ca="1">Master_List!$AW$2</f>
        <v>09:30 PM</v>
      </c>
      <c r="H195" s="32" t="str">
        <f ca="1">Master_List!$AW$3</f>
        <v>20/07/2026</v>
      </c>
      <c r="I195" s="28" t="str">
        <f ca="1">Master_List!$AW$4</f>
        <v>28.5</v>
      </c>
      <c r="J195" s="6" t="str">
        <f ca="1">Master_List!$AW$5</f>
        <v>65</v>
      </c>
      <c r="K195" s="6" t="s">
        <v>582</v>
      </c>
      <c r="L195" s="22"/>
      <c r="M195" s="25"/>
      <c r="N195" s="25"/>
      <c r="O195" s="25"/>
      <c r="P195" s="25"/>
      <c r="Q195" s="25"/>
      <c r="R195" s="25"/>
      <c r="S195" s="25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6"/>
      <c r="BE195" s="6"/>
      <c r="BF195" s="6"/>
      <c r="BG195" s="6"/>
      <c r="BH195" s="6"/>
      <c r="BL195" s="4" t="s">
        <v>1744</v>
      </c>
      <c r="BM195" s="4" t="s">
        <v>1847</v>
      </c>
      <c r="BN195" s="4" t="s">
        <v>1748</v>
      </c>
      <c r="BO195" s="4" t="str">
        <f t="shared" ref="BO195:BO258" si="3">BO194</f>
        <v>C:\Users\aremi\Desktop\REPORT CBM\PO TIANU JB\03. Raw Material\40. 10052026 SSU MEDINI SIGNATURE 33KV (VI)\IR</v>
      </c>
      <c r="BP195" t="s">
        <v>757</v>
      </c>
    </row>
    <row r="196" spans="1:68" ht="15" customHeight="1" x14ac:dyDescent="0.25">
      <c r="A196" s="4">
        <v>98</v>
      </c>
      <c r="B196" s="4" t="s">
        <v>747</v>
      </c>
      <c r="C196" s="4">
        <v>4</v>
      </c>
      <c r="D196" s="4" t="s">
        <v>1760</v>
      </c>
      <c r="E196" s="4">
        <v>6</v>
      </c>
      <c r="F196" s="6" t="str">
        <f ca="1">Master_List!$AW$1</f>
        <v>PERPUSTAKAAN PUSAT</v>
      </c>
      <c r="G196" s="27" t="str">
        <f ca="1">Master_List!$AW$2</f>
        <v>09:30 PM</v>
      </c>
      <c r="H196" s="32" t="str">
        <f ca="1">Master_List!$AW$3</f>
        <v>20/07/2026</v>
      </c>
      <c r="I196" s="28" t="str">
        <f ca="1">Master_List!$AW$4</f>
        <v>28.5</v>
      </c>
      <c r="J196" s="6" t="str">
        <f ca="1">Master_List!$AW$5</f>
        <v>65</v>
      </c>
      <c r="K196" s="6" t="s">
        <v>585</v>
      </c>
      <c r="L196" s="22"/>
      <c r="M196" s="25"/>
      <c r="N196" s="25"/>
      <c r="O196" s="25"/>
      <c r="P196" s="25"/>
      <c r="Q196" s="25"/>
      <c r="R196" s="25"/>
      <c r="S196" s="25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6"/>
      <c r="BE196" s="6"/>
      <c r="BF196" s="6"/>
      <c r="BG196" s="6"/>
      <c r="BH196" s="6"/>
      <c r="BL196" s="4" t="s">
        <v>1744</v>
      </c>
      <c r="BM196" s="4" t="s">
        <v>1848</v>
      </c>
      <c r="BN196" s="4" t="s">
        <v>1746</v>
      </c>
      <c r="BO196" s="4" t="str">
        <f t="shared" si="3"/>
        <v>C:\Users\aremi\Desktop\REPORT CBM\PO TIANU JB\03. Raw Material\40. 10052026 SSU MEDINI SIGNATURE 33KV (VI)\IR</v>
      </c>
      <c r="BP196" t="s">
        <v>758</v>
      </c>
    </row>
    <row r="197" spans="1:68" ht="15" customHeight="1" x14ac:dyDescent="0.25">
      <c r="A197" s="4">
        <v>98</v>
      </c>
      <c r="B197" s="4" t="s">
        <v>747</v>
      </c>
      <c r="C197" s="4">
        <v>4</v>
      </c>
      <c r="D197" s="4" t="s">
        <v>1760</v>
      </c>
      <c r="E197" s="4">
        <v>6</v>
      </c>
      <c r="F197" s="6" t="str">
        <f ca="1">Master_List!$AW$1</f>
        <v>PERPUSTAKAAN PUSAT</v>
      </c>
      <c r="G197" s="27" t="str">
        <f ca="1">Master_List!$AW$2</f>
        <v>09:30 PM</v>
      </c>
      <c r="H197" s="32" t="str">
        <f ca="1">Master_List!$AW$3</f>
        <v>20/07/2026</v>
      </c>
      <c r="I197" s="28" t="str">
        <f ca="1">Master_List!$AW$4</f>
        <v>28.5</v>
      </c>
      <c r="J197" s="6" t="str">
        <f ca="1">Master_List!$AW$5</f>
        <v>65</v>
      </c>
      <c r="K197" s="6" t="s">
        <v>585</v>
      </c>
      <c r="L197" s="22"/>
      <c r="M197" s="25"/>
      <c r="N197" s="25"/>
      <c r="O197" s="25"/>
      <c r="P197" s="25"/>
      <c r="Q197" s="25"/>
      <c r="R197" s="25"/>
      <c r="S197" s="25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6"/>
      <c r="BE197" s="6"/>
      <c r="BF197" s="6"/>
      <c r="BG197" s="6"/>
      <c r="BH197" s="6"/>
      <c r="BL197" s="4" t="s">
        <v>1744</v>
      </c>
      <c r="BM197" s="4" t="s">
        <v>1848</v>
      </c>
      <c r="BN197" s="4" t="s">
        <v>1748</v>
      </c>
      <c r="BO197" s="4" t="str">
        <f t="shared" si="3"/>
        <v>C:\Users\aremi\Desktop\REPORT CBM\PO TIANU JB\03. Raw Material\40. 10052026 SSU MEDINI SIGNATURE 33KV (VI)\IR</v>
      </c>
      <c r="BP197" t="s">
        <v>759</v>
      </c>
    </row>
    <row r="198" spans="1:68" ht="15" customHeight="1" x14ac:dyDescent="0.25">
      <c r="A198" s="4">
        <v>99</v>
      </c>
      <c r="B198" s="4" t="s">
        <v>747</v>
      </c>
      <c r="C198" s="4">
        <v>4</v>
      </c>
      <c r="D198" s="4" t="s">
        <v>1767</v>
      </c>
      <c r="E198" s="4">
        <v>7</v>
      </c>
      <c r="F198" s="6" t="str">
        <f ca="1">Master_List!$AW$1</f>
        <v>PERPUSTAKAAN PUSAT</v>
      </c>
      <c r="G198" s="27" t="str">
        <f ca="1">Master_List!$AW$2</f>
        <v>09:30 PM</v>
      </c>
      <c r="H198" s="32" t="str">
        <f ca="1">Master_List!$AW$3</f>
        <v>20/07/2026</v>
      </c>
      <c r="I198" s="28" t="str">
        <f ca="1">Master_List!$AW$4</f>
        <v>28.5</v>
      </c>
      <c r="J198" s="6" t="str">
        <f ca="1">Master_List!$AW$5</f>
        <v>65</v>
      </c>
      <c r="K198" s="6" t="s">
        <v>588</v>
      </c>
      <c r="L198" s="22"/>
      <c r="M198" s="25"/>
      <c r="N198" s="25"/>
      <c r="O198" s="25"/>
      <c r="P198" s="25"/>
      <c r="Q198" s="25"/>
      <c r="R198" s="25"/>
      <c r="S198" s="25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6"/>
      <c r="BE198" s="6"/>
      <c r="BF198" s="6"/>
      <c r="BG198" s="6"/>
      <c r="BH198" s="6"/>
      <c r="BL198" s="4" t="s">
        <v>1744</v>
      </c>
      <c r="BM198" s="4" t="s">
        <v>1849</v>
      </c>
      <c r="BN198" s="4" t="s">
        <v>1746</v>
      </c>
      <c r="BO198" s="4" t="str">
        <f t="shared" si="3"/>
        <v>C:\Users\aremi\Desktop\REPORT CBM\PO TIANU JB\03. Raw Material\40. 10052026 SSU MEDINI SIGNATURE 33KV (VI)\IR</v>
      </c>
      <c r="BP198" t="s">
        <v>760</v>
      </c>
    </row>
    <row r="199" spans="1:68" ht="15" customHeight="1" x14ac:dyDescent="0.25">
      <c r="A199" s="4">
        <v>99</v>
      </c>
      <c r="B199" s="4" t="s">
        <v>747</v>
      </c>
      <c r="C199" s="4">
        <v>4</v>
      </c>
      <c r="D199" s="4" t="s">
        <v>1767</v>
      </c>
      <c r="E199" s="4">
        <v>7</v>
      </c>
      <c r="F199" s="6" t="str">
        <f ca="1">Master_List!$AW$1</f>
        <v>PERPUSTAKAAN PUSAT</v>
      </c>
      <c r="G199" s="27" t="str">
        <f ca="1">Master_List!$AW$2</f>
        <v>09:30 PM</v>
      </c>
      <c r="H199" s="32" t="str">
        <f ca="1">Master_List!$AW$3</f>
        <v>20/07/2026</v>
      </c>
      <c r="I199" s="28" t="str">
        <f ca="1">Master_List!$AW$4</f>
        <v>28.5</v>
      </c>
      <c r="J199" s="6" t="str">
        <f ca="1">Master_List!$AW$5</f>
        <v>65</v>
      </c>
      <c r="K199" s="6" t="s">
        <v>588</v>
      </c>
      <c r="L199" s="22"/>
      <c r="M199" s="25"/>
      <c r="N199" s="25"/>
      <c r="O199" s="25"/>
      <c r="P199" s="25"/>
      <c r="Q199" s="25"/>
      <c r="R199" s="25"/>
      <c r="S199" s="25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6"/>
      <c r="BE199" s="6"/>
      <c r="BF199" s="6"/>
      <c r="BG199" s="6"/>
      <c r="BH199" s="6"/>
      <c r="BL199" s="4" t="s">
        <v>1744</v>
      </c>
      <c r="BM199" s="4" t="s">
        <v>1849</v>
      </c>
      <c r="BN199" s="4" t="s">
        <v>1748</v>
      </c>
      <c r="BO199" s="4" t="str">
        <f t="shared" si="3"/>
        <v>C:\Users\aremi\Desktop\REPORT CBM\PO TIANU JB\03. Raw Material\40. 10052026 SSU MEDINI SIGNATURE 33KV (VI)\IR</v>
      </c>
      <c r="BP199" t="s">
        <v>761</v>
      </c>
    </row>
    <row r="200" spans="1:68" ht="15" customHeight="1" x14ac:dyDescent="0.25">
      <c r="A200" s="4">
        <v>100</v>
      </c>
      <c r="B200" s="4" t="s">
        <v>747</v>
      </c>
      <c r="C200" s="4">
        <v>4</v>
      </c>
      <c r="D200" s="4" t="s">
        <v>1769</v>
      </c>
      <c r="E200" s="4">
        <v>8</v>
      </c>
      <c r="F200" s="6" t="str">
        <f ca="1">Master_List!$AW$1</f>
        <v>PERPUSTAKAAN PUSAT</v>
      </c>
      <c r="G200" s="27" t="str">
        <f ca="1">Master_List!$AW$2</f>
        <v>09:30 PM</v>
      </c>
      <c r="H200" s="32" t="str">
        <f ca="1">Master_List!$AW$3</f>
        <v>20/07/2026</v>
      </c>
      <c r="I200" s="28" t="str">
        <f ca="1">Master_List!$AW$4</f>
        <v>28.5</v>
      </c>
      <c r="J200" s="6" t="str">
        <f ca="1">Master_List!$AW$5</f>
        <v>65</v>
      </c>
      <c r="K200" s="6" t="s">
        <v>591</v>
      </c>
      <c r="L200" s="22"/>
      <c r="M200" s="25"/>
      <c r="N200" s="25"/>
      <c r="O200" s="25"/>
      <c r="P200" s="25"/>
      <c r="Q200" s="25"/>
      <c r="R200" s="25"/>
      <c r="S200" s="25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6"/>
      <c r="BE200" s="6"/>
      <c r="BF200" s="6"/>
      <c r="BG200" s="6"/>
      <c r="BH200" s="6"/>
      <c r="BL200" s="4" t="s">
        <v>1744</v>
      </c>
      <c r="BM200" s="4" t="s">
        <v>1850</v>
      </c>
      <c r="BN200" s="4" t="s">
        <v>1746</v>
      </c>
      <c r="BO200" s="4" t="str">
        <f t="shared" si="3"/>
        <v>C:\Users\aremi\Desktop\REPORT CBM\PO TIANU JB\03. Raw Material\40. 10052026 SSU MEDINI SIGNATURE 33KV (VI)\IR</v>
      </c>
      <c r="BP200" t="s">
        <v>762</v>
      </c>
    </row>
    <row r="201" spans="1:68" thickBot="1" x14ac:dyDescent="0.3">
      <c r="A201" s="4">
        <v>100</v>
      </c>
      <c r="B201" s="4" t="s">
        <v>747</v>
      </c>
      <c r="C201" s="4">
        <v>4</v>
      </c>
      <c r="D201" s="4" t="s">
        <v>1769</v>
      </c>
      <c r="E201" s="4">
        <v>8</v>
      </c>
      <c r="F201" s="6" t="str">
        <f ca="1">Master_List!$AW$1</f>
        <v>PERPUSTAKAAN PUSAT</v>
      </c>
      <c r="G201" s="27" t="str">
        <f ca="1">Master_List!$AW$2</f>
        <v>09:30 PM</v>
      </c>
      <c r="H201" s="32" t="str">
        <f ca="1">Master_List!$AW$3</f>
        <v>20/07/2026</v>
      </c>
      <c r="I201" s="28" t="str">
        <f ca="1">Master_List!$AW$4</f>
        <v>28.5</v>
      </c>
      <c r="J201" s="6" t="str">
        <f ca="1">Master_List!$AW$5</f>
        <v>65</v>
      </c>
      <c r="K201" s="6" t="s">
        <v>591</v>
      </c>
      <c r="L201" s="22"/>
      <c r="M201" s="25"/>
      <c r="N201" s="25"/>
      <c r="O201" s="25"/>
      <c r="P201" s="25"/>
      <c r="Q201" s="25"/>
      <c r="R201" s="25"/>
      <c r="S201" s="25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6"/>
      <c r="BE201" s="6"/>
      <c r="BF201" s="6"/>
      <c r="BG201" s="6"/>
      <c r="BH201" s="6"/>
      <c r="BL201" s="4" t="s">
        <v>1744</v>
      </c>
      <c r="BM201" s="4" t="s">
        <v>1850</v>
      </c>
      <c r="BN201" s="4" t="s">
        <v>1748</v>
      </c>
      <c r="BO201" s="4" t="str">
        <f t="shared" si="3"/>
        <v>C:\Users\aremi\Desktop\REPORT CBM\PO TIANU JB\03. Raw Material\40. 10052026 SSU MEDINI SIGNATURE 33KV (VI)\IR</v>
      </c>
      <c r="BP201" t="s">
        <v>763</v>
      </c>
    </row>
    <row r="202" spans="1:68" thickBot="1" x14ac:dyDescent="0.3">
      <c r="A202" s="4">
        <v>101</v>
      </c>
      <c r="B202" s="4" t="s">
        <v>764</v>
      </c>
      <c r="C202" s="4">
        <v>4</v>
      </c>
      <c r="D202" s="4" t="s">
        <v>1760</v>
      </c>
      <c r="E202" s="4">
        <v>1</v>
      </c>
      <c r="F202" s="4" t="str">
        <f ca="1">Master_List!$AW$1</f>
        <v>PERPUSTAKAAN PUSAT</v>
      </c>
      <c r="G202" s="4" t="str">
        <f ca="1">Master_List!$AW$2</f>
        <v>09:30 PM</v>
      </c>
      <c r="H202" s="4" t="str">
        <f ca="1">Master_List!$AW$3</f>
        <v>20/07/2026</v>
      </c>
      <c r="I202" s="4" t="str">
        <f ca="1">Master_List!$AW$4</f>
        <v>28.5</v>
      </c>
      <c r="J202" s="4" t="str">
        <f ca="1">Master_List!$AW$5</f>
        <v>65</v>
      </c>
      <c r="K202" s="4" t="s">
        <v>570</v>
      </c>
      <c r="BL202" s="4" t="s">
        <v>1744</v>
      </c>
      <c r="BM202" s="4" t="s">
        <v>1851</v>
      </c>
      <c r="BN202" s="4" t="s">
        <v>1746</v>
      </c>
      <c r="BO202" s="4" t="str">
        <f t="shared" si="3"/>
        <v>C:\Users\aremi\Desktop\REPORT CBM\PO TIANU JB\03. Raw Material\40. 10052026 SSU MEDINI SIGNATURE 33KV (VI)\IR</v>
      </c>
      <c r="BP202" t="s">
        <v>765</v>
      </c>
    </row>
    <row r="203" spans="1:68" thickBot="1" x14ac:dyDescent="0.3">
      <c r="A203" s="4">
        <v>101</v>
      </c>
      <c r="B203" s="4" t="s">
        <v>764</v>
      </c>
      <c r="C203" s="4">
        <v>4</v>
      </c>
      <c r="D203" s="4" t="s">
        <v>1760</v>
      </c>
      <c r="E203" s="4">
        <v>1</v>
      </c>
      <c r="F203" s="4" t="str">
        <f ca="1">Master_List!$AW$1</f>
        <v>PERPUSTAKAAN PUSAT</v>
      </c>
      <c r="G203" s="4" t="str">
        <f ca="1">Master_List!$AW$2</f>
        <v>09:30 PM</v>
      </c>
      <c r="H203" s="4" t="str">
        <f ca="1">Master_List!$AW$3</f>
        <v>20/07/2026</v>
      </c>
      <c r="I203" s="4" t="str">
        <f ca="1">Master_List!$AW$4</f>
        <v>28.5</v>
      </c>
      <c r="J203" s="4" t="str">
        <f ca="1">Master_List!$AW$5</f>
        <v>65</v>
      </c>
      <c r="K203" s="4" t="s">
        <v>570</v>
      </c>
      <c r="BL203" s="4" t="s">
        <v>1744</v>
      </c>
      <c r="BM203" s="4" t="s">
        <v>1851</v>
      </c>
      <c r="BN203" s="4" t="s">
        <v>1748</v>
      </c>
      <c r="BO203" s="4" t="str">
        <f t="shared" si="3"/>
        <v>C:\Users\aremi\Desktop\REPORT CBM\PO TIANU JB\03. Raw Material\40. 10052026 SSU MEDINI SIGNATURE 33KV (VI)\IR</v>
      </c>
      <c r="BP203" t="s">
        <v>766</v>
      </c>
    </row>
    <row r="204" spans="1:68" thickBot="1" x14ac:dyDescent="0.3">
      <c r="A204" s="4">
        <v>102</v>
      </c>
      <c r="B204" s="4" t="s">
        <v>764</v>
      </c>
      <c r="C204" s="4">
        <v>4</v>
      </c>
      <c r="D204" s="4" t="s">
        <v>1760</v>
      </c>
      <c r="E204" s="4">
        <v>2</v>
      </c>
      <c r="F204" s="4" t="str">
        <f ca="1">Master_List!$AW$1</f>
        <v>PERPUSTAKAAN PUSAT</v>
      </c>
      <c r="G204" s="4" t="str">
        <f ca="1">Master_List!$AW$2</f>
        <v>09:30 PM</v>
      </c>
      <c r="H204" s="4" t="str">
        <f ca="1">Master_List!$AW$3</f>
        <v>20/07/2026</v>
      </c>
      <c r="I204" s="4" t="str">
        <f ca="1">Master_List!$AW$4</f>
        <v>28.5</v>
      </c>
      <c r="J204" s="4" t="str">
        <f ca="1">Master_List!$AW$5</f>
        <v>65</v>
      </c>
      <c r="K204" s="4" t="s">
        <v>573</v>
      </c>
      <c r="BL204" s="4" t="s">
        <v>1744</v>
      </c>
      <c r="BM204" s="4" t="s">
        <v>1852</v>
      </c>
      <c r="BN204" s="4" t="s">
        <v>1746</v>
      </c>
      <c r="BO204" s="4" t="str">
        <f t="shared" si="3"/>
        <v>C:\Users\aremi\Desktop\REPORT CBM\PO TIANU JB\03. Raw Material\40. 10052026 SSU MEDINI SIGNATURE 33KV (VI)\IR</v>
      </c>
      <c r="BP204" t="s">
        <v>767</v>
      </c>
    </row>
    <row r="205" spans="1:68" thickBot="1" x14ac:dyDescent="0.3">
      <c r="A205" s="4">
        <v>102</v>
      </c>
      <c r="B205" s="4" t="s">
        <v>764</v>
      </c>
      <c r="C205" s="4">
        <v>4</v>
      </c>
      <c r="D205" s="4" t="s">
        <v>1760</v>
      </c>
      <c r="E205" s="4">
        <v>2</v>
      </c>
      <c r="F205" s="4" t="str">
        <f ca="1">Master_List!$AW$1</f>
        <v>PERPUSTAKAAN PUSAT</v>
      </c>
      <c r="G205" s="4" t="str">
        <f ca="1">Master_List!$AW$2</f>
        <v>09:30 PM</v>
      </c>
      <c r="H205" s="4" t="str">
        <f ca="1">Master_List!$AW$3</f>
        <v>20/07/2026</v>
      </c>
      <c r="I205" s="4" t="str">
        <f ca="1">Master_List!$AW$4</f>
        <v>28.5</v>
      </c>
      <c r="J205" s="4" t="str">
        <f ca="1">Master_List!$AW$5</f>
        <v>65</v>
      </c>
      <c r="K205" s="4" t="s">
        <v>573</v>
      </c>
      <c r="BL205" s="4" t="s">
        <v>1744</v>
      </c>
      <c r="BM205" s="4" t="s">
        <v>1852</v>
      </c>
      <c r="BN205" s="4" t="s">
        <v>1748</v>
      </c>
      <c r="BO205" s="4" t="str">
        <f t="shared" si="3"/>
        <v>C:\Users\aremi\Desktop\REPORT CBM\PO TIANU JB\03. Raw Material\40. 10052026 SSU MEDINI SIGNATURE 33KV (VI)\IR</v>
      </c>
      <c r="BP205" t="s">
        <v>768</v>
      </c>
    </row>
    <row r="206" spans="1:68" thickBot="1" x14ac:dyDescent="0.3">
      <c r="A206" s="4">
        <v>103</v>
      </c>
      <c r="B206" s="4" t="s">
        <v>764</v>
      </c>
      <c r="C206" s="4">
        <v>4</v>
      </c>
      <c r="D206" s="4" t="s">
        <v>1760</v>
      </c>
      <c r="E206" s="4">
        <v>3</v>
      </c>
      <c r="F206" s="4" t="str">
        <f ca="1">Master_List!$AW$1</f>
        <v>PERPUSTAKAAN PUSAT</v>
      </c>
      <c r="G206" s="4" t="str">
        <f ca="1">Master_List!$AW$2</f>
        <v>09:30 PM</v>
      </c>
      <c r="H206" s="4" t="str">
        <f ca="1">Master_List!$AW$3</f>
        <v>20/07/2026</v>
      </c>
      <c r="I206" s="4" t="str">
        <f ca="1">Master_List!$AW$4</f>
        <v>28.5</v>
      </c>
      <c r="J206" s="4" t="str">
        <f ca="1">Master_List!$AW$5</f>
        <v>65</v>
      </c>
      <c r="K206" s="4" t="s">
        <v>576</v>
      </c>
      <c r="BL206" s="4" t="s">
        <v>1744</v>
      </c>
      <c r="BM206" s="4" t="s">
        <v>1853</v>
      </c>
      <c r="BN206" s="4" t="s">
        <v>1746</v>
      </c>
      <c r="BO206" s="4" t="str">
        <f t="shared" si="3"/>
        <v>C:\Users\aremi\Desktop\REPORT CBM\PO TIANU JB\03. Raw Material\40. 10052026 SSU MEDINI SIGNATURE 33KV (VI)\IR</v>
      </c>
      <c r="BP206" t="s">
        <v>769</v>
      </c>
    </row>
    <row r="207" spans="1:68" thickBot="1" x14ac:dyDescent="0.3">
      <c r="A207" s="4">
        <v>103</v>
      </c>
      <c r="B207" s="4" t="s">
        <v>764</v>
      </c>
      <c r="C207" s="4">
        <v>4</v>
      </c>
      <c r="D207" s="4" t="s">
        <v>1760</v>
      </c>
      <c r="E207" s="4">
        <v>3</v>
      </c>
      <c r="F207" s="4" t="str">
        <f ca="1">Master_List!$AW$1</f>
        <v>PERPUSTAKAAN PUSAT</v>
      </c>
      <c r="G207" s="4" t="str">
        <f ca="1">Master_List!$AW$2</f>
        <v>09:30 PM</v>
      </c>
      <c r="H207" s="4" t="str">
        <f ca="1">Master_List!$AW$3</f>
        <v>20/07/2026</v>
      </c>
      <c r="I207" s="4" t="str">
        <f ca="1">Master_List!$AW$4</f>
        <v>28.5</v>
      </c>
      <c r="J207" s="4" t="str">
        <f ca="1">Master_List!$AW$5</f>
        <v>65</v>
      </c>
      <c r="K207" s="4" t="s">
        <v>576</v>
      </c>
      <c r="BL207" s="4" t="s">
        <v>1744</v>
      </c>
      <c r="BM207" s="4" t="s">
        <v>1853</v>
      </c>
      <c r="BN207" s="4" t="s">
        <v>1748</v>
      </c>
      <c r="BO207" s="4" t="str">
        <f t="shared" si="3"/>
        <v>C:\Users\aremi\Desktop\REPORT CBM\PO TIANU JB\03. Raw Material\40. 10052026 SSU MEDINI SIGNATURE 33KV (VI)\IR</v>
      </c>
      <c r="BP207" t="s">
        <v>770</v>
      </c>
    </row>
    <row r="208" spans="1:68" thickBot="1" x14ac:dyDescent="0.3">
      <c r="A208" s="4">
        <v>104</v>
      </c>
      <c r="B208" s="4" t="s">
        <v>764</v>
      </c>
      <c r="C208" s="4">
        <v>4</v>
      </c>
      <c r="D208" s="4" t="s">
        <v>1760</v>
      </c>
      <c r="E208" s="4">
        <v>4</v>
      </c>
      <c r="F208" s="4" t="str">
        <f ca="1">Master_List!$AW$1</f>
        <v>PERPUSTAKAAN PUSAT</v>
      </c>
      <c r="G208" s="4" t="str">
        <f ca="1">Master_List!$AW$2</f>
        <v>09:30 PM</v>
      </c>
      <c r="H208" s="4" t="str">
        <f ca="1">Master_List!$AW$3</f>
        <v>20/07/2026</v>
      </c>
      <c r="I208" s="4" t="str">
        <f ca="1">Master_List!$AW$4</f>
        <v>28.5</v>
      </c>
      <c r="J208" s="4" t="str">
        <f ca="1">Master_List!$AW$5</f>
        <v>65</v>
      </c>
      <c r="K208" s="4" t="s">
        <v>579</v>
      </c>
      <c r="BL208" s="4" t="s">
        <v>1744</v>
      </c>
      <c r="BM208" s="4" t="s">
        <v>1854</v>
      </c>
      <c r="BN208" s="4" t="s">
        <v>1746</v>
      </c>
      <c r="BO208" s="4" t="str">
        <f t="shared" si="3"/>
        <v>C:\Users\aremi\Desktop\REPORT CBM\PO TIANU JB\03. Raw Material\40. 10052026 SSU MEDINI SIGNATURE 33KV (VI)\IR</v>
      </c>
      <c r="BP208" t="s">
        <v>771</v>
      </c>
    </row>
    <row r="209" spans="1:68" thickBot="1" x14ac:dyDescent="0.3">
      <c r="A209" s="4">
        <v>104</v>
      </c>
      <c r="B209" s="4" t="s">
        <v>764</v>
      </c>
      <c r="C209" s="4">
        <v>4</v>
      </c>
      <c r="D209" s="4" t="s">
        <v>1760</v>
      </c>
      <c r="E209" s="4">
        <v>4</v>
      </c>
      <c r="F209" s="4" t="str">
        <f ca="1">Master_List!$AW$1</f>
        <v>PERPUSTAKAAN PUSAT</v>
      </c>
      <c r="G209" s="4" t="str">
        <f ca="1">Master_List!$AW$2</f>
        <v>09:30 PM</v>
      </c>
      <c r="H209" s="4" t="str">
        <f ca="1">Master_List!$AW$3</f>
        <v>20/07/2026</v>
      </c>
      <c r="I209" s="4" t="str">
        <f ca="1">Master_List!$AW$4</f>
        <v>28.5</v>
      </c>
      <c r="J209" s="4" t="str">
        <f ca="1">Master_List!$AW$5</f>
        <v>65</v>
      </c>
      <c r="K209" s="4" t="s">
        <v>579</v>
      </c>
      <c r="BL209" s="4" t="s">
        <v>1744</v>
      </c>
      <c r="BM209" s="4" t="s">
        <v>1854</v>
      </c>
      <c r="BN209" s="4" t="s">
        <v>1748</v>
      </c>
      <c r="BO209" s="4" t="str">
        <f t="shared" si="3"/>
        <v>C:\Users\aremi\Desktop\REPORT CBM\PO TIANU JB\03. Raw Material\40. 10052026 SSU MEDINI SIGNATURE 33KV (VI)\IR</v>
      </c>
      <c r="BP209" t="s">
        <v>772</v>
      </c>
    </row>
    <row r="210" spans="1:68" thickBot="1" x14ac:dyDescent="0.3">
      <c r="A210" s="4">
        <v>105</v>
      </c>
      <c r="B210" s="4" t="s">
        <v>764</v>
      </c>
      <c r="C210" s="4">
        <v>4</v>
      </c>
      <c r="D210" s="4" t="s">
        <v>1760</v>
      </c>
      <c r="E210" s="4">
        <v>5</v>
      </c>
      <c r="F210" s="4" t="str">
        <f ca="1">Master_List!$AW$1</f>
        <v>PERPUSTAKAAN PUSAT</v>
      </c>
      <c r="G210" s="4" t="str">
        <f ca="1">Master_List!$AW$2</f>
        <v>09:30 PM</v>
      </c>
      <c r="H210" s="4" t="str">
        <f ca="1">Master_List!$AW$3</f>
        <v>20/07/2026</v>
      </c>
      <c r="I210" s="4" t="str">
        <f ca="1">Master_List!$AW$4</f>
        <v>28.5</v>
      </c>
      <c r="J210" s="4" t="str">
        <f ca="1">Master_List!$AW$5</f>
        <v>65</v>
      </c>
      <c r="K210" s="4" t="s">
        <v>582</v>
      </c>
      <c r="BL210" s="4" t="s">
        <v>1744</v>
      </c>
      <c r="BM210" s="4" t="s">
        <v>1855</v>
      </c>
      <c r="BN210" s="4" t="s">
        <v>1746</v>
      </c>
      <c r="BO210" s="4" t="str">
        <f t="shared" si="3"/>
        <v>C:\Users\aremi\Desktop\REPORT CBM\PO TIANU JB\03. Raw Material\40. 10052026 SSU MEDINI SIGNATURE 33KV (VI)\IR</v>
      </c>
      <c r="BP210" t="s">
        <v>773</v>
      </c>
    </row>
    <row r="211" spans="1:68" thickBot="1" x14ac:dyDescent="0.3">
      <c r="A211" s="4">
        <v>105</v>
      </c>
      <c r="B211" s="4" t="s">
        <v>764</v>
      </c>
      <c r="C211" s="4">
        <v>4</v>
      </c>
      <c r="D211" s="4" t="s">
        <v>1760</v>
      </c>
      <c r="E211" s="4">
        <v>5</v>
      </c>
      <c r="F211" s="4" t="str">
        <f ca="1">Master_List!$AW$1</f>
        <v>PERPUSTAKAAN PUSAT</v>
      </c>
      <c r="G211" s="4" t="str">
        <f ca="1">Master_List!$AW$2</f>
        <v>09:30 PM</v>
      </c>
      <c r="H211" s="4" t="str">
        <f ca="1">Master_List!$AW$3</f>
        <v>20/07/2026</v>
      </c>
      <c r="I211" s="4" t="str">
        <f ca="1">Master_List!$AW$4</f>
        <v>28.5</v>
      </c>
      <c r="J211" s="4" t="str">
        <f ca="1">Master_List!$AW$5</f>
        <v>65</v>
      </c>
      <c r="K211" s="4" t="s">
        <v>582</v>
      </c>
      <c r="BL211" s="4" t="s">
        <v>1744</v>
      </c>
      <c r="BM211" s="4" t="s">
        <v>1855</v>
      </c>
      <c r="BN211" s="4" t="s">
        <v>1748</v>
      </c>
      <c r="BO211" s="4" t="str">
        <f t="shared" si="3"/>
        <v>C:\Users\aremi\Desktop\REPORT CBM\PO TIANU JB\03. Raw Material\40. 10052026 SSU MEDINI SIGNATURE 33KV (VI)\IR</v>
      </c>
      <c r="BP211" t="s">
        <v>774</v>
      </c>
    </row>
    <row r="212" spans="1:68" thickBot="1" x14ac:dyDescent="0.3">
      <c r="A212" s="4">
        <v>106</v>
      </c>
      <c r="B212" s="4" t="s">
        <v>764</v>
      </c>
      <c r="C212" s="4">
        <v>4</v>
      </c>
      <c r="D212" s="4" t="s">
        <v>1760</v>
      </c>
      <c r="E212" s="4">
        <v>6</v>
      </c>
      <c r="F212" s="4" t="str">
        <f ca="1">Master_List!$AW$1</f>
        <v>PERPUSTAKAAN PUSAT</v>
      </c>
      <c r="G212" s="4" t="str">
        <f ca="1">Master_List!$AW$2</f>
        <v>09:30 PM</v>
      </c>
      <c r="H212" s="4" t="str">
        <f ca="1">Master_List!$AW$3</f>
        <v>20/07/2026</v>
      </c>
      <c r="I212" s="4" t="str">
        <f ca="1">Master_List!$AW$4</f>
        <v>28.5</v>
      </c>
      <c r="J212" s="4" t="str">
        <f ca="1">Master_List!$AW$5</f>
        <v>65</v>
      </c>
      <c r="K212" s="4" t="s">
        <v>585</v>
      </c>
      <c r="BL212" s="4" t="s">
        <v>1744</v>
      </c>
      <c r="BM212" s="4" t="s">
        <v>1856</v>
      </c>
      <c r="BN212" s="4" t="s">
        <v>1746</v>
      </c>
      <c r="BO212" s="4" t="str">
        <f t="shared" si="3"/>
        <v>C:\Users\aremi\Desktop\REPORT CBM\PO TIANU JB\03. Raw Material\40. 10052026 SSU MEDINI SIGNATURE 33KV (VI)\IR</v>
      </c>
      <c r="BP212" t="s">
        <v>775</v>
      </c>
    </row>
    <row r="213" spans="1:68" thickBot="1" x14ac:dyDescent="0.3">
      <c r="A213" s="4">
        <v>106</v>
      </c>
      <c r="B213" s="4" t="s">
        <v>764</v>
      </c>
      <c r="C213" s="4">
        <v>4</v>
      </c>
      <c r="D213" s="4" t="s">
        <v>1760</v>
      </c>
      <c r="E213" s="4">
        <v>6</v>
      </c>
      <c r="F213" s="4" t="str">
        <f ca="1">Master_List!$AW$1</f>
        <v>PERPUSTAKAAN PUSAT</v>
      </c>
      <c r="G213" s="4" t="str">
        <f ca="1">Master_List!$AW$2</f>
        <v>09:30 PM</v>
      </c>
      <c r="H213" s="4" t="str">
        <f ca="1">Master_List!$AW$3</f>
        <v>20/07/2026</v>
      </c>
      <c r="I213" s="4" t="str">
        <f ca="1">Master_List!$AW$4</f>
        <v>28.5</v>
      </c>
      <c r="J213" s="4" t="str">
        <f ca="1">Master_List!$AW$5</f>
        <v>65</v>
      </c>
      <c r="K213" s="4" t="s">
        <v>585</v>
      </c>
      <c r="BL213" s="4" t="s">
        <v>1744</v>
      </c>
      <c r="BM213" s="4" t="s">
        <v>1856</v>
      </c>
      <c r="BN213" s="4" t="s">
        <v>1748</v>
      </c>
      <c r="BO213" s="4" t="str">
        <f t="shared" si="3"/>
        <v>C:\Users\aremi\Desktop\REPORT CBM\PO TIANU JB\03. Raw Material\40. 10052026 SSU MEDINI SIGNATURE 33KV (VI)\IR</v>
      </c>
      <c r="BP213" t="s">
        <v>776</v>
      </c>
    </row>
    <row r="214" spans="1:68" thickBot="1" x14ac:dyDescent="0.3">
      <c r="A214" s="4">
        <v>107</v>
      </c>
      <c r="B214" s="4" t="s">
        <v>764</v>
      </c>
      <c r="C214" s="4">
        <v>4</v>
      </c>
      <c r="D214" s="4" t="s">
        <v>1767</v>
      </c>
      <c r="E214" s="4">
        <v>7</v>
      </c>
      <c r="F214" s="4" t="str">
        <f ca="1">Master_List!$AW$1</f>
        <v>PERPUSTAKAAN PUSAT</v>
      </c>
      <c r="G214" s="4" t="str">
        <f ca="1">Master_List!$AW$2</f>
        <v>09:30 PM</v>
      </c>
      <c r="H214" s="4" t="str">
        <f ca="1">Master_List!$AW$3</f>
        <v>20/07/2026</v>
      </c>
      <c r="I214" s="4" t="str">
        <f ca="1">Master_List!$AW$4</f>
        <v>28.5</v>
      </c>
      <c r="J214" s="4" t="str">
        <f ca="1">Master_List!$AW$5</f>
        <v>65</v>
      </c>
      <c r="K214" s="4" t="s">
        <v>588</v>
      </c>
      <c r="BL214" s="4" t="s">
        <v>1744</v>
      </c>
      <c r="BM214" s="4" t="s">
        <v>1857</v>
      </c>
      <c r="BN214" s="4" t="s">
        <v>1746</v>
      </c>
      <c r="BO214" s="4" t="str">
        <f t="shared" si="3"/>
        <v>C:\Users\aremi\Desktop\REPORT CBM\PO TIANU JB\03. Raw Material\40. 10052026 SSU MEDINI SIGNATURE 33KV (VI)\IR</v>
      </c>
      <c r="BP214" t="s">
        <v>777</v>
      </c>
    </row>
    <row r="215" spans="1:68" thickBot="1" x14ac:dyDescent="0.3">
      <c r="A215" s="4">
        <v>107</v>
      </c>
      <c r="B215" s="4" t="s">
        <v>764</v>
      </c>
      <c r="C215" s="4">
        <v>4</v>
      </c>
      <c r="D215" s="4" t="s">
        <v>1767</v>
      </c>
      <c r="E215" s="4">
        <v>7</v>
      </c>
      <c r="F215" s="4" t="str">
        <f ca="1">Master_List!$AW$1</f>
        <v>PERPUSTAKAAN PUSAT</v>
      </c>
      <c r="G215" s="4" t="str">
        <f ca="1">Master_List!$AW$2</f>
        <v>09:30 PM</v>
      </c>
      <c r="H215" s="4" t="str">
        <f ca="1">Master_List!$AW$3</f>
        <v>20/07/2026</v>
      </c>
      <c r="I215" s="4" t="str">
        <f ca="1">Master_List!$AW$4</f>
        <v>28.5</v>
      </c>
      <c r="J215" s="4" t="str">
        <f ca="1">Master_List!$AW$5</f>
        <v>65</v>
      </c>
      <c r="K215" s="4" t="s">
        <v>588</v>
      </c>
      <c r="BL215" s="4" t="s">
        <v>1744</v>
      </c>
      <c r="BM215" s="4" t="s">
        <v>1857</v>
      </c>
      <c r="BN215" s="4" t="s">
        <v>1748</v>
      </c>
      <c r="BO215" s="4" t="str">
        <f t="shared" si="3"/>
        <v>C:\Users\aremi\Desktop\REPORT CBM\PO TIANU JB\03. Raw Material\40. 10052026 SSU MEDINI SIGNATURE 33KV (VI)\IR</v>
      </c>
      <c r="BP215" t="s">
        <v>778</v>
      </c>
    </row>
    <row r="216" spans="1:68" thickBot="1" x14ac:dyDescent="0.3">
      <c r="A216" s="4">
        <v>108</v>
      </c>
      <c r="B216" s="4" t="s">
        <v>764</v>
      </c>
      <c r="C216" s="4">
        <v>4</v>
      </c>
      <c r="D216" s="4" t="s">
        <v>1769</v>
      </c>
      <c r="E216" s="4">
        <v>8</v>
      </c>
      <c r="F216" s="4" t="str">
        <f ca="1">Master_List!$AW$1</f>
        <v>PERPUSTAKAAN PUSAT</v>
      </c>
      <c r="G216" s="4" t="str">
        <f ca="1">Master_List!$AW$2</f>
        <v>09:30 PM</v>
      </c>
      <c r="H216" s="4" t="str">
        <f ca="1">Master_List!$AW$3</f>
        <v>20/07/2026</v>
      </c>
      <c r="I216" s="4" t="str">
        <f ca="1">Master_List!$AW$4</f>
        <v>28.5</v>
      </c>
      <c r="J216" s="4" t="str">
        <f ca="1">Master_List!$AW$5</f>
        <v>65</v>
      </c>
      <c r="K216" s="4" t="s">
        <v>591</v>
      </c>
      <c r="BL216" s="4" t="s">
        <v>1744</v>
      </c>
      <c r="BM216" s="4" t="s">
        <v>1858</v>
      </c>
      <c r="BN216" s="4" t="s">
        <v>1746</v>
      </c>
      <c r="BO216" s="4" t="str">
        <f t="shared" si="3"/>
        <v>C:\Users\aremi\Desktop\REPORT CBM\PO TIANU JB\03. Raw Material\40. 10052026 SSU MEDINI SIGNATURE 33KV (VI)\IR</v>
      </c>
      <c r="BP216" t="s">
        <v>779</v>
      </c>
    </row>
    <row r="217" spans="1:68" thickBot="1" x14ac:dyDescent="0.3">
      <c r="A217" s="4">
        <v>108</v>
      </c>
      <c r="B217" s="4" t="s">
        <v>764</v>
      </c>
      <c r="C217" s="4">
        <v>4</v>
      </c>
      <c r="D217" s="4" t="s">
        <v>1769</v>
      </c>
      <c r="E217" s="4">
        <v>8</v>
      </c>
      <c r="F217" s="4" t="str">
        <f ca="1">Master_List!$AW$1</f>
        <v>PERPUSTAKAAN PUSAT</v>
      </c>
      <c r="G217" s="4" t="str">
        <f ca="1">Master_List!$AW$2</f>
        <v>09:30 PM</v>
      </c>
      <c r="H217" s="4" t="str">
        <f ca="1">Master_List!$AW$3</f>
        <v>20/07/2026</v>
      </c>
      <c r="I217" s="4" t="str">
        <f ca="1">Master_List!$AW$4</f>
        <v>28.5</v>
      </c>
      <c r="J217" s="4" t="str">
        <f ca="1">Master_List!$AW$5</f>
        <v>65</v>
      </c>
      <c r="K217" s="4" t="s">
        <v>591</v>
      </c>
      <c r="BL217" s="4" t="s">
        <v>1744</v>
      </c>
      <c r="BM217" s="4" t="s">
        <v>1858</v>
      </c>
      <c r="BN217" s="4" t="s">
        <v>1748</v>
      </c>
      <c r="BO217" s="4" t="str">
        <f t="shared" si="3"/>
        <v>C:\Users\aremi\Desktop\REPORT CBM\PO TIANU JB\03. Raw Material\40. 10052026 SSU MEDINI SIGNATURE 33KV (VI)\IR</v>
      </c>
      <c r="BP217" t="s">
        <v>780</v>
      </c>
    </row>
    <row r="218" spans="1:68" thickBot="1" x14ac:dyDescent="0.3">
      <c r="A218" s="4">
        <v>109</v>
      </c>
      <c r="B218" s="4" t="s">
        <v>781</v>
      </c>
      <c r="C218" s="4">
        <v>4</v>
      </c>
      <c r="D218" s="4" t="s">
        <v>1760</v>
      </c>
      <c r="E218" s="4">
        <v>1</v>
      </c>
      <c r="F218" s="4" t="str">
        <f ca="1">Master_List!$AW$1</f>
        <v>PERPUSTAKAAN PUSAT</v>
      </c>
      <c r="G218" s="4" t="str">
        <f ca="1">Master_List!$AW$2</f>
        <v>09:30 PM</v>
      </c>
      <c r="H218" s="4" t="str">
        <f ca="1">Master_List!$AW$3</f>
        <v>20/07/2026</v>
      </c>
      <c r="I218" s="4" t="str">
        <f ca="1">Master_List!$AW$4</f>
        <v>28.5</v>
      </c>
      <c r="J218" s="4" t="str">
        <f ca="1">Master_List!$AW$5</f>
        <v>65</v>
      </c>
      <c r="K218" s="4" t="s">
        <v>570</v>
      </c>
      <c r="BL218" s="4" t="s">
        <v>1744</v>
      </c>
      <c r="BM218" s="4" t="s">
        <v>1859</v>
      </c>
      <c r="BN218" s="4" t="s">
        <v>1746</v>
      </c>
      <c r="BO218" s="4" t="str">
        <f t="shared" si="3"/>
        <v>C:\Users\aremi\Desktop\REPORT CBM\PO TIANU JB\03. Raw Material\40. 10052026 SSU MEDINI SIGNATURE 33KV (VI)\IR</v>
      </c>
      <c r="BP218" t="s">
        <v>782</v>
      </c>
    </row>
    <row r="219" spans="1:68" thickBot="1" x14ac:dyDescent="0.3">
      <c r="A219" s="4">
        <v>109</v>
      </c>
      <c r="B219" s="4" t="s">
        <v>781</v>
      </c>
      <c r="C219" s="4">
        <v>4</v>
      </c>
      <c r="D219" s="4" t="s">
        <v>1760</v>
      </c>
      <c r="E219" s="4">
        <v>1</v>
      </c>
      <c r="F219" s="4" t="str">
        <f ca="1">Master_List!$AW$1</f>
        <v>PERPUSTAKAAN PUSAT</v>
      </c>
      <c r="G219" s="4" t="str">
        <f ca="1">Master_List!$AW$2</f>
        <v>09:30 PM</v>
      </c>
      <c r="H219" s="4" t="str">
        <f ca="1">Master_List!$AW$3</f>
        <v>20/07/2026</v>
      </c>
      <c r="I219" s="4" t="str">
        <f ca="1">Master_List!$AW$4</f>
        <v>28.5</v>
      </c>
      <c r="J219" s="4" t="str">
        <f ca="1">Master_List!$AW$5</f>
        <v>65</v>
      </c>
      <c r="K219" s="4" t="s">
        <v>570</v>
      </c>
      <c r="BL219" s="4" t="s">
        <v>1744</v>
      </c>
      <c r="BM219" s="4" t="s">
        <v>1859</v>
      </c>
      <c r="BN219" s="4" t="s">
        <v>1748</v>
      </c>
      <c r="BO219" s="4" t="str">
        <f t="shared" si="3"/>
        <v>C:\Users\aremi\Desktop\REPORT CBM\PO TIANU JB\03. Raw Material\40. 10052026 SSU MEDINI SIGNATURE 33KV (VI)\IR</v>
      </c>
      <c r="BP219" t="s">
        <v>783</v>
      </c>
    </row>
    <row r="220" spans="1:68" thickBot="1" x14ac:dyDescent="0.3">
      <c r="A220" s="4">
        <v>110</v>
      </c>
      <c r="B220" s="4" t="s">
        <v>781</v>
      </c>
      <c r="C220" s="4">
        <v>4</v>
      </c>
      <c r="D220" s="4" t="s">
        <v>1760</v>
      </c>
      <c r="E220" s="4">
        <v>2</v>
      </c>
      <c r="F220" s="4" t="str">
        <f ca="1">Master_List!$AW$1</f>
        <v>PERPUSTAKAAN PUSAT</v>
      </c>
      <c r="G220" s="4" t="str">
        <f ca="1">Master_List!$AW$2</f>
        <v>09:30 PM</v>
      </c>
      <c r="H220" s="4" t="str">
        <f ca="1">Master_List!$AW$3</f>
        <v>20/07/2026</v>
      </c>
      <c r="I220" s="4" t="str">
        <f ca="1">Master_List!$AW$4</f>
        <v>28.5</v>
      </c>
      <c r="J220" s="4" t="str">
        <f ca="1">Master_List!$AW$5</f>
        <v>65</v>
      </c>
      <c r="K220" s="4" t="s">
        <v>573</v>
      </c>
      <c r="BL220" s="4" t="s">
        <v>1744</v>
      </c>
      <c r="BM220" s="4" t="s">
        <v>1860</v>
      </c>
      <c r="BN220" s="4" t="s">
        <v>1746</v>
      </c>
      <c r="BO220" s="4" t="str">
        <f t="shared" si="3"/>
        <v>C:\Users\aremi\Desktop\REPORT CBM\PO TIANU JB\03. Raw Material\40. 10052026 SSU MEDINI SIGNATURE 33KV (VI)\IR</v>
      </c>
      <c r="BP220" t="s">
        <v>784</v>
      </c>
    </row>
    <row r="221" spans="1:68" thickBot="1" x14ac:dyDescent="0.3">
      <c r="A221" s="4">
        <v>110</v>
      </c>
      <c r="B221" s="4" t="s">
        <v>781</v>
      </c>
      <c r="C221" s="4">
        <v>4</v>
      </c>
      <c r="D221" s="4" t="s">
        <v>1760</v>
      </c>
      <c r="E221" s="4">
        <v>2</v>
      </c>
      <c r="F221" s="4" t="str">
        <f ca="1">Master_List!$AW$1</f>
        <v>PERPUSTAKAAN PUSAT</v>
      </c>
      <c r="G221" s="4" t="str">
        <f ca="1">Master_List!$AW$2</f>
        <v>09:30 PM</v>
      </c>
      <c r="H221" s="4" t="str">
        <f ca="1">Master_List!$AW$3</f>
        <v>20/07/2026</v>
      </c>
      <c r="I221" s="4" t="str">
        <f ca="1">Master_List!$AW$4</f>
        <v>28.5</v>
      </c>
      <c r="J221" s="4" t="str">
        <f ca="1">Master_List!$AW$5</f>
        <v>65</v>
      </c>
      <c r="K221" s="4" t="s">
        <v>573</v>
      </c>
      <c r="BL221" s="4" t="s">
        <v>1744</v>
      </c>
      <c r="BM221" s="4" t="s">
        <v>1860</v>
      </c>
      <c r="BN221" s="4" t="s">
        <v>1748</v>
      </c>
      <c r="BO221" s="4" t="str">
        <f t="shared" si="3"/>
        <v>C:\Users\aremi\Desktop\REPORT CBM\PO TIANU JB\03. Raw Material\40. 10052026 SSU MEDINI SIGNATURE 33KV (VI)\IR</v>
      </c>
      <c r="BP221" t="s">
        <v>785</v>
      </c>
    </row>
    <row r="222" spans="1:68" thickBot="1" x14ac:dyDescent="0.3">
      <c r="A222" s="4">
        <v>111</v>
      </c>
      <c r="B222" s="4" t="s">
        <v>781</v>
      </c>
      <c r="C222" s="4">
        <v>4</v>
      </c>
      <c r="D222" s="4" t="s">
        <v>1760</v>
      </c>
      <c r="E222" s="4">
        <v>3</v>
      </c>
      <c r="F222" s="4" t="str">
        <f ca="1">Master_List!$AW$1</f>
        <v>PERPUSTAKAAN PUSAT</v>
      </c>
      <c r="G222" s="4" t="str">
        <f ca="1">Master_List!$AW$2</f>
        <v>09:30 PM</v>
      </c>
      <c r="H222" s="4" t="str">
        <f ca="1">Master_List!$AW$3</f>
        <v>20/07/2026</v>
      </c>
      <c r="I222" s="4" t="str">
        <f ca="1">Master_List!$AW$4</f>
        <v>28.5</v>
      </c>
      <c r="J222" s="4" t="str">
        <f ca="1">Master_List!$AW$5</f>
        <v>65</v>
      </c>
      <c r="K222" s="4" t="s">
        <v>576</v>
      </c>
      <c r="BL222" s="4" t="s">
        <v>1744</v>
      </c>
      <c r="BM222" s="4" t="s">
        <v>1861</v>
      </c>
      <c r="BN222" s="4" t="s">
        <v>1746</v>
      </c>
      <c r="BO222" s="4" t="str">
        <f t="shared" si="3"/>
        <v>C:\Users\aremi\Desktop\REPORT CBM\PO TIANU JB\03. Raw Material\40. 10052026 SSU MEDINI SIGNATURE 33KV (VI)\IR</v>
      </c>
      <c r="BP222" t="s">
        <v>786</v>
      </c>
    </row>
    <row r="223" spans="1:68" thickBot="1" x14ac:dyDescent="0.3">
      <c r="A223" s="4">
        <v>111</v>
      </c>
      <c r="B223" s="4" t="s">
        <v>781</v>
      </c>
      <c r="C223" s="4">
        <v>4</v>
      </c>
      <c r="D223" s="4" t="s">
        <v>1760</v>
      </c>
      <c r="E223" s="4">
        <v>3</v>
      </c>
      <c r="F223" s="4" t="str">
        <f ca="1">Master_List!$AW$1</f>
        <v>PERPUSTAKAAN PUSAT</v>
      </c>
      <c r="G223" s="4" t="str">
        <f ca="1">Master_List!$AW$2</f>
        <v>09:30 PM</v>
      </c>
      <c r="H223" s="4" t="str">
        <f ca="1">Master_List!$AW$3</f>
        <v>20/07/2026</v>
      </c>
      <c r="I223" s="4" t="str">
        <f ca="1">Master_List!$AW$4</f>
        <v>28.5</v>
      </c>
      <c r="J223" s="4" t="str">
        <f ca="1">Master_List!$AW$5</f>
        <v>65</v>
      </c>
      <c r="K223" s="4" t="s">
        <v>576</v>
      </c>
      <c r="BL223" s="4" t="s">
        <v>1744</v>
      </c>
      <c r="BM223" s="4" t="s">
        <v>1861</v>
      </c>
      <c r="BN223" s="4" t="s">
        <v>1748</v>
      </c>
      <c r="BO223" s="4" t="str">
        <f t="shared" si="3"/>
        <v>C:\Users\aremi\Desktop\REPORT CBM\PO TIANU JB\03. Raw Material\40. 10052026 SSU MEDINI SIGNATURE 33KV (VI)\IR</v>
      </c>
      <c r="BP223" t="s">
        <v>787</v>
      </c>
    </row>
    <row r="224" spans="1:68" thickBot="1" x14ac:dyDescent="0.3">
      <c r="A224" s="4">
        <v>112</v>
      </c>
      <c r="B224" s="4" t="s">
        <v>781</v>
      </c>
      <c r="C224" s="4">
        <v>4</v>
      </c>
      <c r="D224" s="4" t="s">
        <v>1760</v>
      </c>
      <c r="E224" s="4">
        <v>4</v>
      </c>
      <c r="F224" s="4" t="str">
        <f ca="1">Master_List!$AW$1</f>
        <v>PERPUSTAKAAN PUSAT</v>
      </c>
      <c r="G224" s="4" t="str">
        <f ca="1">Master_List!$AW$2</f>
        <v>09:30 PM</v>
      </c>
      <c r="H224" s="4" t="str">
        <f ca="1">Master_List!$AW$3</f>
        <v>20/07/2026</v>
      </c>
      <c r="I224" s="4" t="str">
        <f ca="1">Master_List!$AW$4</f>
        <v>28.5</v>
      </c>
      <c r="J224" s="4" t="str">
        <f ca="1">Master_List!$AW$5</f>
        <v>65</v>
      </c>
      <c r="K224" s="4" t="s">
        <v>579</v>
      </c>
      <c r="BL224" s="4" t="s">
        <v>1744</v>
      </c>
      <c r="BM224" s="4" t="s">
        <v>1862</v>
      </c>
      <c r="BN224" s="4" t="s">
        <v>1746</v>
      </c>
      <c r="BO224" s="4" t="str">
        <f t="shared" si="3"/>
        <v>C:\Users\aremi\Desktop\REPORT CBM\PO TIANU JB\03. Raw Material\40. 10052026 SSU MEDINI SIGNATURE 33KV (VI)\IR</v>
      </c>
      <c r="BP224" t="s">
        <v>788</v>
      </c>
    </row>
    <row r="225" spans="1:68" thickBot="1" x14ac:dyDescent="0.3">
      <c r="A225" s="4">
        <v>112</v>
      </c>
      <c r="B225" s="4" t="s">
        <v>781</v>
      </c>
      <c r="C225" s="4">
        <v>4</v>
      </c>
      <c r="D225" s="4" t="s">
        <v>1760</v>
      </c>
      <c r="E225" s="4">
        <v>4</v>
      </c>
      <c r="F225" s="4" t="str">
        <f ca="1">Master_List!$AW$1</f>
        <v>PERPUSTAKAAN PUSAT</v>
      </c>
      <c r="G225" s="4" t="str">
        <f ca="1">Master_List!$AW$2</f>
        <v>09:30 PM</v>
      </c>
      <c r="H225" s="4" t="str">
        <f ca="1">Master_List!$AW$3</f>
        <v>20/07/2026</v>
      </c>
      <c r="I225" s="4" t="str">
        <f ca="1">Master_List!$AW$4</f>
        <v>28.5</v>
      </c>
      <c r="J225" s="4" t="str">
        <f ca="1">Master_List!$AW$5</f>
        <v>65</v>
      </c>
      <c r="K225" s="4" t="s">
        <v>579</v>
      </c>
      <c r="BL225" s="4" t="s">
        <v>1744</v>
      </c>
      <c r="BM225" s="4" t="s">
        <v>1862</v>
      </c>
      <c r="BN225" s="4" t="s">
        <v>1748</v>
      </c>
      <c r="BO225" s="4" t="str">
        <f t="shared" si="3"/>
        <v>C:\Users\aremi\Desktop\REPORT CBM\PO TIANU JB\03. Raw Material\40. 10052026 SSU MEDINI SIGNATURE 33KV (VI)\IR</v>
      </c>
      <c r="BP225" t="s">
        <v>789</v>
      </c>
    </row>
    <row r="226" spans="1:68" thickBot="1" x14ac:dyDescent="0.3">
      <c r="A226" s="4">
        <v>113</v>
      </c>
      <c r="B226" s="4" t="s">
        <v>781</v>
      </c>
      <c r="C226" s="4">
        <v>4</v>
      </c>
      <c r="D226" s="4" t="s">
        <v>1760</v>
      </c>
      <c r="E226" s="4">
        <v>5</v>
      </c>
      <c r="F226" s="4" t="str">
        <f ca="1">Master_List!$AW$1</f>
        <v>PERPUSTAKAAN PUSAT</v>
      </c>
      <c r="G226" s="4" t="str">
        <f ca="1">Master_List!$AW$2</f>
        <v>09:30 PM</v>
      </c>
      <c r="H226" s="4" t="str">
        <f ca="1">Master_List!$AW$3</f>
        <v>20/07/2026</v>
      </c>
      <c r="I226" s="4" t="str">
        <f ca="1">Master_List!$AW$4</f>
        <v>28.5</v>
      </c>
      <c r="J226" s="4" t="str">
        <f ca="1">Master_List!$AW$5</f>
        <v>65</v>
      </c>
      <c r="K226" s="4" t="s">
        <v>582</v>
      </c>
      <c r="BL226" s="4" t="s">
        <v>1744</v>
      </c>
      <c r="BM226" s="4" t="s">
        <v>1863</v>
      </c>
      <c r="BN226" s="4" t="s">
        <v>1746</v>
      </c>
      <c r="BO226" s="4" t="str">
        <f t="shared" si="3"/>
        <v>C:\Users\aremi\Desktop\REPORT CBM\PO TIANU JB\03. Raw Material\40. 10052026 SSU MEDINI SIGNATURE 33KV (VI)\IR</v>
      </c>
      <c r="BP226" t="s">
        <v>790</v>
      </c>
    </row>
    <row r="227" spans="1:68" thickBot="1" x14ac:dyDescent="0.3">
      <c r="A227" s="4">
        <v>113</v>
      </c>
      <c r="B227" s="4" t="s">
        <v>781</v>
      </c>
      <c r="C227" s="4">
        <v>4</v>
      </c>
      <c r="D227" s="4" t="s">
        <v>1760</v>
      </c>
      <c r="E227" s="4">
        <v>5</v>
      </c>
      <c r="F227" s="4" t="str">
        <f ca="1">Master_List!$AW$1</f>
        <v>PERPUSTAKAAN PUSAT</v>
      </c>
      <c r="G227" s="4" t="str">
        <f ca="1">Master_List!$AW$2</f>
        <v>09:30 PM</v>
      </c>
      <c r="H227" s="4" t="str">
        <f ca="1">Master_List!$AW$3</f>
        <v>20/07/2026</v>
      </c>
      <c r="I227" s="4" t="str">
        <f ca="1">Master_List!$AW$4</f>
        <v>28.5</v>
      </c>
      <c r="J227" s="4" t="str">
        <f ca="1">Master_List!$AW$5</f>
        <v>65</v>
      </c>
      <c r="K227" s="4" t="s">
        <v>582</v>
      </c>
      <c r="BL227" s="4" t="s">
        <v>1744</v>
      </c>
      <c r="BM227" s="4" t="s">
        <v>1863</v>
      </c>
      <c r="BN227" s="4" t="s">
        <v>1748</v>
      </c>
      <c r="BO227" s="4" t="str">
        <f t="shared" si="3"/>
        <v>C:\Users\aremi\Desktop\REPORT CBM\PO TIANU JB\03. Raw Material\40. 10052026 SSU MEDINI SIGNATURE 33KV (VI)\IR</v>
      </c>
      <c r="BP227" t="s">
        <v>791</v>
      </c>
    </row>
    <row r="228" spans="1:68" thickBot="1" x14ac:dyDescent="0.3">
      <c r="A228" s="4">
        <v>114</v>
      </c>
      <c r="B228" s="4" t="s">
        <v>781</v>
      </c>
      <c r="C228" s="4">
        <v>4</v>
      </c>
      <c r="D228" s="4" t="s">
        <v>1760</v>
      </c>
      <c r="E228" s="4">
        <v>6</v>
      </c>
      <c r="F228" s="4" t="str">
        <f ca="1">Master_List!$AW$1</f>
        <v>PERPUSTAKAAN PUSAT</v>
      </c>
      <c r="G228" s="4" t="str">
        <f ca="1">Master_List!$AW$2</f>
        <v>09:30 PM</v>
      </c>
      <c r="H228" s="4" t="str">
        <f ca="1">Master_List!$AW$3</f>
        <v>20/07/2026</v>
      </c>
      <c r="I228" s="4" t="str">
        <f ca="1">Master_List!$AW$4</f>
        <v>28.5</v>
      </c>
      <c r="J228" s="4" t="str">
        <f ca="1">Master_List!$AW$5</f>
        <v>65</v>
      </c>
      <c r="K228" s="4" t="s">
        <v>585</v>
      </c>
      <c r="BL228" s="4" t="s">
        <v>1744</v>
      </c>
      <c r="BM228" s="4" t="s">
        <v>1864</v>
      </c>
      <c r="BN228" s="4" t="s">
        <v>1746</v>
      </c>
      <c r="BO228" s="4" t="str">
        <f t="shared" si="3"/>
        <v>C:\Users\aremi\Desktop\REPORT CBM\PO TIANU JB\03. Raw Material\40. 10052026 SSU MEDINI SIGNATURE 33KV (VI)\IR</v>
      </c>
      <c r="BP228" t="s">
        <v>792</v>
      </c>
    </row>
    <row r="229" spans="1:68" thickBot="1" x14ac:dyDescent="0.3">
      <c r="A229" s="4">
        <v>114</v>
      </c>
      <c r="B229" s="4" t="s">
        <v>781</v>
      </c>
      <c r="C229" s="4">
        <v>4</v>
      </c>
      <c r="D229" s="4" t="s">
        <v>1760</v>
      </c>
      <c r="E229" s="4">
        <v>6</v>
      </c>
      <c r="F229" s="4" t="str">
        <f ca="1">Master_List!$AW$1</f>
        <v>PERPUSTAKAAN PUSAT</v>
      </c>
      <c r="G229" s="4" t="str">
        <f ca="1">Master_List!$AW$2</f>
        <v>09:30 PM</v>
      </c>
      <c r="H229" s="4" t="str">
        <f ca="1">Master_List!$AW$3</f>
        <v>20/07/2026</v>
      </c>
      <c r="I229" s="4" t="str">
        <f ca="1">Master_List!$AW$4</f>
        <v>28.5</v>
      </c>
      <c r="J229" s="4" t="str">
        <f ca="1">Master_List!$AW$5</f>
        <v>65</v>
      </c>
      <c r="K229" s="4" t="s">
        <v>585</v>
      </c>
      <c r="BL229" s="4" t="s">
        <v>1744</v>
      </c>
      <c r="BM229" s="4" t="s">
        <v>1864</v>
      </c>
      <c r="BN229" s="4" t="s">
        <v>1748</v>
      </c>
      <c r="BO229" s="4" t="str">
        <f t="shared" si="3"/>
        <v>C:\Users\aremi\Desktop\REPORT CBM\PO TIANU JB\03. Raw Material\40. 10052026 SSU MEDINI SIGNATURE 33KV (VI)\IR</v>
      </c>
      <c r="BP229" t="s">
        <v>793</v>
      </c>
    </row>
    <row r="230" spans="1:68" thickBot="1" x14ac:dyDescent="0.3">
      <c r="A230" s="4">
        <v>115</v>
      </c>
      <c r="B230" s="4" t="s">
        <v>781</v>
      </c>
      <c r="C230" s="4">
        <v>4</v>
      </c>
      <c r="D230" s="4" t="s">
        <v>1767</v>
      </c>
      <c r="E230" s="4">
        <v>7</v>
      </c>
      <c r="F230" s="4" t="str">
        <f ca="1">Master_List!$AW$1</f>
        <v>PERPUSTAKAAN PUSAT</v>
      </c>
      <c r="G230" s="4" t="str">
        <f ca="1">Master_List!$AW$2</f>
        <v>09:30 PM</v>
      </c>
      <c r="H230" s="4" t="str">
        <f ca="1">Master_List!$AW$3</f>
        <v>20/07/2026</v>
      </c>
      <c r="I230" s="4" t="str">
        <f ca="1">Master_List!$AW$4</f>
        <v>28.5</v>
      </c>
      <c r="J230" s="4" t="str">
        <f ca="1">Master_List!$AW$5</f>
        <v>65</v>
      </c>
      <c r="K230" s="4" t="s">
        <v>588</v>
      </c>
      <c r="BL230" s="4" t="s">
        <v>1744</v>
      </c>
      <c r="BM230" s="4" t="s">
        <v>1865</v>
      </c>
      <c r="BN230" s="4" t="s">
        <v>1746</v>
      </c>
      <c r="BO230" s="4" t="str">
        <f t="shared" si="3"/>
        <v>C:\Users\aremi\Desktop\REPORT CBM\PO TIANU JB\03. Raw Material\40. 10052026 SSU MEDINI SIGNATURE 33KV (VI)\IR</v>
      </c>
      <c r="BP230" t="s">
        <v>794</v>
      </c>
    </row>
    <row r="231" spans="1:68" thickBot="1" x14ac:dyDescent="0.3">
      <c r="A231" s="4">
        <v>115</v>
      </c>
      <c r="B231" s="4" t="s">
        <v>781</v>
      </c>
      <c r="C231" s="4">
        <v>4</v>
      </c>
      <c r="D231" s="4" t="s">
        <v>1767</v>
      </c>
      <c r="E231" s="4">
        <v>7</v>
      </c>
      <c r="F231" s="4" t="str">
        <f ca="1">Master_List!$AW$1</f>
        <v>PERPUSTAKAAN PUSAT</v>
      </c>
      <c r="G231" s="4" t="str">
        <f ca="1">Master_List!$AW$2</f>
        <v>09:30 PM</v>
      </c>
      <c r="H231" s="4" t="str">
        <f ca="1">Master_List!$AW$3</f>
        <v>20/07/2026</v>
      </c>
      <c r="I231" s="4" t="str">
        <f ca="1">Master_List!$AW$4</f>
        <v>28.5</v>
      </c>
      <c r="J231" s="4" t="str">
        <f ca="1">Master_List!$AW$5</f>
        <v>65</v>
      </c>
      <c r="K231" s="4" t="s">
        <v>588</v>
      </c>
      <c r="BL231" s="4" t="s">
        <v>1744</v>
      </c>
      <c r="BM231" s="4" t="s">
        <v>1865</v>
      </c>
      <c r="BN231" s="4" t="s">
        <v>1748</v>
      </c>
      <c r="BO231" s="4" t="str">
        <f t="shared" si="3"/>
        <v>C:\Users\aremi\Desktop\REPORT CBM\PO TIANU JB\03. Raw Material\40. 10052026 SSU MEDINI SIGNATURE 33KV (VI)\IR</v>
      </c>
      <c r="BP231" t="s">
        <v>795</v>
      </c>
    </row>
    <row r="232" spans="1:68" thickBot="1" x14ac:dyDescent="0.3">
      <c r="A232" s="4">
        <v>116</v>
      </c>
      <c r="B232" s="4" t="s">
        <v>781</v>
      </c>
      <c r="C232" s="4">
        <v>4</v>
      </c>
      <c r="D232" s="4" t="s">
        <v>1769</v>
      </c>
      <c r="E232" s="4">
        <v>8</v>
      </c>
      <c r="F232" s="4" t="str">
        <f ca="1">Master_List!$AW$1</f>
        <v>PERPUSTAKAAN PUSAT</v>
      </c>
      <c r="G232" s="4" t="str">
        <f ca="1">Master_List!$AW$2</f>
        <v>09:30 PM</v>
      </c>
      <c r="H232" s="4" t="str">
        <f ca="1">Master_List!$AW$3</f>
        <v>20/07/2026</v>
      </c>
      <c r="I232" s="4" t="str">
        <f ca="1">Master_List!$AW$4</f>
        <v>28.5</v>
      </c>
      <c r="J232" s="4" t="str">
        <f ca="1">Master_List!$AW$5</f>
        <v>65</v>
      </c>
      <c r="K232" s="4" t="s">
        <v>591</v>
      </c>
      <c r="BL232" s="4" t="s">
        <v>1744</v>
      </c>
      <c r="BM232" s="4" t="s">
        <v>1866</v>
      </c>
      <c r="BN232" s="4" t="s">
        <v>1746</v>
      </c>
      <c r="BO232" s="4" t="str">
        <f t="shared" si="3"/>
        <v>C:\Users\aremi\Desktop\REPORT CBM\PO TIANU JB\03. Raw Material\40. 10052026 SSU MEDINI SIGNATURE 33KV (VI)\IR</v>
      </c>
      <c r="BP232" t="s">
        <v>796</v>
      </c>
    </row>
    <row r="233" spans="1:68" thickBot="1" x14ac:dyDescent="0.3">
      <c r="A233" s="4">
        <v>116</v>
      </c>
      <c r="B233" s="4" t="s">
        <v>781</v>
      </c>
      <c r="C233" s="4">
        <v>4</v>
      </c>
      <c r="D233" s="4" t="s">
        <v>1769</v>
      </c>
      <c r="E233" s="4">
        <v>8</v>
      </c>
      <c r="F233" s="4" t="str">
        <f ca="1">Master_List!$AW$1</f>
        <v>PERPUSTAKAAN PUSAT</v>
      </c>
      <c r="G233" s="4" t="str">
        <f ca="1">Master_List!$AW$2</f>
        <v>09:30 PM</v>
      </c>
      <c r="H233" s="4" t="str">
        <f ca="1">Master_List!$AW$3</f>
        <v>20/07/2026</v>
      </c>
      <c r="I233" s="4" t="str">
        <f ca="1">Master_List!$AW$4</f>
        <v>28.5</v>
      </c>
      <c r="J233" s="4" t="str">
        <f ca="1">Master_List!$AW$5</f>
        <v>65</v>
      </c>
      <c r="K233" s="4" t="s">
        <v>591</v>
      </c>
      <c r="BL233" s="4" t="s">
        <v>1744</v>
      </c>
      <c r="BM233" s="4" t="s">
        <v>1866</v>
      </c>
      <c r="BN233" s="4" t="s">
        <v>1748</v>
      </c>
      <c r="BO233" s="4" t="str">
        <f t="shared" si="3"/>
        <v>C:\Users\aremi\Desktop\REPORT CBM\PO TIANU JB\03. Raw Material\40. 10052026 SSU MEDINI SIGNATURE 33KV (VI)\IR</v>
      </c>
      <c r="BP233" t="s">
        <v>797</v>
      </c>
    </row>
    <row r="234" spans="1:68" thickBot="1" x14ac:dyDescent="0.3">
      <c r="A234" s="4">
        <v>117</v>
      </c>
      <c r="B234" s="4" t="s">
        <v>798</v>
      </c>
      <c r="C234" s="4">
        <v>4</v>
      </c>
      <c r="D234" s="4" t="s">
        <v>1760</v>
      </c>
      <c r="E234" s="4">
        <v>1</v>
      </c>
      <c r="F234" s="4" t="str">
        <f ca="1">Master_List!$AW$1</f>
        <v>PERPUSTAKAAN PUSAT</v>
      </c>
      <c r="G234" s="4" t="str">
        <f ca="1">Master_List!$AW$2</f>
        <v>09:30 PM</v>
      </c>
      <c r="H234" s="4" t="str">
        <f ca="1">Master_List!$AW$3</f>
        <v>20/07/2026</v>
      </c>
      <c r="I234" s="4" t="str">
        <f ca="1">Master_List!$AW$4</f>
        <v>28.5</v>
      </c>
      <c r="J234" s="4" t="str">
        <f ca="1">Master_List!$AW$5</f>
        <v>65</v>
      </c>
      <c r="K234" s="4" t="s">
        <v>570</v>
      </c>
      <c r="BL234" s="4" t="s">
        <v>1744</v>
      </c>
      <c r="BM234" s="4" t="s">
        <v>1867</v>
      </c>
      <c r="BN234" s="4" t="s">
        <v>1746</v>
      </c>
      <c r="BO234" s="4" t="str">
        <f t="shared" si="3"/>
        <v>C:\Users\aremi\Desktop\REPORT CBM\PO TIANU JB\03. Raw Material\40. 10052026 SSU MEDINI SIGNATURE 33KV (VI)\IR</v>
      </c>
      <c r="BP234" t="s">
        <v>799</v>
      </c>
    </row>
    <row r="235" spans="1:68" thickBot="1" x14ac:dyDescent="0.3">
      <c r="A235" s="4">
        <v>117</v>
      </c>
      <c r="B235" s="4" t="s">
        <v>798</v>
      </c>
      <c r="C235" s="4">
        <v>4</v>
      </c>
      <c r="D235" s="4" t="s">
        <v>1760</v>
      </c>
      <c r="E235" s="4">
        <v>1</v>
      </c>
      <c r="F235" s="4" t="str">
        <f ca="1">Master_List!$AW$1</f>
        <v>PERPUSTAKAAN PUSAT</v>
      </c>
      <c r="G235" s="4" t="str">
        <f ca="1">Master_List!$AW$2</f>
        <v>09:30 PM</v>
      </c>
      <c r="H235" s="4" t="str">
        <f ca="1">Master_List!$AW$3</f>
        <v>20/07/2026</v>
      </c>
      <c r="I235" s="4" t="str">
        <f ca="1">Master_List!$AW$4</f>
        <v>28.5</v>
      </c>
      <c r="J235" s="4" t="str">
        <f ca="1">Master_List!$AW$5</f>
        <v>65</v>
      </c>
      <c r="K235" s="4" t="s">
        <v>570</v>
      </c>
      <c r="BL235" s="4" t="s">
        <v>1744</v>
      </c>
      <c r="BM235" s="4" t="s">
        <v>1867</v>
      </c>
      <c r="BN235" s="4" t="s">
        <v>1748</v>
      </c>
      <c r="BO235" s="4" t="str">
        <f t="shared" si="3"/>
        <v>C:\Users\aremi\Desktop\REPORT CBM\PO TIANU JB\03. Raw Material\40. 10052026 SSU MEDINI SIGNATURE 33KV (VI)\IR</v>
      </c>
      <c r="BP235" t="s">
        <v>800</v>
      </c>
    </row>
    <row r="236" spans="1:68" thickBot="1" x14ac:dyDescent="0.3">
      <c r="A236" s="4">
        <v>118</v>
      </c>
      <c r="B236" s="4" t="s">
        <v>798</v>
      </c>
      <c r="C236" s="4">
        <v>4</v>
      </c>
      <c r="D236" s="4" t="s">
        <v>1760</v>
      </c>
      <c r="E236" s="4">
        <v>2</v>
      </c>
      <c r="F236" s="4" t="str">
        <f ca="1">Master_List!$AW$1</f>
        <v>PERPUSTAKAAN PUSAT</v>
      </c>
      <c r="G236" s="4" t="str">
        <f ca="1">Master_List!$AW$2</f>
        <v>09:30 PM</v>
      </c>
      <c r="H236" s="4" t="str">
        <f ca="1">Master_List!$AW$3</f>
        <v>20/07/2026</v>
      </c>
      <c r="I236" s="4" t="str">
        <f ca="1">Master_List!$AW$4</f>
        <v>28.5</v>
      </c>
      <c r="J236" s="4" t="str">
        <f ca="1">Master_List!$AW$5</f>
        <v>65</v>
      </c>
      <c r="K236" s="4" t="s">
        <v>573</v>
      </c>
      <c r="BL236" s="4" t="s">
        <v>1744</v>
      </c>
      <c r="BM236" s="4" t="s">
        <v>1868</v>
      </c>
      <c r="BN236" s="4" t="s">
        <v>1746</v>
      </c>
      <c r="BO236" s="4" t="str">
        <f t="shared" si="3"/>
        <v>C:\Users\aremi\Desktop\REPORT CBM\PO TIANU JB\03. Raw Material\40. 10052026 SSU MEDINI SIGNATURE 33KV (VI)\IR</v>
      </c>
      <c r="BP236" t="s">
        <v>801</v>
      </c>
    </row>
    <row r="237" spans="1:68" thickBot="1" x14ac:dyDescent="0.3">
      <c r="A237" s="4">
        <v>118</v>
      </c>
      <c r="B237" s="4" t="s">
        <v>798</v>
      </c>
      <c r="C237" s="4">
        <v>4</v>
      </c>
      <c r="D237" s="4" t="s">
        <v>1760</v>
      </c>
      <c r="E237" s="4">
        <v>2</v>
      </c>
      <c r="F237" s="4" t="str">
        <f ca="1">Master_List!$AW$1</f>
        <v>PERPUSTAKAAN PUSAT</v>
      </c>
      <c r="G237" s="4" t="str">
        <f ca="1">Master_List!$AW$2</f>
        <v>09:30 PM</v>
      </c>
      <c r="H237" s="4" t="str">
        <f ca="1">Master_List!$AW$3</f>
        <v>20/07/2026</v>
      </c>
      <c r="I237" s="4" t="str">
        <f ca="1">Master_List!$AW$4</f>
        <v>28.5</v>
      </c>
      <c r="J237" s="4" t="str">
        <f ca="1">Master_List!$AW$5</f>
        <v>65</v>
      </c>
      <c r="K237" s="4" t="s">
        <v>573</v>
      </c>
      <c r="BL237" s="4" t="s">
        <v>1744</v>
      </c>
      <c r="BM237" s="4" t="s">
        <v>1868</v>
      </c>
      <c r="BN237" s="4" t="s">
        <v>1748</v>
      </c>
      <c r="BO237" s="4" t="str">
        <f t="shared" si="3"/>
        <v>C:\Users\aremi\Desktop\REPORT CBM\PO TIANU JB\03. Raw Material\40. 10052026 SSU MEDINI SIGNATURE 33KV (VI)\IR</v>
      </c>
      <c r="BP237" t="s">
        <v>802</v>
      </c>
    </row>
    <row r="238" spans="1:68" thickBot="1" x14ac:dyDescent="0.3">
      <c r="A238" s="4">
        <v>119</v>
      </c>
      <c r="B238" s="4" t="s">
        <v>798</v>
      </c>
      <c r="C238" s="4">
        <v>4</v>
      </c>
      <c r="D238" s="4" t="s">
        <v>1760</v>
      </c>
      <c r="E238" s="4">
        <v>3</v>
      </c>
      <c r="F238" s="4" t="str">
        <f ca="1">Master_List!$AW$1</f>
        <v>PERPUSTAKAAN PUSAT</v>
      </c>
      <c r="G238" s="4" t="str">
        <f ca="1">Master_List!$AW$2</f>
        <v>09:30 PM</v>
      </c>
      <c r="H238" s="4" t="str">
        <f ca="1">Master_List!$AW$3</f>
        <v>20/07/2026</v>
      </c>
      <c r="I238" s="4" t="str">
        <f ca="1">Master_List!$AW$4</f>
        <v>28.5</v>
      </c>
      <c r="J238" s="4" t="str">
        <f ca="1">Master_List!$AW$5</f>
        <v>65</v>
      </c>
      <c r="K238" s="4" t="s">
        <v>576</v>
      </c>
      <c r="BL238" s="4" t="s">
        <v>1744</v>
      </c>
      <c r="BM238" s="4" t="s">
        <v>1869</v>
      </c>
      <c r="BN238" s="4" t="s">
        <v>1746</v>
      </c>
      <c r="BO238" s="4" t="str">
        <f t="shared" si="3"/>
        <v>C:\Users\aremi\Desktop\REPORT CBM\PO TIANU JB\03. Raw Material\40. 10052026 SSU MEDINI SIGNATURE 33KV (VI)\IR</v>
      </c>
      <c r="BP238" t="s">
        <v>803</v>
      </c>
    </row>
    <row r="239" spans="1:68" thickBot="1" x14ac:dyDescent="0.3">
      <c r="A239" s="4">
        <v>119</v>
      </c>
      <c r="B239" s="4" t="s">
        <v>798</v>
      </c>
      <c r="C239" s="4">
        <v>4</v>
      </c>
      <c r="D239" s="4" t="s">
        <v>1760</v>
      </c>
      <c r="E239" s="4">
        <v>3</v>
      </c>
      <c r="F239" s="4" t="str">
        <f ca="1">Master_List!$AW$1</f>
        <v>PERPUSTAKAAN PUSAT</v>
      </c>
      <c r="G239" s="4" t="str">
        <f ca="1">Master_List!$AW$2</f>
        <v>09:30 PM</v>
      </c>
      <c r="H239" s="4" t="str">
        <f ca="1">Master_List!$AW$3</f>
        <v>20/07/2026</v>
      </c>
      <c r="I239" s="4" t="str">
        <f ca="1">Master_List!$AW$4</f>
        <v>28.5</v>
      </c>
      <c r="J239" s="4" t="str">
        <f ca="1">Master_List!$AW$5</f>
        <v>65</v>
      </c>
      <c r="K239" s="4" t="s">
        <v>576</v>
      </c>
      <c r="BL239" s="4" t="s">
        <v>1744</v>
      </c>
      <c r="BM239" s="4" t="s">
        <v>1869</v>
      </c>
      <c r="BN239" s="4" t="s">
        <v>1748</v>
      </c>
      <c r="BO239" s="4" t="str">
        <f t="shared" si="3"/>
        <v>C:\Users\aremi\Desktop\REPORT CBM\PO TIANU JB\03. Raw Material\40. 10052026 SSU MEDINI SIGNATURE 33KV (VI)\IR</v>
      </c>
      <c r="BP239" t="s">
        <v>804</v>
      </c>
    </row>
    <row r="240" spans="1:68" thickBot="1" x14ac:dyDescent="0.3">
      <c r="A240" s="4">
        <v>120</v>
      </c>
      <c r="B240" s="4" t="s">
        <v>798</v>
      </c>
      <c r="C240" s="4">
        <v>4</v>
      </c>
      <c r="D240" s="4" t="s">
        <v>1760</v>
      </c>
      <c r="E240" s="4">
        <v>4</v>
      </c>
      <c r="F240" s="4" t="str">
        <f ca="1">Master_List!$AW$1</f>
        <v>PERPUSTAKAAN PUSAT</v>
      </c>
      <c r="G240" s="4" t="str">
        <f ca="1">Master_List!$AW$2</f>
        <v>09:30 PM</v>
      </c>
      <c r="H240" s="4" t="str">
        <f ca="1">Master_List!$AW$3</f>
        <v>20/07/2026</v>
      </c>
      <c r="I240" s="4" t="str">
        <f ca="1">Master_List!$AW$4</f>
        <v>28.5</v>
      </c>
      <c r="J240" s="4" t="str">
        <f ca="1">Master_List!$AW$5</f>
        <v>65</v>
      </c>
      <c r="K240" s="4" t="s">
        <v>579</v>
      </c>
      <c r="BL240" s="4" t="s">
        <v>1744</v>
      </c>
      <c r="BM240" s="4" t="s">
        <v>1870</v>
      </c>
      <c r="BN240" s="4" t="s">
        <v>1746</v>
      </c>
      <c r="BO240" s="4" t="str">
        <f t="shared" si="3"/>
        <v>C:\Users\aremi\Desktop\REPORT CBM\PO TIANU JB\03. Raw Material\40. 10052026 SSU MEDINI SIGNATURE 33KV (VI)\IR</v>
      </c>
      <c r="BP240" t="s">
        <v>805</v>
      </c>
    </row>
    <row r="241" spans="1:68" thickBot="1" x14ac:dyDescent="0.3">
      <c r="A241" s="4">
        <v>120</v>
      </c>
      <c r="B241" s="4" t="s">
        <v>798</v>
      </c>
      <c r="C241" s="4">
        <v>4</v>
      </c>
      <c r="D241" s="4" t="s">
        <v>1760</v>
      </c>
      <c r="E241" s="4">
        <v>4</v>
      </c>
      <c r="F241" s="4" t="str">
        <f ca="1">Master_List!$AW$1</f>
        <v>PERPUSTAKAAN PUSAT</v>
      </c>
      <c r="G241" s="4" t="str">
        <f ca="1">Master_List!$AW$2</f>
        <v>09:30 PM</v>
      </c>
      <c r="H241" s="4" t="str">
        <f ca="1">Master_List!$AW$3</f>
        <v>20/07/2026</v>
      </c>
      <c r="I241" s="4" t="str">
        <f ca="1">Master_List!$AW$4</f>
        <v>28.5</v>
      </c>
      <c r="J241" s="4" t="str">
        <f ca="1">Master_List!$AW$5</f>
        <v>65</v>
      </c>
      <c r="K241" s="4" t="s">
        <v>579</v>
      </c>
      <c r="BL241" s="4" t="s">
        <v>1744</v>
      </c>
      <c r="BM241" s="4" t="s">
        <v>1870</v>
      </c>
      <c r="BN241" s="4" t="s">
        <v>1748</v>
      </c>
      <c r="BO241" s="4" t="str">
        <f t="shared" si="3"/>
        <v>C:\Users\aremi\Desktop\REPORT CBM\PO TIANU JB\03. Raw Material\40. 10052026 SSU MEDINI SIGNATURE 33KV (VI)\IR</v>
      </c>
      <c r="BP241" t="s">
        <v>806</v>
      </c>
    </row>
    <row r="242" spans="1:68" thickBot="1" x14ac:dyDescent="0.3">
      <c r="A242" s="4">
        <v>121</v>
      </c>
      <c r="B242" s="4" t="s">
        <v>798</v>
      </c>
      <c r="C242" s="4">
        <v>4</v>
      </c>
      <c r="D242" s="4" t="s">
        <v>1760</v>
      </c>
      <c r="E242" s="4">
        <v>5</v>
      </c>
      <c r="F242" s="4" t="str">
        <f ca="1">Master_List!$AW$1</f>
        <v>PERPUSTAKAAN PUSAT</v>
      </c>
      <c r="G242" s="4" t="str">
        <f ca="1">Master_List!$AW$2</f>
        <v>09:30 PM</v>
      </c>
      <c r="H242" s="4" t="str">
        <f ca="1">Master_List!$AW$3</f>
        <v>20/07/2026</v>
      </c>
      <c r="I242" s="4" t="str">
        <f ca="1">Master_List!$AW$4</f>
        <v>28.5</v>
      </c>
      <c r="J242" s="4" t="str">
        <f ca="1">Master_List!$AW$5</f>
        <v>65</v>
      </c>
      <c r="K242" s="4" t="s">
        <v>582</v>
      </c>
      <c r="BL242" s="4" t="s">
        <v>1744</v>
      </c>
      <c r="BM242" s="4" t="s">
        <v>1871</v>
      </c>
      <c r="BN242" s="4" t="s">
        <v>1746</v>
      </c>
      <c r="BO242" s="4" t="str">
        <f t="shared" si="3"/>
        <v>C:\Users\aremi\Desktop\REPORT CBM\PO TIANU JB\03. Raw Material\40. 10052026 SSU MEDINI SIGNATURE 33KV (VI)\IR</v>
      </c>
      <c r="BP242" t="s">
        <v>807</v>
      </c>
    </row>
    <row r="243" spans="1:68" thickBot="1" x14ac:dyDescent="0.3">
      <c r="A243" s="4">
        <v>121</v>
      </c>
      <c r="B243" s="4" t="s">
        <v>798</v>
      </c>
      <c r="C243" s="4">
        <v>4</v>
      </c>
      <c r="D243" s="4" t="s">
        <v>1760</v>
      </c>
      <c r="E243" s="4">
        <v>5</v>
      </c>
      <c r="F243" s="4" t="str">
        <f ca="1">Master_List!$AW$1</f>
        <v>PERPUSTAKAAN PUSAT</v>
      </c>
      <c r="G243" s="4" t="str">
        <f ca="1">Master_List!$AW$2</f>
        <v>09:30 PM</v>
      </c>
      <c r="H243" s="4" t="str">
        <f ca="1">Master_List!$AW$3</f>
        <v>20/07/2026</v>
      </c>
      <c r="I243" s="4" t="str">
        <f ca="1">Master_List!$AW$4</f>
        <v>28.5</v>
      </c>
      <c r="J243" s="4" t="str">
        <f ca="1">Master_List!$AW$5</f>
        <v>65</v>
      </c>
      <c r="K243" s="4" t="s">
        <v>582</v>
      </c>
      <c r="BL243" s="4" t="s">
        <v>1744</v>
      </c>
      <c r="BM243" s="4" t="s">
        <v>1871</v>
      </c>
      <c r="BN243" s="4" t="s">
        <v>1748</v>
      </c>
      <c r="BO243" s="4" t="str">
        <f t="shared" si="3"/>
        <v>C:\Users\aremi\Desktop\REPORT CBM\PO TIANU JB\03. Raw Material\40. 10052026 SSU MEDINI SIGNATURE 33KV (VI)\IR</v>
      </c>
      <c r="BP243" t="s">
        <v>808</v>
      </c>
    </row>
    <row r="244" spans="1:68" thickBot="1" x14ac:dyDescent="0.3">
      <c r="A244" s="4">
        <v>122</v>
      </c>
      <c r="B244" s="4" t="s">
        <v>798</v>
      </c>
      <c r="C244" s="4">
        <v>4</v>
      </c>
      <c r="D244" s="4" t="s">
        <v>1760</v>
      </c>
      <c r="E244" s="4">
        <v>6</v>
      </c>
      <c r="F244" s="4" t="str">
        <f ca="1">Master_List!$AW$1</f>
        <v>PERPUSTAKAAN PUSAT</v>
      </c>
      <c r="G244" s="4" t="str">
        <f ca="1">Master_List!$AW$2</f>
        <v>09:30 PM</v>
      </c>
      <c r="H244" s="4" t="str">
        <f ca="1">Master_List!$AW$3</f>
        <v>20/07/2026</v>
      </c>
      <c r="I244" s="4" t="str">
        <f ca="1">Master_List!$AW$4</f>
        <v>28.5</v>
      </c>
      <c r="J244" s="4" t="str">
        <f ca="1">Master_List!$AW$5</f>
        <v>65</v>
      </c>
      <c r="K244" s="4" t="s">
        <v>585</v>
      </c>
      <c r="BL244" s="4" t="s">
        <v>1744</v>
      </c>
      <c r="BM244" s="4" t="s">
        <v>1872</v>
      </c>
      <c r="BN244" s="4" t="s">
        <v>1746</v>
      </c>
      <c r="BO244" s="4" t="str">
        <f t="shared" si="3"/>
        <v>C:\Users\aremi\Desktop\REPORT CBM\PO TIANU JB\03. Raw Material\40. 10052026 SSU MEDINI SIGNATURE 33KV (VI)\IR</v>
      </c>
      <c r="BP244" t="s">
        <v>809</v>
      </c>
    </row>
    <row r="245" spans="1:68" thickBot="1" x14ac:dyDescent="0.3">
      <c r="A245" s="4">
        <v>122</v>
      </c>
      <c r="B245" s="4" t="s">
        <v>798</v>
      </c>
      <c r="C245" s="4">
        <v>4</v>
      </c>
      <c r="D245" s="4" t="s">
        <v>1760</v>
      </c>
      <c r="E245" s="4">
        <v>6</v>
      </c>
      <c r="F245" s="4" t="str">
        <f ca="1">Master_List!$AW$1</f>
        <v>PERPUSTAKAAN PUSAT</v>
      </c>
      <c r="G245" s="4" t="str">
        <f ca="1">Master_List!$AW$2</f>
        <v>09:30 PM</v>
      </c>
      <c r="H245" s="4" t="str">
        <f ca="1">Master_List!$AW$3</f>
        <v>20/07/2026</v>
      </c>
      <c r="I245" s="4" t="str">
        <f ca="1">Master_List!$AW$4</f>
        <v>28.5</v>
      </c>
      <c r="J245" s="4" t="str">
        <f ca="1">Master_List!$AW$5</f>
        <v>65</v>
      </c>
      <c r="K245" s="4" t="s">
        <v>585</v>
      </c>
      <c r="BL245" s="4" t="s">
        <v>1744</v>
      </c>
      <c r="BM245" s="4" t="s">
        <v>1872</v>
      </c>
      <c r="BN245" s="4" t="s">
        <v>1748</v>
      </c>
      <c r="BO245" s="4" t="str">
        <f t="shared" si="3"/>
        <v>C:\Users\aremi\Desktop\REPORT CBM\PO TIANU JB\03. Raw Material\40. 10052026 SSU MEDINI SIGNATURE 33KV (VI)\IR</v>
      </c>
      <c r="BP245" t="s">
        <v>810</v>
      </c>
    </row>
    <row r="246" spans="1:68" thickBot="1" x14ac:dyDescent="0.3">
      <c r="A246" s="4">
        <v>123</v>
      </c>
      <c r="B246" s="4" t="s">
        <v>798</v>
      </c>
      <c r="C246" s="4">
        <v>4</v>
      </c>
      <c r="D246" s="4" t="s">
        <v>1767</v>
      </c>
      <c r="E246" s="4">
        <v>7</v>
      </c>
      <c r="F246" s="4" t="str">
        <f ca="1">Master_List!$AW$1</f>
        <v>PERPUSTAKAAN PUSAT</v>
      </c>
      <c r="G246" s="4" t="str">
        <f ca="1">Master_List!$AW$2</f>
        <v>09:30 PM</v>
      </c>
      <c r="H246" s="4" t="str">
        <f ca="1">Master_List!$AW$3</f>
        <v>20/07/2026</v>
      </c>
      <c r="I246" s="4" t="str">
        <f ca="1">Master_List!$AW$4</f>
        <v>28.5</v>
      </c>
      <c r="J246" s="4" t="str">
        <f ca="1">Master_List!$AW$5</f>
        <v>65</v>
      </c>
      <c r="K246" s="4" t="s">
        <v>588</v>
      </c>
      <c r="BL246" s="4" t="s">
        <v>1744</v>
      </c>
      <c r="BM246" s="4" t="s">
        <v>1873</v>
      </c>
      <c r="BN246" s="4" t="s">
        <v>1746</v>
      </c>
      <c r="BO246" s="4" t="str">
        <f t="shared" si="3"/>
        <v>C:\Users\aremi\Desktop\REPORT CBM\PO TIANU JB\03. Raw Material\40. 10052026 SSU MEDINI SIGNATURE 33KV (VI)\IR</v>
      </c>
      <c r="BP246" t="s">
        <v>811</v>
      </c>
    </row>
    <row r="247" spans="1:68" thickBot="1" x14ac:dyDescent="0.3">
      <c r="A247" s="4">
        <v>123</v>
      </c>
      <c r="B247" s="4" t="s">
        <v>798</v>
      </c>
      <c r="C247" s="4">
        <v>4</v>
      </c>
      <c r="D247" s="4" t="s">
        <v>1767</v>
      </c>
      <c r="E247" s="4">
        <v>7</v>
      </c>
      <c r="F247" s="4" t="str">
        <f ca="1">Master_List!$AW$1</f>
        <v>PERPUSTAKAAN PUSAT</v>
      </c>
      <c r="G247" s="4" t="str">
        <f ca="1">Master_List!$AW$2</f>
        <v>09:30 PM</v>
      </c>
      <c r="H247" s="4" t="str">
        <f ca="1">Master_List!$AW$3</f>
        <v>20/07/2026</v>
      </c>
      <c r="I247" s="4" t="str">
        <f ca="1">Master_List!$AW$4</f>
        <v>28.5</v>
      </c>
      <c r="J247" s="4" t="str">
        <f ca="1">Master_List!$AW$5</f>
        <v>65</v>
      </c>
      <c r="K247" s="4" t="s">
        <v>588</v>
      </c>
      <c r="BL247" s="4" t="s">
        <v>1744</v>
      </c>
      <c r="BM247" s="4" t="s">
        <v>1873</v>
      </c>
      <c r="BN247" s="4" t="s">
        <v>1748</v>
      </c>
      <c r="BO247" s="4" t="str">
        <f t="shared" si="3"/>
        <v>C:\Users\aremi\Desktop\REPORT CBM\PO TIANU JB\03. Raw Material\40. 10052026 SSU MEDINI SIGNATURE 33KV (VI)\IR</v>
      </c>
      <c r="BP247" t="s">
        <v>812</v>
      </c>
    </row>
    <row r="248" spans="1:68" thickBot="1" x14ac:dyDescent="0.3">
      <c r="A248" s="4">
        <v>124</v>
      </c>
      <c r="B248" s="4" t="s">
        <v>798</v>
      </c>
      <c r="C248" s="4">
        <v>4</v>
      </c>
      <c r="D248" s="4" t="s">
        <v>1769</v>
      </c>
      <c r="E248" s="4">
        <v>8</v>
      </c>
      <c r="F248" s="4" t="str">
        <f ca="1">Master_List!$AW$1</f>
        <v>PERPUSTAKAAN PUSAT</v>
      </c>
      <c r="G248" s="4" t="str">
        <f ca="1">Master_List!$AW$2</f>
        <v>09:30 PM</v>
      </c>
      <c r="H248" s="4" t="str">
        <f ca="1">Master_List!$AW$3</f>
        <v>20/07/2026</v>
      </c>
      <c r="I248" s="4" t="str">
        <f ca="1">Master_List!$AW$4</f>
        <v>28.5</v>
      </c>
      <c r="J248" s="4" t="str">
        <f ca="1">Master_List!$AW$5</f>
        <v>65</v>
      </c>
      <c r="K248" s="4" t="s">
        <v>591</v>
      </c>
      <c r="BL248" s="4" t="s">
        <v>1744</v>
      </c>
      <c r="BM248" s="4" t="s">
        <v>1874</v>
      </c>
      <c r="BN248" s="4" t="s">
        <v>1746</v>
      </c>
      <c r="BO248" s="4" t="str">
        <f t="shared" si="3"/>
        <v>C:\Users\aremi\Desktop\REPORT CBM\PO TIANU JB\03. Raw Material\40. 10052026 SSU MEDINI SIGNATURE 33KV (VI)\IR</v>
      </c>
      <c r="BP248" t="s">
        <v>813</v>
      </c>
    </row>
    <row r="249" spans="1:68" thickBot="1" x14ac:dyDescent="0.3">
      <c r="A249" s="4">
        <v>124</v>
      </c>
      <c r="B249" s="4" t="s">
        <v>798</v>
      </c>
      <c r="C249" s="4">
        <v>4</v>
      </c>
      <c r="D249" s="4" t="s">
        <v>1769</v>
      </c>
      <c r="E249" s="4">
        <v>8</v>
      </c>
      <c r="F249" s="4" t="str">
        <f ca="1">Master_List!$AW$1</f>
        <v>PERPUSTAKAAN PUSAT</v>
      </c>
      <c r="G249" s="4" t="str">
        <f ca="1">Master_List!$AW$2</f>
        <v>09:30 PM</v>
      </c>
      <c r="H249" s="4" t="str">
        <f ca="1">Master_List!$AW$3</f>
        <v>20/07/2026</v>
      </c>
      <c r="I249" s="4" t="str">
        <f ca="1">Master_List!$AW$4</f>
        <v>28.5</v>
      </c>
      <c r="J249" s="4" t="str">
        <f ca="1">Master_List!$AW$5</f>
        <v>65</v>
      </c>
      <c r="K249" s="4" t="s">
        <v>591</v>
      </c>
      <c r="BL249" s="4" t="s">
        <v>1744</v>
      </c>
      <c r="BM249" s="4" t="s">
        <v>1874</v>
      </c>
      <c r="BN249" s="4" t="s">
        <v>1748</v>
      </c>
      <c r="BO249" s="4" t="str">
        <f t="shared" si="3"/>
        <v>C:\Users\aremi\Desktop\REPORT CBM\PO TIANU JB\03. Raw Material\40. 10052026 SSU MEDINI SIGNATURE 33KV (VI)\IR</v>
      </c>
      <c r="BP249" t="s">
        <v>814</v>
      </c>
    </row>
    <row r="250" spans="1:68" thickBot="1" x14ac:dyDescent="0.3">
      <c r="A250" s="4">
        <v>125</v>
      </c>
      <c r="B250" s="4" t="s">
        <v>815</v>
      </c>
      <c r="C250" s="4">
        <v>4</v>
      </c>
      <c r="D250" s="4" t="s">
        <v>1760</v>
      </c>
      <c r="E250" s="4">
        <v>1</v>
      </c>
      <c r="F250" s="4" t="str">
        <f ca="1">Master_List!$AW$1</f>
        <v>PERPUSTAKAAN PUSAT</v>
      </c>
      <c r="G250" s="4" t="str">
        <f ca="1">Master_List!$AW$2</f>
        <v>09:30 PM</v>
      </c>
      <c r="H250" s="4" t="str">
        <f ca="1">Master_List!$AW$3</f>
        <v>20/07/2026</v>
      </c>
      <c r="I250" s="4" t="str">
        <f ca="1">Master_List!$AW$4</f>
        <v>28.5</v>
      </c>
      <c r="J250" s="4" t="str">
        <f ca="1">Master_List!$AW$5</f>
        <v>65</v>
      </c>
      <c r="K250" s="4" t="s">
        <v>570</v>
      </c>
      <c r="BL250" s="4" t="s">
        <v>1744</v>
      </c>
      <c r="BM250" s="4" t="s">
        <v>1875</v>
      </c>
      <c r="BN250" s="4" t="s">
        <v>1746</v>
      </c>
      <c r="BO250" s="4" t="str">
        <f t="shared" si="3"/>
        <v>C:\Users\aremi\Desktop\REPORT CBM\PO TIANU JB\03. Raw Material\40. 10052026 SSU MEDINI SIGNATURE 33KV (VI)\IR</v>
      </c>
      <c r="BP250" t="s">
        <v>816</v>
      </c>
    </row>
    <row r="251" spans="1:68" thickBot="1" x14ac:dyDescent="0.3">
      <c r="A251" s="4">
        <v>125</v>
      </c>
      <c r="B251" s="4" t="s">
        <v>815</v>
      </c>
      <c r="C251" s="4">
        <v>4</v>
      </c>
      <c r="D251" s="4" t="s">
        <v>1760</v>
      </c>
      <c r="E251" s="4">
        <v>1</v>
      </c>
      <c r="F251" s="4" t="str">
        <f ca="1">Master_List!$AW$1</f>
        <v>PERPUSTAKAAN PUSAT</v>
      </c>
      <c r="G251" s="4" t="str">
        <f ca="1">Master_List!$AW$2</f>
        <v>09:30 PM</v>
      </c>
      <c r="H251" s="4" t="str">
        <f ca="1">Master_List!$AW$3</f>
        <v>20/07/2026</v>
      </c>
      <c r="I251" s="4" t="str">
        <f ca="1">Master_List!$AW$4</f>
        <v>28.5</v>
      </c>
      <c r="J251" s="4" t="str">
        <f ca="1">Master_List!$AW$5</f>
        <v>65</v>
      </c>
      <c r="K251" s="4" t="s">
        <v>570</v>
      </c>
      <c r="BL251" s="4" t="s">
        <v>1744</v>
      </c>
      <c r="BM251" s="4" t="s">
        <v>1875</v>
      </c>
      <c r="BN251" s="4" t="s">
        <v>1748</v>
      </c>
      <c r="BO251" s="4" t="str">
        <f t="shared" si="3"/>
        <v>C:\Users\aremi\Desktop\REPORT CBM\PO TIANU JB\03. Raw Material\40. 10052026 SSU MEDINI SIGNATURE 33KV (VI)\IR</v>
      </c>
      <c r="BP251" t="s">
        <v>817</v>
      </c>
    </row>
    <row r="252" spans="1:68" thickBot="1" x14ac:dyDescent="0.3">
      <c r="A252" s="4">
        <v>126</v>
      </c>
      <c r="B252" s="4" t="s">
        <v>815</v>
      </c>
      <c r="C252" s="4">
        <v>4</v>
      </c>
      <c r="D252" s="4" t="s">
        <v>1760</v>
      </c>
      <c r="E252" s="4">
        <v>2</v>
      </c>
      <c r="F252" s="4" t="str">
        <f ca="1">Master_List!$AW$1</f>
        <v>PERPUSTAKAAN PUSAT</v>
      </c>
      <c r="G252" s="4" t="str">
        <f ca="1">Master_List!$AW$2</f>
        <v>09:30 PM</v>
      </c>
      <c r="H252" s="4" t="str">
        <f ca="1">Master_List!$AW$3</f>
        <v>20/07/2026</v>
      </c>
      <c r="I252" s="4" t="str">
        <f ca="1">Master_List!$AW$4</f>
        <v>28.5</v>
      </c>
      <c r="J252" s="4" t="str">
        <f ca="1">Master_List!$AW$5</f>
        <v>65</v>
      </c>
      <c r="K252" s="4" t="s">
        <v>573</v>
      </c>
      <c r="BL252" s="4" t="s">
        <v>1744</v>
      </c>
      <c r="BM252" s="4" t="s">
        <v>1876</v>
      </c>
      <c r="BN252" s="4" t="s">
        <v>1746</v>
      </c>
      <c r="BO252" s="4" t="str">
        <f t="shared" si="3"/>
        <v>C:\Users\aremi\Desktop\REPORT CBM\PO TIANU JB\03. Raw Material\40. 10052026 SSU MEDINI SIGNATURE 33KV (VI)\IR</v>
      </c>
      <c r="BP252" t="s">
        <v>818</v>
      </c>
    </row>
    <row r="253" spans="1:68" thickBot="1" x14ac:dyDescent="0.3">
      <c r="A253" s="4">
        <v>126</v>
      </c>
      <c r="B253" s="4" t="s">
        <v>815</v>
      </c>
      <c r="C253" s="4">
        <v>4</v>
      </c>
      <c r="D253" s="4" t="s">
        <v>1760</v>
      </c>
      <c r="E253" s="4">
        <v>2</v>
      </c>
      <c r="F253" s="4" t="str">
        <f ca="1">Master_List!$AW$1</f>
        <v>PERPUSTAKAAN PUSAT</v>
      </c>
      <c r="G253" s="4" t="str">
        <f ca="1">Master_List!$AW$2</f>
        <v>09:30 PM</v>
      </c>
      <c r="H253" s="4" t="str">
        <f ca="1">Master_List!$AW$3</f>
        <v>20/07/2026</v>
      </c>
      <c r="I253" s="4" t="str">
        <f ca="1">Master_List!$AW$4</f>
        <v>28.5</v>
      </c>
      <c r="J253" s="4" t="str">
        <f ca="1">Master_List!$AW$5</f>
        <v>65</v>
      </c>
      <c r="K253" s="4" t="s">
        <v>573</v>
      </c>
      <c r="BL253" s="4" t="s">
        <v>1744</v>
      </c>
      <c r="BM253" s="4" t="s">
        <v>1876</v>
      </c>
      <c r="BN253" s="4" t="s">
        <v>1748</v>
      </c>
      <c r="BO253" s="4" t="str">
        <f t="shared" si="3"/>
        <v>C:\Users\aremi\Desktop\REPORT CBM\PO TIANU JB\03. Raw Material\40. 10052026 SSU MEDINI SIGNATURE 33KV (VI)\IR</v>
      </c>
      <c r="BP253" t="s">
        <v>819</v>
      </c>
    </row>
    <row r="254" spans="1:68" thickBot="1" x14ac:dyDescent="0.3">
      <c r="A254" s="4">
        <v>127</v>
      </c>
      <c r="B254" s="4" t="s">
        <v>815</v>
      </c>
      <c r="C254" s="4">
        <v>4</v>
      </c>
      <c r="D254" s="4" t="s">
        <v>1760</v>
      </c>
      <c r="E254" s="4">
        <v>3</v>
      </c>
      <c r="F254" s="4" t="str">
        <f ca="1">Master_List!$AW$1</f>
        <v>PERPUSTAKAAN PUSAT</v>
      </c>
      <c r="G254" s="4" t="str">
        <f ca="1">Master_List!$AW$2</f>
        <v>09:30 PM</v>
      </c>
      <c r="H254" s="4" t="str">
        <f ca="1">Master_List!$AW$3</f>
        <v>20/07/2026</v>
      </c>
      <c r="I254" s="4" t="str">
        <f ca="1">Master_List!$AW$4</f>
        <v>28.5</v>
      </c>
      <c r="J254" s="4" t="str">
        <f ca="1">Master_List!$AW$5</f>
        <v>65</v>
      </c>
      <c r="K254" s="4" t="s">
        <v>576</v>
      </c>
      <c r="BL254" s="4" t="s">
        <v>1744</v>
      </c>
      <c r="BM254" s="4" t="s">
        <v>1877</v>
      </c>
      <c r="BN254" s="4" t="s">
        <v>1746</v>
      </c>
      <c r="BO254" s="4" t="str">
        <f t="shared" si="3"/>
        <v>C:\Users\aremi\Desktop\REPORT CBM\PO TIANU JB\03. Raw Material\40. 10052026 SSU MEDINI SIGNATURE 33KV (VI)\IR</v>
      </c>
      <c r="BP254" t="s">
        <v>820</v>
      </c>
    </row>
    <row r="255" spans="1:68" thickBot="1" x14ac:dyDescent="0.3">
      <c r="A255" s="4">
        <v>127</v>
      </c>
      <c r="B255" s="4" t="s">
        <v>815</v>
      </c>
      <c r="C255" s="4">
        <v>4</v>
      </c>
      <c r="D255" s="4" t="s">
        <v>1760</v>
      </c>
      <c r="E255" s="4">
        <v>3</v>
      </c>
      <c r="F255" s="4" t="str">
        <f ca="1">Master_List!$AW$1</f>
        <v>PERPUSTAKAAN PUSAT</v>
      </c>
      <c r="G255" s="4" t="str">
        <f ca="1">Master_List!$AW$2</f>
        <v>09:30 PM</v>
      </c>
      <c r="H255" s="4" t="str">
        <f ca="1">Master_List!$AW$3</f>
        <v>20/07/2026</v>
      </c>
      <c r="I255" s="4" t="str">
        <f ca="1">Master_List!$AW$4</f>
        <v>28.5</v>
      </c>
      <c r="J255" s="4" t="str">
        <f ca="1">Master_List!$AW$5</f>
        <v>65</v>
      </c>
      <c r="K255" s="4" t="s">
        <v>576</v>
      </c>
      <c r="BL255" s="4" t="s">
        <v>1744</v>
      </c>
      <c r="BM255" s="4" t="s">
        <v>1877</v>
      </c>
      <c r="BN255" s="4" t="s">
        <v>1748</v>
      </c>
      <c r="BO255" s="4" t="str">
        <f t="shared" si="3"/>
        <v>C:\Users\aremi\Desktop\REPORT CBM\PO TIANU JB\03. Raw Material\40. 10052026 SSU MEDINI SIGNATURE 33KV (VI)\IR</v>
      </c>
      <c r="BP255" t="s">
        <v>821</v>
      </c>
    </row>
    <row r="256" spans="1:68" thickBot="1" x14ac:dyDescent="0.3">
      <c r="A256" s="4">
        <v>128</v>
      </c>
      <c r="B256" s="4" t="s">
        <v>815</v>
      </c>
      <c r="C256" s="4">
        <v>4</v>
      </c>
      <c r="D256" s="4" t="s">
        <v>1760</v>
      </c>
      <c r="E256" s="4">
        <v>4</v>
      </c>
      <c r="F256" s="4" t="str">
        <f ca="1">Master_List!$AW$1</f>
        <v>PERPUSTAKAAN PUSAT</v>
      </c>
      <c r="G256" s="4" t="str">
        <f ca="1">Master_List!$AW$2</f>
        <v>09:30 PM</v>
      </c>
      <c r="H256" s="4" t="str">
        <f ca="1">Master_List!$AW$3</f>
        <v>20/07/2026</v>
      </c>
      <c r="I256" s="4" t="str">
        <f ca="1">Master_List!$AW$4</f>
        <v>28.5</v>
      </c>
      <c r="J256" s="4" t="str">
        <f ca="1">Master_List!$AW$5</f>
        <v>65</v>
      </c>
      <c r="K256" s="4" t="s">
        <v>579</v>
      </c>
      <c r="BL256" s="4" t="s">
        <v>1744</v>
      </c>
      <c r="BM256" s="4" t="s">
        <v>1878</v>
      </c>
      <c r="BN256" s="4" t="s">
        <v>1746</v>
      </c>
      <c r="BO256" s="4" t="str">
        <f t="shared" si="3"/>
        <v>C:\Users\aremi\Desktop\REPORT CBM\PO TIANU JB\03. Raw Material\40. 10052026 SSU MEDINI SIGNATURE 33KV (VI)\IR</v>
      </c>
      <c r="BP256" t="s">
        <v>822</v>
      </c>
    </row>
    <row r="257" spans="1:68" thickBot="1" x14ac:dyDescent="0.3">
      <c r="A257" s="4">
        <v>128</v>
      </c>
      <c r="B257" s="4" t="s">
        <v>815</v>
      </c>
      <c r="C257" s="4">
        <v>4</v>
      </c>
      <c r="D257" s="4" t="s">
        <v>1760</v>
      </c>
      <c r="E257" s="4">
        <v>4</v>
      </c>
      <c r="F257" s="4" t="str">
        <f ca="1">Master_List!$AW$1</f>
        <v>PERPUSTAKAAN PUSAT</v>
      </c>
      <c r="G257" s="4" t="str">
        <f ca="1">Master_List!$AW$2</f>
        <v>09:30 PM</v>
      </c>
      <c r="H257" s="4" t="str">
        <f ca="1">Master_List!$AW$3</f>
        <v>20/07/2026</v>
      </c>
      <c r="I257" s="4" t="str">
        <f ca="1">Master_List!$AW$4</f>
        <v>28.5</v>
      </c>
      <c r="J257" s="4" t="str">
        <f ca="1">Master_List!$AW$5</f>
        <v>65</v>
      </c>
      <c r="K257" s="4" t="s">
        <v>579</v>
      </c>
      <c r="BL257" s="4" t="s">
        <v>1744</v>
      </c>
      <c r="BM257" s="4" t="s">
        <v>1878</v>
      </c>
      <c r="BN257" s="4" t="s">
        <v>1748</v>
      </c>
      <c r="BO257" s="4" t="str">
        <f t="shared" si="3"/>
        <v>C:\Users\aremi\Desktop\REPORT CBM\PO TIANU JB\03. Raw Material\40. 10052026 SSU MEDINI SIGNATURE 33KV (VI)\IR</v>
      </c>
      <c r="BP257" t="s">
        <v>823</v>
      </c>
    </row>
    <row r="258" spans="1:68" thickBot="1" x14ac:dyDescent="0.3">
      <c r="A258" s="4">
        <v>129</v>
      </c>
      <c r="B258" s="4" t="s">
        <v>815</v>
      </c>
      <c r="C258" s="4">
        <v>4</v>
      </c>
      <c r="D258" s="4" t="s">
        <v>1760</v>
      </c>
      <c r="E258" s="4">
        <v>5</v>
      </c>
      <c r="F258" s="4" t="str">
        <f ca="1">Master_List!$AW$1</f>
        <v>PERPUSTAKAAN PUSAT</v>
      </c>
      <c r="G258" s="4" t="str">
        <f ca="1">Master_List!$AW$2</f>
        <v>09:30 PM</v>
      </c>
      <c r="H258" s="4" t="str">
        <f ca="1">Master_List!$AW$3</f>
        <v>20/07/2026</v>
      </c>
      <c r="I258" s="4" t="str">
        <f ca="1">Master_List!$AW$4</f>
        <v>28.5</v>
      </c>
      <c r="J258" s="4" t="str">
        <f ca="1">Master_List!$AW$5</f>
        <v>65</v>
      </c>
      <c r="K258" s="4" t="s">
        <v>582</v>
      </c>
      <c r="BL258" s="4" t="s">
        <v>1744</v>
      </c>
      <c r="BM258" s="4" t="s">
        <v>1879</v>
      </c>
      <c r="BN258" s="4" t="s">
        <v>1746</v>
      </c>
      <c r="BO258" s="4" t="str">
        <f t="shared" si="3"/>
        <v>C:\Users\aremi\Desktop\REPORT CBM\PO TIANU JB\03. Raw Material\40. 10052026 SSU MEDINI SIGNATURE 33KV (VI)\IR</v>
      </c>
      <c r="BP258" t="s">
        <v>824</v>
      </c>
    </row>
    <row r="259" spans="1:68" thickBot="1" x14ac:dyDescent="0.3">
      <c r="A259" s="4">
        <v>129</v>
      </c>
      <c r="B259" s="4" t="s">
        <v>815</v>
      </c>
      <c r="C259" s="4">
        <v>4</v>
      </c>
      <c r="D259" s="4" t="s">
        <v>1760</v>
      </c>
      <c r="E259" s="4">
        <v>5</v>
      </c>
      <c r="F259" s="4" t="str">
        <f ca="1">Master_List!$AW$1</f>
        <v>PERPUSTAKAAN PUSAT</v>
      </c>
      <c r="G259" s="4" t="str">
        <f ca="1">Master_List!$AW$2</f>
        <v>09:30 PM</v>
      </c>
      <c r="H259" s="4" t="str">
        <f ca="1">Master_List!$AW$3</f>
        <v>20/07/2026</v>
      </c>
      <c r="I259" s="4" t="str">
        <f ca="1">Master_List!$AW$4</f>
        <v>28.5</v>
      </c>
      <c r="J259" s="4" t="str">
        <f ca="1">Master_List!$AW$5</f>
        <v>65</v>
      </c>
      <c r="K259" s="4" t="s">
        <v>582</v>
      </c>
      <c r="BL259" s="4" t="s">
        <v>1744</v>
      </c>
      <c r="BM259" s="4" t="s">
        <v>1879</v>
      </c>
      <c r="BN259" s="4" t="s">
        <v>1748</v>
      </c>
      <c r="BO259" s="4" t="str">
        <f t="shared" ref="BO259:BO322" si="4">BO258</f>
        <v>C:\Users\aremi\Desktop\REPORT CBM\PO TIANU JB\03. Raw Material\40. 10052026 SSU MEDINI SIGNATURE 33KV (VI)\IR</v>
      </c>
      <c r="BP259" t="s">
        <v>825</v>
      </c>
    </row>
    <row r="260" spans="1:68" thickBot="1" x14ac:dyDescent="0.3">
      <c r="A260" s="4">
        <v>130</v>
      </c>
      <c r="B260" s="4" t="s">
        <v>815</v>
      </c>
      <c r="C260" s="4">
        <v>4</v>
      </c>
      <c r="D260" s="4" t="s">
        <v>1760</v>
      </c>
      <c r="E260" s="4">
        <v>6</v>
      </c>
      <c r="F260" s="4" t="str">
        <f ca="1">Master_List!$AW$1</f>
        <v>PERPUSTAKAAN PUSAT</v>
      </c>
      <c r="G260" s="4" t="str">
        <f ca="1">Master_List!$AW$2</f>
        <v>09:30 PM</v>
      </c>
      <c r="H260" s="4" t="str">
        <f ca="1">Master_List!$AW$3</f>
        <v>20/07/2026</v>
      </c>
      <c r="I260" s="4" t="str">
        <f ca="1">Master_List!$AW$4</f>
        <v>28.5</v>
      </c>
      <c r="J260" s="4" t="str">
        <f ca="1">Master_List!$AW$5</f>
        <v>65</v>
      </c>
      <c r="K260" s="4" t="s">
        <v>585</v>
      </c>
      <c r="BL260" s="4" t="s">
        <v>1744</v>
      </c>
      <c r="BM260" s="4" t="s">
        <v>1880</v>
      </c>
      <c r="BN260" s="4" t="s">
        <v>1746</v>
      </c>
      <c r="BO260" s="4" t="str">
        <f t="shared" si="4"/>
        <v>C:\Users\aremi\Desktop\REPORT CBM\PO TIANU JB\03. Raw Material\40. 10052026 SSU MEDINI SIGNATURE 33KV (VI)\IR</v>
      </c>
      <c r="BP260" t="s">
        <v>826</v>
      </c>
    </row>
    <row r="261" spans="1:68" thickBot="1" x14ac:dyDescent="0.3">
      <c r="A261" s="4">
        <v>130</v>
      </c>
      <c r="B261" s="4" t="s">
        <v>815</v>
      </c>
      <c r="C261" s="4">
        <v>4</v>
      </c>
      <c r="D261" s="4" t="s">
        <v>1760</v>
      </c>
      <c r="E261" s="4">
        <v>6</v>
      </c>
      <c r="F261" s="4" t="str">
        <f ca="1">Master_List!$AW$1</f>
        <v>PERPUSTAKAAN PUSAT</v>
      </c>
      <c r="G261" s="4" t="str">
        <f ca="1">Master_List!$AW$2</f>
        <v>09:30 PM</v>
      </c>
      <c r="H261" s="4" t="str">
        <f ca="1">Master_List!$AW$3</f>
        <v>20/07/2026</v>
      </c>
      <c r="I261" s="4" t="str">
        <f ca="1">Master_List!$AW$4</f>
        <v>28.5</v>
      </c>
      <c r="J261" s="4" t="str">
        <f ca="1">Master_List!$AW$5</f>
        <v>65</v>
      </c>
      <c r="K261" s="4" t="s">
        <v>585</v>
      </c>
      <c r="BL261" s="4" t="s">
        <v>1744</v>
      </c>
      <c r="BM261" s="4" t="s">
        <v>1880</v>
      </c>
      <c r="BN261" s="4" t="s">
        <v>1748</v>
      </c>
      <c r="BO261" s="4" t="str">
        <f t="shared" si="4"/>
        <v>C:\Users\aremi\Desktop\REPORT CBM\PO TIANU JB\03. Raw Material\40. 10052026 SSU MEDINI SIGNATURE 33KV (VI)\IR</v>
      </c>
      <c r="BP261" t="s">
        <v>827</v>
      </c>
    </row>
    <row r="262" spans="1:68" thickBot="1" x14ac:dyDescent="0.3">
      <c r="A262" s="4">
        <v>131</v>
      </c>
      <c r="B262" s="4" t="s">
        <v>815</v>
      </c>
      <c r="C262" s="4">
        <v>4</v>
      </c>
      <c r="D262" s="4" t="s">
        <v>1767</v>
      </c>
      <c r="E262" s="4">
        <v>7</v>
      </c>
      <c r="F262" s="4" t="str">
        <f ca="1">Master_List!$AW$1</f>
        <v>PERPUSTAKAAN PUSAT</v>
      </c>
      <c r="G262" s="4" t="str">
        <f ca="1">Master_List!$AW$2</f>
        <v>09:30 PM</v>
      </c>
      <c r="H262" s="4" t="str">
        <f ca="1">Master_List!$AW$3</f>
        <v>20/07/2026</v>
      </c>
      <c r="I262" s="4" t="str">
        <f ca="1">Master_List!$AW$4</f>
        <v>28.5</v>
      </c>
      <c r="J262" s="4" t="str">
        <f ca="1">Master_List!$AW$5</f>
        <v>65</v>
      </c>
      <c r="K262" s="4" t="s">
        <v>588</v>
      </c>
      <c r="BL262" s="4" t="s">
        <v>1744</v>
      </c>
      <c r="BM262" s="4" t="s">
        <v>1881</v>
      </c>
      <c r="BN262" s="4" t="s">
        <v>1746</v>
      </c>
      <c r="BO262" s="4" t="str">
        <f t="shared" si="4"/>
        <v>C:\Users\aremi\Desktop\REPORT CBM\PO TIANU JB\03. Raw Material\40. 10052026 SSU MEDINI SIGNATURE 33KV (VI)\IR</v>
      </c>
      <c r="BP262" t="s">
        <v>828</v>
      </c>
    </row>
    <row r="263" spans="1:68" thickBot="1" x14ac:dyDescent="0.3">
      <c r="A263" s="4">
        <v>131</v>
      </c>
      <c r="B263" s="4" t="s">
        <v>815</v>
      </c>
      <c r="C263" s="4">
        <v>4</v>
      </c>
      <c r="D263" s="4" t="s">
        <v>1767</v>
      </c>
      <c r="E263" s="4">
        <v>7</v>
      </c>
      <c r="F263" s="4" t="str">
        <f ca="1">Master_List!$AW$1</f>
        <v>PERPUSTAKAAN PUSAT</v>
      </c>
      <c r="G263" s="4" t="str">
        <f ca="1">Master_List!$AW$2</f>
        <v>09:30 PM</v>
      </c>
      <c r="H263" s="4" t="str">
        <f ca="1">Master_List!$AW$3</f>
        <v>20/07/2026</v>
      </c>
      <c r="I263" s="4" t="str">
        <f ca="1">Master_List!$AW$4</f>
        <v>28.5</v>
      </c>
      <c r="J263" s="4" t="str">
        <f ca="1">Master_List!$AW$5</f>
        <v>65</v>
      </c>
      <c r="K263" s="4" t="s">
        <v>588</v>
      </c>
      <c r="BL263" s="4" t="s">
        <v>1744</v>
      </c>
      <c r="BM263" s="4" t="s">
        <v>1881</v>
      </c>
      <c r="BN263" s="4" t="s">
        <v>1748</v>
      </c>
      <c r="BO263" s="4" t="str">
        <f t="shared" si="4"/>
        <v>C:\Users\aremi\Desktop\REPORT CBM\PO TIANU JB\03. Raw Material\40. 10052026 SSU MEDINI SIGNATURE 33KV (VI)\IR</v>
      </c>
      <c r="BP263" t="s">
        <v>829</v>
      </c>
    </row>
    <row r="264" spans="1:68" thickBot="1" x14ac:dyDescent="0.3">
      <c r="A264" s="4">
        <v>132</v>
      </c>
      <c r="B264" s="4" t="s">
        <v>815</v>
      </c>
      <c r="C264" s="4">
        <v>4</v>
      </c>
      <c r="D264" s="4" t="s">
        <v>1769</v>
      </c>
      <c r="E264" s="4">
        <v>8</v>
      </c>
      <c r="F264" s="4" t="str">
        <f ca="1">Master_List!$AW$1</f>
        <v>PERPUSTAKAAN PUSAT</v>
      </c>
      <c r="G264" s="4" t="str">
        <f ca="1">Master_List!$AW$2</f>
        <v>09:30 PM</v>
      </c>
      <c r="H264" s="4" t="str">
        <f ca="1">Master_List!$AW$3</f>
        <v>20/07/2026</v>
      </c>
      <c r="I264" s="4" t="str">
        <f ca="1">Master_List!$AW$4</f>
        <v>28.5</v>
      </c>
      <c r="J264" s="4" t="str">
        <f ca="1">Master_List!$AW$5</f>
        <v>65</v>
      </c>
      <c r="K264" s="4" t="s">
        <v>591</v>
      </c>
      <c r="BL264" s="4" t="s">
        <v>1744</v>
      </c>
      <c r="BM264" s="4" t="s">
        <v>1882</v>
      </c>
      <c r="BN264" s="4" t="s">
        <v>1746</v>
      </c>
      <c r="BO264" s="4" t="str">
        <f t="shared" si="4"/>
        <v>C:\Users\aremi\Desktop\REPORT CBM\PO TIANU JB\03. Raw Material\40. 10052026 SSU MEDINI SIGNATURE 33KV (VI)\IR</v>
      </c>
      <c r="BP264" t="s">
        <v>830</v>
      </c>
    </row>
    <row r="265" spans="1:68" thickBot="1" x14ac:dyDescent="0.3">
      <c r="A265" s="4">
        <v>132</v>
      </c>
      <c r="B265" s="4" t="s">
        <v>815</v>
      </c>
      <c r="C265" s="4">
        <v>4</v>
      </c>
      <c r="D265" s="4" t="s">
        <v>1769</v>
      </c>
      <c r="E265" s="4">
        <v>8</v>
      </c>
      <c r="F265" s="4" t="str">
        <f ca="1">Master_List!$AW$1</f>
        <v>PERPUSTAKAAN PUSAT</v>
      </c>
      <c r="G265" s="4" t="str">
        <f ca="1">Master_List!$AW$2</f>
        <v>09:30 PM</v>
      </c>
      <c r="H265" s="4" t="str">
        <f ca="1">Master_List!$AW$3</f>
        <v>20/07/2026</v>
      </c>
      <c r="I265" s="4" t="str">
        <f ca="1">Master_List!$AW$4</f>
        <v>28.5</v>
      </c>
      <c r="J265" s="4" t="str">
        <f ca="1">Master_List!$AW$5</f>
        <v>65</v>
      </c>
      <c r="K265" s="4" t="s">
        <v>591</v>
      </c>
      <c r="BL265" s="4" t="s">
        <v>1744</v>
      </c>
      <c r="BM265" s="4" t="s">
        <v>1882</v>
      </c>
      <c r="BN265" s="4" t="s">
        <v>1748</v>
      </c>
      <c r="BO265" s="4" t="str">
        <f t="shared" si="4"/>
        <v>C:\Users\aremi\Desktop\REPORT CBM\PO TIANU JB\03. Raw Material\40. 10052026 SSU MEDINI SIGNATURE 33KV (VI)\IR</v>
      </c>
      <c r="BP265" t="s">
        <v>831</v>
      </c>
    </row>
    <row r="266" spans="1:68" thickBot="1" x14ac:dyDescent="0.3">
      <c r="A266" s="4">
        <v>133</v>
      </c>
      <c r="B266" s="4" t="s">
        <v>832</v>
      </c>
      <c r="C266" s="4">
        <v>5</v>
      </c>
      <c r="D266" s="4" t="s">
        <v>1760</v>
      </c>
      <c r="E266" s="4">
        <v>1</v>
      </c>
      <c r="F266" s="4" t="str">
        <f ca="1">Master_List!$AW$1</f>
        <v>PERPUSTAKAAN PUSAT</v>
      </c>
      <c r="G266" s="4" t="str">
        <f ca="1">Master_List!$AW$2</f>
        <v>09:30 PM</v>
      </c>
      <c r="H266" s="4" t="str">
        <f ca="1">Master_List!$AW$3</f>
        <v>20/07/2026</v>
      </c>
      <c r="I266" s="4" t="str">
        <f ca="1">Master_List!$AW$4</f>
        <v>28.5</v>
      </c>
      <c r="J266" s="4" t="str">
        <f ca="1">Master_List!$AW$5</f>
        <v>65</v>
      </c>
      <c r="K266" s="4" t="s">
        <v>570</v>
      </c>
      <c r="BL266" s="4" t="s">
        <v>1744</v>
      </c>
      <c r="BM266" s="4" t="s">
        <v>1883</v>
      </c>
      <c r="BN266" s="4" t="s">
        <v>1746</v>
      </c>
      <c r="BO266" s="4" t="str">
        <f t="shared" si="4"/>
        <v>C:\Users\aremi\Desktop\REPORT CBM\PO TIANU JB\03. Raw Material\40. 10052026 SSU MEDINI SIGNATURE 33KV (VI)\IR</v>
      </c>
      <c r="BP266" t="s">
        <v>833</v>
      </c>
    </row>
    <row r="267" spans="1:68" thickBot="1" x14ac:dyDescent="0.3">
      <c r="A267" s="4">
        <v>133</v>
      </c>
      <c r="B267" s="4" t="s">
        <v>832</v>
      </c>
      <c r="C267" s="4">
        <v>5</v>
      </c>
      <c r="D267" s="4" t="s">
        <v>1760</v>
      </c>
      <c r="E267" s="4">
        <v>1</v>
      </c>
      <c r="F267" s="4" t="str">
        <f ca="1">Master_List!$AW$1</f>
        <v>PERPUSTAKAAN PUSAT</v>
      </c>
      <c r="G267" s="4" t="str">
        <f ca="1">Master_List!$AW$2</f>
        <v>09:30 PM</v>
      </c>
      <c r="H267" s="4" t="str">
        <f ca="1">Master_List!$AW$3</f>
        <v>20/07/2026</v>
      </c>
      <c r="I267" s="4" t="str">
        <f ca="1">Master_List!$AW$4</f>
        <v>28.5</v>
      </c>
      <c r="J267" s="4" t="str">
        <f ca="1">Master_List!$AW$5</f>
        <v>65</v>
      </c>
      <c r="K267" s="4" t="s">
        <v>570</v>
      </c>
      <c r="BL267" s="4" t="s">
        <v>1744</v>
      </c>
      <c r="BM267" s="4" t="s">
        <v>1883</v>
      </c>
      <c r="BN267" s="4" t="s">
        <v>1748</v>
      </c>
      <c r="BO267" s="4" t="str">
        <f t="shared" si="4"/>
        <v>C:\Users\aremi\Desktop\REPORT CBM\PO TIANU JB\03. Raw Material\40. 10052026 SSU MEDINI SIGNATURE 33KV (VI)\IR</v>
      </c>
      <c r="BP267" t="s">
        <v>834</v>
      </c>
    </row>
    <row r="268" spans="1:68" thickBot="1" x14ac:dyDescent="0.3">
      <c r="A268" s="4">
        <v>134</v>
      </c>
      <c r="B268" s="4" t="s">
        <v>832</v>
      </c>
      <c r="C268" s="4">
        <v>5</v>
      </c>
      <c r="D268" s="4" t="s">
        <v>1760</v>
      </c>
      <c r="E268" s="4">
        <v>2</v>
      </c>
      <c r="F268" s="4" t="str">
        <f ca="1">Master_List!$AW$1</f>
        <v>PERPUSTAKAAN PUSAT</v>
      </c>
      <c r="G268" s="4" t="str">
        <f ca="1">Master_List!$AW$2</f>
        <v>09:30 PM</v>
      </c>
      <c r="H268" s="4" t="str">
        <f ca="1">Master_List!$AW$3</f>
        <v>20/07/2026</v>
      </c>
      <c r="I268" s="4" t="str">
        <f ca="1">Master_List!$AW$4</f>
        <v>28.5</v>
      </c>
      <c r="J268" s="4" t="str">
        <f ca="1">Master_List!$AW$5</f>
        <v>65</v>
      </c>
      <c r="K268" s="4" t="s">
        <v>573</v>
      </c>
      <c r="BL268" s="4" t="s">
        <v>1744</v>
      </c>
      <c r="BM268" s="4" t="s">
        <v>1884</v>
      </c>
      <c r="BN268" s="4" t="s">
        <v>1746</v>
      </c>
      <c r="BO268" s="4" t="str">
        <f t="shared" si="4"/>
        <v>C:\Users\aremi\Desktop\REPORT CBM\PO TIANU JB\03. Raw Material\40. 10052026 SSU MEDINI SIGNATURE 33KV (VI)\IR</v>
      </c>
      <c r="BP268" t="s">
        <v>835</v>
      </c>
    </row>
    <row r="269" spans="1:68" thickBot="1" x14ac:dyDescent="0.3">
      <c r="A269" s="4">
        <v>134</v>
      </c>
      <c r="B269" s="4" t="s">
        <v>832</v>
      </c>
      <c r="C269" s="4">
        <v>5</v>
      </c>
      <c r="D269" s="4" t="s">
        <v>1760</v>
      </c>
      <c r="E269" s="4">
        <v>2</v>
      </c>
      <c r="F269" s="4" t="str">
        <f ca="1">Master_List!$AW$1</f>
        <v>PERPUSTAKAAN PUSAT</v>
      </c>
      <c r="G269" s="4" t="str">
        <f ca="1">Master_List!$AW$2</f>
        <v>09:30 PM</v>
      </c>
      <c r="H269" s="4" t="str">
        <f ca="1">Master_List!$AW$3</f>
        <v>20/07/2026</v>
      </c>
      <c r="I269" s="4" t="str">
        <f ca="1">Master_List!$AW$4</f>
        <v>28.5</v>
      </c>
      <c r="J269" s="4" t="str">
        <f ca="1">Master_List!$AW$5</f>
        <v>65</v>
      </c>
      <c r="K269" s="4" t="s">
        <v>573</v>
      </c>
      <c r="BL269" s="4" t="s">
        <v>1744</v>
      </c>
      <c r="BM269" s="4" t="s">
        <v>1884</v>
      </c>
      <c r="BN269" s="4" t="s">
        <v>1748</v>
      </c>
      <c r="BO269" s="4" t="str">
        <f t="shared" si="4"/>
        <v>C:\Users\aremi\Desktop\REPORT CBM\PO TIANU JB\03. Raw Material\40. 10052026 SSU MEDINI SIGNATURE 33KV (VI)\IR</v>
      </c>
      <c r="BP269" t="s">
        <v>836</v>
      </c>
    </row>
    <row r="270" spans="1:68" thickBot="1" x14ac:dyDescent="0.3">
      <c r="A270" s="4">
        <v>135</v>
      </c>
      <c r="B270" s="4" t="s">
        <v>832</v>
      </c>
      <c r="C270" s="4">
        <v>5</v>
      </c>
      <c r="D270" s="4" t="s">
        <v>1760</v>
      </c>
      <c r="E270" s="4">
        <v>3</v>
      </c>
      <c r="F270" s="4" t="str">
        <f ca="1">Master_List!$AW$1</f>
        <v>PERPUSTAKAAN PUSAT</v>
      </c>
      <c r="G270" s="4" t="str">
        <f ca="1">Master_List!$AW$2</f>
        <v>09:30 PM</v>
      </c>
      <c r="H270" s="4" t="str">
        <f ca="1">Master_List!$AW$3</f>
        <v>20/07/2026</v>
      </c>
      <c r="I270" s="4" t="str">
        <f ca="1">Master_List!$AW$4</f>
        <v>28.5</v>
      </c>
      <c r="J270" s="4" t="str">
        <f ca="1">Master_List!$AW$5</f>
        <v>65</v>
      </c>
      <c r="K270" s="4" t="s">
        <v>576</v>
      </c>
      <c r="BL270" s="4" t="s">
        <v>1744</v>
      </c>
      <c r="BM270" s="4" t="s">
        <v>1885</v>
      </c>
      <c r="BN270" s="4" t="s">
        <v>1746</v>
      </c>
      <c r="BO270" s="4" t="str">
        <f t="shared" si="4"/>
        <v>C:\Users\aremi\Desktop\REPORT CBM\PO TIANU JB\03. Raw Material\40. 10052026 SSU MEDINI SIGNATURE 33KV (VI)\IR</v>
      </c>
      <c r="BP270" t="s">
        <v>837</v>
      </c>
    </row>
    <row r="271" spans="1:68" thickBot="1" x14ac:dyDescent="0.3">
      <c r="A271" s="4">
        <v>135</v>
      </c>
      <c r="B271" s="4" t="s">
        <v>832</v>
      </c>
      <c r="C271" s="4">
        <v>5</v>
      </c>
      <c r="D271" s="4" t="s">
        <v>1760</v>
      </c>
      <c r="E271" s="4">
        <v>3</v>
      </c>
      <c r="F271" s="4" t="str">
        <f ca="1">Master_List!$AW$1</f>
        <v>PERPUSTAKAAN PUSAT</v>
      </c>
      <c r="G271" s="4" t="str">
        <f ca="1">Master_List!$AW$2</f>
        <v>09:30 PM</v>
      </c>
      <c r="H271" s="4" t="str">
        <f ca="1">Master_List!$AW$3</f>
        <v>20/07/2026</v>
      </c>
      <c r="I271" s="4" t="str">
        <f ca="1">Master_List!$AW$4</f>
        <v>28.5</v>
      </c>
      <c r="J271" s="4" t="str">
        <f ca="1">Master_List!$AW$5</f>
        <v>65</v>
      </c>
      <c r="K271" s="4" t="s">
        <v>576</v>
      </c>
      <c r="BL271" s="4" t="s">
        <v>1744</v>
      </c>
      <c r="BM271" s="4" t="s">
        <v>1885</v>
      </c>
      <c r="BN271" s="4" t="s">
        <v>1748</v>
      </c>
      <c r="BO271" s="4" t="str">
        <f t="shared" si="4"/>
        <v>C:\Users\aremi\Desktop\REPORT CBM\PO TIANU JB\03. Raw Material\40. 10052026 SSU MEDINI SIGNATURE 33KV (VI)\IR</v>
      </c>
      <c r="BP271" t="s">
        <v>838</v>
      </c>
    </row>
    <row r="272" spans="1:68" thickBot="1" x14ac:dyDescent="0.3">
      <c r="A272" s="4">
        <v>136</v>
      </c>
      <c r="B272" s="4" t="s">
        <v>832</v>
      </c>
      <c r="C272" s="4">
        <v>5</v>
      </c>
      <c r="D272" s="4" t="s">
        <v>1760</v>
      </c>
      <c r="E272" s="4">
        <v>4</v>
      </c>
      <c r="F272" s="4" t="str">
        <f ca="1">Master_List!$AW$1</f>
        <v>PERPUSTAKAAN PUSAT</v>
      </c>
      <c r="G272" s="4" t="str">
        <f ca="1">Master_List!$AW$2</f>
        <v>09:30 PM</v>
      </c>
      <c r="H272" s="4" t="str">
        <f ca="1">Master_List!$AW$3</f>
        <v>20/07/2026</v>
      </c>
      <c r="I272" s="4" t="str">
        <f ca="1">Master_List!$AW$4</f>
        <v>28.5</v>
      </c>
      <c r="J272" s="4" t="str">
        <f ca="1">Master_List!$AW$5</f>
        <v>65</v>
      </c>
      <c r="K272" s="4" t="s">
        <v>579</v>
      </c>
      <c r="BL272" s="4" t="s">
        <v>1744</v>
      </c>
      <c r="BM272" s="4" t="s">
        <v>1886</v>
      </c>
      <c r="BN272" s="4" t="s">
        <v>1746</v>
      </c>
      <c r="BO272" s="4" t="str">
        <f t="shared" si="4"/>
        <v>C:\Users\aremi\Desktop\REPORT CBM\PO TIANU JB\03. Raw Material\40. 10052026 SSU MEDINI SIGNATURE 33KV (VI)\IR</v>
      </c>
      <c r="BP272" t="s">
        <v>839</v>
      </c>
    </row>
    <row r="273" spans="1:68" thickBot="1" x14ac:dyDescent="0.3">
      <c r="A273" s="4">
        <v>136</v>
      </c>
      <c r="B273" s="4" t="s">
        <v>832</v>
      </c>
      <c r="C273" s="4">
        <v>5</v>
      </c>
      <c r="D273" s="4" t="s">
        <v>1760</v>
      </c>
      <c r="E273" s="4">
        <v>4</v>
      </c>
      <c r="F273" s="4" t="str">
        <f ca="1">Master_List!$AW$1</f>
        <v>PERPUSTAKAAN PUSAT</v>
      </c>
      <c r="G273" s="4" t="str">
        <f ca="1">Master_List!$AW$2</f>
        <v>09:30 PM</v>
      </c>
      <c r="H273" s="4" t="str">
        <f ca="1">Master_List!$AW$3</f>
        <v>20/07/2026</v>
      </c>
      <c r="I273" s="4" t="str">
        <f ca="1">Master_List!$AW$4</f>
        <v>28.5</v>
      </c>
      <c r="J273" s="4" t="str">
        <f ca="1">Master_List!$AW$5</f>
        <v>65</v>
      </c>
      <c r="K273" s="4" t="s">
        <v>579</v>
      </c>
      <c r="BL273" s="4" t="s">
        <v>1744</v>
      </c>
      <c r="BM273" s="4" t="s">
        <v>1886</v>
      </c>
      <c r="BN273" s="4" t="s">
        <v>1748</v>
      </c>
      <c r="BO273" s="4" t="str">
        <f t="shared" si="4"/>
        <v>C:\Users\aremi\Desktop\REPORT CBM\PO TIANU JB\03. Raw Material\40. 10052026 SSU MEDINI SIGNATURE 33KV (VI)\IR</v>
      </c>
      <c r="BP273" t="s">
        <v>840</v>
      </c>
    </row>
    <row r="274" spans="1:68" thickBot="1" x14ac:dyDescent="0.3">
      <c r="A274" s="4">
        <v>137</v>
      </c>
      <c r="B274" s="4" t="s">
        <v>832</v>
      </c>
      <c r="C274" s="4">
        <v>5</v>
      </c>
      <c r="D274" s="4" t="s">
        <v>1760</v>
      </c>
      <c r="E274" s="4">
        <v>5</v>
      </c>
      <c r="F274" s="4" t="str">
        <f ca="1">Master_List!$AW$1</f>
        <v>PERPUSTAKAAN PUSAT</v>
      </c>
      <c r="G274" s="4" t="str">
        <f ca="1">Master_List!$AW$2</f>
        <v>09:30 PM</v>
      </c>
      <c r="H274" s="4" t="str">
        <f ca="1">Master_List!$AW$3</f>
        <v>20/07/2026</v>
      </c>
      <c r="I274" s="4" t="str">
        <f ca="1">Master_List!$AW$4</f>
        <v>28.5</v>
      </c>
      <c r="J274" s="4" t="str">
        <f ca="1">Master_List!$AW$5</f>
        <v>65</v>
      </c>
      <c r="K274" s="4" t="s">
        <v>582</v>
      </c>
      <c r="BL274" s="4" t="s">
        <v>1744</v>
      </c>
      <c r="BM274" s="4" t="s">
        <v>1887</v>
      </c>
      <c r="BN274" s="4" t="s">
        <v>1746</v>
      </c>
      <c r="BO274" s="4" t="str">
        <f t="shared" si="4"/>
        <v>C:\Users\aremi\Desktop\REPORT CBM\PO TIANU JB\03. Raw Material\40. 10052026 SSU MEDINI SIGNATURE 33KV (VI)\IR</v>
      </c>
      <c r="BP274" t="s">
        <v>841</v>
      </c>
    </row>
    <row r="275" spans="1:68" thickBot="1" x14ac:dyDescent="0.3">
      <c r="A275" s="4">
        <v>137</v>
      </c>
      <c r="B275" s="4" t="s">
        <v>832</v>
      </c>
      <c r="C275" s="4">
        <v>5</v>
      </c>
      <c r="D275" s="4" t="s">
        <v>1760</v>
      </c>
      <c r="E275" s="4">
        <v>5</v>
      </c>
      <c r="F275" s="4" t="str">
        <f ca="1">Master_List!$AW$1</f>
        <v>PERPUSTAKAAN PUSAT</v>
      </c>
      <c r="G275" s="4" t="str">
        <f ca="1">Master_List!$AW$2</f>
        <v>09:30 PM</v>
      </c>
      <c r="H275" s="4" t="str">
        <f ca="1">Master_List!$AW$3</f>
        <v>20/07/2026</v>
      </c>
      <c r="I275" s="4" t="str">
        <f ca="1">Master_List!$AW$4</f>
        <v>28.5</v>
      </c>
      <c r="J275" s="4" t="str">
        <f ca="1">Master_List!$AW$5</f>
        <v>65</v>
      </c>
      <c r="K275" s="4" t="s">
        <v>582</v>
      </c>
      <c r="BL275" s="4" t="s">
        <v>1744</v>
      </c>
      <c r="BM275" s="4" t="s">
        <v>1887</v>
      </c>
      <c r="BN275" s="4" t="s">
        <v>1748</v>
      </c>
      <c r="BO275" s="4" t="str">
        <f t="shared" si="4"/>
        <v>C:\Users\aremi\Desktop\REPORT CBM\PO TIANU JB\03. Raw Material\40. 10052026 SSU MEDINI SIGNATURE 33KV (VI)\IR</v>
      </c>
      <c r="BP275" t="s">
        <v>842</v>
      </c>
    </row>
    <row r="276" spans="1:68" thickBot="1" x14ac:dyDescent="0.3">
      <c r="A276" s="4">
        <v>138</v>
      </c>
      <c r="B276" s="4" t="s">
        <v>832</v>
      </c>
      <c r="C276" s="4">
        <v>5</v>
      </c>
      <c r="D276" s="4" t="s">
        <v>1760</v>
      </c>
      <c r="E276" s="4">
        <v>6</v>
      </c>
      <c r="F276" s="4" t="str">
        <f ca="1">Master_List!$AW$1</f>
        <v>PERPUSTAKAAN PUSAT</v>
      </c>
      <c r="G276" s="4" t="str">
        <f ca="1">Master_List!$AW$2</f>
        <v>09:30 PM</v>
      </c>
      <c r="H276" s="4" t="str">
        <f ca="1">Master_List!$AW$3</f>
        <v>20/07/2026</v>
      </c>
      <c r="I276" s="4" t="str">
        <f ca="1">Master_List!$AW$4</f>
        <v>28.5</v>
      </c>
      <c r="J276" s="4" t="str">
        <f ca="1">Master_List!$AW$5</f>
        <v>65</v>
      </c>
      <c r="K276" s="4" t="s">
        <v>585</v>
      </c>
      <c r="BL276" s="4" t="s">
        <v>1744</v>
      </c>
      <c r="BM276" s="4" t="s">
        <v>1888</v>
      </c>
      <c r="BN276" s="4" t="s">
        <v>1746</v>
      </c>
      <c r="BO276" s="4" t="str">
        <f t="shared" si="4"/>
        <v>C:\Users\aremi\Desktop\REPORT CBM\PO TIANU JB\03. Raw Material\40. 10052026 SSU MEDINI SIGNATURE 33KV (VI)\IR</v>
      </c>
      <c r="BP276" t="s">
        <v>843</v>
      </c>
    </row>
    <row r="277" spans="1:68" thickBot="1" x14ac:dyDescent="0.3">
      <c r="A277" s="4">
        <v>138</v>
      </c>
      <c r="B277" s="4" t="s">
        <v>832</v>
      </c>
      <c r="C277" s="4">
        <v>5</v>
      </c>
      <c r="D277" s="4" t="s">
        <v>1760</v>
      </c>
      <c r="E277" s="4">
        <v>6</v>
      </c>
      <c r="F277" s="4" t="str">
        <f ca="1">Master_List!$AW$1</f>
        <v>PERPUSTAKAAN PUSAT</v>
      </c>
      <c r="G277" s="4" t="str">
        <f ca="1">Master_List!$AW$2</f>
        <v>09:30 PM</v>
      </c>
      <c r="H277" s="4" t="str">
        <f ca="1">Master_List!$AW$3</f>
        <v>20/07/2026</v>
      </c>
      <c r="I277" s="4" t="str">
        <f ca="1">Master_List!$AW$4</f>
        <v>28.5</v>
      </c>
      <c r="J277" s="4" t="str">
        <f ca="1">Master_List!$AW$5</f>
        <v>65</v>
      </c>
      <c r="K277" s="4" t="s">
        <v>585</v>
      </c>
      <c r="BL277" s="4" t="s">
        <v>1744</v>
      </c>
      <c r="BM277" s="4" t="s">
        <v>1888</v>
      </c>
      <c r="BN277" s="4" t="s">
        <v>1748</v>
      </c>
      <c r="BO277" s="4" t="str">
        <f t="shared" si="4"/>
        <v>C:\Users\aremi\Desktop\REPORT CBM\PO TIANU JB\03. Raw Material\40. 10052026 SSU MEDINI SIGNATURE 33KV (VI)\IR</v>
      </c>
      <c r="BP277" t="s">
        <v>844</v>
      </c>
    </row>
    <row r="278" spans="1:68" thickBot="1" x14ac:dyDescent="0.3">
      <c r="A278" s="4">
        <v>139</v>
      </c>
      <c r="B278" s="4" t="s">
        <v>832</v>
      </c>
      <c r="C278" s="4">
        <v>5</v>
      </c>
      <c r="D278" s="4" t="s">
        <v>1767</v>
      </c>
      <c r="E278" s="4">
        <v>7</v>
      </c>
      <c r="F278" s="4" t="str">
        <f ca="1">Master_List!$AW$1</f>
        <v>PERPUSTAKAAN PUSAT</v>
      </c>
      <c r="G278" s="4" t="str">
        <f ca="1">Master_List!$AW$2</f>
        <v>09:30 PM</v>
      </c>
      <c r="H278" s="4" t="str">
        <f ca="1">Master_List!$AW$3</f>
        <v>20/07/2026</v>
      </c>
      <c r="I278" s="4" t="str">
        <f ca="1">Master_List!$AW$4</f>
        <v>28.5</v>
      </c>
      <c r="J278" s="4" t="str">
        <f ca="1">Master_List!$AW$5</f>
        <v>65</v>
      </c>
      <c r="K278" s="4" t="s">
        <v>588</v>
      </c>
      <c r="BL278" s="4" t="s">
        <v>1744</v>
      </c>
      <c r="BM278" s="4" t="s">
        <v>1889</v>
      </c>
      <c r="BN278" s="4" t="s">
        <v>1746</v>
      </c>
      <c r="BO278" s="4" t="str">
        <f t="shared" si="4"/>
        <v>C:\Users\aremi\Desktop\REPORT CBM\PO TIANU JB\03. Raw Material\40. 10052026 SSU MEDINI SIGNATURE 33KV (VI)\IR</v>
      </c>
      <c r="BP278" t="s">
        <v>845</v>
      </c>
    </row>
    <row r="279" spans="1:68" thickBot="1" x14ac:dyDescent="0.3">
      <c r="A279" s="4">
        <v>139</v>
      </c>
      <c r="B279" s="4" t="s">
        <v>832</v>
      </c>
      <c r="C279" s="4">
        <v>5</v>
      </c>
      <c r="D279" s="4" t="s">
        <v>1767</v>
      </c>
      <c r="E279" s="4">
        <v>7</v>
      </c>
      <c r="F279" s="4" t="str">
        <f ca="1">Master_List!$AW$1</f>
        <v>PERPUSTAKAAN PUSAT</v>
      </c>
      <c r="G279" s="4" t="str">
        <f ca="1">Master_List!$AW$2</f>
        <v>09:30 PM</v>
      </c>
      <c r="H279" s="4" t="str">
        <f ca="1">Master_List!$AW$3</f>
        <v>20/07/2026</v>
      </c>
      <c r="I279" s="4" t="str">
        <f ca="1">Master_List!$AW$4</f>
        <v>28.5</v>
      </c>
      <c r="J279" s="4" t="str">
        <f ca="1">Master_List!$AW$5</f>
        <v>65</v>
      </c>
      <c r="K279" s="4" t="s">
        <v>588</v>
      </c>
      <c r="BL279" s="4" t="s">
        <v>1744</v>
      </c>
      <c r="BM279" s="4" t="s">
        <v>1889</v>
      </c>
      <c r="BN279" s="4" t="s">
        <v>1748</v>
      </c>
      <c r="BO279" s="4" t="str">
        <f t="shared" si="4"/>
        <v>C:\Users\aremi\Desktop\REPORT CBM\PO TIANU JB\03. Raw Material\40. 10052026 SSU MEDINI SIGNATURE 33KV (VI)\IR</v>
      </c>
      <c r="BP279" t="s">
        <v>846</v>
      </c>
    </row>
    <row r="280" spans="1:68" thickBot="1" x14ac:dyDescent="0.3">
      <c r="A280" s="4">
        <v>140</v>
      </c>
      <c r="B280" s="4" t="s">
        <v>832</v>
      </c>
      <c r="C280" s="4">
        <v>5</v>
      </c>
      <c r="D280" s="4" t="s">
        <v>1769</v>
      </c>
      <c r="E280" s="4">
        <v>8</v>
      </c>
      <c r="F280" s="4" t="str">
        <f ca="1">Master_List!$AW$1</f>
        <v>PERPUSTAKAAN PUSAT</v>
      </c>
      <c r="G280" s="4" t="str">
        <f ca="1">Master_List!$AW$2</f>
        <v>09:30 PM</v>
      </c>
      <c r="H280" s="4" t="str">
        <f ca="1">Master_List!$AW$3</f>
        <v>20/07/2026</v>
      </c>
      <c r="I280" s="4" t="str">
        <f ca="1">Master_List!$AW$4</f>
        <v>28.5</v>
      </c>
      <c r="J280" s="4" t="str">
        <f ca="1">Master_List!$AW$5</f>
        <v>65</v>
      </c>
      <c r="K280" s="4" t="s">
        <v>591</v>
      </c>
      <c r="BL280" s="4" t="s">
        <v>1744</v>
      </c>
      <c r="BM280" s="4" t="s">
        <v>1890</v>
      </c>
      <c r="BN280" s="4" t="s">
        <v>1746</v>
      </c>
      <c r="BO280" s="4" t="str">
        <f t="shared" si="4"/>
        <v>C:\Users\aremi\Desktop\REPORT CBM\PO TIANU JB\03. Raw Material\40. 10052026 SSU MEDINI SIGNATURE 33KV (VI)\IR</v>
      </c>
      <c r="BP280" t="s">
        <v>847</v>
      </c>
    </row>
    <row r="281" spans="1:68" thickBot="1" x14ac:dyDescent="0.3">
      <c r="A281" s="4">
        <v>140</v>
      </c>
      <c r="B281" s="4" t="s">
        <v>832</v>
      </c>
      <c r="C281" s="4">
        <v>5</v>
      </c>
      <c r="D281" s="4" t="s">
        <v>1769</v>
      </c>
      <c r="E281" s="4">
        <v>8</v>
      </c>
      <c r="F281" s="4" t="str">
        <f ca="1">Master_List!$AW$1</f>
        <v>PERPUSTAKAAN PUSAT</v>
      </c>
      <c r="G281" s="4" t="str">
        <f ca="1">Master_List!$AW$2</f>
        <v>09:30 PM</v>
      </c>
      <c r="H281" s="4" t="str">
        <f ca="1">Master_List!$AW$3</f>
        <v>20/07/2026</v>
      </c>
      <c r="I281" s="4" t="str">
        <f ca="1">Master_List!$AW$4</f>
        <v>28.5</v>
      </c>
      <c r="J281" s="4" t="str">
        <f ca="1">Master_List!$AW$5</f>
        <v>65</v>
      </c>
      <c r="K281" s="4" t="s">
        <v>591</v>
      </c>
      <c r="BL281" s="4" t="s">
        <v>1744</v>
      </c>
      <c r="BM281" s="4" t="s">
        <v>1890</v>
      </c>
      <c r="BN281" s="4" t="s">
        <v>1748</v>
      </c>
      <c r="BO281" s="4" t="str">
        <f t="shared" si="4"/>
        <v>C:\Users\aremi\Desktop\REPORT CBM\PO TIANU JB\03. Raw Material\40. 10052026 SSU MEDINI SIGNATURE 33KV (VI)\IR</v>
      </c>
      <c r="BP281" t="s">
        <v>848</v>
      </c>
    </row>
    <row r="282" spans="1:68" thickBot="1" x14ac:dyDescent="0.3">
      <c r="A282" s="4">
        <v>141</v>
      </c>
      <c r="B282" s="4" t="s">
        <v>849</v>
      </c>
      <c r="C282" s="4">
        <v>5</v>
      </c>
      <c r="D282" s="4" t="s">
        <v>1760</v>
      </c>
      <c r="E282" s="4">
        <v>1</v>
      </c>
      <c r="F282" s="4" t="str">
        <f ca="1">Master_List!$AW$1</f>
        <v>PERPUSTAKAAN PUSAT</v>
      </c>
      <c r="G282" s="4" t="str">
        <f ca="1">Master_List!$AW$2</f>
        <v>09:30 PM</v>
      </c>
      <c r="H282" s="4" t="str">
        <f ca="1">Master_List!$AW$3</f>
        <v>20/07/2026</v>
      </c>
      <c r="I282" s="4" t="str">
        <f ca="1">Master_List!$AW$4</f>
        <v>28.5</v>
      </c>
      <c r="J282" s="4" t="str">
        <f ca="1">Master_List!$AW$5</f>
        <v>65</v>
      </c>
      <c r="K282" s="4" t="s">
        <v>570</v>
      </c>
      <c r="BL282" s="4" t="s">
        <v>1744</v>
      </c>
      <c r="BM282" s="4" t="s">
        <v>1891</v>
      </c>
      <c r="BN282" s="4" t="s">
        <v>1746</v>
      </c>
      <c r="BO282" s="4" t="str">
        <f t="shared" si="4"/>
        <v>C:\Users\aremi\Desktop\REPORT CBM\PO TIANU JB\03. Raw Material\40. 10052026 SSU MEDINI SIGNATURE 33KV (VI)\IR</v>
      </c>
      <c r="BP282" t="s">
        <v>850</v>
      </c>
    </row>
    <row r="283" spans="1:68" thickBot="1" x14ac:dyDescent="0.3">
      <c r="A283" s="4">
        <v>141</v>
      </c>
      <c r="B283" s="4" t="s">
        <v>849</v>
      </c>
      <c r="C283" s="4">
        <v>5</v>
      </c>
      <c r="D283" s="4" t="s">
        <v>1760</v>
      </c>
      <c r="E283" s="4">
        <v>1</v>
      </c>
      <c r="F283" s="4" t="str">
        <f ca="1">Master_List!$AW$1</f>
        <v>PERPUSTAKAAN PUSAT</v>
      </c>
      <c r="G283" s="4" t="str">
        <f ca="1">Master_List!$AW$2</f>
        <v>09:30 PM</v>
      </c>
      <c r="H283" s="4" t="str">
        <f ca="1">Master_List!$AW$3</f>
        <v>20/07/2026</v>
      </c>
      <c r="I283" s="4" t="str">
        <f ca="1">Master_List!$AW$4</f>
        <v>28.5</v>
      </c>
      <c r="J283" s="4" t="str">
        <f ca="1">Master_List!$AW$5</f>
        <v>65</v>
      </c>
      <c r="K283" s="4" t="s">
        <v>570</v>
      </c>
      <c r="BL283" s="4" t="s">
        <v>1744</v>
      </c>
      <c r="BM283" s="4" t="s">
        <v>1891</v>
      </c>
      <c r="BN283" s="4" t="s">
        <v>1748</v>
      </c>
      <c r="BO283" s="4" t="str">
        <f t="shared" si="4"/>
        <v>C:\Users\aremi\Desktop\REPORT CBM\PO TIANU JB\03. Raw Material\40. 10052026 SSU MEDINI SIGNATURE 33KV (VI)\IR</v>
      </c>
      <c r="BP283" t="s">
        <v>851</v>
      </c>
    </row>
    <row r="284" spans="1:68" thickBot="1" x14ac:dyDescent="0.3">
      <c r="A284" s="4">
        <v>142</v>
      </c>
      <c r="B284" s="4" t="s">
        <v>849</v>
      </c>
      <c r="C284" s="4">
        <v>5</v>
      </c>
      <c r="D284" s="4" t="s">
        <v>1760</v>
      </c>
      <c r="E284" s="4">
        <v>2</v>
      </c>
      <c r="F284" s="4" t="str">
        <f ca="1">Master_List!$AW$1</f>
        <v>PERPUSTAKAAN PUSAT</v>
      </c>
      <c r="G284" s="4" t="str">
        <f ca="1">Master_List!$AW$2</f>
        <v>09:30 PM</v>
      </c>
      <c r="H284" s="4" t="str">
        <f ca="1">Master_List!$AW$3</f>
        <v>20/07/2026</v>
      </c>
      <c r="I284" s="4" t="str">
        <f ca="1">Master_List!$AW$4</f>
        <v>28.5</v>
      </c>
      <c r="J284" s="4" t="str">
        <f ca="1">Master_List!$AW$5</f>
        <v>65</v>
      </c>
      <c r="K284" s="4" t="s">
        <v>573</v>
      </c>
      <c r="BL284" s="4" t="s">
        <v>1744</v>
      </c>
      <c r="BM284" s="4" t="s">
        <v>1892</v>
      </c>
      <c r="BN284" s="4" t="s">
        <v>1746</v>
      </c>
      <c r="BO284" s="4" t="str">
        <f t="shared" si="4"/>
        <v>C:\Users\aremi\Desktop\REPORT CBM\PO TIANU JB\03. Raw Material\40. 10052026 SSU MEDINI SIGNATURE 33KV (VI)\IR</v>
      </c>
      <c r="BP284" t="s">
        <v>852</v>
      </c>
    </row>
    <row r="285" spans="1:68" thickBot="1" x14ac:dyDescent="0.3">
      <c r="A285" s="4">
        <v>142</v>
      </c>
      <c r="B285" s="4" t="s">
        <v>849</v>
      </c>
      <c r="C285" s="4">
        <v>5</v>
      </c>
      <c r="D285" s="4" t="s">
        <v>1760</v>
      </c>
      <c r="E285" s="4">
        <v>2</v>
      </c>
      <c r="F285" s="4" t="str">
        <f ca="1">Master_List!$AW$1</f>
        <v>PERPUSTAKAAN PUSAT</v>
      </c>
      <c r="G285" s="4" t="str">
        <f ca="1">Master_List!$AW$2</f>
        <v>09:30 PM</v>
      </c>
      <c r="H285" s="4" t="str">
        <f ca="1">Master_List!$AW$3</f>
        <v>20/07/2026</v>
      </c>
      <c r="I285" s="4" t="str">
        <f ca="1">Master_List!$AW$4</f>
        <v>28.5</v>
      </c>
      <c r="J285" s="4" t="str">
        <f ca="1">Master_List!$AW$5</f>
        <v>65</v>
      </c>
      <c r="K285" s="4" t="s">
        <v>573</v>
      </c>
      <c r="BL285" s="4" t="s">
        <v>1744</v>
      </c>
      <c r="BM285" s="4" t="s">
        <v>1892</v>
      </c>
      <c r="BN285" s="4" t="s">
        <v>1748</v>
      </c>
      <c r="BO285" s="4" t="str">
        <f t="shared" si="4"/>
        <v>C:\Users\aremi\Desktop\REPORT CBM\PO TIANU JB\03. Raw Material\40. 10052026 SSU MEDINI SIGNATURE 33KV (VI)\IR</v>
      </c>
      <c r="BP285" t="s">
        <v>853</v>
      </c>
    </row>
    <row r="286" spans="1:68" thickBot="1" x14ac:dyDescent="0.3">
      <c r="A286" s="4">
        <v>143</v>
      </c>
      <c r="B286" s="4" t="s">
        <v>849</v>
      </c>
      <c r="C286" s="4">
        <v>5</v>
      </c>
      <c r="D286" s="4" t="s">
        <v>1760</v>
      </c>
      <c r="E286" s="4">
        <v>3</v>
      </c>
      <c r="F286" s="4" t="str">
        <f ca="1">Master_List!$AW$1</f>
        <v>PERPUSTAKAAN PUSAT</v>
      </c>
      <c r="G286" s="4" t="str">
        <f ca="1">Master_List!$AW$2</f>
        <v>09:30 PM</v>
      </c>
      <c r="H286" s="4" t="str">
        <f ca="1">Master_List!$AW$3</f>
        <v>20/07/2026</v>
      </c>
      <c r="I286" s="4" t="str">
        <f ca="1">Master_List!$AW$4</f>
        <v>28.5</v>
      </c>
      <c r="J286" s="4" t="str">
        <f ca="1">Master_List!$AW$5</f>
        <v>65</v>
      </c>
      <c r="K286" s="4" t="s">
        <v>576</v>
      </c>
      <c r="BL286" s="4" t="s">
        <v>1744</v>
      </c>
      <c r="BM286" s="4" t="s">
        <v>1893</v>
      </c>
      <c r="BN286" s="4" t="s">
        <v>1746</v>
      </c>
      <c r="BO286" s="4" t="str">
        <f t="shared" si="4"/>
        <v>C:\Users\aremi\Desktop\REPORT CBM\PO TIANU JB\03. Raw Material\40. 10052026 SSU MEDINI SIGNATURE 33KV (VI)\IR</v>
      </c>
      <c r="BP286" t="s">
        <v>854</v>
      </c>
    </row>
    <row r="287" spans="1:68" thickBot="1" x14ac:dyDescent="0.3">
      <c r="A287" s="4">
        <v>143</v>
      </c>
      <c r="B287" s="4" t="s">
        <v>849</v>
      </c>
      <c r="C287" s="4">
        <v>5</v>
      </c>
      <c r="D287" s="4" t="s">
        <v>1760</v>
      </c>
      <c r="E287" s="4">
        <v>3</v>
      </c>
      <c r="F287" s="4" t="str">
        <f ca="1">Master_List!$AW$1</f>
        <v>PERPUSTAKAAN PUSAT</v>
      </c>
      <c r="G287" s="4" t="str">
        <f ca="1">Master_List!$AW$2</f>
        <v>09:30 PM</v>
      </c>
      <c r="H287" s="4" t="str">
        <f ca="1">Master_List!$AW$3</f>
        <v>20/07/2026</v>
      </c>
      <c r="I287" s="4" t="str">
        <f ca="1">Master_List!$AW$4</f>
        <v>28.5</v>
      </c>
      <c r="J287" s="4" t="str">
        <f ca="1">Master_List!$AW$5</f>
        <v>65</v>
      </c>
      <c r="K287" s="4" t="s">
        <v>576</v>
      </c>
      <c r="BL287" s="4" t="s">
        <v>1744</v>
      </c>
      <c r="BM287" s="4" t="s">
        <v>1893</v>
      </c>
      <c r="BN287" s="4" t="s">
        <v>1748</v>
      </c>
      <c r="BO287" s="4" t="str">
        <f t="shared" si="4"/>
        <v>C:\Users\aremi\Desktop\REPORT CBM\PO TIANU JB\03. Raw Material\40. 10052026 SSU MEDINI SIGNATURE 33KV (VI)\IR</v>
      </c>
      <c r="BP287" t="s">
        <v>855</v>
      </c>
    </row>
    <row r="288" spans="1:68" thickBot="1" x14ac:dyDescent="0.3">
      <c r="A288" s="4">
        <v>144</v>
      </c>
      <c r="B288" s="4" t="s">
        <v>849</v>
      </c>
      <c r="C288" s="4">
        <v>5</v>
      </c>
      <c r="D288" s="4" t="s">
        <v>1760</v>
      </c>
      <c r="E288" s="4">
        <v>4</v>
      </c>
      <c r="F288" s="4" t="str">
        <f ca="1">Master_List!$AW$1</f>
        <v>PERPUSTAKAAN PUSAT</v>
      </c>
      <c r="G288" s="4" t="str">
        <f ca="1">Master_List!$AW$2</f>
        <v>09:30 PM</v>
      </c>
      <c r="H288" s="4" t="str">
        <f ca="1">Master_List!$AW$3</f>
        <v>20/07/2026</v>
      </c>
      <c r="I288" s="4" t="str">
        <f ca="1">Master_List!$AW$4</f>
        <v>28.5</v>
      </c>
      <c r="J288" s="4" t="str">
        <f ca="1">Master_List!$AW$5</f>
        <v>65</v>
      </c>
      <c r="K288" s="4" t="s">
        <v>579</v>
      </c>
      <c r="BL288" s="4" t="s">
        <v>1744</v>
      </c>
      <c r="BM288" s="4" t="s">
        <v>1894</v>
      </c>
      <c r="BN288" s="4" t="s">
        <v>1746</v>
      </c>
      <c r="BO288" s="4" t="str">
        <f t="shared" si="4"/>
        <v>C:\Users\aremi\Desktop\REPORT CBM\PO TIANU JB\03. Raw Material\40. 10052026 SSU MEDINI SIGNATURE 33KV (VI)\IR</v>
      </c>
      <c r="BP288" t="s">
        <v>856</v>
      </c>
    </row>
    <row r="289" spans="1:68" thickBot="1" x14ac:dyDescent="0.3">
      <c r="A289" s="4">
        <v>144</v>
      </c>
      <c r="B289" s="4" t="s">
        <v>849</v>
      </c>
      <c r="C289" s="4">
        <v>5</v>
      </c>
      <c r="D289" s="4" t="s">
        <v>1760</v>
      </c>
      <c r="E289" s="4">
        <v>4</v>
      </c>
      <c r="F289" s="4" t="str">
        <f ca="1">Master_List!$AW$1</f>
        <v>PERPUSTAKAAN PUSAT</v>
      </c>
      <c r="G289" s="4" t="str">
        <f ca="1">Master_List!$AW$2</f>
        <v>09:30 PM</v>
      </c>
      <c r="H289" s="4" t="str">
        <f ca="1">Master_List!$AW$3</f>
        <v>20/07/2026</v>
      </c>
      <c r="I289" s="4" t="str">
        <f ca="1">Master_List!$AW$4</f>
        <v>28.5</v>
      </c>
      <c r="J289" s="4" t="str">
        <f ca="1">Master_List!$AW$5</f>
        <v>65</v>
      </c>
      <c r="K289" s="4" t="s">
        <v>579</v>
      </c>
      <c r="BL289" s="4" t="s">
        <v>1744</v>
      </c>
      <c r="BM289" s="4" t="s">
        <v>1894</v>
      </c>
      <c r="BN289" s="4" t="s">
        <v>1748</v>
      </c>
      <c r="BO289" s="4" t="str">
        <f t="shared" si="4"/>
        <v>C:\Users\aremi\Desktop\REPORT CBM\PO TIANU JB\03. Raw Material\40. 10052026 SSU MEDINI SIGNATURE 33KV (VI)\IR</v>
      </c>
      <c r="BP289" t="s">
        <v>857</v>
      </c>
    </row>
    <row r="290" spans="1:68" thickBot="1" x14ac:dyDescent="0.3">
      <c r="A290" s="4">
        <v>145</v>
      </c>
      <c r="B290" s="4" t="s">
        <v>849</v>
      </c>
      <c r="C290" s="4">
        <v>5</v>
      </c>
      <c r="D290" s="4" t="s">
        <v>1760</v>
      </c>
      <c r="E290" s="4">
        <v>5</v>
      </c>
      <c r="F290" s="4" t="str">
        <f ca="1">Master_List!$AW$1</f>
        <v>PERPUSTAKAAN PUSAT</v>
      </c>
      <c r="G290" s="4" t="str">
        <f ca="1">Master_List!$AW$2</f>
        <v>09:30 PM</v>
      </c>
      <c r="H290" s="4" t="str">
        <f ca="1">Master_List!$AW$3</f>
        <v>20/07/2026</v>
      </c>
      <c r="I290" s="4" t="str">
        <f ca="1">Master_List!$AW$4</f>
        <v>28.5</v>
      </c>
      <c r="J290" s="4" t="str">
        <f ca="1">Master_List!$AW$5</f>
        <v>65</v>
      </c>
      <c r="K290" s="4" t="s">
        <v>582</v>
      </c>
      <c r="BL290" s="4" t="s">
        <v>1744</v>
      </c>
      <c r="BM290" s="4" t="s">
        <v>1895</v>
      </c>
      <c r="BN290" s="4" t="s">
        <v>1746</v>
      </c>
      <c r="BO290" s="4" t="str">
        <f t="shared" si="4"/>
        <v>C:\Users\aremi\Desktop\REPORT CBM\PO TIANU JB\03. Raw Material\40. 10052026 SSU MEDINI SIGNATURE 33KV (VI)\IR</v>
      </c>
      <c r="BP290" t="s">
        <v>858</v>
      </c>
    </row>
    <row r="291" spans="1:68" thickBot="1" x14ac:dyDescent="0.3">
      <c r="A291" s="4">
        <v>145</v>
      </c>
      <c r="B291" s="4" t="s">
        <v>849</v>
      </c>
      <c r="C291" s="4">
        <v>5</v>
      </c>
      <c r="D291" s="4" t="s">
        <v>1760</v>
      </c>
      <c r="E291" s="4">
        <v>5</v>
      </c>
      <c r="F291" s="4" t="str">
        <f ca="1">Master_List!$AW$1</f>
        <v>PERPUSTAKAAN PUSAT</v>
      </c>
      <c r="G291" s="4" t="str">
        <f ca="1">Master_List!$AW$2</f>
        <v>09:30 PM</v>
      </c>
      <c r="H291" s="4" t="str">
        <f ca="1">Master_List!$AW$3</f>
        <v>20/07/2026</v>
      </c>
      <c r="I291" s="4" t="str">
        <f ca="1">Master_List!$AW$4</f>
        <v>28.5</v>
      </c>
      <c r="J291" s="4" t="str">
        <f ca="1">Master_List!$AW$5</f>
        <v>65</v>
      </c>
      <c r="K291" s="4" t="s">
        <v>582</v>
      </c>
      <c r="BL291" s="4" t="s">
        <v>1744</v>
      </c>
      <c r="BM291" s="4" t="s">
        <v>1895</v>
      </c>
      <c r="BN291" s="4" t="s">
        <v>1748</v>
      </c>
      <c r="BO291" s="4" t="str">
        <f t="shared" si="4"/>
        <v>C:\Users\aremi\Desktop\REPORT CBM\PO TIANU JB\03. Raw Material\40. 10052026 SSU MEDINI SIGNATURE 33KV (VI)\IR</v>
      </c>
      <c r="BP291" t="s">
        <v>859</v>
      </c>
    </row>
    <row r="292" spans="1:68" thickBot="1" x14ac:dyDescent="0.3">
      <c r="A292" s="4">
        <v>146</v>
      </c>
      <c r="B292" s="4" t="s">
        <v>849</v>
      </c>
      <c r="C292" s="4">
        <v>5</v>
      </c>
      <c r="D292" s="4" t="s">
        <v>1760</v>
      </c>
      <c r="E292" s="4">
        <v>6</v>
      </c>
      <c r="F292" s="4" t="str">
        <f ca="1">Master_List!$AW$1</f>
        <v>PERPUSTAKAAN PUSAT</v>
      </c>
      <c r="G292" s="4" t="str">
        <f ca="1">Master_List!$AW$2</f>
        <v>09:30 PM</v>
      </c>
      <c r="H292" s="4" t="str">
        <f ca="1">Master_List!$AW$3</f>
        <v>20/07/2026</v>
      </c>
      <c r="I292" s="4" t="str">
        <f ca="1">Master_List!$AW$4</f>
        <v>28.5</v>
      </c>
      <c r="J292" s="4" t="str">
        <f ca="1">Master_List!$AW$5</f>
        <v>65</v>
      </c>
      <c r="K292" s="4" t="s">
        <v>585</v>
      </c>
      <c r="BL292" s="4" t="s">
        <v>1744</v>
      </c>
      <c r="BM292" s="4" t="s">
        <v>1896</v>
      </c>
      <c r="BN292" s="4" t="s">
        <v>1746</v>
      </c>
      <c r="BO292" s="4" t="str">
        <f t="shared" si="4"/>
        <v>C:\Users\aremi\Desktop\REPORT CBM\PO TIANU JB\03. Raw Material\40. 10052026 SSU MEDINI SIGNATURE 33KV (VI)\IR</v>
      </c>
      <c r="BP292" t="s">
        <v>860</v>
      </c>
    </row>
    <row r="293" spans="1:68" thickBot="1" x14ac:dyDescent="0.3">
      <c r="A293" s="4">
        <v>146</v>
      </c>
      <c r="B293" s="4" t="s">
        <v>849</v>
      </c>
      <c r="C293" s="4">
        <v>5</v>
      </c>
      <c r="D293" s="4" t="s">
        <v>1760</v>
      </c>
      <c r="E293" s="4">
        <v>6</v>
      </c>
      <c r="F293" s="4" t="str">
        <f ca="1">Master_List!$AW$1</f>
        <v>PERPUSTAKAAN PUSAT</v>
      </c>
      <c r="G293" s="4" t="str">
        <f ca="1">Master_List!$AW$2</f>
        <v>09:30 PM</v>
      </c>
      <c r="H293" s="4" t="str">
        <f ca="1">Master_List!$AW$3</f>
        <v>20/07/2026</v>
      </c>
      <c r="I293" s="4" t="str">
        <f ca="1">Master_List!$AW$4</f>
        <v>28.5</v>
      </c>
      <c r="J293" s="4" t="str">
        <f ca="1">Master_List!$AW$5</f>
        <v>65</v>
      </c>
      <c r="K293" s="4" t="s">
        <v>585</v>
      </c>
      <c r="BL293" s="4" t="s">
        <v>1744</v>
      </c>
      <c r="BM293" s="4" t="s">
        <v>1896</v>
      </c>
      <c r="BN293" s="4" t="s">
        <v>1748</v>
      </c>
      <c r="BO293" s="4" t="str">
        <f t="shared" si="4"/>
        <v>C:\Users\aremi\Desktop\REPORT CBM\PO TIANU JB\03. Raw Material\40. 10052026 SSU MEDINI SIGNATURE 33KV (VI)\IR</v>
      </c>
      <c r="BP293" t="s">
        <v>861</v>
      </c>
    </row>
    <row r="294" spans="1:68" thickBot="1" x14ac:dyDescent="0.3">
      <c r="A294" s="4">
        <v>147</v>
      </c>
      <c r="B294" s="4" t="s">
        <v>849</v>
      </c>
      <c r="C294" s="4">
        <v>5</v>
      </c>
      <c r="D294" s="4" t="s">
        <v>1767</v>
      </c>
      <c r="E294" s="4">
        <v>7</v>
      </c>
      <c r="F294" s="4" t="str">
        <f ca="1">Master_List!$AW$1</f>
        <v>PERPUSTAKAAN PUSAT</v>
      </c>
      <c r="G294" s="4" t="str">
        <f ca="1">Master_List!$AW$2</f>
        <v>09:30 PM</v>
      </c>
      <c r="H294" s="4" t="str">
        <f ca="1">Master_List!$AW$3</f>
        <v>20/07/2026</v>
      </c>
      <c r="I294" s="4" t="str">
        <f ca="1">Master_List!$AW$4</f>
        <v>28.5</v>
      </c>
      <c r="J294" s="4" t="str">
        <f ca="1">Master_List!$AW$5</f>
        <v>65</v>
      </c>
      <c r="K294" s="4" t="s">
        <v>588</v>
      </c>
      <c r="BL294" s="4" t="s">
        <v>1744</v>
      </c>
      <c r="BM294" s="4" t="s">
        <v>1897</v>
      </c>
      <c r="BN294" s="4" t="s">
        <v>1746</v>
      </c>
      <c r="BO294" s="4" t="str">
        <f t="shared" si="4"/>
        <v>C:\Users\aremi\Desktop\REPORT CBM\PO TIANU JB\03. Raw Material\40. 10052026 SSU MEDINI SIGNATURE 33KV (VI)\IR</v>
      </c>
      <c r="BP294" t="s">
        <v>862</v>
      </c>
    </row>
    <row r="295" spans="1:68" thickBot="1" x14ac:dyDescent="0.3">
      <c r="A295" s="4">
        <v>147</v>
      </c>
      <c r="B295" s="4" t="s">
        <v>849</v>
      </c>
      <c r="C295" s="4">
        <v>5</v>
      </c>
      <c r="D295" s="4" t="s">
        <v>1767</v>
      </c>
      <c r="E295" s="4">
        <v>7</v>
      </c>
      <c r="F295" s="4" t="str">
        <f ca="1">Master_List!$AW$1</f>
        <v>PERPUSTAKAAN PUSAT</v>
      </c>
      <c r="G295" s="4" t="str">
        <f ca="1">Master_List!$AW$2</f>
        <v>09:30 PM</v>
      </c>
      <c r="H295" s="4" t="str">
        <f ca="1">Master_List!$AW$3</f>
        <v>20/07/2026</v>
      </c>
      <c r="I295" s="4" t="str">
        <f ca="1">Master_List!$AW$4</f>
        <v>28.5</v>
      </c>
      <c r="J295" s="4" t="str">
        <f ca="1">Master_List!$AW$5</f>
        <v>65</v>
      </c>
      <c r="K295" s="4" t="s">
        <v>588</v>
      </c>
      <c r="BL295" s="4" t="s">
        <v>1744</v>
      </c>
      <c r="BM295" s="4" t="s">
        <v>1897</v>
      </c>
      <c r="BN295" s="4" t="s">
        <v>1748</v>
      </c>
      <c r="BO295" s="4" t="str">
        <f t="shared" si="4"/>
        <v>C:\Users\aremi\Desktop\REPORT CBM\PO TIANU JB\03. Raw Material\40. 10052026 SSU MEDINI SIGNATURE 33KV (VI)\IR</v>
      </c>
      <c r="BP295" t="s">
        <v>863</v>
      </c>
    </row>
    <row r="296" spans="1:68" thickBot="1" x14ac:dyDescent="0.3">
      <c r="A296" s="4">
        <v>148</v>
      </c>
      <c r="B296" s="4" t="s">
        <v>849</v>
      </c>
      <c r="C296" s="4">
        <v>5</v>
      </c>
      <c r="D296" s="4" t="s">
        <v>1769</v>
      </c>
      <c r="E296" s="4">
        <v>8</v>
      </c>
      <c r="F296" s="4" t="str">
        <f ca="1">Master_List!$AW$1</f>
        <v>PERPUSTAKAAN PUSAT</v>
      </c>
      <c r="G296" s="4" t="str">
        <f ca="1">Master_List!$AW$2</f>
        <v>09:30 PM</v>
      </c>
      <c r="H296" s="4" t="str">
        <f ca="1">Master_List!$AW$3</f>
        <v>20/07/2026</v>
      </c>
      <c r="I296" s="4" t="str">
        <f ca="1">Master_List!$AW$4</f>
        <v>28.5</v>
      </c>
      <c r="J296" s="4" t="str">
        <f ca="1">Master_List!$AW$5</f>
        <v>65</v>
      </c>
      <c r="K296" s="4" t="s">
        <v>591</v>
      </c>
      <c r="BL296" s="4" t="s">
        <v>1744</v>
      </c>
      <c r="BM296" s="4" t="s">
        <v>1898</v>
      </c>
      <c r="BN296" s="4" t="s">
        <v>1746</v>
      </c>
      <c r="BO296" s="4" t="str">
        <f t="shared" si="4"/>
        <v>C:\Users\aremi\Desktop\REPORT CBM\PO TIANU JB\03. Raw Material\40. 10052026 SSU MEDINI SIGNATURE 33KV (VI)\IR</v>
      </c>
      <c r="BP296" t="s">
        <v>864</v>
      </c>
    </row>
    <row r="297" spans="1:68" thickBot="1" x14ac:dyDescent="0.3">
      <c r="A297" s="4">
        <v>148</v>
      </c>
      <c r="B297" s="4" t="s">
        <v>849</v>
      </c>
      <c r="C297" s="4">
        <v>5</v>
      </c>
      <c r="D297" s="4" t="s">
        <v>1769</v>
      </c>
      <c r="E297" s="4">
        <v>8</v>
      </c>
      <c r="F297" s="4" t="str">
        <f ca="1">Master_List!$AW$1</f>
        <v>PERPUSTAKAAN PUSAT</v>
      </c>
      <c r="G297" s="4" t="str">
        <f ca="1">Master_List!$AW$2</f>
        <v>09:30 PM</v>
      </c>
      <c r="H297" s="4" t="str">
        <f ca="1">Master_List!$AW$3</f>
        <v>20/07/2026</v>
      </c>
      <c r="I297" s="4" t="str">
        <f ca="1">Master_List!$AW$4</f>
        <v>28.5</v>
      </c>
      <c r="J297" s="4" t="str">
        <f ca="1">Master_List!$AW$5</f>
        <v>65</v>
      </c>
      <c r="K297" s="4" t="s">
        <v>591</v>
      </c>
      <c r="BL297" s="4" t="s">
        <v>1744</v>
      </c>
      <c r="BM297" s="4" t="s">
        <v>1898</v>
      </c>
      <c r="BN297" s="4" t="s">
        <v>1748</v>
      </c>
      <c r="BO297" s="4" t="str">
        <f t="shared" si="4"/>
        <v>C:\Users\aremi\Desktop\REPORT CBM\PO TIANU JB\03. Raw Material\40. 10052026 SSU MEDINI SIGNATURE 33KV (VI)\IR</v>
      </c>
      <c r="BP297" t="s">
        <v>865</v>
      </c>
    </row>
    <row r="298" spans="1:68" thickBot="1" x14ac:dyDescent="0.3">
      <c r="A298" s="4">
        <v>149</v>
      </c>
      <c r="B298" s="4" t="s">
        <v>866</v>
      </c>
      <c r="C298" s="4">
        <v>5</v>
      </c>
      <c r="D298" s="4" t="s">
        <v>1760</v>
      </c>
      <c r="E298" s="4">
        <v>1</v>
      </c>
      <c r="F298" s="4" t="str">
        <f ca="1">Master_List!$AW$1</f>
        <v>PERPUSTAKAAN PUSAT</v>
      </c>
      <c r="G298" s="4" t="str">
        <f ca="1">Master_List!$AW$2</f>
        <v>09:30 PM</v>
      </c>
      <c r="H298" s="4" t="str">
        <f ca="1">Master_List!$AW$3</f>
        <v>20/07/2026</v>
      </c>
      <c r="I298" s="4" t="str">
        <f ca="1">Master_List!$AW$4</f>
        <v>28.5</v>
      </c>
      <c r="J298" s="4" t="str">
        <f ca="1">Master_List!$AW$5</f>
        <v>65</v>
      </c>
      <c r="K298" s="4" t="s">
        <v>570</v>
      </c>
      <c r="BL298" s="4" t="s">
        <v>1744</v>
      </c>
      <c r="BM298" s="4" t="s">
        <v>1899</v>
      </c>
      <c r="BN298" s="4" t="s">
        <v>1746</v>
      </c>
      <c r="BO298" s="4" t="str">
        <f t="shared" si="4"/>
        <v>C:\Users\aremi\Desktop\REPORT CBM\PO TIANU JB\03. Raw Material\40. 10052026 SSU MEDINI SIGNATURE 33KV (VI)\IR</v>
      </c>
      <c r="BP298" t="s">
        <v>867</v>
      </c>
    </row>
    <row r="299" spans="1:68" thickBot="1" x14ac:dyDescent="0.3">
      <c r="A299" s="4">
        <v>149</v>
      </c>
      <c r="B299" s="4" t="s">
        <v>866</v>
      </c>
      <c r="C299" s="4">
        <v>5</v>
      </c>
      <c r="D299" s="4" t="s">
        <v>1760</v>
      </c>
      <c r="E299" s="4">
        <v>1</v>
      </c>
      <c r="F299" s="4" t="str">
        <f ca="1">Master_List!$AW$1</f>
        <v>PERPUSTAKAAN PUSAT</v>
      </c>
      <c r="G299" s="4" t="str">
        <f ca="1">Master_List!$AW$2</f>
        <v>09:30 PM</v>
      </c>
      <c r="H299" s="4" t="str">
        <f ca="1">Master_List!$AW$3</f>
        <v>20/07/2026</v>
      </c>
      <c r="I299" s="4" t="str">
        <f ca="1">Master_List!$AW$4</f>
        <v>28.5</v>
      </c>
      <c r="J299" s="4" t="str">
        <f ca="1">Master_List!$AW$5</f>
        <v>65</v>
      </c>
      <c r="K299" s="4" t="s">
        <v>570</v>
      </c>
      <c r="BL299" s="4" t="s">
        <v>1744</v>
      </c>
      <c r="BM299" s="4" t="s">
        <v>1899</v>
      </c>
      <c r="BN299" s="4" t="s">
        <v>1748</v>
      </c>
      <c r="BO299" s="4" t="str">
        <f t="shared" si="4"/>
        <v>C:\Users\aremi\Desktop\REPORT CBM\PO TIANU JB\03. Raw Material\40. 10052026 SSU MEDINI SIGNATURE 33KV (VI)\IR</v>
      </c>
      <c r="BP299" t="s">
        <v>868</v>
      </c>
    </row>
    <row r="300" spans="1:68" thickBot="1" x14ac:dyDescent="0.3">
      <c r="A300" s="4">
        <v>150</v>
      </c>
      <c r="B300" s="4" t="s">
        <v>866</v>
      </c>
      <c r="C300" s="4">
        <v>5</v>
      </c>
      <c r="D300" s="4" t="s">
        <v>1760</v>
      </c>
      <c r="E300" s="4">
        <v>2</v>
      </c>
      <c r="F300" s="4" t="str">
        <f ca="1">Master_List!$AW$1</f>
        <v>PERPUSTAKAAN PUSAT</v>
      </c>
      <c r="G300" s="4" t="str">
        <f ca="1">Master_List!$AW$2</f>
        <v>09:30 PM</v>
      </c>
      <c r="H300" s="4" t="str">
        <f ca="1">Master_List!$AW$3</f>
        <v>20/07/2026</v>
      </c>
      <c r="I300" s="4" t="str">
        <f ca="1">Master_List!$AW$4</f>
        <v>28.5</v>
      </c>
      <c r="J300" s="4" t="str">
        <f ca="1">Master_List!$AW$5</f>
        <v>65</v>
      </c>
      <c r="K300" s="4" t="s">
        <v>573</v>
      </c>
      <c r="BL300" s="4" t="s">
        <v>1744</v>
      </c>
      <c r="BM300" s="4" t="s">
        <v>1900</v>
      </c>
      <c r="BN300" s="4" t="s">
        <v>1746</v>
      </c>
      <c r="BO300" s="4" t="str">
        <f t="shared" si="4"/>
        <v>C:\Users\aremi\Desktop\REPORT CBM\PO TIANU JB\03. Raw Material\40. 10052026 SSU MEDINI SIGNATURE 33KV (VI)\IR</v>
      </c>
      <c r="BP300" t="s">
        <v>869</v>
      </c>
    </row>
    <row r="301" spans="1:68" thickBot="1" x14ac:dyDescent="0.3">
      <c r="A301" s="4">
        <v>150</v>
      </c>
      <c r="B301" s="4" t="s">
        <v>866</v>
      </c>
      <c r="C301" s="4">
        <v>5</v>
      </c>
      <c r="D301" s="4" t="s">
        <v>1760</v>
      </c>
      <c r="E301" s="4">
        <v>2</v>
      </c>
      <c r="F301" s="4" t="str">
        <f ca="1">Master_List!$AW$1</f>
        <v>PERPUSTAKAAN PUSAT</v>
      </c>
      <c r="G301" s="4" t="str">
        <f ca="1">Master_List!$AW$2</f>
        <v>09:30 PM</v>
      </c>
      <c r="H301" s="4" t="str">
        <f ca="1">Master_List!$AW$3</f>
        <v>20/07/2026</v>
      </c>
      <c r="I301" s="4" t="str">
        <f ca="1">Master_List!$AW$4</f>
        <v>28.5</v>
      </c>
      <c r="J301" s="4" t="str">
        <f ca="1">Master_List!$AW$5</f>
        <v>65</v>
      </c>
      <c r="K301" s="4" t="s">
        <v>573</v>
      </c>
      <c r="BL301" s="4" t="s">
        <v>1744</v>
      </c>
      <c r="BM301" s="4" t="s">
        <v>1900</v>
      </c>
      <c r="BN301" s="4" t="s">
        <v>1748</v>
      </c>
      <c r="BO301" s="4" t="str">
        <f t="shared" si="4"/>
        <v>C:\Users\aremi\Desktop\REPORT CBM\PO TIANU JB\03. Raw Material\40. 10052026 SSU MEDINI SIGNATURE 33KV (VI)\IR</v>
      </c>
      <c r="BP301" t="s">
        <v>870</v>
      </c>
    </row>
    <row r="302" spans="1:68" thickBot="1" x14ac:dyDescent="0.3">
      <c r="A302" s="4">
        <v>151</v>
      </c>
      <c r="B302" s="4" t="s">
        <v>866</v>
      </c>
      <c r="C302" s="4">
        <v>5</v>
      </c>
      <c r="D302" s="4" t="s">
        <v>1760</v>
      </c>
      <c r="E302" s="4">
        <v>3</v>
      </c>
      <c r="F302" s="4" t="str">
        <f ca="1">Master_List!$AW$1</f>
        <v>PERPUSTAKAAN PUSAT</v>
      </c>
      <c r="G302" s="4" t="str">
        <f ca="1">Master_List!$AW$2</f>
        <v>09:30 PM</v>
      </c>
      <c r="H302" s="4" t="str">
        <f ca="1">Master_List!$AW$3</f>
        <v>20/07/2026</v>
      </c>
      <c r="I302" s="4" t="str">
        <f ca="1">Master_List!$AW$4</f>
        <v>28.5</v>
      </c>
      <c r="J302" s="4" t="str">
        <f ca="1">Master_List!$AW$5</f>
        <v>65</v>
      </c>
      <c r="K302" s="4" t="s">
        <v>576</v>
      </c>
      <c r="BL302" s="4" t="s">
        <v>1744</v>
      </c>
      <c r="BM302" s="4" t="s">
        <v>1901</v>
      </c>
      <c r="BN302" s="4" t="s">
        <v>1746</v>
      </c>
      <c r="BO302" s="4" t="str">
        <f t="shared" si="4"/>
        <v>C:\Users\aremi\Desktop\REPORT CBM\PO TIANU JB\03. Raw Material\40. 10052026 SSU MEDINI SIGNATURE 33KV (VI)\IR</v>
      </c>
      <c r="BP302" t="s">
        <v>871</v>
      </c>
    </row>
    <row r="303" spans="1:68" thickBot="1" x14ac:dyDescent="0.3">
      <c r="A303" s="4">
        <v>151</v>
      </c>
      <c r="B303" s="4" t="s">
        <v>866</v>
      </c>
      <c r="C303" s="4">
        <v>5</v>
      </c>
      <c r="D303" s="4" t="s">
        <v>1760</v>
      </c>
      <c r="E303" s="4">
        <v>3</v>
      </c>
      <c r="F303" s="4" t="str">
        <f ca="1">Master_List!$AW$1</f>
        <v>PERPUSTAKAAN PUSAT</v>
      </c>
      <c r="G303" s="4" t="str">
        <f ca="1">Master_List!$AW$2</f>
        <v>09:30 PM</v>
      </c>
      <c r="H303" s="4" t="str">
        <f ca="1">Master_List!$AW$3</f>
        <v>20/07/2026</v>
      </c>
      <c r="I303" s="4" t="str">
        <f ca="1">Master_List!$AW$4</f>
        <v>28.5</v>
      </c>
      <c r="J303" s="4" t="str">
        <f ca="1">Master_List!$AW$5</f>
        <v>65</v>
      </c>
      <c r="K303" s="4" t="s">
        <v>576</v>
      </c>
      <c r="BL303" s="4" t="s">
        <v>1744</v>
      </c>
      <c r="BM303" s="4" t="s">
        <v>1901</v>
      </c>
      <c r="BN303" s="4" t="s">
        <v>1748</v>
      </c>
      <c r="BO303" s="4" t="str">
        <f t="shared" si="4"/>
        <v>C:\Users\aremi\Desktop\REPORT CBM\PO TIANU JB\03. Raw Material\40. 10052026 SSU MEDINI SIGNATURE 33KV (VI)\IR</v>
      </c>
      <c r="BP303" t="s">
        <v>872</v>
      </c>
    </row>
    <row r="304" spans="1:68" thickBot="1" x14ac:dyDescent="0.3">
      <c r="A304" s="4">
        <v>152</v>
      </c>
      <c r="B304" s="4" t="s">
        <v>866</v>
      </c>
      <c r="C304" s="4">
        <v>5</v>
      </c>
      <c r="D304" s="4" t="s">
        <v>1760</v>
      </c>
      <c r="E304" s="4">
        <v>4</v>
      </c>
      <c r="F304" s="4" t="str">
        <f ca="1">Master_List!$AW$1</f>
        <v>PERPUSTAKAAN PUSAT</v>
      </c>
      <c r="G304" s="4" t="str">
        <f ca="1">Master_List!$AW$2</f>
        <v>09:30 PM</v>
      </c>
      <c r="H304" s="4" t="str">
        <f ca="1">Master_List!$AW$3</f>
        <v>20/07/2026</v>
      </c>
      <c r="I304" s="4" t="str">
        <f ca="1">Master_List!$AW$4</f>
        <v>28.5</v>
      </c>
      <c r="J304" s="4" t="str">
        <f ca="1">Master_List!$AW$5</f>
        <v>65</v>
      </c>
      <c r="K304" s="4" t="s">
        <v>579</v>
      </c>
      <c r="BL304" s="4" t="s">
        <v>1744</v>
      </c>
      <c r="BM304" s="4" t="s">
        <v>1902</v>
      </c>
      <c r="BN304" s="4" t="s">
        <v>1746</v>
      </c>
      <c r="BO304" s="4" t="str">
        <f t="shared" si="4"/>
        <v>C:\Users\aremi\Desktop\REPORT CBM\PO TIANU JB\03. Raw Material\40. 10052026 SSU MEDINI SIGNATURE 33KV (VI)\IR</v>
      </c>
      <c r="BP304" t="s">
        <v>873</v>
      </c>
    </row>
    <row r="305" spans="1:68" thickBot="1" x14ac:dyDescent="0.3">
      <c r="A305" s="4">
        <v>152</v>
      </c>
      <c r="B305" s="4" t="s">
        <v>866</v>
      </c>
      <c r="C305" s="4">
        <v>5</v>
      </c>
      <c r="D305" s="4" t="s">
        <v>1760</v>
      </c>
      <c r="E305" s="4">
        <v>4</v>
      </c>
      <c r="F305" s="4" t="str">
        <f ca="1">Master_List!$AW$1</f>
        <v>PERPUSTAKAAN PUSAT</v>
      </c>
      <c r="G305" s="4" t="str">
        <f ca="1">Master_List!$AW$2</f>
        <v>09:30 PM</v>
      </c>
      <c r="H305" s="4" t="str">
        <f ca="1">Master_List!$AW$3</f>
        <v>20/07/2026</v>
      </c>
      <c r="I305" s="4" t="str">
        <f ca="1">Master_List!$AW$4</f>
        <v>28.5</v>
      </c>
      <c r="J305" s="4" t="str">
        <f ca="1">Master_List!$AW$5</f>
        <v>65</v>
      </c>
      <c r="K305" s="4" t="s">
        <v>579</v>
      </c>
      <c r="BL305" s="4" t="s">
        <v>1744</v>
      </c>
      <c r="BM305" s="4" t="s">
        <v>1902</v>
      </c>
      <c r="BN305" s="4" t="s">
        <v>1748</v>
      </c>
      <c r="BO305" s="4" t="str">
        <f t="shared" si="4"/>
        <v>C:\Users\aremi\Desktop\REPORT CBM\PO TIANU JB\03. Raw Material\40. 10052026 SSU MEDINI SIGNATURE 33KV (VI)\IR</v>
      </c>
      <c r="BP305" t="s">
        <v>874</v>
      </c>
    </row>
    <row r="306" spans="1:68" thickBot="1" x14ac:dyDescent="0.3">
      <c r="A306" s="4">
        <v>153</v>
      </c>
      <c r="B306" s="4" t="s">
        <v>866</v>
      </c>
      <c r="C306" s="4">
        <v>5</v>
      </c>
      <c r="D306" s="4" t="s">
        <v>1760</v>
      </c>
      <c r="E306" s="4">
        <v>5</v>
      </c>
      <c r="F306" s="4" t="str">
        <f ca="1">Master_List!$AW$1</f>
        <v>PERPUSTAKAAN PUSAT</v>
      </c>
      <c r="G306" s="4" t="str">
        <f ca="1">Master_List!$AW$2</f>
        <v>09:30 PM</v>
      </c>
      <c r="H306" s="4" t="str">
        <f ca="1">Master_List!$AW$3</f>
        <v>20/07/2026</v>
      </c>
      <c r="I306" s="4" t="str">
        <f ca="1">Master_List!$AW$4</f>
        <v>28.5</v>
      </c>
      <c r="J306" s="4" t="str">
        <f ca="1">Master_List!$AW$5</f>
        <v>65</v>
      </c>
      <c r="K306" s="4" t="s">
        <v>582</v>
      </c>
      <c r="BL306" s="4" t="s">
        <v>1744</v>
      </c>
      <c r="BM306" s="4" t="s">
        <v>1903</v>
      </c>
      <c r="BN306" s="4" t="s">
        <v>1746</v>
      </c>
      <c r="BO306" s="4" t="str">
        <f t="shared" si="4"/>
        <v>C:\Users\aremi\Desktop\REPORT CBM\PO TIANU JB\03. Raw Material\40. 10052026 SSU MEDINI SIGNATURE 33KV (VI)\IR</v>
      </c>
      <c r="BP306" t="s">
        <v>875</v>
      </c>
    </row>
    <row r="307" spans="1:68" thickBot="1" x14ac:dyDescent="0.3">
      <c r="A307" s="4">
        <v>153</v>
      </c>
      <c r="B307" s="4" t="s">
        <v>866</v>
      </c>
      <c r="C307" s="4">
        <v>5</v>
      </c>
      <c r="D307" s="4" t="s">
        <v>1760</v>
      </c>
      <c r="E307" s="4">
        <v>5</v>
      </c>
      <c r="F307" s="4" t="str">
        <f ca="1">Master_List!$AW$1</f>
        <v>PERPUSTAKAAN PUSAT</v>
      </c>
      <c r="G307" s="4" t="str">
        <f ca="1">Master_List!$AW$2</f>
        <v>09:30 PM</v>
      </c>
      <c r="H307" s="4" t="str">
        <f ca="1">Master_List!$AW$3</f>
        <v>20/07/2026</v>
      </c>
      <c r="I307" s="4" t="str">
        <f ca="1">Master_List!$AW$4</f>
        <v>28.5</v>
      </c>
      <c r="J307" s="4" t="str">
        <f ca="1">Master_List!$AW$5</f>
        <v>65</v>
      </c>
      <c r="K307" s="4" t="s">
        <v>582</v>
      </c>
      <c r="BL307" s="4" t="s">
        <v>1744</v>
      </c>
      <c r="BM307" s="4" t="s">
        <v>1903</v>
      </c>
      <c r="BN307" s="4" t="s">
        <v>1748</v>
      </c>
      <c r="BO307" s="4" t="str">
        <f t="shared" si="4"/>
        <v>C:\Users\aremi\Desktop\REPORT CBM\PO TIANU JB\03. Raw Material\40. 10052026 SSU MEDINI SIGNATURE 33KV (VI)\IR</v>
      </c>
      <c r="BP307" t="s">
        <v>876</v>
      </c>
    </row>
    <row r="308" spans="1:68" thickBot="1" x14ac:dyDescent="0.3">
      <c r="A308" s="4">
        <v>154</v>
      </c>
      <c r="B308" s="4" t="s">
        <v>866</v>
      </c>
      <c r="C308" s="4">
        <v>5</v>
      </c>
      <c r="D308" s="4" t="s">
        <v>1760</v>
      </c>
      <c r="E308" s="4">
        <v>6</v>
      </c>
      <c r="F308" s="4" t="str">
        <f ca="1">Master_List!$AW$1</f>
        <v>PERPUSTAKAAN PUSAT</v>
      </c>
      <c r="G308" s="4" t="str">
        <f ca="1">Master_List!$AW$2</f>
        <v>09:30 PM</v>
      </c>
      <c r="H308" s="4" t="str">
        <f ca="1">Master_List!$AW$3</f>
        <v>20/07/2026</v>
      </c>
      <c r="I308" s="4" t="str">
        <f ca="1">Master_List!$AW$4</f>
        <v>28.5</v>
      </c>
      <c r="J308" s="4" t="str">
        <f ca="1">Master_List!$AW$5</f>
        <v>65</v>
      </c>
      <c r="K308" s="4" t="s">
        <v>585</v>
      </c>
      <c r="BL308" s="4" t="s">
        <v>1744</v>
      </c>
      <c r="BM308" s="4" t="s">
        <v>1904</v>
      </c>
      <c r="BN308" s="4" t="s">
        <v>1746</v>
      </c>
      <c r="BO308" s="4" t="str">
        <f t="shared" si="4"/>
        <v>C:\Users\aremi\Desktop\REPORT CBM\PO TIANU JB\03. Raw Material\40. 10052026 SSU MEDINI SIGNATURE 33KV (VI)\IR</v>
      </c>
      <c r="BP308" t="s">
        <v>877</v>
      </c>
    </row>
    <row r="309" spans="1:68" thickBot="1" x14ac:dyDescent="0.3">
      <c r="A309" s="4">
        <v>154</v>
      </c>
      <c r="B309" s="4" t="s">
        <v>866</v>
      </c>
      <c r="C309" s="4">
        <v>5</v>
      </c>
      <c r="D309" s="4" t="s">
        <v>1760</v>
      </c>
      <c r="E309" s="4">
        <v>6</v>
      </c>
      <c r="F309" s="4" t="str">
        <f ca="1">Master_List!$AW$1</f>
        <v>PERPUSTAKAAN PUSAT</v>
      </c>
      <c r="G309" s="4" t="str">
        <f ca="1">Master_List!$AW$2</f>
        <v>09:30 PM</v>
      </c>
      <c r="H309" s="4" t="str">
        <f ca="1">Master_List!$AW$3</f>
        <v>20/07/2026</v>
      </c>
      <c r="I309" s="4" t="str">
        <f ca="1">Master_List!$AW$4</f>
        <v>28.5</v>
      </c>
      <c r="J309" s="4" t="str">
        <f ca="1">Master_List!$AW$5</f>
        <v>65</v>
      </c>
      <c r="K309" s="4" t="s">
        <v>585</v>
      </c>
      <c r="BL309" s="4" t="s">
        <v>1744</v>
      </c>
      <c r="BM309" s="4" t="s">
        <v>1904</v>
      </c>
      <c r="BN309" s="4" t="s">
        <v>1748</v>
      </c>
      <c r="BO309" s="4" t="str">
        <f t="shared" si="4"/>
        <v>C:\Users\aremi\Desktop\REPORT CBM\PO TIANU JB\03. Raw Material\40. 10052026 SSU MEDINI SIGNATURE 33KV (VI)\IR</v>
      </c>
      <c r="BP309" t="s">
        <v>878</v>
      </c>
    </row>
    <row r="310" spans="1:68" thickBot="1" x14ac:dyDescent="0.3">
      <c r="A310" s="4">
        <v>155</v>
      </c>
      <c r="B310" s="4" t="s">
        <v>866</v>
      </c>
      <c r="C310" s="4">
        <v>5</v>
      </c>
      <c r="D310" s="4" t="s">
        <v>1767</v>
      </c>
      <c r="E310" s="4">
        <v>7</v>
      </c>
      <c r="F310" s="4" t="str">
        <f ca="1">Master_List!$AW$1</f>
        <v>PERPUSTAKAAN PUSAT</v>
      </c>
      <c r="G310" s="4" t="str">
        <f ca="1">Master_List!$AW$2</f>
        <v>09:30 PM</v>
      </c>
      <c r="H310" s="4" t="str">
        <f ca="1">Master_List!$AW$3</f>
        <v>20/07/2026</v>
      </c>
      <c r="I310" s="4" t="str">
        <f ca="1">Master_List!$AW$4</f>
        <v>28.5</v>
      </c>
      <c r="J310" s="4" t="str">
        <f ca="1">Master_List!$AW$5</f>
        <v>65</v>
      </c>
      <c r="K310" s="4" t="s">
        <v>588</v>
      </c>
      <c r="BL310" s="4" t="s">
        <v>1744</v>
      </c>
      <c r="BM310" s="4" t="s">
        <v>1905</v>
      </c>
      <c r="BN310" s="4" t="s">
        <v>1746</v>
      </c>
      <c r="BO310" s="4" t="str">
        <f t="shared" si="4"/>
        <v>C:\Users\aremi\Desktop\REPORT CBM\PO TIANU JB\03. Raw Material\40. 10052026 SSU MEDINI SIGNATURE 33KV (VI)\IR</v>
      </c>
      <c r="BP310" t="s">
        <v>879</v>
      </c>
    </row>
    <row r="311" spans="1:68" thickBot="1" x14ac:dyDescent="0.3">
      <c r="A311" s="4">
        <v>155</v>
      </c>
      <c r="B311" s="4" t="s">
        <v>866</v>
      </c>
      <c r="C311" s="4">
        <v>5</v>
      </c>
      <c r="D311" s="4" t="s">
        <v>1767</v>
      </c>
      <c r="E311" s="4">
        <v>7</v>
      </c>
      <c r="F311" s="4" t="str">
        <f ca="1">Master_List!$AW$1</f>
        <v>PERPUSTAKAAN PUSAT</v>
      </c>
      <c r="G311" s="4" t="str">
        <f ca="1">Master_List!$AW$2</f>
        <v>09:30 PM</v>
      </c>
      <c r="H311" s="4" t="str">
        <f ca="1">Master_List!$AW$3</f>
        <v>20/07/2026</v>
      </c>
      <c r="I311" s="4" t="str">
        <f ca="1">Master_List!$AW$4</f>
        <v>28.5</v>
      </c>
      <c r="J311" s="4" t="str">
        <f ca="1">Master_List!$AW$5</f>
        <v>65</v>
      </c>
      <c r="K311" s="4" t="s">
        <v>588</v>
      </c>
      <c r="BL311" s="4" t="s">
        <v>1744</v>
      </c>
      <c r="BM311" s="4" t="s">
        <v>1905</v>
      </c>
      <c r="BN311" s="4" t="s">
        <v>1748</v>
      </c>
      <c r="BO311" s="4" t="str">
        <f t="shared" si="4"/>
        <v>C:\Users\aremi\Desktop\REPORT CBM\PO TIANU JB\03. Raw Material\40. 10052026 SSU MEDINI SIGNATURE 33KV (VI)\IR</v>
      </c>
      <c r="BP311" t="s">
        <v>880</v>
      </c>
    </row>
    <row r="312" spans="1:68" thickBot="1" x14ac:dyDescent="0.3">
      <c r="A312" s="4">
        <v>156</v>
      </c>
      <c r="B312" s="4" t="s">
        <v>866</v>
      </c>
      <c r="C312" s="4">
        <v>5</v>
      </c>
      <c r="D312" s="4" t="s">
        <v>1769</v>
      </c>
      <c r="E312" s="4">
        <v>8</v>
      </c>
      <c r="F312" s="4" t="str">
        <f ca="1">Master_List!$AW$1</f>
        <v>PERPUSTAKAAN PUSAT</v>
      </c>
      <c r="G312" s="4" t="str">
        <f ca="1">Master_List!$AW$2</f>
        <v>09:30 PM</v>
      </c>
      <c r="H312" s="4" t="str">
        <f ca="1">Master_List!$AW$3</f>
        <v>20/07/2026</v>
      </c>
      <c r="I312" s="4" t="str">
        <f ca="1">Master_List!$AW$4</f>
        <v>28.5</v>
      </c>
      <c r="J312" s="4" t="str">
        <f ca="1">Master_List!$AW$5</f>
        <v>65</v>
      </c>
      <c r="K312" s="4" t="s">
        <v>591</v>
      </c>
      <c r="BL312" s="4" t="s">
        <v>1744</v>
      </c>
      <c r="BM312" s="4" t="s">
        <v>1906</v>
      </c>
      <c r="BN312" s="4" t="s">
        <v>1746</v>
      </c>
      <c r="BO312" s="4" t="str">
        <f t="shared" si="4"/>
        <v>C:\Users\aremi\Desktop\REPORT CBM\PO TIANU JB\03. Raw Material\40. 10052026 SSU MEDINI SIGNATURE 33KV (VI)\IR</v>
      </c>
      <c r="BP312" t="s">
        <v>881</v>
      </c>
    </row>
    <row r="313" spans="1:68" thickBot="1" x14ac:dyDescent="0.3">
      <c r="A313" s="4">
        <v>156</v>
      </c>
      <c r="B313" s="4" t="s">
        <v>866</v>
      </c>
      <c r="C313" s="4">
        <v>5</v>
      </c>
      <c r="D313" s="4" t="s">
        <v>1769</v>
      </c>
      <c r="E313" s="4">
        <v>8</v>
      </c>
      <c r="F313" s="4" t="str">
        <f ca="1">Master_List!$AW$1</f>
        <v>PERPUSTAKAAN PUSAT</v>
      </c>
      <c r="G313" s="4" t="str">
        <f ca="1">Master_List!$AW$2</f>
        <v>09:30 PM</v>
      </c>
      <c r="H313" s="4" t="str">
        <f ca="1">Master_List!$AW$3</f>
        <v>20/07/2026</v>
      </c>
      <c r="I313" s="4" t="str">
        <f ca="1">Master_List!$AW$4</f>
        <v>28.5</v>
      </c>
      <c r="J313" s="4" t="str">
        <f ca="1">Master_List!$AW$5</f>
        <v>65</v>
      </c>
      <c r="K313" s="4" t="s">
        <v>591</v>
      </c>
      <c r="BL313" s="4" t="s">
        <v>1744</v>
      </c>
      <c r="BM313" s="4" t="s">
        <v>1906</v>
      </c>
      <c r="BN313" s="4" t="s">
        <v>1748</v>
      </c>
      <c r="BO313" s="4" t="str">
        <f t="shared" si="4"/>
        <v>C:\Users\aremi\Desktop\REPORT CBM\PO TIANU JB\03. Raw Material\40. 10052026 SSU MEDINI SIGNATURE 33KV (VI)\IR</v>
      </c>
      <c r="BP313" t="s">
        <v>882</v>
      </c>
    </row>
    <row r="314" spans="1:68" thickBot="1" x14ac:dyDescent="0.3">
      <c r="A314" s="4">
        <v>157</v>
      </c>
      <c r="B314" s="4" t="s">
        <v>883</v>
      </c>
      <c r="C314" s="4">
        <v>5</v>
      </c>
      <c r="D314" s="4" t="s">
        <v>1760</v>
      </c>
      <c r="E314" s="4">
        <v>1</v>
      </c>
      <c r="F314" s="4" t="str">
        <f ca="1">Master_List!$AW$1</f>
        <v>PERPUSTAKAAN PUSAT</v>
      </c>
      <c r="G314" s="4" t="str">
        <f ca="1">Master_List!$AW$2</f>
        <v>09:30 PM</v>
      </c>
      <c r="H314" s="4" t="str">
        <f ca="1">Master_List!$AW$3</f>
        <v>20/07/2026</v>
      </c>
      <c r="I314" s="4" t="str">
        <f ca="1">Master_List!$AW$4</f>
        <v>28.5</v>
      </c>
      <c r="J314" s="4" t="str">
        <f ca="1">Master_List!$AW$5</f>
        <v>65</v>
      </c>
      <c r="K314" s="4" t="s">
        <v>570</v>
      </c>
      <c r="BL314" s="4" t="s">
        <v>1744</v>
      </c>
      <c r="BM314" s="4" t="s">
        <v>1907</v>
      </c>
      <c r="BN314" s="4" t="s">
        <v>1746</v>
      </c>
      <c r="BO314" s="4" t="str">
        <f t="shared" si="4"/>
        <v>C:\Users\aremi\Desktop\REPORT CBM\PO TIANU JB\03. Raw Material\40. 10052026 SSU MEDINI SIGNATURE 33KV (VI)\IR</v>
      </c>
      <c r="BP314" t="s">
        <v>884</v>
      </c>
    </row>
    <row r="315" spans="1:68" thickBot="1" x14ac:dyDescent="0.3">
      <c r="A315" s="4">
        <v>157</v>
      </c>
      <c r="B315" s="4" t="s">
        <v>883</v>
      </c>
      <c r="C315" s="4">
        <v>5</v>
      </c>
      <c r="D315" s="4" t="s">
        <v>1760</v>
      </c>
      <c r="E315" s="4">
        <v>1</v>
      </c>
      <c r="F315" s="4" t="str">
        <f ca="1">Master_List!$AW$1</f>
        <v>PERPUSTAKAAN PUSAT</v>
      </c>
      <c r="G315" s="4" t="str">
        <f ca="1">Master_List!$AW$2</f>
        <v>09:30 PM</v>
      </c>
      <c r="H315" s="4" t="str">
        <f ca="1">Master_List!$AW$3</f>
        <v>20/07/2026</v>
      </c>
      <c r="I315" s="4" t="str">
        <f ca="1">Master_List!$AW$4</f>
        <v>28.5</v>
      </c>
      <c r="J315" s="4" t="str">
        <f ca="1">Master_List!$AW$5</f>
        <v>65</v>
      </c>
      <c r="K315" s="4" t="s">
        <v>570</v>
      </c>
      <c r="BL315" s="4" t="s">
        <v>1744</v>
      </c>
      <c r="BM315" s="4" t="s">
        <v>1907</v>
      </c>
      <c r="BN315" s="4" t="s">
        <v>1748</v>
      </c>
      <c r="BO315" s="4" t="str">
        <f t="shared" si="4"/>
        <v>C:\Users\aremi\Desktop\REPORT CBM\PO TIANU JB\03. Raw Material\40. 10052026 SSU MEDINI SIGNATURE 33KV (VI)\IR</v>
      </c>
      <c r="BP315" t="s">
        <v>885</v>
      </c>
    </row>
    <row r="316" spans="1:68" thickBot="1" x14ac:dyDescent="0.3">
      <c r="A316" s="4">
        <v>158</v>
      </c>
      <c r="B316" s="4" t="s">
        <v>883</v>
      </c>
      <c r="C316" s="4">
        <v>5</v>
      </c>
      <c r="D316" s="4" t="s">
        <v>1760</v>
      </c>
      <c r="E316" s="4">
        <v>2</v>
      </c>
      <c r="F316" s="4" t="str">
        <f ca="1">Master_List!$AW$1</f>
        <v>PERPUSTAKAAN PUSAT</v>
      </c>
      <c r="G316" s="4" t="str">
        <f ca="1">Master_List!$AW$2</f>
        <v>09:30 PM</v>
      </c>
      <c r="H316" s="4" t="str">
        <f ca="1">Master_List!$AW$3</f>
        <v>20/07/2026</v>
      </c>
      <c r="I316" s="4" t="str">
        <f ca="1">Master_List!$AW$4</f>
        <v>28.5</v>
      </c>
      <c r="J316" s="4" t="str">
        <f ca="1">Master_List!$AW$5</f>
        <v>65</v>
      </c>
      <c r="K316" s="4" t="s">
        <v>573</v>
      </c>
      <c r="BL316" s="4" t="s">
        <v>1744</v>
      </c>
      <c r="BM316" s="4" t="s">
        <v>1908</v>
      </c>
      <c r="BN316" s="4" t="s">
        <v>1746</v>
      </c>
      <c r="BO316" s="4" t="str">
        <f t="shared" si="4"/>
        <v>C:\Users\aremi\Desktop\REPORT CBM\PO TIANU JB\03. Raw Material\40. 10052026 SSU MEDINI SIGNATURE 33KV (VI)\IR</v>
      </c>
      <c r="BP316" t="s">
        <v>886</v>
      </c>
    </row>
    <row r="317" spans="1:68" thickBot="1" x14ac:dyDescent="0.3">
      <c r="A317" s="4">
        <v>158</v>
      </c>
      <c r="B317" s="4" t="s">
        <v>883</v>
      </c>
      <c r="C317" s="4">
        <v>5</v>
      </c>
      <c r="D317" s="4" t="s">
        <v>1760</v>
      </c>
      <c r="E317" s="4">
        <v>2</v>
      </c>
      <c r="F317" s="4" t="str">
        <f ca="1">Master_List!$AW$1</f>
        <v>PERPUSTAKAAN PUSAT</v>
      </c>
      <c r="G317" s="4" t="str">
        <f ca="1">Master_List!$AW$2</f>
        <v>09:30 PM</v>
      </c>
      <c r="H317" s="4" t="str">
        <f ca="1">Master_List!$AW$3</f>
        <v>20/07/2026</v>
      </c>
      <c r="I317" s="4" t="str">
        <f ca="1">Master_List!$AW$4</f>
        <v>28.5</v>
      </c>
      <c r="J317" s="4" t="str">
        <f ca="1">Master_List!$AW$5</f>
        <v>65</v>
      </c>
      <c r="K317" s="4" t="s">
        <v>573</v>
      </c>
      <c r="BL317" s="4" t="s">
        <v>1744</v>
      </c>
      <c r="BM317" s="4" t="s">
        <v>1908</v>
      </c>
      <c r="BN317" s="4" t="s">
        <v>1748</v>
      </c>
      <c r="BO317" s="4" t="str">
        <f t="shared" si="4"/>
        <v>C:\Users\aremi\Desktop\REPORT CBM\PO TIANU JB\03. Raw Material\40. 10052026 SSU MEDINI SIGNATURE 33KV (VI)\IR</v>
      </c>
      <c r="BP317" t="s">
        <v>887</v>
      </c>
    </row>
    <row r="318" spans="1:68" thickBot="1" x14ac:dyDescent="0.3">
      <c r="A318" s="4">
        <v>159</v>
      </c>
      <c r="B318" s="4" t="s">
        <v>883</v>
      </c>
      <c r="C318" s="4">
        <v>5</v>
      </c>
      <c r="D318" s="4" t="s">
        <v>1760</v>
      </c>
      <c r="E318" s="4">
        <v>3</v>
      </c>
      <c r="F318" s="4" t="str">
        <f ca="1">Master_List!$AW$1</f>
        <v>PERPUSTAKAAN PUSAT</v>
      </c>
      <c r="G318" s="4" t="str">
        <f ca="1">Master_List!$AW$2</f>
        <v>09:30 PM</v>
      </c>
      <c r="H318" s="4" t="str">
        <f ca="1">Master_List!$AW$3</f>
        <v>20/07/2026</v>
      </c>
      <c r="I318" s="4" t="str">
        <f ca="1">Master_List!$AW$4</f>
        <v>28.5</v>
      </c>
      <c r="J318" s="4" t="str">
        <f ca="1">Master_List!$AW$5</f>
        <v>65</v>
      </c>
      <c r="K318" s="4" t="s">
        <v>576</v>
      </c>
      <c r="BL318" s="4" t="s">
        <v>1744</v>
      </c>
      <c r="BM318" s="4" t="s">
        <v>1909</v>
      </c>
      <c r="BN318" s="4" t="s">
        <v>1746</v>
      </c>
      <c r="BO318" s="4" t="str">
        <f t="shared" si="4"/>
        <v>C:\Users\aremi\Desktop\REPORT CBM\PO TIANU JB\03. Raw Material\40. 10052026 SSU MEDINI SIGNATURE 33KV (VI)\IR</v>
      </c>
      <c r="BP318" t="s">
        <v>888</v>
      </c>
    </row>
    <row r="319" spans="1:68" thickBot="1" x14ac:dyDescent="0.3">
      <c r="A319" s="4">
        <v>159</v>
      </c>
      <c r="B319" s="4" t="s">
        <v>883</v>
      </c>
      <c r="C319" s="4">
        <v>5</v>
      </c>
      <c r="D319" s="4" t="s">
        <v>1760</v>
      </c>
      <c r="E319" s="4">
        <v>3</v>
      </c>
      <c r="F319" s="4" t="str">
        <f ca="1">Master_List!$AW$1</f>
        <v>PERPUSTAKAAN PUSAT</v>
      </c>
      <c r="G319" s="4" t="str">
        <f ca="1">Master_List!$AW$2</f>
        <v>09:30 PM</v>
      </c>
      <c r="H319" s="4" t="str">
        <f ca="1">Master_List!$AW$3</f>
        <v>20/07/2026</v>
      </c>
      <c r="I319" s="4" t="str">
        <f ca="1">Master_List!$AW$4</f>
        <v>28.5</v>
      </c>
      <c r="J319" s="4" t="str">
        <f ca="1">Master_List!$AW$5</f>
        <v>65</v>
      </c>
      <c r="K319" s="4" t="s">
        <v>576</v>
      </c>
      <c r="BL319" s="4" t="s">
        <v>1744</v>
      </c>
      <c r="BM319" s="4" t="s">
        <v>1909</v>
      </c>
      <c r="BN319" s="4" t="s">
        <v>1748</v>
      </c>
      <c r="BO319" s="4" t="str">
        <f t="shared" si="4"/>
        <v>C:\Users\aremi\Desktop\REPORT CBM\PO TIANU JB\03. Raw Material\40. 10052026 SSU MEDINI SIGNATURE 33KV (VI)\IR</v>
      </c>
      <c r="BP319" t="s">
        <v>889</v>
      </c>
    </row>
    <row r="320" spans="1:68" thickBot="1" x14ac:dyDescent="0.3">
      <c r="A320" s="4">
        <v>160</v>
      </c>
      <c r="B320" s="4" t="s">
        <v>883</v>
      </c>
      <c r="C320" s="4">
        <v>5</v>
      </c>
      <c r="D320" s="4" t="s">
        <v>1760</v>
      </c>
      <c r="E320" s="4">
        <v>4</v>
      </c>
      <c r="F320" s="4" t="str">
        <f ca="1">Master_List!$AW$1</f>
        <v>PERPUSTAKAAN PUSAT</v>
      </c>
      <c r="G320" s="4" t="str">
        <f ca="1">Master_List!$AW$2</f>
        <v>09:30 PM</v>
      </c>
      <c r="H320" s="4" t="str">
        <f ca="1">Master_List!$AW$3</f>
        <v>20/07/2026</v>
      </c>
      <c r="I320" s="4" t="str">
        <f ca="1">Master_List!$AW$4</f>
        <v>28.5</v>
      </c>
      <c r="J320" s="4" t="str">
        <f ca="1">Master_List!$AW$5</f>
        <v>65</v>
      </c>
      <c r="K320" s="4" t="s">
        <v>579</v>
      </c>
      <c r="BL320" s="4" t="s">
        <v>1744</v>
      </c>
      <c r="BM320" s="4" t="s">
        <v>1910</v>
      </c>
      <c r="BN320" s="4" t="s">
        <v>1746</v>
      </c>
      <c r="BO320" s="4" t="str">
        <f t="shared" si="4"/>
        <v>C:\Users\aremi\Desktop\REPORT CBM\PO TIANU JB\03. Raw Material\40. 10052026 SSU MEDINI SIGNATURE 33KV (VI)\IR</v>
      </c>
      <c r="BP320" t="s">
        <v>890</v>
      </c>
    </row>
    <row r="321" spans="1:68" thickBot="1" x14ac:dyDescent="0.3">
      <c r="A321" s="4">
        <v>160</v>
      </c>
      <c r="B321" s="4" t="s">
        <v>883</v>
      </c>
      <c r="C321" s="4">
        <v>5</v>
      </c>
      <c r="D321" s="4" t="s">
        <v>1760</v>
      </c>
      <c r="E321" s="4">
        <v>4</v>
      </c>
      <c r="F321" s="4" t="str">
        <f ca="1">Master_List!$AW$1</f>
        <v>PERPUSTAKAAN PUSAT</v>
      </c>
      <c r="G321" s="4" t="str">
        <f ca="1">Master_List!$AW$2</f>
        <v>09:30 PM</v>
      </c>
      <c r="H321" s="4" t="str">
        <f ca="1">Master_List!$AW$3</f>
        <v>20/07/2026</v>
      </c>
      <c r="I321" s="4" t="str">
        <f ca="1">Master_List!$AW$4</f>
        <v>28.5</v>
      </c>
      <c r="J321" s="4" t="str">
        <f ca="1">Master_List!$AW$5</f>
        <v>65</v>
      </c>
      <c r="K321" s="4" t="s">
        <v>579</v>
      </c>
      <c r="BL321" s="4" t="s">
        <v>1744</v>
      </c>
      <c r="BM321" s="4" t="s">
        <v>1910</v>
      </c>
      <c r="BN321" s="4" t="s">
        <v>1748</v>
      </c>
      <c r="BO321" s="4" t="str">
        <f t="shared" si="4"/>
        <v>C:\Users\aremi\Desktop\REPORT CBM\PO TIANU JB\03. Raw Material\40. 10052026 SSU MEDINI SIGNATURE 33KV (VI)\IR</v>
      </c>
      <c r="BP321" t="s">
        <v>891</v>
      </c>
    </row>
    <row r="322" spans="1:68" thickBot="1" x14ac:dyDescent="0.3">
      <c r="A322" s="4">
        <v>161</v>
      </c>
      <c r="B322" s="4" t="s">
        <v>883</v>
      </c>
      <c r="C322" s="4">
        <v>5</v>
      </c>
      <c r="D322" s="4" t="s">
        <v>1760</v>
      </c>
      <c r="E322" s="4">
        <v>5</v>
      </c>
      <c r="F322" s="4" t="str">
        <f ca="1">Master_List!$AW$1</f>
        <v>PERPUSTAKAAN PUSAT</v>
      </c>
      <c r="G322" s="4" t="str">
        <f ca="1">Master_List!$AW$2</f>
        <v>09:30 PM</v>
      </c>
      <c r="H322" s="4" t="str">
        <f ca="1">Master_List!$AW$3</f>
        <v>20/07/2026</v>
      </c>
      <c r="I322" s="4" t="str">
        <f ca="1">Master_List!$AW$4</f>
        <v>28.5</v>
      </c>
      <c r="J322" s="4" t="str">
        <f ca="1">Master_List!$AW$5</f>
        <v>65</v>
      </c>
      <c r="K322" s="4" t="s">
        <v>582</v>
      </c>
      <c r="BL322" s="4" t="s">
        <v>1744</v>
      </c>
      <c r="BM322" s="4" t="s">
        <v>1911</v>
      </c>
      <c r="BN322" s="4" t="s">
        <v>1746</v>
      </c>
      <c r="BO322" s="4" t="str">
        <f t="shared" si="4"/>
        <v>C:\Users\aremi\Desktop\REPORT CBM\PO TIANU JB\03. Raw Material\40. 10052026 SSU MEDINI SIGNATURE 33KV (VI)\IR</v>
      </c>
      <c r="BP322" t="s">
        <v>892</v>
      </c>
    </row>
    <row r="323" spans="1:68" thickBot="1" x14ac:dyDescent="0.3">
      <c r="A323" s="4">
        <v>161</v>
      </c>
      <c r="B323" s="4" t="s">
        <v>883</v>
      </c>
      <c r="C323" s="4">
        <v>5</v>
      </c>
      <c r="D323" s="4" t="s">
        <v>1760</v>
      </c>
      <c r="E323" s="4">
        <v>5</v>
      </c>
      <c r="F323" s="4" t="str">
        <f ca="1">Master_List!$AW$1</f>
        <v>PERPUSTAKAAN PUSAT</v>
      </c>
      <c r="G323" s="4" t="str">
        <f ca="1">Master_List!$AW$2</f>
        <v>09:30 PM</v>
      </c>
      <c r="H323" s="4" t="str">
        <f ca="1">Master_List!$AW$3</f>
        <v>20/07/2026</v>
      </c>
      <c r="I323" s="4" t="str">
        <f ca="1">Master_List!$AW$4</f>
        <v>28.5</v>
      </c>
      <c r="J323" s="4" t="str">
        <f ca="1">Master_List!$AW$5</f>
        <v>65</v>
      </c>
      <c r="K323" s="4" t="s">
        <v>582</v>
      </c>
      <c r="BL323" s="4" t="s">
        <v>1744</v>
      </c>
      <c r="BM323" s="4" t="s">
        <v>1911</v>
      </c>
      <c r="BN323" s="4" t="s">
        <v>1748</v>
      </c>
      <c r="BO323" s="4" t="str">
        <f t="shared" ref="BO323:BO386" si="5">BO322</f>
        <v>C:\Users\aremi\Desktop\REPORT CBM\PO TIANU JB\03. Raw Material\40. 10052026 SSU MEDINI SIGNATURE 33KV (VI)\IR</v>
      </c>
      <c r="BP323" t="s">
        <v>893</v>
      </c>
    </row>
    <row r="324" spans="1:68" thickBot="1" x14ac:dyDescent="0.3">
      <c r="A324" s="4">
        <v>162</v>
      </c>
      <c r="B324" s="4" t="s">
        <v>883</v>
      </c>
      <c r="C324" s="4">
        <v>5</v>
      </c>
      <c r="D324" s="4" t="s">
        <v>1760</v>
      </c>
      <c r="E324" s="4">
        <v>6</v>
      </c>
      <c r="F324" s="4" t="str">
        <f ca="1">Master_List!$AW$1</f>
        <v>PERPUSTAKAAN PUSAT</v>
      </c>
      <c r="G324" s="4" t="str">
        <f ca="1">Master_List!$AW$2</f>
        <v>09:30 PM</v>
      </c>
      <c r="H324" s="4" t="str">
        <f ca="1">Master_List!$AW$3</f>
        <v>20/07/2026</v>
      </c>
      <c r="I324" s="4" t="str">
        <f ca="1">Master_List!$AW$4</f>
        <v>28.5</v>
      </c>
      <c r="J324" s="4" t="str">
        <f ca="1">Master_List!$AW$5</f>
        <v>65</v>
      </c>
      <c r="K324" s="4" t="s">
        <v>585</v>
      </c>
      <c r="BL324" s="4" t="s">
        <v>1744</v>
      </c>
      <c r="BM324" s="4" t="s">
        <v>1912</v>
      </c>
      <c r="BN324" s="4" t="s">
        <v>1746</v>
      </c>
      <c r="BO324" s="4" t="str">
        <f t="shared" si="5"/>
        <v>C:\Users\aremi\Desktop\REPORT CBM\PO TIANU JB\03. Raw Material\40. 10052026 SSU MEDINI SIGNATURE 33KV (VI)\IR</v>
      </c>
      <c r="BP324" t="s">
        <v>894</v>
      </c>
    </row>
    <row r="325" spans="1:68" thickBot="1" x14ac:dyDescent="0.3">
      <c r="A325" s="4">
        <v>162</v>
      </c>
      <c r="B325" s="4" t="s">
        <v>883</v>
      </c>
      <c r="C325" s="4">
        <v>5</v>
      </c>
      <c r="D325" s="4" t="s">
        <v>1760</v>
      </c>
      <c r="E325" s="4">
        <v>6</v>
      </c>
      <c r="F325" s="4" t="str">
        <f ca="1">Master_List!$AW$1</f>
        <v>PERPUSTAKAAN PUSAT</v>
      </c>
      <c r="G325" s="4" t="str">
        <f ca="1">Master_List!$AW$2</f>
        <v>09:30 PM</v>
      </c>
      <c r="H325" s="4" t="str">
        <f ca="1">Master_List!$AW$3</f>
        <v>20/07/2026</v>
      </c>
      <c r="I325" s="4" t="str">
        <f ca="1">Master_List!$AW$4</f>
        <v>28.5</v>
      </c>
      <c r="J325" s="4" t="str">
        <f ca="1">Master_List!$AW$5</f>
        <v>65</v>
      </c>
      <c r="K325" s="4" t="s">
        <v>585</v>
      </c>
      <c r="BL325" s="4" t="s">
        <v>1744</v>
      </c>
      <c r="BM325" s="4" t="s">
        <v>1912</v>
      </c>
      <c r="BN325" s="4" t="s">
        <v>1748</v>
      </c>
      <c r="BO325" s="4" t="str">
        <f t="shared" si="5"/>
        <v>C:\Users\aremi\Desktop\REPORT CBM\PO TIANU JB\03. Raw Material\40. 10052026 SSU MEDINI SIGNATURE 33KV (VI)\IR</v>
      </c>
      <c r="BP325" t="s">
        <v>895</v>
      </c>
    </row>
    <row r="326" spans="1:68" thickBot="1" x14ac:dyDescent="0.3">
      <c r="A326" s="4">
        <v>163</v>
      </c>
      <c r="B326" s="4" t="s">
        <v>883</v>
      </c>
      <c r="C326" s="4">
        <v>5</v>
      </c>
      <c r="D326" s="4" t="s">
        <v>1767</v>
      </c>
      <c r="E326" s="4">
        <v>7</v>
      </c>
      <c r="F326" s="4" t="str">
        <f ca="1">Master_List!$AW$1</f>
        <v>PERPUSTAKAAN PUSAT</v>
      </c>
      <c r="G326" s="4" t="str">
        <f ca="1">Master_List!$AW$2</f>
        <v>09:30 PM</v>
      </c>
      <c r="H326" s="4" t="str">
        <f ca="1">Master_List!$AW$3</f>
        <v>20/07/2026</v>
      </c>
      <c r="I326" s="4" t="str">
        <f ca="1">Master_List!$AW$4</f>
        <v>28.5</v>
      </c>
      <c r="J326" s="4" t="str">
        <f ca="1">Master_List!$AW$5</f>
        <v>65</v>
      </c>
      <c r="K326" s="4" t="s">
        <v>588</v>
      </c>
      <c r="BL326" s="4" t="s">
        <v>1744</v>
      </c>
      <c r="BM326" s="4" t="s">
        <v>1913</v>
      </c>
      <c r="BN326" s="4" t="s">
        <v>1746</v>
      </c>
      <c r="BO326" s="4" t="str">
        <f t="shared" si="5"/>
        <v>C:\Users\aremi\Desktop\REPORT CBM\PO TIANU JB\03. Raw Material\40. 10052026 SSU MEDINI SIGNATURE 33KV (VI)\IR</v>
      </c>
      <c r="BP326" t="s">
        <v>896</v>
      </c>
    </row>
    <row r="327" spans="1:68" thickBot="1" x14ac:dyDescent="0.3">
      <c r="A327" s="4">
        <v>163</v>
      </c>
      <c r="B327" s="4" t="s">
        <v>883</v>
      </c>
      <c r="C327" s="4">
        <v>5</v>
      </c>
      <c r="D327" s="4" t="s">
        <v>1767</v>
      </c>
      <c r="E327" s="4">
        <v>7</v>
      </c>
      <c r="F327" s="4" t="str">
        <f ca="1">Master_List!$AW$1</f>
        <v>PERPUSTAKAAN PUSAT</v>
      </c>
      <c r="G327" s="4" t="str">
        <f ca="1">Master_List!$AW$2</f>
        <v>09:30 PM</v>
      </c>
      <c r="H327" s="4" t="str">
        <f ca="1">Master_List!$AW$3</f>
        <v>20/07/2026</v>
      </c>
      <c r="I327" s="4" t="str">
        <f ca="1">Master_List!$AW$4</f>
        <v>28.5</v>
      </c>
      <c r="J327" s="4" t="str">
        <f ca="1">Master_List!$AW$5</f>
        <v>65</v>
      </c>
      <c r="K327" s="4" t="s">
        <v>588</v>
      </c>
      <c r="BL327" s="4" t="s">
        <v>1744</v>
      </c>
      <c r="BM327" s="4" t="s">
        <v>1913</v>
      </c>
      <c r="BN327" s="4" t="s">
        <v>1748</v>
      </c>
      <c r="BO327" s="4" t="str">
        <f t="shared" si="5"/>
        <v>C:\Users\aremi\Desktop\REPORT CBM\PO TIANU JB\03. Raw Material\40. 10052026 SSU MEDINI SIGNATURE 33KV (VI)\IR</v>
      </c>
      <c r="BP327" t="s">
        <v>897</v>
      </c>
    </row>
    <row r="328" spans="1:68" thickBot="1" x14ac:dyDescent="0.3">
      <c r="A328" s="4">
        <v>164</v>
      </c>
      <c r="B328" s="4" t="s">
        <v>883</v>
      </c>
      <c r="C328" s="4">
        <v>5</v>
      </c>
      <c r="D328" s="4" t="s">
        <v>1769</v>
      </c>
      <c r="E328" s="4">
        <v>8</v>
      </c>
      <c r="F328" s="4" t="str">
        <f ca="1">Master_List!$AW$1</f>
        <v>PERPUSTAKAAN PUSAT</v>
      </c>
      <c r="G328" s="4" t="str">
        <f ca="1">Master_List!$AW$2</f>
        <v>09:30 PM</v>
      </c>
      <c r="H328" s="4" t="str">
        <f ca="1">Master_List!$AW$3</f>
        <v>20/07/2026</v>
      </c>
      <c r="I328" s="4" t="str">
        <f ca="1">Master_List!$AW$4</f>
        <v>28.5</v>
      </c>
      <c r="J328" s="4" t="str">
        <f ca="1">Master_List!$AW$5</f>
        <v>65</v>
      </c>
      <c r="K328" s="4" t="s">
        <v>591</v>
      </c>
      <c r="BL328" s="4" t="s">
        <v>1744</v>
      </c>
      <c r="BM328" s="4" t="s">
        <v>1914</v>
      </c>
      <c r="BN328" s="4" t="s">
        <v>1746</v>
      </c>
      <c r="BO328" s="4" t="str">
        <f t="shared" si="5"/>
        <v>C:\Users\aremi\Desktop\REPORT CBM\PO TIANU JB\03. Raw Material\40. 10052026 SSU MEDINI SIGNATURE 33KV (VI)\IR</v>
      </c>
      <c r="BP328" t="s">
        <v>898</v>
      </c>
    </row>
    <row r="329" spans="1:68" thickBot="1" x14ac:dyDescent="0.3">
      <c r="A329" s="4">
        <v>164</v>
      </c>
      <c r="B329" s="4" t="s">
        <v>883</v>
      </c>
      <c r="C329" s="4">
        <v>5</v>
      </c>
      <c r="D329" s="4" t="s">
        <v>1769</v>
      </c>
      <c r="E329" s="4">
        <v>8</v>
      </c>
      <c r="F329" s="4" t="str">
        <f ca="1">Master_List!$AW$1</f>
        <v>PERPUSTAKAAN PUSAT</v>
      </c>
      <c r="G329" s="4" t="str">
        <f ca="1">Master_List!$AW$2</f>
        <v>09:30 PM</v>
      </c>
      <c r="H329" s="4" t="str">
        <f ca="1">Master_List!$AW$3</f>
        <v>20/07/2026</v>
      </c>
      <c r="I329" s="4" t="str">
        <f ca="1">Master_List!$AW$4</f>
        <v>28.5</v>
      </c>
      <c r="J329" s="4" t="str">
        <f ca="1">Master_List!$AW$5</f>
        <v>65</v>
      </c>
      <c r="K329" s="4" t="s">
        <v>591</v>
      </c>
      <c r="BL329" s="4" t="s">
        <v>1744</v>
      </c>
      <c r="BM329" s="4" t="s">
        <v>1914</v>
      </c>
      <c r="BN329" s="4" t="s">
        <v>1748</v>
      </c>
      <c r="BO329" s="4" t="str">
        <f t="shared" si="5"/>
        <v>C:\Users\aremi\Desktop\REPORT CBM\PO TIANU JB\03. Raw Material\40. 10052026 SSU MEDINI SIGNATURE 33KV (VI)\IR</v>
      </c>
      <c r="BP329" t="s">
        <v>899</v>
      </c>
    </row>
    <row r="330" spans="1:68" thickBot="1" x14ac:dyDescent="0.3">
      <c r="A330" s="4">
        <v>165</v>
      </c>
      <c r="B330" s="4" t="s">
        <v>900</v>
      </c>
      <c r="C330" s="4">
        <v>5</v>
      </c>
      <c r="D330" s="4" t="s">
        <v>1760</v>
      </c>
      <c r="E330" s="4">
        <v>1</v>
      </c>
      <c r="F330" s="4" t="str">
        <f ca="1">Master_List!$AW$1</f>
        <v>PERPUSTAKAAN PUSAT</v>
      </c>
      <c r="G330" s="4" t="str">
        <f ca="1">Master_List!$AW$2</f>
        <v>09:30 PM</v>
      </c>
      <c r="H330" s="4" t="str">
        <f ca="1">Master_List!$AW$3</f>
        <v>20/07/2026</v>
      </c>
      <c r="I330" s="4" t="str">
        <f ca="1">Master_List!$AW$4</f>
        <v>28.5</v>
      </c>
      <c r="J330" s="4" t="str">
        <f ca="1">Master_List!$AW$5</f>
        <v>65</v>
      </c>
      <c r="K330" s="4" t="s">
        <v>570</v>
      </c>
      <c r="BL330" s="4" t="s">
        <v>1744</v>
      </c>
      <c r="BM330" s="4" t="s">
        <v>1915</v>
      </c>
      <c r="BN330" s="4" t="s">
        <v>1746</v>
      </c>
      <c r="BO330" s="4" t="str">
        <f t="shared" si="5"/>
        <v>C:\Users\aremi\Desktop\REPORT CBM\PO TIANU JB\03. Raw Material\40. 10052026 SSU MEDINI SIGNATURE 33KV (VI)\IR</v>
      </c>
      <c r="BP330" t="s">
        <v>901</v>
      </c>
    </row>
    <row r="331" spans="1:68" thickBot="1" x14ac:dyDescent="0.3">
      <c r="A331" s="4">
        <v>165</v>
      </c>
      <c r="B331" s="4" t="s">
        <v>900</v>
      </c>
      <c r="C331" s="4">
        <v>5</v>
      </c>
      <c r="D331" s="4" t="s">
        <v>1760</v>
      </c>
      <c r="E331" s="4">
        <v>1</v>
      </c>
      <c r="F331" s="4" t="str">
        <f ca="1">Master_List!$AW$1</f>
        <v>PERPUSTAKAAN PUSAT</v>
      </c>
      <c r="G331" s="4" t="str">
        <f ca="1">Master_List!$AW$2</f>
        <v>09:30 PM</v>
      </c>
      <c r="H331" s="4" t="str">
        <f ca="1">Master_List!$AW$3</f>
        <v>20/07/2026</v>
      </c>
      <c r="I331" s="4" t="str">
        <f ca="1">Master_List!$AW$4</f>
        <v>28.5</v>
      </c>
      <c r="J331" s="4" t="str">
        <f ca="1">Master_List!$AW$5</f>
        <v>65</v>
      </c>
      <c r="K331" s="4" t="s">
        <v>570</v>
      </c>
      <c r="BL331" s="4" t="s">
        <v>1744</v>
      </c>
      <c r="BM331" s="4" t="s">
        <v>1915</v>
      </c>
      <c r="BN331" s="4" t="s">
        <v>1748</v>
      </c>
      <c r="BO331" s="4" t="str">
        <f t="shared" si="5"/>
        <v>C:\Users\aremi\Desktop\REPORT CBM\PO TIANU JB\03. Raw Material\40. 10052026 SSU MEDINI SIGNATURE 33KV (VI)\IR</v>
      </c>
      <c r="BP331" t="s">
        <v>902</v>
      </c>
    </row>
    <row r="332" spans="1:68" thickBot="1" x14ac:dyDescent="0.3">
      <c r="A332" s="4">
        <v>166</v>
      </c>
      <c r="B332" s="4" t="s">
        <v>900</v>
      </c>
      <c r="C332" s="4">
        <v>5</v>
      </c>
      <c r="D332" s="4" t="s">
        <v>1760</v>
      </c>
      <c r="E332" s="4">
        <v>2</v>
      </c>
      <c r="F332" s="4" t="str">
        <f ca="1">Master_List!$AW$1</f>
        <v>PERPUSTAKAAN PUSAT</v>
      </c>
      <c r="G332" s="4" t="str">
        <f ca="1">Master_List!$AW$2</f>
        <v>09:30 PM</v>
      </c>
      <c r="H332" s="4" t="str">
        <f ca="1">Master_List!$AW$3</f>
        <v>20/07/2026</v>
      </c>
      <c r="I332" s="4" t="str">
        <f ca="1">Master_List!$AW$4</f>
        <v>28.5</v>
      </c>
      <c r="J332" s="4" t="str">
        <f ca="1">Master_List!$AW$5</f>
        <v>65</v>
      </c>
      <c r="K332" s="4" t="s">
        <v>573</v>
      </c>
      <c r="BL332" s="4" t="s">
        <v>1744</v>
      </c>
      <c r="BM332" s="4" t="s">
        <v>1916</v>
      </c>
      <c r="BN332" s="4" t="s">
        <v>1746</v>
      </c>
      <c r="BO332" s="4" t="str">
        <f t="shared" si="5"/>
        <v>C:\Users\aremi\Desktop\REPORT CBM\PO TIANU JB\03. Raw Material\40. 10052026 SSU MEDINI SIGNATURE 33KV (VI)\IR</v>
      </c>
      <c r="BP332" t="s">
        <v>903</v>
      </c>
    </row>
    <row r="333" spans="1:68" thickBot="1" x14ac:dyDescent="0.3">
      <c r="A333" s="4">
        <v>166</v>
      </c>
      <c r="B333" s="4" t="s">
        <v>900</v>
      </c>
      <c r="C333" s="4">
        <v>5</v>
      </c>
      <c r="D333" s="4" t="s">
        <v>1760</v>
      </c>
      <c r="E333" s="4">
        <v>2</v>
      </c>
      <c r="F333" s="4" t="str">
        <f ca="1">Master_List!$AW$1</f>
        <v>PERPUSTAKAAN PUSAT</v>
      </c>
      <c r="G333" s="4" t="str">
        <f ca="1">Master_List!$AW$2</f>
        <v>09:30 PM</v>
      </c>
      <c r="H333" s="4" t="str">
        <f ca="1">Master_List!$AW$3</f>
        <v>20/07/2026</v>
      </c>
      <c r="I333" s="4" t="str">
        <f ca="1">Master_List!$AW$4</f>
        <v>28.5</v>
      </c>
      <c r="J333" s="4" t="str">
        <f ca="1">Master_List!$AW$5</f>
        <v>65</v>
      </c>
      <c r="K333" s="4" t="s">
        <v>573</v>
      </c>
      <c r="BL333" s="4" t="s">
        <v>1744</v>
      </c>
      <c r="BM333" s="4" t="s">
        <v>1916</v>
      </c>
      <c r="BN333" s="4" t="s">
        <v>1748</v>
      </c>
      <c r="BO333" s="4" t="str">
        <f t="shared" si="5"/>
        <v>C:\Users\aremi\Desktop\REPORT CBM\PO TIANU JB\03. Raw Material\40. 10052026 SSU MEDINI SIGNATURE 33KV (VI)\IR</v>
      </c>
      <c r="BP333" t="s">
        <v>904</v>
      </c>
    </row>
    <row r="334" spans="1:68" thickBot="1" x14ac:dyDescent="0.3">
      <c r="A334" s="4">
        <v>167</v>
      </c>
      <c r="B334" s="4" t="s">
        <v>900</v>
      </c>
      <c r="C334" s="4">
        <v>5</v>
      </c>
      <c r="D334" s="4" t="s">
        <v>1760</v>
      </c>
      <c r="E334" s="4">
        <v>3</v>
      </c>
      <c r="F334" s="4" t="str">
        <f ca="1">Master_List!$AW$1</f>
        <v>PERPUSTAKAAN PUSAT</v>
      </c>
      <c r="G334" s="4" t="str">
        <f ca="1">Master_List!$AW$2</f>
        <v>09:30 PM</v>
      </c>
      <c r="H334" s="4" t="str">
        <f ca="1">Master_List!$AW$3</f>
        <v>20/07/2026</v>
      </c>
      <c r="I334" s="4" t="str">
        <f ca="1">Master_List!$AW$4</f>
        <v>28.5</v>
      </c>
      <c r="J334" s="4" t="str">
        <f ca="1">Master_List!$AW$5</f>
        <v>65</v>
      </c>
      <c r="K334" s="4" t="s">
        <v>576</v>
      </c>
      <c r="BL334" s="4" t="s">
        <v>1744</v>
      </c>
      <c r="BM334" s="4" t="s">
        <v>1917</v>
      </c>
      <c r="BN334" s="4" t="s">
        <v>1746</v>
      </c>
      <c r="BO334" s="4" t="str">
        <f t="shared" si="5"/>
        <v>C:\Users\aremi\Desktop\REPORT CBM\PO TIANU JB\03. Raw Material\40. 10052026 SSU MEDINI SIGNATURE 33KV (VI)\IR</v>
      </c>
      <c r="BP334" t="s">
        <v>905</v>
      </c>
    </row>
    <row r="335" spans="1:68" thickBot="1" x14ac:dyDescent="0.3">
      <c r="A335" s="4">
        <v>167</v>
      </c>
      <c r="B335" s="4" t="s">
        <v>900</v>
      </c>
      <c r="C335" s="4">
        <v>5</v>
      </c>
      <c r="D335" s="4" t="s">
        <v>1760</v>
      </c>
      <c r="E335" s="4">
        <v>3</v>
      </c>
      <c r="F335" s="4" t="str">
        <f ca="1">Master_List!$AW$1</f>
        <v>PERPUSTAKAAN PUSAT</v>
      </c>
      <c r="G335" s="4" t="str">
        <f ca="1">Master_List!$AW$2</f>
        <v>09:30 PM</v>
      </c>
      <c r="H335" s="4" t="str">
        <f ca="1">Master_List!$AW$3</f>
        <v>20/07/2026</v>
      </c>
      <c r="I335" s="4" t="str">
        <f ca="1">Master_List!$AW$4</f>
        <v>28.5</v>
      </c>
      <c r="J335" s="4" t="str">
        <f ca="1">Master_List!$AW$5</f>
        <v>65</v>
      </c>
      <c r="K335" s="4" t="s">
        <v>576</v>
      </c>
      <c r="BL335" s="4" t="s">
        <v>1744</v>
      </c>
      <c r="BM335" s="4" t="s">
        <v>1917</v>
      </c>
      <c r="BN335" s="4" t="s">
        <v>1748</v>
      </c>
      <c r="BO335" s="4" t="str">
        <f t="shared" si="5"/>
        <v>C:\Users\aremi\Desktop\REPORT CBM\PO TIANU JB\03. Raw Material\40. 10052026 SSU MEDINI SIGNATURE 33KV (VI)\IR</v>
      </c>
      <c r="BP335" t="s">
        <v>906</v>
      </c>
    </row>
    <row r="336" spans="1:68" thickBot="1" x14ac:dyDescent="0.3">
      <c r="A336" s="4">
        <v>168</v>
      </c>
      <c r="B336" s="4" t="s">
        <v>900</v>
      </c>
      <c r="C336" s="4">
        <v>5</v>
      </c>
      <c r="D336" s="4" t="s">
        <v>1760</v>
      </c>
      <c r="E336" s="4">
        <v>4</v>
      </c>
      <c r="F336" s="4" t="str">
        <f ca="1">Master_List!$AW$1</f>
        <v>PERPUSTAKAAN PUSAT</v>
      </c>
      <c r="G336" s="4" t="str">
        <f ca="1">Master_List!$AW$2</f>
        <v>09:30 PM</v>
      </c>
      <c r="H336" s="4" t="str">
        <f ca="1">Master_List!$AW$3</f>
        <v>20/07/2026</v>
      </c>
      <c r="I336" s="4" t="str">
        <f ca="1">Master_List!$AW$4</f>
        <v>28.5</v>
      </c>
      <c r="J336" s="4" t="str">
        <f ca="1">Master_List!$AW$5</f>
        <v>65</v>
      </c>
      <c r="K336" s="4" t="s">
        <v>579</v>
      </c>
      <c r="BL336" s="4" t="s">
        <v>1744</v>
      </c>
      <c r="BM336" s="4" t="s">
        <v>1918</v>
      </c>
      <c r="BN336" s="4" t="s">
        <v>1746</v>
      </c>
      <c r="BO336" s="4" t="str">
        <f t="shared" si="5"/>
        <v>C:\Users\aremi\Desktop\REPORT CBM\PO TIANU JB\03. Raw Material\40. 10052026 SSU MEDINI SIGNATURE 33KV (VI)\IR</v>
      </c>
      <c r="BP336" t="s">
        <v>907</v>
      </c>
    </row>
    <row r="337" spans="1:68" thickBot="1" x14ac:dyDescent="0.3">
      <c r="A337" s="4">
        <v>168</v>
      </c>
      <c r="B337" s="4" t="s">
        <v>900</v>
      </c>
      <c r="C337" s="4">
        <v>5</v>
      </c>
      <c r="D337" s="4" t="s">
        <v>1760</v>
      </c>
      <c r="E337" s="4">
        <v>4</v>
      </c>
      <c r="F337" s="4" t="str">
        <f ca="1">Master_List!$AW$1</f>
        <v>PERPUSTAKAAN PUSAT</v>
      </c>
      <c r="G337" s="4" t="str">
        <f ca="1">Master_List!$AW$2</f>
        <v>09:30 PM</v>
      </c>
      <c r="H337" s="4" t="str">
        <f ca="1">Master_List!$AW$3</f>
        <v>20/07/2026</v>
      </c>
      <c r="I337" s="4" t="str">
        <f ca="1">Master_List!$AW$4</f>
        <v>28.5</v>
      </c>
      <c r="J337" s="4" t="str">
        <f ca="1">Master_List!$AW$5</f>
        <v>65</v>
      </c>
      <c r="K337" s="4" t="s">
        <v>579</v>
      </c>
      <c r="BL337" s="4" t="s">
        <v>1744</v>
      </c>
      <c r="BM337" s="4" t="s">
        <v>1918</v>
      </c>
      <c r="BN337" s="4" t="s">
        <v>1748</v>
      </c>
      <c r="BO337" s="4" t="str">
        <f t="shared" si="5"/>
        <v>C:\Users\aremi\Desktop\REPORT CBM\PO TIANU JB\03. Raw Material\40. 10052026 SSU MEDINI SIGNATURE 33KV (VI)\IR</v>
      </c>
      <c r="BP337" t="s">
        <v>908</v>
      </c>
    </row>
    <row r="338" spans="1:68" thickBot="1" x14ac:dyDescent="0.3">
      <c r="A338" s="4">
        <v>169</v>
      </c>
      <c r="B338" s="4" t="s">
        <v>900</v>
      </c>
      <c r="C338" s="4">
        <v>5</v>
      </c>
      <c r="D338" s="4" t="s">
        <v>1760</v>
      </c>
      <c r="E338" s="4">
        <v>5</v>
      </c>
      <c r="F338" s="4" t="str">
        <f ca="1">Master_List!$AW$1</f>
        <v>PERPUSTAKAAN PUSAT</v>
      </c>
      <c r="G338" s="4" t="str">
        <f ca="1">Master_List!$AW$2</f>
        <v>09:30 PM</v>
      </c>
      <c r="H338" s="4" t="str">
        <f ca="1">Master_List!$AW$3</f>
        <v>20/07/2026</v>
      </c>
      <c r="I338" s="4" t="str">
        <f ca="1">Master_List!$AW$4</f>
        <v>28.5</v>
      </c>
      <c r="J338" s="4" t="str">
        <f ca="1">Master_List!$AW$5</f>
        <v>65</v>
      </c>
      <c r="K338" s="4" t="s">
        <v>582</v>
      </c>
      <c r="BL338" s="4" t="s">
        <v>1744</v>
      </c>
      <c r="BM338" s="4" t="s">
        <v>1919</v>
      </c>
      <c r="BN338" s="4" t="s">
        <v>1746</v>
      </c>
      <c r="BO338" s="4" t="str">
        <f t="shared" si="5"/>
        <v>C:\Users\aremi\Desktop\REPORT CBM\PO TIANU JB\03. Raw Material\40. 10052026 SSU MEDINI SIGNATURE 33KV (VI)\IR</v>
      </c>
      <c r="BP338" t="s">
        <v>909</v>
      </c>
    </row>
    <row r="339" spans="1:68" thickBot="1" x14ac:dyDescent="0.3">
      <c r="A339" s="4">
        <v>169</v>
      </c>
      <c r="B339" s="4" t="s">
        <v>900</v>
      </c>
      <c r="C339" s="4">
        <v>5</v>
      </c>
      <c r="D339" s="4" t="s">
        <v>1760</v>
      </c>
      <c r="E339" s="4">
        <v>5</v>
      </c>
      <c r="F339" s="4" t="str">
        <f ca="1">Master_List!$AW$1</f>
        <v>PERPUSTAKAAN PUSAT</v>
      </c>
      <c r="G339" s="4" t="str">
        <f ca="1">Master_List!$AW$2</f>
        <v>09:30 PM</v>
      </c>
      <c r="H339" s="4" t="str">
        <f ca="1">Master_List!$AW$3</f>
        <v>20/07/2026</v>
      </c>
      <c r="I339" s="4" t="str">
        <f ca="1">Master_List!$AW$4</f>
        <v>28.5</v>
      </c>
      <c r="J339" s="4" t="str">
        <f ca="1">Master_List!$AW$5</f>
        <v>65</v>
      </c>
      <c r="K339" s="4" t="s">
        <v>582</v>
      </c>
      <c r="BL339" s="4" t="s">
        <v>1744</v>
      </c>
      <c r="BM339" s="4" t="s">
        <v>1919</v>
      </c>
      <c r="BN339" s="4" t="s">
        <v>1748</v>
      </c>
      <c r="BO339" s="4" t="str">
        <f t="shared" si="5"/>
        <v>C:\Users\aremi\Desktop\REPORT CBM\PO TIANU JB\03. Raw Material\40. 10052026 SSU MEDINI SIGNATURE 33KV (VI)\IR</v>
      </c>
      <c r="BP339" t="s">
        <v>910</v>
      </c>
    </row>
    <row r="340" spans="1:68" thickBot="1" x14ac:dyDescent="0.3">
      <c r="A340" s="4">
        <v>170</v>
      </c>
      <c r="B340" s="4" t="s">
        <v>900</v>
      </c>
      <c r="C340" s="4">
        <v>5</v>
      </c>
      <c r="D340" s="4" t="s">
        <v>1760</v>
      </c>
      <c r="E340" s="4">
        <v>6</v>
      </c>
      <c r="F340" s="4" t="str">
        <f ca="1">Master_List!$AW$1</f>
        <v>PERPUSTAKAAN PUSAT</v>
      </c>
      <c r="G340" s="4" t="str">
        <f ca="1">Master_List!$AW$2</f>
        <v>09:30 PM</v>
      </c>
      <c r="H340" s="4" t="str">
        <f ca="1">Master_List!$AW$3</f>
        <v>20/07/2026</v>
      </c>
      <c r="I340" s="4" t="str">
        <f ca="1">Master_List!$AW$4</f>
        <v>28.5</v>
      </c>
      <c r="J340" s="4" t="str">
        <f ca="1">Master_List!$AW$5</f>
        <v>65</v>
      </c>
      <c r="K340" s="4" t="s">
        <v>585</v>
      </c>
      <c r="BL340" s="4" t="s">
        <v>1744</v>
      </c>
      <c r="BM340" s="4" t="s">
        <v>1920</v>
      </c>
      <c r="BN340" s="4" t="s">
        <v>1746</v>
      </c>
      <c r="BO340" s="4" t="str">
        <f t="shared" si="5"/>
        <v>C:\Users\aremi\Desktop\REPORT CBM\PO TIANU JB\03. Raw Material\40. 10052026 SSU MEDINI SIGNATURE 33KV (VI)\IR</v>
      </c>
      <c r="BP340" t="s">
        <v>911</v>
      </c>
    </row>
    <row r="341" spans="1:68" thickBot="1" x14ac:dyDescent="0.3">
      <c r="A341" s="4">
        <v>170</v>
      </c>
      <c r="B341" s="4" t="s">
        <v>900</v>
      </c>
      <c r="C341" s="4">
        <v>5</v>
      </c>
      <c r="D341" s="4" t="s">
        <v>1760</v>
      </c>
      <c r="E341" s="4">
        <v>6</v>
      </c>
      <c r="F341" s="4" t="str">
        <f ca="1">Master_List!$AW$1</f>
        <v>PERPUSTAKAAN PUSAT</v>
      </c>
      <c r="G341" s="4" t="str">
        <f ca="1">Master_List!$AW$2</f>
        <v>09:30 PM</v>
      </c>
      <c r="H341" s="4" t="str">
        <f ca="1">Master_List!$AW$3</f>
        <v>20/07/2026</v>
      </c>
      <c r="I341" s="4" t="str">
        <f ca="1">Master_List!$AW$4</f>
        <v>28.5</v>
      </c>
      <c r="J341" s="4" t="str">
        <f ca="1">Master_List!$AW$5</f>
        <v>65</v>
      </c>
      <c r="K341" s="4" t="s">
        <v>585</v>
      </c>
      <c r="BL341" s="4" t="s">
        <v>1744</v>
      </c>
      <c r="BM341" s="4" t="s">
        <v>1920</v>
      </c>
      <c r="BN341" s="4" t="s">
        <v>1748</v>
      </c>
      <c r="BO341" s="4" t="str">
        <f t="shared" si="5"/>
        <v>C:\Users\aremi\Desktop\REPORT CBM\PO TIANU JB\03. Raw Material\40. 10052026 SSU MEDINI SIGNATURE 33KV (VI)\IR</v>
      </c>
      <c r="BP341" t="s">
        <v>912</v>
      </c>
    </row>
    <row r="342" spans="1:68" thickBot="1" x14ac:dyDescent="0.3">
      <c r="A342" s="4">
        <v>171</v>
      </c>
      <c r="B342" s="4" t="s">
        <v>900</v>
      </c>
      <c r="C342" s="4">
        <v>5</v>
      </c>
      <c r="D342" s="4" t="s">
        <v>1767</v>
      </c>
      <c r="E342" s="4">
        <v>7</v>
      </c>
      <c r="F342" s="4" t="str">
        <f ca="1">Master_List!$AW$1</f>
        <v>PERPUSTAKAAN PUSAT</v>
      </c>
      <c r="G342" s="4" t="str">
        <f ca="1">Master_List!$AW$2</f>
        <v>09:30 PM</v>
      </c>
      <c r="H342" s="4" t="str">
        <f ca="1">Master_List!$AW$3</f>
        <v>20/07/2026</v>
      </c>
      <c r="I342" s="4" t="str">
        <f ca="1">Master_List!$AW$4</f>
        <v>28.5</v>
      </c>
      <c r="J342" s="4" t="str">
        <f ca="1">Master_List!$AW$5</f>
        <v>65</v>
      </c>
      <c r="K342" s="4" t="s">
        <v>588</v>
      </c>
      <c r="BL342" s="4" t="s">
        <v>1744</v>
      </c>
      <c r="BM342" s="4" t="s">
        <v>1921</v>
      </c>
      <c r="BN342" s="4" t="s">
        <v>1746</v>
      </c>
      <c r="BO342" s="4" t="str">
        <f t="shared" si="5"/>
        <v>C:\Users\aremi\Desktop\REPORT CBM\PO TIANU JB\03. Raw Material\40. 10052026 SSU MEDINI SIGNATURE 33KV (VI)\IR</v>
      </c>
      <c r="BP342" t="s">
        <v>913</v>
      </c>
    </row>
    <row r="343" spans="1:68" thickBot="1" x14ac:dyDescent="0.3">
      <c r="A343" s="4">
        <v>171</v>
      </c>
      <c r="B343" s="4" t="s">
        <v>900</v>
      </c>
      <c r="C343" s="4">
        <v>5</v>
      </c>
      <c r="D343" s="4" t="s">
        <v>1767</v>
      </c>
      <c r="E343" s="4">
        <v>7</v>
      </c>
      <c r="F343" s="4" t="str">
        <f ca="1">Master_List!$AW$1</f>
        <v>PERPUSTAKAAN PUSAT</v>
      </c>
      <c r="G343" s="4" t="str">
        <f ca="1">Master_List!$AW$2</f>
        <v>09:30 PM</v>
      </c>
      <c r="H343" s="4" t="str">
        <f ca="1">Master_List!$AW$3</f>
        <v>20/07/2026</v>
      </c>
      <c r="I343" s="4" t="str">
        <f ca="1">Master_List!$AW$4</f>
        <v>28.5</v>
      </c>
      <c r="J343" s="4" t="str">
        <f ca="1">Master_List!$AW$5</f>
        <v>65</v>
      </c>
      <c r="K343" s="4" t="s">
        <v>588</v>
      </c>
      <c r="BL343" s="4" t="s">
        <v>1744</v>
      </c>
      <c r="BM343" s="4" t="s">
        <v>1921</v>
      </c>
      <c r="BN343" s="4" t="s">
        <v>1748</v>
      </c>
      <c r="BO343" s="4" t="str">
        <f t="shared" si="5"/>
        <v>C:\Users\aremi\Desktop\REPORT CBM\PO TIANU JB\03. Raw Material\40. 10052026 SSU MEDINI SIGNATURE 33KV (VI)\IR</v>
      </c>
      <c r="BP343" t="s">
        <v>914</v>
      </c>
    </row>
    <row r="344" spans="1:68" thickBot="1" x14ac:dyDescent="0.3">
      <c r="A344" s="4">
        <v>172</v>
      </c>
      <c r="B344" s="4" t="s">
        <v>900</v>
      </c>
      <c r="C344" s="4">
        <v>5</v>
      </c>
      <c r="D344" s="4" t="s">
        <v>1769</v>
      </c>
      <c r="E344" s="4">
        <v>8</v>
      </c>
      <c r="F344" s="4" t="str">
        <f ca="1">Master_List!$AW$1</f>
        <v>PERPUSTAKAAN PUSAT</v>
      </c>
      <c r="G344" s="4" t="str">
        <f ca="1">Master_List!$AW$2</f>
        <v>09:30 PM</v>
      </c>
      <c r="H344" s="4" t="str">
        <f ca="1">Master_List!$AW$3</f>
        <v>20/07/2026</v>
      </c>
      <c r="I344" s="4" t="str">
        <f ca="1">Master_List!$AW$4</f>
        <v>28.5</v>
      </c>
      <c r="J344" s="4" t="str">
        <f ca="1">Master_List!$AW$5</f>
        <v>65</v>
      </c>
      <c r="K344" s="4" t="s">
        <v>591</v>
      </c>
      <c r="BL344" s="4" t="s">
        <v>1744</v>
      </c>
      <c r="BM344" s="4" t="s">
        <v>1922</v>
      </c>
      <c r="BN344" s="4" t="s">
        <v>1746</v>
      </c>
      <c r="BO344" s="4" t="str">
        <f t="shared" si="5"/>
        <v>C:\Users\aremi\Desktop\REPORT CBM\PO TIANU JB\03. Raw Material\40. 10052026 SSU MEDINI SIGNATURE 33KV (VI)\IR</v>
      </c>
      <c r="BP344" t="s">
        <v>915</v>
      </c>
    </row>
    <row r="345" spans="1:68" thickBot="1" x14ac:dyDescent="0.3">
      <c r="A345" s="4">
        <v>172</v>
      </c>
      <c r="B345" s="4" t="s">
        <v>900</v>
      </c>
      <c r="C345" s="4">
        <v>5</v>
      </c>
      <c r="D345" s="4" t="s">
        <v>1769</v>
      </c>
      <c r="E345" s="4">
        <v>8</v>
      </c>
      <c r="F345" s="4" t="str">
        <f ca="1">Master_List!$AW$1</f>
        <v>PERPUSTAKAAN PUSAT</v>
      </c>
      <c r="G345" s="4" t="str">
        <f ca="1">Master_List!$AW$2</f>
        <v>09:30 PM</v>
      </c>
      <c r="H345" s="4" t="str">
        <f ca="1">Master_List!$AW$3</f>
        <v>20/07/2026</v>
      </c>
      <c r="I345" s="4" t="str">
        <f ca="1">Master_List!$AW$4</f>
        <v>28.5</v>
      </c>
      <c r="J345" s="4" t="str">
        <f ca="1">Master_List!$AW$5</f>
        <v>65</v>
      </c>
      <c r="K345" s="4" t="s">
        <v>591</v>
      </c>
      <c r="BL345" s="4" t="s">
        <v>1744</v>
      </c>
      <c r="BM345" s="4" t="s">
        <v>1922</v>
      </c>
      <c r="BN345" s="4" t="s">
        <v>1748</v>
      </c>
      <c r="BO345" s="4" t="str">
        <f t="shared" si="5"/>
        <v>C:\Users\aremi\Desktop\REPORT CBM\PO TIANU JB\03. Raw Material\40. 10052026 SSU MEDINI SIGNATURE 33KV (VI)\IR</v>
      </c>
      <c r="BP345" t="s">
        <v>916</v>
      </c>
    </row>
    <row r="346" spans="1:68" thickBot="1" x14ac:dyDescent="0.3">
      <c r="A346" s="4">
        <v>173</v>
      </c>
      <c r="B346" s="4" t="s">
        <v>917</v>
      </c>
      <c r="C346" s="4">
        <v>6</v>
      </c>
      <c r="D346" s="4" t="s">
        <v>1760</v>
      </c>
      <c r="E346" s="4">
        <v>1</v>
      </c>
      <c r="F346" s="4" t="str">
        <f ca="1">Master_List!$AW$1</f>
        <v>PERPUSTAKAAN PUSAT</v>
      </c>
      <c r="G346" s="4" t="str">
        <f ca="1">Master_List!$AW$2</f>
        <v>09:30 PM</v>
      </c>
      <c r="H346" s="4" t="str">
        <f ca="1">Master_List!$AW$3</f>
        <v>20/07/2026</v>
      </c>
      <c r="I346" s="4" t="str">
        <f ca="1">Master_List!$AW$4</f>
        <v>28.5</v>
      </c>
      <c r="J346" s="4" t="str">
        <f ca="1">Master_List!$AW$5</f>
        <v>65</v>
      </c>
      <c r="K346" s="4" t="s">
        <v>570</v>
      </c>
      <c r="BL346" s="4" t="s">
        <v>1744</v>
      </c>
      <c r="BM346" s="4" t="s">
        <v>1923</v>
      </c>
      <c r="BN346" s="4" t="s">
        <v>1746</v>
      </c>
      <c r="BO346" s="4" t="str">
        <f t="shared" si="5"/>
        <v>C:\Users\aremi\Desktop\REPORT CBM\PO TIANU JB\03. Raw Material\40. 10052026 SSU MEDINI SIGNATURE 33KV (VI)\IR</v>
      </c>
      <c r="BP346" t="s">
        <v>918</v>
      </c>
    </row>
    <row r="347" spans="1:68" thickBot="1" x14ac:dyDescent="0.3">
      <c r="A347" s="4">
        <v>173</v>
      </c>
      <c r="B347" s="4" t="s">
        <v>917</v>
      </c>
      <c r="C347" s="4">
        <v>6</v>
      </c>
      <c r="D347" s="4" t="s">
        <v>1760</v>
      </c>
      <c r="E347" s="4">
        <v>1</v>
      </c>
      <c r="F347" s="4" t="str">
        <f ca="1">Master_List!$AW$1</f>
        <v>PERPUSTAKAAN PUSAT</v>
      </c>
      <c r="G347" s="4" t="str">
        <f ca="1">Master_List!$AW$2</f>
        <v>09:30 PM</v>
      </c>
      <c r="H347" s="4" t="str">
        <f ca="1">Master_List!$AW$3</f>
        <v>20/07/2026</v>
      </c>
      <c r="I347" s="4" t="str">
        <f ca="1">Master_List!$AW$4</f>
        <v>28.5</v>
      </c>
      <c r="J347" s="4" t="str">
        <f ca="1">Master_List!$AW$5</f>
        <v>65</v>
      </c>
      <c r="K347" s="4" t="s">
        <v>570</v>
      </c>
      <c r="BL347" s="4" t="s">
        <v>1744</v>
      </c>
      <c r="BM347" s="4" t="s">
        <v>1923</v>
      </c>
      <c r="BN347" s="4" t="s">
        <v>1748</v>
      </c>
      <c r="BO347" s="4" t="str">
        <f t="shared" si="5"/>
        <v>C:\Users\aremi\Desktop\REPORT CBM\PO TIANU JB\03. Raw Material\40. 10052026 SSU MEDINI SIGNATURE 33KV (VI)\IR</v>
      </c>
      <c r="BP347" t="s">
        <v>919</v>
      </c>
    </row>
    <row r="348" spans="1:68" thickBot="1" x14ac:dyDescent="0.3">
      <c r="A348" s="4">
        <v>174</v>
      </c>
      <c r="B348" s="4" t="s">
        <v>917</v>
      </c>
      <c r="C348" s="4">
        <v>6</v>
      </c>
      <c r="D348" s="4" t="s">
        <v>1760</v>
      </c>
      <c r="E348" s="4">
        <v>2</v>
      </c>
      <c r="F348" s="4" t="str">
        <f ca="1">Master_List!$AW$1</f>
        <v>PERPUSTAKAAN PUSAT</v>
      </c>
      <c r="G348" s="4" t="str">
        <f ca="1">Master_List!$AW$2</f>
        <v>09:30 PM</v>
      </c>
      <c r="H348" s="4" t="str">
        <f ca="1">Master_List!$AW$3</f>
        <v>20/07/2026</v>
      </c>
      <c r="I348" s="4" t="str">
        <f ca="1">Master_List!$AW$4</f>
        <v>28.5</v>
      </c>
      <c r="J348" s="4" t="str">
        <f ca="1">Master_List!$AW$5</f>
        <v>65</v>
      </c>
      <c r="K348" s="4" t="s">
        <v>573</v>
      </c>
      <c r="BL348" s="4" t="s">
        <v>1744</v>
      </c>
      <c r="BM348" s="4" t="s">
        <v>1924</v>
      </c>
      <c r="BN348" s="4" t="s">
        <v>1746</v>
      </c>
      <c r="BO348" s="4" t="str">
        <f t="shared" si="5"/>
        <v>C:\Users\aremi\Desktop\REPORT CBM\PO TIANU JB\03. Raw Material\40. 10052026 SSU MEDINI SIGNATURE 33KV (VI)\IR</v>
      </c>
      <c r="BP348" t="s">
        <v>920</v>
      </c>
    </row>
    <row r="349" spans="1:68" thickBot="1" x14ac:dyDescent="0.3">
      <c r="A349" s="4">
        <v>174</v>
      </c>
      <c r="B349" s="4" t="s">
        <v>917</v>
      </c>
      <c r="C349" s="4">
        <v>6</v>
      </c>
      <c r="D349" s="4" t="s">
        <v>1760</v>
      </c>
      <c r="E349" s="4">
        <v>2</v>
      </c>
      <c r="F349" s="4" t="str">
        <f ca="1">Master_List!$AW$1</f>
        <v>PERPUSTAKAAN PUSAT</v>
      </c>
      <c r="G349" s="4" t="str">
        <f ca="1">Master_List!$AW$2</f>
        <v>09:30 PM</v>
      </c>
      <c r="H349" s="4" t="str">
        <f ca="1">Master_List!$AW$3</f>
        <v>20/07/2026</v>
      </c>
      <c r="I349" s="4" t="str">
        <f ca="1">Master_List!$AW$4</f>
        <v>28.5</v>
      </c>
      <c r="J349" s="4" t="str">
        <f ca="1">Master_List!$AW$5</f>
        <v>65</v>
      </c>
      <c r="K349" s="4" t="s">
        <v>573</v>
      </c>
      <c r="BL349" s="4" t="s">
        <v>1744</v>
      </c>
      <c r="BM349" s="4" t="s">
        <v>1924</v>
      </c>
      <c r="BN349" s="4" t="s">
        <v>1748</v>
      </c>
      <c r="BO349" s="4" t="str">
        <f t="shared" si="5"/>
        <v>C:\Users\aremi\Desktop\REPORT CBM\PO TIANU JB\03. Raw Material\40. 10052026 SSU MEDINI SIGNATURE 33KV (VI)\IR</v>
      </c>
      <c r="BP349" t="s">
        <v>921</v>
      </c>
    </row>
    <row r="350" spans="1:68" thickBot="1" x14ac:dyDescent="0.3">
      <c r="A350" s="4">
        <v>175</v>
      </c>
      <c r="B350" s="4" t="s">
        <v>917</v>
      </c>
      <c r="C350" s="4">
        <v>6</v>
      </c>
      <c r="D350" s="4" t="s">
        <v>1760</v>
      </c>
      <c r="E350" s="4">
        <v>3</v>
      </c>
      <c r="F350" s="4" t="str">
        <f ca="1">Master_List!$AW$1</f>
        <v>PERPUSTAKAAN PUSAT</v>
      </c>
      <c r="G350" s="4" t="str">
        <f ca="1">Master_List!$AW$2</f>
        <v>09:30 PM</v>
      </c>
      <c r="H350" s="4" t="str">
        <f ca="1">Master_List!$AW$3</f>
        <v>20/07/2026</v>
      </c>
      <c r="I350" s="4" t="str">
        <f ca="1">Master_List!$AW$4</f>
        <v>28.5</v>
      </c>
      <c r="J350" s="4" t="str">
        <f ca="1">Master_List!$AW$5</f>
        <v>65</v>
      </c>
      <c r="K350" s="4" t="s">
        <v>576</v>
      </c>
      <c r="BL350" s="4" t="s">
        <v>1744</v>
      </c>
      <c r="BM350" s="4" t="s">
        <v>1925</v>
      </c>
      <c r="BN350" s="4" t="s">
        <v>1746</v>
      </c>
      <c r="BO350" s="4" t="str">
        <f t="shared" si="5"/>
        <v>C:\Users\aremi\Desktop\REPORT CBM\PO TIANU JB\03. Raw Material\40. 10052026 SSU MEDINI SIGNATURE 33KV (VI)\IR</v>
      </c>
      <c r="BP350" t="s">
        <v>922</v>
      </c>
    </row>
    <row r="351" spans="1:68" thickBot="1" x14ac:dyDescent="0.3">
      <c r="A351" s="4">
        <v>175</v>
      </c>
      <c r="B351" s="4" t="s">
        <v>917</v>
      </c>
      <c r="C351" s="4">
        <v>6</v>
      </c>
      <c r="D351" s="4" t="s">
        <v>1760</v>
      </c>
      <c r="E351" s="4">
        <v>3</v>
      </c>
      <c r="F351" s="4" t="str">
        <f ca="1">Master_List!$AW$1</f>
        <v>PERPUSTAKAAN PUSAT</v>
      </c>
      <c r="G351" s="4" t="str">
        <f ca="1">Master_List!$AW$2</f>
        <v>09:30 PM</v>
      </c>
      <c r="H351" s="4" t="str">
        <f ca="1">Master_List!$AW$3</f>
        <v>20/07/2026</v>
      </c>
      <c r="I351" s="4" t="str">
        <f ca="1">Master_List!$AW$4</f>
        <v>28.5</v>
      </c>
      <c r="J351" s="4" t="str">
        <f ca="1">Master_List!$AW$5</f>
        <v>65</v>
      </c>
      <c r="K351" s="4" t="s">
        <v>576</v>
      </c>
      <c r="BL351" s="4" t="s">
        <v>1744</v>
      </c>
      <c r="BM351" s="4" t="s">
        <v>1925</v>
      </c>
      <c r="BN351" s="4" t="s">
        <v>1748</v>
      </c>
      <c r="BO351" s="4" t="str">
        <f t="shared" si="5"/>
        <v>C:\Users\aremi\Desktop\REPORT CBM\PO TIANU JB\03. Raw Material\40. 10052026 SSU MEDINI SIGNATURE 33KV (VI)\IR</v>
      </c>
      <c r="BP351" t="s">
        <v>923</v>
      </c>
    </row>
    <row r="352" spans="1:68" thickBot="1" x14ac:dyDescent="0.3">
      <c r="A352" s="4">
        <v>176</v>
      </c>
      <c r="B352" s="4" t="s">
        <v>917</v>
      </c>
      <c r="C352" s="4">
        <v>6</v>
      </c>
      <c r="D352" s="4" t="s">
        <v>1760</v>
      </c>
      <c r="E352" s="4">
        <v>4</v>
      </c>
      <c r="F352" s="4" t="str">
        <f ca="1">Master_List!$AW$1</f>
        <v>PERPUSTAKAAN PUSAT</v>
      </c>
      <c r="G352" s="4" t="str">
        <f ca="1">Master_List!$AW$2</f>
        <v>09:30 PM</v>
      </c>
      <c r="H352" s="4" t="str">
        <f ca="1">Master_List!$AW$3</f>
        <v>20/07/2026</v>
      </c>
      <c r="I352" s="4" t="str">
        <f ca="1">Master_List!$AW$4</f>
        <v>28.5</v>
      </c>
      <c r="J352" s="4" t="str">
        <f ca="1">Master_List!$AW$5</f>
        <v>65</v>
      </c>
      <c r="K352" s="4" t="s">
        <v>579</v>
      </c>
      <c r="BL352" s="4" t="s">
        <v>1744</v>
      </c>
      <c r="BM352" s="4" t="s">
        <v>1926</v>
      </c>
      <c r="BN352" s="4" t="s">
        <v>1746</v>
      </c>
      <c r="BO352" s="4" t="str">
        <f t="shared" si="5"/>
        <v>C:\Users\aremi\Desktop\REPORT CBM\PO TIANU JB\03. Raw Material\40. 10052026 SSU MEDINI SIGNATURE 33KV (VI)\IR</v>
      </c>
      <c r="BP352" t="s">
        <v>924</v>
      </c>
    </row>
    <row r="353" spans="1:68" thickBot="1" x14ac:dyDescent="0.3">
      <c r="A353" s="4">
        <v>176</v>
      </c>
      <c r="B353" s="4" t="s">
        <v>917</v>
      </c>
      <c r="C353" s="4">
        <v>6</v>
      </c>
      <c r="D353" s="4" t="s">
        <v>1760</v>
      </c>
      <c r="E353" s="4">
        <v>4</v>
      </c>
      <c r="F353" s="4" t="str">
        <f ca="1">Master_List!$AW$1</f>
        <v>PERPUSTAKAAN PUSAT</v>
      </c>
      <c r="G353" s="4" t="str">
        <f ca="1">Master_List!$AW$2</f>
        <v>09:30 PM</v>
      </c>
      <c r="H353" s="4" t="str">
        <f ca="1">Master_List!$AW$3</f>
        <v>20/07/2026</v>
      </c>
      <c r="I353" s="4" t="str">
        <f ca="1">Master_List!$AW$4</f>
        <v>28.5</v>
      </c>
      <c r="J353" s="4" t="str">
        <f ca="1">Master_List!$AW$5</f>
        <v>65</v>
      </c>
      <c r="K353" s="4" t="s">
        <v>579</v>
      </c>
      <c r="BL353" s="4" t="s">
        <v>1744</v>
      </c>
      <c r="BM353" s="4" t="s">
        <v>1926</v>
      </c>
      <c r="BN353" s="4" t="s">
        <v>1748</v>
      </c>
      <c r="BO353" s="4" t="str">
        <f t="shared" si="5"/>
        <v>C:\Users\aremi\Desktop\REPORT CBM\PO TIANU JB\03. Raw Material\40. 10052026 SSU MEDINI SIGNATURE 33KV (VI)\IR</v>
      </c>
      <c r="BP353" t="s">
        <v>925</v>
      </c>
    </row>
    <row r="354" spans="1:68" thickBot="1" x14ac:dyDescent="0.3">
      <c r="A354" s="4">
        <v>177</v>
      </c>
      <c r="B354" s="4" t="s">
        <v>917</v>
      </c>
      <c r="C354" s="4">
        <v>6</v>
      </c>
      <c r="D354" s="4" t="s">
        <v>1760</v>
      </c>
      <c r="E354" s="4">
        <v>5</v>
      </c>
      <c r="F354" s="4" t="str">
        <f ca="1">Master_List!$AW$1</f>
        <v>PERPUSTAKAAN PUSAT</v>
      </c>
      <c r="G354" s="4" t="str">
        <f ca="1">Master_List!$AW$2</f>
        <v>09:30 PM</v>
      </c>
      <c r="H354" s="4" t="str">
        <f ca="1">Master_List!$AW$3</f>
        <v>20/07/2026</v>
      </c>
      <c r="I354" s="4" t="str">
        <f ca="1">Master_List!$AW$4</f>
        <v>28.5</v>
      </c>
      <c r="J354" s="4" t="str">
        <f ca="1">Master_List!$AW$5</f>
        <v>65</v>
      </c>
      <c r="K354" s="4" t="s">
        <v>582</v>
      </c>
      <c r="BL354" s="4" t="s">
        <v>1744</v>
      </c>
      <c r="BM354" s="4" t="s">
        <v>1927</v>
      </c>
      <c r="BN354" s="4" t="s">
        <v>1746</v>
      </c>
      <c r="BO354" s="4" t="str">
        <f t="shared" si="5"/>
        <v>C:\Users\aremi\Desktop\REPORT CBM\PO TIANU JB\03. Raw Material\40. 10052026 SSU MEDINI SIGNATURE 33KV (VI)\IR</v>
      </c>
      <c r="BP354" t="s">
        <v>926</v>
      </c>
    </row>
    <row r="355" spans="1:68" thickBot="1" x14ac:dyDescent="0.3">
      <c r="A355" s="4">
        <v>177</v>
      </c>
      <c r="B355" s="4" t="s">
        <v>917</v>
      </c>
      <c r="C355" s="4">
        <v>6</v>
      </c>
      <c r="D355" s="4" t="s">
        <v>1760</v>
      </c>
      <c r="E355" s="4">
        <v>5</v>
      </c>
      <c r="F355" s="4" t="str">
        <f ca="1">Master_List!$AW$1</f>
        <v>PERPUSTAKAAN PUSAT</v>
      </c>
      <c r="G355" s="4" t="str">
        <f ca="1">Master_List!$AW$2</f>
        <v>09:30 PM</v>
      </c>
      <c r="H355" s="4" t="str">
        <f ca="1">Master_List!$AW$3</f>
        <v>20/07/2026</v>
      </c>
      <c r="I355" s="4" t="str">
        <f ca="1">Master_List!$AW$4</f>
        <v>28.5</v>
      </c>
      <c r="J355" s="4" t="str">
        <f ca="1">Master_List!$AW$5</f>
        <v>65</v>
      </c>
      <c r="K355" s="4" t="s">
        <v>582</v>
      </c>
      <c r="BL355" s="4" t="s">
        <v>1744</v>
      </c>
      <c r="BM355" s="4" t="s">
        <v>1927</v>
      </c>
      <c r="BN355" s="4" t="s">
        <v>1748</v>
      </c>
      <c r="BO355" s="4" t="str">
        <f t="shared" si="5"/>
        <v>C:\Users\aremi\Desktop\REPORT CBM\PO TIANU JB\03. Raw Material\40. 10052026 SSU MEDINI SIGNATURE 33KV (VI)\IR</v>
      </c>
      <c r="BP355" t="s">
        <v>927</v>
      </c>
    </row>
    <row r="356" spans="1:68" thickBot="1" x14ac:dyDescent="0.3">
      <c r="A356" s="4">
        <v>178</v>
      </c>
      <c r="B356" s="4" t="s">
        <v>917</v>
      </c>
      <c r="C356" s="4">
        <v>6</v>
      </c>
      <c r="D356" s="4" t="s">
        <v>1760</v>
      </c>
      <c r="E356" s="4">
        <v>6</v>
      </c>
      <c r="F356" s="4" t="str">
        <f ca="1">Master_List!$AW$1</f>
        <v>PERPUSTAKAAN PUSAT</v>
      </c>
      <c r="G356" s="4" t="str">
        <f ca="1">Master_List!$AW$2</f>
        <v>09:30 PM</v>
      </c>
      <c r="H356" s="4" t="str">
        <f ca="1">Master_List!$AW$3</f>
        <v>20/07/2026</v>
      </c>
      <c r="I356" s="4" t="str">
        <f ca="1">Master_List!$AW$4</f>
        <v>28.5</v>
      </c>
      <c r="J356" s="4" t="str">
        <f ca="1">Master_List!$AW$5</f>
        <v>65</v>
      </c>
      <c r="K356" s="4" t="s">
        <v>585</v>
      </c>
      <c r="BL356" s="4" t="s">
        <v>1744</v>
      </c>
      <c r="BM356" s="4" t="s">
        <v>1928</v>
      </c>
      <c r="BN356" s="4" t="s">
        <v>1746</v>
      </c>
      <c r="BO356" s="4" t="str">
        <f t="shared" si="5"/>
        <v>C:\Users\aremi\Desktop\REPORT CBM\PO TIANU JB\03. Raw Material\40. 10052026 SSU MEDINI SIGNATURE 33KV (VI)\IR</v>
      </c>
      <c r="BP356" t="s">
        <v>928</v>
      </c>
    </row>
    <row r="357" spans="1:68" thickBot="1" x14ac:dyDescent="0.3">
      <c r="A357" s="4">
        <v>178</v>
      </c>
      <c r="B357" s="4" t="s">
        <v>917</v>
      </c>
      <c r="C357" s="4">
        <v>6</v>
      </c>
      <c r="D357" s="4" t="s">
        <v>1760</v>
      </c>
      <c r="E357" s="4">
        <v>6</v>
      </c>
      <c r="F357" s="4" t="str">
        <f ca="1">Master_List!$AW$1</f>
        <v>PERPUSTAKAAN PUSAT</v>
      </c>
      <c r="G357" s="4" t="str">
        <f ca="1">Master_List!$AW$2</f>
        <v>09:30 PM</v>
      </c>
      <c r="H357" s="4" t="str">
        <f ca="1">Master_List!$AW$3</f>
        <v>20/07/2026</v>
      </c>
      <c r="I357" s="4" t="str">
        <f ca="1">Master_List!$AW$4</f>
        <v>28.5</v>
      </c>
      <c r="J357" s="4" t="str">
        <f ca="1">Master_List!$AW$5</f>
        <v>65</v>
      </c>
      <c r="K357" s="4" t="s">
        <v>585</v>
      </c>
      <c r="BL357" s="4" t="s">
        <v>1744</v>
      </c>
      <c r="BM357" s="4" t="s">
        <v>1928</v>
      </c>
      <c r="BN357" s="4" t="s">
        <v>1748</v>
      </c>
      <c r="BO357" s="4" t="str">
        <f t="shared" si="5"/>
        <v>C:\Users\aremi\Desktop\REPORT CBM\PO TIANU JB\03. Raw Material\40. 10052026 SSU MEDINI SIGNATURE 33KV (VI)\IR</v>
      </c>
      <c r="BP357" t="s">
        <v>929</v>
      </c>
    </row>
    <row r="358" spans="1:68" thickBot="1" x14ac:dyDescent="0.3">
      <c r="A358" s="4">
        <v>179</v>
      </c>
      <c r="B358" s="4" t="s">
        <v>917</v>
      </c>
      <c r="C358" s="4">
        <v>6</v>
      </c>
      <c r="D358" s="4" t="s">
        <v>1767</v>
      </c>
      <c r="E358" s="4">
        <v>7</v>
      </c>
      <c r="F358" s="4" t="str">
        <f ca="1">Master_List!$AW$1</f>
        <v>PERPUSTAKAAN PUSAT</v>
      </c>
      <c r="G358" s="4" t="str">
        <f ca="1">Master_List!$AW$2</f>
        <v>09:30 PM</v>
      </c>
      <c r="H358" s="4" t="str">
        <f ca="1">Master_List!$AW$3</f>
        <v>20/07/2026</v>
      </c>
      <c r="I358" s="4" t="str">
        <f ca="1">Master_List!$AW$4</f>
        <v>28.5</v>
      </c>
      <c r="J358" s="4" t="str">
        <f ca="1">Master_List!$AW$5</f>
        <v>65</v>
      </c>
      <c r="K358" s="4" t="s">
        <v>588</v>
      </c>
      <c r="BL358" s="4" t="s">
        <v>1744</v>
      </c>
      <c r="BM358" s="4" t="s">
        <v>1929</v>
      </c>
      <c r="BN358" s="4" t="s">
        <v>1746</v>
      </c>
      <c r="BO358" s="4" t="str">
        <f t="shared" si="5"/>
        <v>C:\Users\aremi\Desktop\REPORT CBM\PO TIANU JB\03. Raw Material\40. 10052026 SSU MEDINI SIGNATURE 33KV (VI)\IR</v>
      </c>
      <c r="BP358" t="s">
        <v>930</v>
      </c>
    </row>
    <row r="359" spans="1:68" thickBot="1" x14ac:dyDescent="0.3">
      <c r="A359" s="4">
        <v>179</v>
      </c>
      <c r="B359" s="4" t="s">
        <v>917</v>
      </c>
      <c r="C359" s="4">
        <v>6</v>
      </c>
      <c r="D359" s="4" t="s">
        <v>1767</v>
      </c>
      <c r="E359" s="4">
        <v>7</v>
      </c>
      <c r="F359" s="4" t="str">
        <f ca="1">Master_List!$AW$1</f>
        <v>PERPUSTAKAAN PUSAT</v>
      </c>
      <c r="G359" s="4" t="str">
        <f ca="1">Master_List!$AW$2</f>
        <v>09:30 PM</v>
      </c>
      <c r="H359" s="4" t="str">
        <f ca="1">Master_List!$AW$3</f>
        <v>20/07/2026</v>
      </c>
      <c r="I359" s="4" t="str">
        <f ca="1">Master_List!$AW$4</f>
        <v>28.5</v>
      </c>
      <c r="J359" s="4" t="str">
        <f ca="1">Master_List!$AW$5</f>
        <v>65</v>
      </c>
      <c r="K359" s="4" t="s">
        <v>588</v>
      </c>
      <c r="BL359" s="4" t="s">
        <v>1744</v>
      </c>
      <c r="BM359" s="4" t="s">
        <v>1929</v>
      </c>
      <c r="BN359" s="4" t="s">
        <v>1748</v>
      </c>
      <c r="BO359" s="4" t="str">
        <f t="shared" si="5"/>
        <v>C:\Users\aremi\Desktop\REPORT CBM\PO TIANU JB\03. Raw Material\40. 10052026 SSU MEDINI SIGNATURE 33KV (VI)\IR</v>
      </c>
      <c r="BP359" t="s">
        <v>931</v>
      </c>
    </row>
    <row r="360" spans="1:68" thickBot="1" x14ac:dyDescent="0.3">
      <c r="A360" s="4">
        <v>180</v>
      </c>
      <c r="B360" s="4" t="s">
        <v>917</v>
      </c>
      <c r="C360" s="4">
        <v>6</v>
      </c>
      <c r="D360" s="4" t="s">
        <v>1769</v>
      </c>
      <c r="E360" s="4">
        <v>8</v>
      </c>
      <c r="F360" s="4" t="str">
        <f ca="1">Master_List!$AW$1</f>
        <v>PERPUSTAKAAN PUSAT</v>
      </c>
      <c r="G360" s="4" t="str">
        <f ca="1">Master_List!$AW$2</f>
        <v>09:30 PM</v>
      </c>
      <c r="H360" s="4" t="str">
        <f ca="1">Master_List!$AW$3</f>
        <v>20/07/2026</v>
      </c>
      <c r="I360" s="4" t="str">
        <f ca="1">Master_List!$AW$4</f>
        <v>28.5</v>
      </c>
      <c r="J360" s="4" t="str">
        <f ca="1">Master_List!$AW$5</f>
        <v>65</v>
      </c>
      <c r="K360" s="4" t="s">
        <v>591</v>
      </c>
      <c r="BL360" s="4" t="s">
        <v>1744</v>
      </c>
      <c r="BM360" s="4" t="s">
        <v>1930</v>
      </c>
      <c r="BN360" s="4" t="s">
        <v>1746</v>
      </c>
      <c r="BO360" s="4" t="str">
        <f t="shared" si="5"/>
        <v>C:\Users\aremi\Desktop\REPORT CBM\PO TIANU JB\03. Raw Material\40. 10052026 SSU MEDINI SIGNATURE 33KV (VI)\IR</v>
      </c>
      <c r="BP360" t="s">
        <v>932</v>
      </c>
    </row>
    <row r="361" spans="1:68" thickBot="1" x14ac:dyDescent="0.3">
      <c r="A361" s="4">
        <v>180</v>
      </c>
      <c r="B361" s="4" t="s">
        <v>917</v>
      </c>
      <c r="C361" s="4">
        <v>6</v>
      </c>
      <c r="D361" s="4" t="s">
        <v>1769</v>
      </c>
      <c r="E361" s="4">
        <v>8</v>
      </c>
      <c r="F361" s="4" t="str">
        <f ca="1">Master_List!$AW$1</f>
        <v>PERPUSTAKAAN PUSAT</v>
      </c>
      <c r="G361" s="4" t="str">
        <f ca="1">Master_List!$AW$2</f>
        <v>09:30 PM</v>
      </c>
      <c r="H361" s="4" t="str">
        <f ca="1">Master_List!$AW$3</f>
        <v>20/07/2026</v>
      </c>
      <c r="I361" s="4" t="str">
        <f ca="1">Master_List!$AW$4</f>
        <v>28.5</v>
      </c>
      <c r="J361" s="4" t="str">
        <f ca="1">Master_List!$AW$5</f>
        <v>65</v>
      </c>
      <c r="K361" s="4" t="s">
        <v>591</v>
      </c>
      <c r="BL361" s="4" t="s">
        <v>1744</v>
      </c>
      <c r="BM361" s="4" t="s">
        <v>1930</v>
      </c>
      <c r="BN361" s="4" t="s">
        <v>1748</v>
      </c>
      <c r="BO361" s="4" t="str">
        <f t="shared" si="5"/>
        <v>C:\Users\aremi\Desktop\REPORT CBM\PO TIANU JB\03. Raw Material\40. 10052026 SSU MEDINI SIGNATURE 33KV (VI)\IR</v>
      </c>
      <c r="BP361" t="s">
        <v>933</v>
      </c>
    </row>
    <row r="362" spans="1:68" thickBot="1" x14ac:dyDescent="0.3">
      <c r="A362" s="4">
        <v>181</v>
      </c>
      <c r="B362" s="4" t="s">
        <v>934</v>
      </c>
      <c r="C362" s="4">
        <v>6</v>
      </c>
      <c r="D362" s="4" t="s">
        <v>1760</v>
      </c>
      <c r="E362" s="4">
        <v>1</v>
      </c>
      <c r="F362" s="4" t="str">
        <f ca="1">Master_List!$AW$1</f>
        <v>PERPUSTAKAAN PUSAT</v>
      </c>
      <c r="G362" s="4" t="str">
        <f ca="1">Master_List!$AW$2</f>
        <v>09:30 PM</v>
      </c>
      <c r="H362" s="4" t="str">
        <f ca="1">Master_List!$AW$3</f>
        <v>20/07/2026</v>
      </c>
      <c r="I362" s="4" t="str">
        <f ca="1">Master_List!$AW$4</f>
        <v>28.5</v>
      </c>
      <c r="J362" s="4" t="str">
        <f ca="1">Master_List!$AW$5</f>
        <v>65</v>
      </c>
      <c r="K362" s="4" t="s">
        <v>570</v>
      </c>
      <c r="BL362" s="4" t="s">
        <v>1744</v>
      </c>
      <c r="BM362" s="4" t="s">
        <v>1931</v>
      </c>
      <c r="BN362" s="4" t="s">
        <v>1746</v>
      </c>
      <c r="BO362" s="4" t="str">
        <f t="shared" si="5"/>
        <v>C:\Users\aremi\Desktop\REPORT CBM\PO TIANU JB\03. Raw Material\40. 10052026 SSU MEDINI SIGNATURE 33KV (VI)\IR</v>
      </c>
      <c r="BP362" t="s">
        <v>935</v>
      </c>
    </row>
    <row r="363" spans="1:68" thickBot="1" x14ac:dyDescent="0.3">
      <c r="A363" s="4">
        <v>181</v>
      </c>
      <c r="B363" s="4" t="s">
        <v>934</v>
      </c>
      <c r="C363" s="4">
        <v>6</v>
      </c>
      <c r="D363" s="4" t="s">
        <v>1760</v>
      </c>
      <c r="E363" s="4">
        <v>1</v>
      </c>
      <c r="F363" s="4" t="str">
        <f ca="1">Master_List!$AW$1</f>
        <v>PERPUSTAKAAN PUSAT</v>
      </c>
      <c r="G363" s="4" t="str">
        <f ca="1">Master_List!$AW$2</f>
        <v>09:30 PM</v>
      </c>
      <c r="H363" s="4" t="str">
        <f ca="1">Master_List!$AW$3</f>
        <v>20/07/2026</v>
      </c>
      <c r="I363" s="4" t="str">
        <f ca="1">Master_List!$AW$4</f>
        <v>28.5</v>
      </c>
      <c r="J363" s="4" t="str">
        <f ca="1">Master_List!$AW$5</f>
        <v>65</v>
      </c>
      <c r="K363" s="4" t="s">
        <v>570</v>
      </c>
      <c r="BL363" s="4" t="s">
        <v>1744</v>
      </c>
      <c r="BM363" s="4" t="s">
        <v>1931</v>
      </c>
      <c r="BN363" s="4" t="s">
        <v>1748</v>
      </c>
      <c r="BO363" s="4" t="str">
        <f t="shared" si="5"/>
        <v>C:\Users\aremi\Desktop\REPORT CBM\PO TIANU JB\03. Raw Material\40. 10052026 SSU MEDINI SIGNATURE 33KV (VI)\IR</v>
      </c>
      <c r="BP363" t="s">
        <v>936</v>
      </c>
    </row>
    <row r="364" spans="1:68" thickBot="1" x14ac:dyDescent="0.3">
      <c r="A364" s="4">
        <v>182</v>
      </c>
      <c r="B364" s="4" t="s">
        <v>934</v>
      </c>
      <c r="C364" s="4">
        <v>6</v>
      </c>
      <c r="D364" s="4" t="s">
        <v>1760</v>
      </c>
      <c r="E364" s="4">
        <v>2</v>
      </c>
      <c r="F364" s="4" t="str">
        <f ca="1">Master_List!$AW$1</f>
        <v>PERPUSTAKAAN PUSAT</v>
      </c>
      <c r="G364" s="4" t="str">
        <f ca="1">Master_List!$AW$2</f>
        <v>09:30 PM</v>
      </c>
      <c r="H364" s="4" t="str">
        <f ca="1">Master_List!$AW$3</f>
        <v>20/07/2026</v>
      </c>
      <c r="I364" s="4" t="str">
        <f ca="1">Master_List!$AW$4</f>
        <v>28.5</v>
      </c>
      <c r="J364" s="4" t="str">
        <f ca="1">Master_List!$AW$5</f>
        <v>65</v>
      </c>
      <c r="K364" s="4" t="s">
        <v>573</v>
      </c>
      <c r="BL364" s="4" t="s">
        <v>1744</v>
      </c>
      <c r="BM364" s="4" t="s">
        <v>1932</v>
      </c>
      <c r="BN364" s="4" t="s">
        <v>1746</v>
      </c>
      <c r="BO364" s="4" t="str">
        <f t="shared" si="5"/>
        <v>C:\Users\aremi\Desktop\REPORT CBM\PO TIANU JB\03. Raw Material\40. 10052026 SSU MEDINI SIGNATURE 33KV (VI)\IR</v>
      </c>
      <c r="BP364" t="s">
        <v>937</v>
      </c>
    </row>
    <row r="365" spans="1:68" thickBot="1" x14ac:dyDescent="0.3">
      <c r="A365" s="4">
        <v>182</v>
      </c>
      <c r="B365" s="4" t="s">
        <v>934</v>
      </c>
      <c r="C365" s="4">
        <v>6</v>
      </c>
      <c r="D365" s="4" t="s">
        <v>1760</v>
      </c>
      <c r="E365" s="4">
        <v>2</v>
      </c>
      <c r="F365" s="4" t="str">
        <f ca="1">Master_List!$AW$1</f>
        <v>PERPUSTAKAAN PUSAT</v>
      </c>
      <c r="G365" s="4" t="str">
        <f ca="1">Master_List!$AW$2</f>
        <v>09:30 PM</v>
      </c>
      <c r="H365" s="4" t="str">
        <f ca="1">Master_List!$AW$3</f>
        <v>20/07/2026</v>
      </c>
      <c r="I365" s="4" t="str">
        <f ca="1">Master_List!$AW$4</f>
        <v>28.5</v>
      </c>
      <c r="J365" s="4" t="str">
        <f ca="1">Master_List!$AW$5</f>
        <v>65</v>
      </c>
      <c r="K365" s="4" t="s">
        <v>573</v>
      </c>
      <c r="BL365" s="4" t="s">
        <v>1744</v>
      </c>
      <c r="BM365" s="4" t="s">
        <v>1932</v>
      </c>
      <c r="BN365" s="4" t="s">
        <v>1748</v>
      </c>
      <c r="BO365" s="4" t="str">
        <f t="shared" si="5"/>
        <v>C:\Users\aremi\Desktop\REPORT CBM\PO TIANU JB\03. Raw Material\40. 10052026 SSU MEDINI SIGNATURE 33KV (VI)\IR</v>
      </c>
      <c r="BP365" t="s">
        <v>938</v>
      </c>
    </row>
    <row r="366" spans="1:68" thickBot="1" x14ac:dyDescent="0.3">
      <c r="A366" s="4">
        <v>183</v>
      </c>
      <c r="B366" s="4" t="s">
        <v>934</v>
      </c>
      <c r="C366" s="4">
        <v>6</v>
      </c>
      <c r="D366" s="4" t="s">
        <v>1760</v>
      </c>
      <c r="E366" s="4">
        <v>3</v>
      </c>
      <c r="F366" s="4" t="str">
        <f ca="1">Master_List!$AW$1</f>
        <v>PERPUSTAKAAN PUSAT</v>
      </c>
      <c r="G366" s="4" t="str">
        <f ca="1">Master_List!$AW$2</f>
        <v>09:30 PM</v>
      </c>
      <c r="H366" s="4" t="str">
        <f ca="1">Master_List!$AW$3</f>
        <v>20/07/2026</v>
      </c>
      <c r="I366" s="4" t="str">
        <f ca="1">Master_List!$AW$4</f>
        <v>28.5</v>
      </c>
      <c r="J366" s="4" t="str">
        <f ca="1">Master_List!$AW$5</f>
        <v>65</v>
      </c>
      <c r="K366" s="4" t="s">
        <v>576</v>
      </c>
      <c r="BL366" s="4" t="s">
        <v>1744</v>
      </c>
      <c r="BM366" s="4" t="s">
        <v>1933</v>
      </c>
      <c r="BN366" s="4" t="s">
        <v>1746</v>
      </c>
      <c r="BO366" s="4" t="str">
        <f t="shared" si="5"/>
        <v>C:\Users\aremi\Desktop\REPORT CBM\PO TIANU JB\03. Raw Material\40. 10052026 SSU MEDINI SIGNATURE 33KV (VI)\IR</v>
      </c>
      <c r="BP366" t="s">
        <v>939</v>
      </c>
    </row>
    <row r="367" spans="1:68" thickBot="1" x14ac:dyDescent="0.3">
      <c r="A367" s="4">
        <v>183</v>
      </c>
      <c r="B367" s="4" t="s">
        <v>934</v>
      </c>
      <c r="C367" s="4">
        <v>6</v>
      </c>
      <c r="D367" s="4" t="s">
        <v>1760</v>
      </c>
      <c r="E367" s="4">
        <v>3</v>
      </c>
      <c r="F367" s="4" t="str">
        <f ca="1">Master_List!$AW$1</f>
        <v>PERPUSTAKAAN PUSAT</v>
      </c>
      <c r="G367" s="4" t="str">
        <f ca="1">Master_List!$AW$2</f>
        <v>09:30 PM</v>
      </c>
      <c r="H367" s="4" t="str">
        <f ca="1">Master_List!$AW$3</f>
        <v>20/07/2026</v>
      </c>
      <c r="I367" s="4" t="str">
        <f ca="1">Master_List!$AW$4</f>
        <v>28.5</v>
      </c>
      <c r="J367" s="4" t="str">
        <f ca="1">Master_List!$AW$5</f>
        <v>65</v>
      </c>
      <c r="K367" s="4" t="s">
        <v>576</v>
      </c>
      <c r="BL367" s="4" t="s">
        <v>1744</v>
      </c>
      <c r="BM367" s="4" t="s">
        <v>1933</v>
      </c>
      <c r="BN367" s="4" t="s">
        <v>1748</v>
      </c>
      <c r="BO367" s="4" t="str">
        <f t="shared" si="5"/>
        <v>C:\Users\aremi\Desktop\REPORT CBM\PO TIANU JB\03. Raw Material\40. 10052026 SSU MEDINI SIGNATURE 33KV (VI)\IR</v>
      </c>
      <c r="BP367" t="s">
        <v>940</v>
      </c>
    </row>
    <row r="368" spans="1:68" thickBot="1" x14ac:dyDescent="0.3">
      <c r="A368" s="4">
        <v>184</v>
      </c>
      <c r="B368" s="4" t="s">
        <v>934</v>
      </c>
      <c r="C368" s="4">
        <v>6</v>
      </c>
      <c r="D368" s="4" t="s">
        <v>1760</v>
      </c>
      <c r="E368" s="4">
        <v>4</v>
      </c>
      <c r="F368" s="4" t="str">
        <f ca="1">Master_List!$AW$1</f>
        <v>PERPUSTAKAAN PUSAT</v>
      </c>
      <c r="G368" s="4" t="str">
        <f ca="1">Master_List!$AW$2</f>
        <v>09:30 PM</v>
      </c>
      <c r="H368" s="4" t="str">
        <f ca="1">Master_List!$AW$3</f>
        <v>20/07/2026</v>
      </c>
      <c r="I368" s="4" t="str">
        <f ca="1">Master_List!$AW$4</f>
        <v>28.5</v>
      </c>
      <c r="J368" s="4" t="str">
        <f ca="1">Master_List!$AW$5</f>
        <v>65</v>
      </c>
      <c r="K368" s="4" t="s">
        <v>579</v>
      </c>
      <c r="BL368" s="4" t="s">
        <v>1744</v>
      </c>
      <c r="BM368" s="4" t="s">
        <v>1934</v>
      </c>
      <c r="BN368" s="4" t="s">
        <v>1746</v>
      </c>
      <c r="BO368" s="4" t="str">
        <f t="shared" si="5"/>
        <v>C:\Users\aremi\Desktop\REPORT CBM\PO TIANU JB\03. Raw Material\40. 10052026 SSU MEDINI SIGNATURE 33KV (VI)\IR</v>
      </c>
      <c r="BP368" t="s">
        <v>941</v>
      </c>
    </row>
    <row r="369" spans="1:68" thickBot="1" x14ac:dyDescent="0.3">
      <c r="A369" s="4">
        <v>184</v>
      </c>
      <c r="B369" s="4" t="s">
        <v>934</v>
      </c>
      <c r="C369" s="4">
        <v>6</v>
      </c>
      <c r="D369" s="4" t="s">
        <v>1760</v>
      </c>
      <c r="E369" s="4">
        <v>4</v>
      </c>
      <c r="F369" s="4" t="str">
        <f ca="1">Master_List!$AW$1</f>
        <v>PERPUSTAKAAN PUSAT</v>
      </c>
      <c r="G369" s="4" t="str">
        <f ca="1">Master_List!$AW$2</f>
        <v>09:30 PM</v>
      </c>
      <c r="H369" s="4" t="str">
        <f ca="1">Master_List!$AW$3</f>
        <v>20/07/2026</v>
      </c>
      <c r="I369" s="4" t="str">
        <f ca="1">Master_List!$AW$4</f>
        <v>28.5</v>
      </c>
      <c r="J369" s="4" t="str">
        <f ca="1">Master_List!$AW$5</f>
        <v>65</v>
      </c>
      <c r="K369" s="4" t="s">
        <v>579</v>
      </c>
      <c r="BL369" s="4" t="s">
        <v>1744</v>
      </c>
      <c r="BM369" s="4" t="s">
        <v>1934</v>
      </c>
      <c r="BN369" s="4" t="s">
        <v>1748</v>
      </c>
      <c r="BO369" s="4" t="str">
        <f t="shared" si="5"/>
        <v>C:\Users\aremi\Desktop\REPORT CBM\PO TIANU JB\03. Raw Material\40. 10052026 SSU MEDINI SIGNATURE 33KV (VI)\IR</v>
      </c>
      <c r="BP369" t="s">
        <v>942</v>
      </c>
    </row>
    <row r="370" spans="1:68" thickBot="1" x14ac:dyDescent="0.3">
      <c r="A370" s="4">
        <v>185</v>
      </c>
      <c r="B370" s="4" t="s">
        <v>934</v>
      </c>
      <c r="C370" s="4">
        <v>6</v>
      </c>
      <c r="D370" s="4" t="s">
        <v>1760</v>
      </c>
      <c r="E370" s="4">
        <v>5</v>
      </c>
      <c r="F370" s="4" t="str">
        <f ca="1">Master_List!$AW$1</f>
        <v>PERPUSTAKAAN PUSAT</v>
      </c>
      <c r="G370" s="4" t="str">
        <f ca="1">Master_List!$AW$2</f>
        <v>09:30 PM</v>
      </c>
      <c r="H370" s="4" t="str">
        <f ca="1">Master_List!$AW$3</f>
        <v>20/07/2026</v>
      </c>
      <c r="I370" s="4" t="str">
        <f ca="1">Master_List!$AW$4</f>
        <v>28.5</v>
      </c>
      <c r="J370" s="4" t="str">
        <f ca="1">Master_List!$AW$5</f>
        <v>65</v>
      </c>
      <c r="K370" s="4" t="s">
        <v>582</v>
      </c>
      <c r="BL370" s="4" t="s">
        <v>1744</v>
      </c>
      <c r="BM370" s="4" t="s">
        <v>1935</v>
      </c>
      <c r="BN370" s="4" t="s">
        <v>1746</v>
      </c>
      <c r="BO370" s="4" t="str">
        <f t="shared" si="5"/>
        <v>C:\Users\aremi\Desktop\REPORT CBM\PO TIANU JB\03. Raw Material\40. 10052026 SSU MEDINI SIGNATURE 33KV (VI)\IR</v>
      </c>
      <c r="BP370" t="s">
        <v>943</v>
      </c>
    </row>
    <row r="371" spans="1:68" thickBot="1" x14ac:dyDescent="0.3">
      <c r="A371" s="4">
        <v>185</v>
      </c>
      <c r="B371" s="4" t="s">
        <v>934</v>
      </c>
      <c r="C371" s="4">
        <v>6</v>
      </c>
      <c r="D371" s="4" t="s">
        <v>1760</v>
      </c>
      <c r="E371" s="4">
        <v>5</v>
      </c>
      <c r="F371" s="4" t="str">
        <f ca="1">Master_List!$AW$1</f>
        <v>PERPUSTAKAAN PUSAT</v>
      </c>
      <c r="G371" s="4" t="str">
        <f ca="1">Master_List!$AW$2</f>
        <v>09:30 PM</v>
      </c>
      <c r="H371" s="4" t="str">
        <f ca="1">Master_List!$AW$3</f>
        <v>20/07/2026</v>
      </c>
      <c r="I371" s="4" t="str">
        <f ca="1">Master_List!$AW$4</f>
        <v>28.5</v>
      </c>
      <c r="J371" s="4" t="str">
        <f ca="1">Master_List!$AW$5</f>
        <v>65</v>
      </c>
      <c r="K371" s="4" t="s">
        <v>582</v>
      </c>
      <c r="BL371" s="4" t="s">
        <v>1744</v>
      </c>
      <c r="BM371" s="4" t="s">
        <v>1935</v>
      </c>
      <c r="BN371" s="4" t="s">
        <v>1748</v>
      </c>
      <c r="BO371" s="4" t="str">
        <f t="shared" si="5"/>
        <v>C:\Users\aremi\Desktop\REPORT CBM\PO TIANU JB\03. Raw Material\40. 10052026 SSU MEDINI SIGNATURE 33KV (VI)\IR</v>
      </c>
      <c r="BP371" t="s">
        <v>944</v>
      </c>
    </row>
    <row r="372" spans="1:68" thickBot="1" x14ac:dyDescent="0.3">
      <c r="A372" s="4">
        <v>186</v>
      </c>
      <c r="B372" s="4" t="s">
        <v>934</v>
      </c>
      <c r="C372" s="4">
        <v>6</v>
      </c>
      <c r="D372" s="4" t="s">
        <v>1760</v>
      </c>
      <c r="E372" s="4">
        <v>6</v>
      </c>
      <c r="F372" s="4" t="str">
        <f ca="1">Master_List!$AW$1</f>
        <v>PERPUSTAKAAN PUSAT</v>
      </c>
      <c r="G372" s="4" t="str">
        <f ca="1">Master_List!$AW$2</f>
        <v>09:30 PM</v>
      </c>
      <c r="H372" s="4" t="str">
        <f ca="1">Master_List!$AW$3</f>
        <v>20/07/2026</v>
      </c>
      <c r="I372" s="4" t="str">
        <f ca="1">Master_List!$AW$4</f>
        <v>28.5</v>
      </c>
      <c r="J372" s="4" t="str">
        <f ca="1">Master_List!$AW$5</f>
        <v>65</v>
      </c>
      <c r="K372" s="4" t="s">
        <v>585</v>
      </c>
      <c r="BL372" s="4" t="s">
        <v>1744</v>
      </c>
      <c r="BM372" s="4" t="s">
        <v>1936</v>
      </c>
      <c r="BN372" s="4" t="s">
        <v>1746</v>
      </c>
      <c r="BO372" s="4" t="str">
        <f t="shared" si="5"/>
        <v>C:\Users\aremi\Desktop\REPORT CBM\PO TIANU JB\03. Raw Material\40. 10052026 SSU MEDINI SIGNATURE 33KV (VI)\IR</v>
      </c>
      <c r="BP372" t="s">
        <v>945</v>
      </c>
    </row>
    <row r="373" spans="1:68" thickBot="1" x14ac:dyDescent="0.3">
      <c r="A373" s="4">
        <v>186</v>
      </c>
      <c r="B373" s="4" t="s">
        <v>934</v>
      </c>
      <c r="C373" s="4">
        <v>6</v>
      </c>
      <c r="D373" s="4" t="s">
        <v>1760</v>
      </c>
      <c r="E373" s="4">
        <v>6</v>
      </c>
      <c r="F373" s="4" t="str">
        <f ca="1">Master_List!$AW$1</f>
        <v>PERPUSTAKAAN PUSAT</v>
      </c>
      <c r="G373" s="4" t="str">
        <f ca="1">Master_List!$AW$2</f>
        <v>09:30 PM</v>
      </c>
      <c r="H373" s="4" t="str">
        <f ca="1">Master_List!$AW$3</f>
        <v>20/07/2026</v>
      </c>
      <c r="I373" s="4" t="str">
        <f ca="1">Master_List!$AW$4</f>
        <v>28.5</v>
      </c>
      <c r="J373" s="4" t="str">
        <f ca="1">Master_List!$AW$5</f>
        <v>65</v>
      </c>
      <c r="K373" s="4" t="s">
        <v>585</v>
      </c>
      <c r="BL373" s="4" t="s">
        <v>1744</v>
      </c>
      <c r="BM373" s="4" t="s">
        <v>1936</v>
      </c>
      <c r="BN373" s="4" t="s">
        <v>1748</v>
      </c>
      <c r="BO373" s="4" t="str">
        <f t="shared" si="5"/>
        <v>C:\Users\aremi\Desktop\REPORT CBM\PO TIANU JB\03. Raw Material\40. 10052026 SSU MEDINI SIGNATURE 33KV (VI)\IR</v>
      </c>
      <c r="BP373" t="s">
        <v>946</v>
      </c>
    </row>
    <row r="374" spans="1:68" thickBot="1" x14ac:dyDescent="0.3">
      <c r="A374" s="4">
        <v>187</v>
      </c>
      <c r="B374" s="4" t="s">
        <v>934</v>
      </c>
      <c r="C374" s="4">
        <v>6</v>
      </c>
      <c r="D374" s="4" t="s">
        <v>1767</v>
      </c>
      <c r="E374" s="4">
        <v>7</v>
      </c>
      <c r="F374" s="4" t="str">
        <f ca="1">Master_List!$AW$1</f>
        <v>PERPUSTAKAAN PUSAT</v>
      </c>
      <c r="G374" s="4" t="str">
        <f ca="1">Master_List!$AW$2</f>
        <v>09:30 PM</v>
      </c>
      <c r="H374" s="4" t="str">
        <f ca="1">Master_List!$AW$3</f>
        <v>20/07/2026</v>
      </c>
      <c r="I374" s="4" t="str">
        <f ca="1">Master_List!$AW$4</f>
        <v>28.5</v>
      </c>
      <c r="J374" s="4" t="str">
        <f ca="1">Master_List!$AW$5</f>
        <v>65</v>
      </c>
      <c r="K374" s="4" t="s">
        <v>588</v>
      </c>
      <c r="BL374" s="4" t="s">
        <v>1744</v>
      </c>
      <c r="BM374" s="4" t="s">
        <v>1937</v>
      </c>
      <c r="BN374" s="4" t="s">
        <v>1746</v>
      </c>
      <c r="BO374" s="4" t="str">
        <f t="shared" si="5"/>
        <v>C:\Users\aremi\Desktop\REPORT CBM\PO TIANU JB\03. Raw Material\40. 10052026 SSU MEDINI SIGNATURE 33KV (VI)\IR</v>
      </c>
      <c r="BP374" t="s">
        <v>947</v>
      </c>
    </row>
    <row r="375" spans="1:68" thickBot="1" x14ac:dyDescent="0.3">
      <c r="A375" s="4">
        <v>187</v>
      </c>
      <c r="B375" s="4" t="s">
        <v>934</v>
      </c>
      <c r="C375" s="4">
        <v>6</v>
      </c>
      <c r="D375" s="4" t="s">
        <v>1767</v>
      </c>
      <c r="E375" s="4">
        <v>7</v>
      </c>
      <c r="F375" s="4" t="str">
        <f ca="1">Master_List!$AW$1</f>
        <v>PERPUSTAKAAN PUSAT</v>
      </c>
      <c r="G375" s="4" t="str">
        <f ca="1">Master_List!$AW$2</f>
        <v>09:30 PM</v>
      </c>
      <c r="H375" s="4" t="str">
        <f ca="1">Master_List!$AW$3</f>
        <v>20/07/2026</v>
      </c>
      <c r="I375" s="4" t="str">
        <f ca="1">Master_List!$AW$4</f>
        <v>28.5</v>
      </c>
      <c r="J375" s="4" t="str">
        <f ca="1">Master_List!$AW$5</f>
        <v>65</v>
      </c>
      <c r="K375" s="4" t="s">
        <v>588</v>
      </c>
      <c r="BL375" s="4" t="s">
        <v>1744</v>
      </c>
      <c r="BM375" s="4" t="s">
        <v>1937</v>
      </c>
      <c r="BN375" s="4" t="s">
        <v>1748</v>
      </c>
      <c r="BO375" s="4" t="str">
        <f t="shared" si="5"/>
        <v>C:\Users\aremi\Desktop\REPORT CBM\PO TIANU JB\03. Raw Material\40. 10052026 SSU MEDINI SIGNATURE 33KV (VI)\IR</v>
      </c>
      <c r="BP375" t="s">
        <v>948</v>
      </c>
    </row>
    <row r="376" spans="1:68" thickBot="1" x14ac:dyDescent="0.3">
      <c r="A376" s="4">
        <v>188</v>
      </c>
      <c r="B376" s="4" t="s">
        <v>934</v>
      </c>
      <c r="C376" s="4">
        <v>6</v>
      </c>
      <c r="D376" s="4" t="s">
        <v>1769</v>
      </c>
      <c r="E376" s="4">
        <v>8</v>
      </c>
      <c r="F376" s="4" t="str">
        <f ca="1">Master_List!$AW$1</f>
        <v>PERPUSTAKAAN PUSAT</v>
      </c>
      <c r="G376" s="4" t="str">
        <f ca="1">Master_List!$AW$2</f>
        <v>09:30 PM</v>
      </c>
      <c r="H376" s="4" t="str">
        <f ca="1">Master_List!$AW$3</f>
        <v>20/07/2026</v>
      </c>
      <c r="I376" s="4" t="str">
        <f ca="1">Master_List!$AW$4</f>
        <v>28.5</v>
      </c>
      <c r="J376" s="4" t="str">
        <f ca="1">Master_List!$AW$5</f>
        <v>65</v>
      </c>
      <c r="K376" s="4" t="s">
        <v>591</v>
      </c>
      <c r="BL376" s="4" t="s">
        <v>1744</v>
      </c>
      <c r="BM376" s="4" t="s">
        <v>1938</v>
      </c>
      <c r="BN376" s="4" t="s">
        <v>1746</v>
      </c>
      <c r="BO376" s="4" t="str">
        <f t="shared" si="5"/>
        <v>C:\Users\aremi\Desktop\REPORT CBM\PO TIANU JB\03. Raw Material\40. 10052026 SSU MEDINI SIGNATURE 33KV (VI)\IR</v>
      </c>
      <c r="BP376" t="s">
        <v>949</v>
      </c>
    </row>
    <row r="377" spans="1:68" thickBot="1" x14ac:dyDescent="0.3">
      <c r="A377" s="4">
        <v>188</v>
      </c>
      <c r="B377" s="4" t="s">
        <v>934</v>
      </c>
      <c r="C377" s="4">
        <v>6</v>
      </c>
      <c r="D377" s="4" t="s">
        <v>1769</v>
      </c>
      <c r="E377" s="4">
        <v>8</v>
      </c>
      <c r="F377" s="4" t="str">
        <f ca="1">Master_List!$AW$1</f>
        <v>PERPUSTAKAAN PUSAT</v>
      </c>
      <c r="G377" s="4" t="str">
        <f ca="1">Master_List!$AW$2</f>
        <v>09:30 PM</v>
      </c>
      <c r="H377" s="4" t="str">
        <f ca="1">Master_List!$AW$3</f>
        <v>20/07/2026</v>
      </c>
      <c r="I377" s="4" t="str">
        <f ca="1">Master_List!$AW$4</f>
        <v>28.5</v>
      </c>
      <c r="J377" s="4" t="str">
        <f ca="1">Master_List!$AW$5</f>
        <v>65</v>
      </c>
      <c r="K377" s="4" t="s">
        <v>591</v>
      </c>
      <c r="BL377" s="4" t="s">
        <v>1744</v>
      </c>
      <c r="BM377" s="4" t="s">
        <v>1938</v>
      </c>
      <c r="BN377" s="4" t="s">
        <v>1748</v>
      </c>
      <c r="BO377" s="4" t="str">
        <f t="shared" si="5"/>
        <v>C:\Users\aremi\Desktop\REPORT CBM\PO TIANU JB\03. Raw Material\40. 10052026 SSU MEDINI SIGNATURE 33KV (VI)\IR</v>
      </c>
      <c r="BP377" t="s">
        <v>950</v>
      </c>
    </row>
    <row r="378" spans="1:68" thickBot="1" x14ac:dyDescent="0.3">
      <c r="A378" s="4">
        <v>189</v>
      </c>
      <c r="B378" s="4" t="s">
        <v>951</v>
      </c>
      <c r="C378" s="4">
        <v>6</v>
      </c>
      <c r="D378" s="4" t="s">
        <v>1760</v>
      </c>
      <c r="E378" s="4">
        <v>1</v>
      </c>
      <c r="F378" s="4" t="str">
        <f ca="1">Master_List!$AW$1</f>
        <v>PERPUSTAKAAN PUSAT</v>
      </c>
      <c r="G378" s="4" t="str">
        <f ca="1">Master_List!$AW$2</f>
        <v>09:30 PM</v>
      </c>
      <c r="H378" s="4" t="str">
        <f ca="1">Master_List!$AW$3</f>
        <v>20/07/2026</v>
      </c>
      <c r="I378" s="4" t="str">
        <f ca="1">Master_List!$AW$4</f>
        <v>28.5</v>
      </c>
      <c r="J378" s="4" t="str">
        <f ca="1">Master_List!$AW$5</f>
        <v>65</v>
      </c>
      <c r="K378" s="4" t="s">
        <v>570</v>
      </c>
      <c r="BL378" s="4" t="s">
        <v>1744</v>
      </c>
      <c r="BM378" s="4" t="s">
        <v>1939</v>
      </c>
      <c r="BN378" s="4" t="s">
        <v>1746</v>
      </c>
      <c r="BO378" s="4" t="str">
        <f t="shared" si="5"/>
        <v>C:\Users\aremi\Desktop\REPORT CBM\PO TIANU JB\03. Raw Material\40. 10052026 SSU MEDINI SIGNATURE 33KV (VI)\IR</v>
      </c>
      <c r="BP378" t="s">
        <v>952</v>
      </c>
    </row>
    <row r="379" spans="1:68" thickBot="1" x14ac:dyDescent="0.3">
      <c r="A379" s="4">
        <v>189</v>
      </c>
      <c r="B379" s="4" t="s">
        <v>951</v>
      </c>
      <c r="C379" s="4">
        <v>6</v>
      </c>
      <c r="D379" s="4" t="s">
        <v>1760</v>
      </c>
      <c r="E379" s="4">
        <v>1</v>
      </c>
      <c r="F379" s="4" t="str">
        <f ca="1">Master_List!$AW$1</f>
        <v>PERPUSTAKAAN PUSAT</v>
      </c>
      <c r="G379" s="4" t="str">
        <f ca="1">Master_List!$AW$2</f>
        <v>09:30 PM</v>
      </c>
      <c r="H379" s="4" t="str">
        <f ca="1">Master_List!$AW$3</f>
        <v>20/07/2026</v>
      </c>
      <c r="I379" s="4" t="str">
        <f ca="1">Master_List!$AW$4</f>
        <v>28.5</v>
      </c>
      <c r="J379" s="4" t="str">
        <f ca="1">Master_List!$AW$5</f>
        <v>65</v>
      </c>
      <c r="K379" s="4" t="s">
        <v>570</v>
      </c>
      <c r="BL379" s="4" t="s">
        <v>1744</v>
      </c>
      <c r="BM379" s="4" t="s">
        <v>1939</v>
      </c>
      <c r="BN379" s="4" t="s">
        <v>1748</v>
      </c>
      <c r="BO379" s="4" t="str">
        <f t="shared" si="5"/>
        <v>C:\Users\aremi\Desktop\REPORT CBM\PO TIANU JB\03. Raw Material\40. 10052026 SSU MEDINI SIGNATURE 33KV (VI)\IR</v>
      </c>
      <c r="BP379" t="s">
        <v>953</v>
      </c>
    </row>
    <row r="380" spans="1:68" thickBot="1" x14ac:dyDescent="0.3">
      <c r="A380" s="4">
        <v>190</v>
      </c>
      <c r="B380" s="4" t="s">
        <v>951</v>
      </c>
      <c r="C380" s="4">
        <v>6</v>
      </c>
      <c r="D380" s="4" t="s">
        <v>1760</v>
      </c>
      <c r="E380" s="4">
        <v>2</v>
      </c>
      <c r="F380" s="4" t="str">
        <f ca="1">Master_List!$AW$1</f>
        <v>PERPUSTAKAAN PUSAT</v>
      </c>
      <c r="G380" s="4" t="str">
        <f ca="1">Master_List!$AW$2</f>
        <v>09:30 PM</v>
      </c>
      <c r="H380" s="4" t="str">
        <f ca="1">Master_List!$AW$3</f>
        <v>20/07/2026</v>
      </c>
      <c r="I380" s="4" t="str">
        <f ca="1">Master_List!$AW$4</f>
        <v>28.5</v>
      </c>
      <c r="J380" s="4" t="str">
        <f ca="1">Master_List!$AW$5</f>
        <v>65</v>
      </c>
      <c r="K380" s="4" t="s">
        <v>573</v>
      </c>
      <c r="BL380" s="4" t="s">
        <v>1744</v>
      </c>
      <c r="BM380" s="4" t="s">
        <v>1940</v>
      </c>
      <c r="BN380" s="4" t="s">
        <v>1746</v>
      </c>
      <c r="BO380" s="4" t="str">
        <f t="shared" si="5"/>
        <v>C:\Users\aremi\Desktop\REPORT CBM\PO TIANU JB\03. Raw Material\40. 10052026 SSU MEDINI SIGNATURE 33KV (VI)\IR</v>
      </c>
      <c r="BP380" t="s">
        <v>954</v>
      </c>
    </row>
    <row r="381" spans="1:68" thickBot="1" x14ac:dyDescent="0.3">
      <c r="A381" s="4">
        <v>190</v>
      </c>
      <c r="B381" s="4" t="s">
        <v>951</v>
      </c>
      <c r="C381" s="4">
        <v>6</v>
      </c>
      <c r="D381" s="4" t="s">
        <v>1760</v>
      </c>
      <c r="E381" s="4">
        <v>2</v>
      </c>
      <c r="F381" s="4" t="str">
        <f ca="1">Master_List!$AW$1</f>
        <v>PERPUSTAKAAN PUSAT</v>
      </c>
      <c r="G381" s="4" t="str">
        <f ca="1">Master_List!$AW$2</f>
        <v>09:30 PM</v>
      </c>
      <c r="H381" s="4" t="str">
        <f ca="1">Master_List!$AW$3</f>
        <v>20/07/2026</v>
      </c>
      <c r="I381" s="4" t="str">
        <f ca="1">Master_List!$AW$4</f>
        <v>28.5</v>
      </c>
      <c r="J381" s="4" t="str">
        <f ca="1">Master_List!$AW$5</f>
        <v>65</v>
      </c>
      <c r="K381" s="4" t="s">
        <v>573</v>
      </c>
      <c r="BL381" s="4" t="s">
        <v>1744</v>
      </c>
      <c r="BM381" s="4" t="s">
        <v>1940</v>
      </c>
      <c r="BN381" s="4" t="s">
        <v>1748</v>
      </c>
      <c r="BO381" s="4" t="str">
        <f t="shared" si="5"/>
        <v>C:\Users\aremi\Desktop\REPORT CBM\PO TIANU JB\03. Raw Material\40. 10052026 SSU MEDINI SIGNATURE 33KV (VI)\IR</v>
      </c>
      <c r="BP381" t="s">
        <v>955</v>
      </c>
    </row>
    <row r="382" spans="1:68" thickBot="1" x14ac:dyDescent="0.3">
      <c r="A382" s="4">
        <v>191</v>
      </c>
      <c r="B382" s="4" t="s">
        <v>951</v>
      </c>
      <c r="C382" s="4">
        <v>6</v>
      </c>
      <c r="D382" s="4" t="s">
        <v>1760</v>
      </c>
      <c r="E382" s="4">
        <v>3</v>
      </c>
      <c r="F382" s="4" t="str">
        <f ca="1">Master_List!$AW$1</f>
        <v>PERPUSTAKAAN PUSAT</v>
      </c>
      <c r="G382" s="4" t="str">
        <f ca="1">Master_List!$AW$2</f>
        <v>09:30 PM</v>
      </c>
      <c r="H382" s="4" t="str">
        <f ca="1">Master_List!$AW$3</f>
        <v>20/07/2026</v>
      </c>
      <c r="I382" s="4" t="str">
        <f ca="1">Master_List!$AW$4</f>
        <v>28.5</v>
      </c>
      <c r="J382" s="4" t="str">
        <f ca="1">Master_List!$AW$5</f>
        <v>65</v>
      </c>
      <c r="K382" s="4" t="s">
        <v>576</v>
      </c>
      <c r="BL382" s="4" t="s">
        <v>1744</v>
      </c>
      <c r="BM382" s="4" t="s">
        <v>1941</v>
      </c>
      <c r="BN382" s="4" t="s">
        <v>1746</v>
      </c>
      <c r="BO382" s="4" t="str">
        <f t="shared" si="5"/>
        <v>C:\Users\aremi\Desktop\REPORT CBM\PO TIANU JB\03. Raw Material\40. 10052026 SSU MEDINI SIGNATURE 33KV (VI)\IR</v>
      </c>
      <c r="BP382" t="s">
        <v>956</v>
      </c>
    </row>
    <row r="383" spans="1:68" thickBot="1" x14ac:dyDescent="0.3">
      <c r="A383" s="4">
        <v>191</v>
      </c>
      <c r="B383" s="4" t="s">
        <v>951</v>
      </c>
      <c r="C383" s="4">
        <v>6</v>
      </c>
      <c r="D383" s="4" t="s">
        <v>1760</v>
      </c>
      <c r="E383" s="4">
        <v>3</v>
      </c>
      <c r="F383" s="4" t="str">
        <f ca="1">Master_List!$AW$1</f>
        <v>PERPUSTAKAAN PUSAT</v>
      </c>
      <c r="G383" s="4" t="str">
        <f ca="1">Master_List!$AW$2</f>
        <v>09:30 PM</v>
      </c>
      <c r="H383" s="4" t="str">
        <f ca="1">Master_List!$AW$3</f>
        <v>20/07/2026</v>
      </c>
      <c r="I383" s="4" t="str">
        <f ca="1">Master_List!$AW$4</f>
        <v>28.5</v>
      </c>
      <c r="J383" s="4" t="str">
        <f ca="1">Master_List!$AW$5</f>
        <v>65</v>
      </c>
      <c r="K383" s="4" t="s">
        <v>576</v>
      </c>
      <c r="BL383" s="4" t="s">
        <v>1744</v>
      </c>
      <c r="BM383" s="4" t="s">
        <v>1941</v>
      </c>
      <c r="BN383" s="4" t="s">
        <v>1748</v>
      </c>
      <c r="BO383" s="4" t="str">
        <f t="shared" si="5"/>
        <v>C:\Users\aremi\Desktop\REPORT CBM\PO TIANU JB\03. Raw Material\40. 10052026 SSU MEDINI SIGNATURE 33KV (VI)\IR</v>
      </c>
      <c r="BP383" t="s">
        <v>957</v>
      </c>
    </row>
    <row r="384" spans="1:68" thickBot="1" x14ac:dyDescent="0.3">
      <c r="A384" s="4">
        <v>192</v>
      </c>
      <c r="B384" s="4" t="s">
        <v>951</v>
      </c>
      <c r="C384" s="4">
        <v>6</v>
      </c>
      <c r="D384" s="4" t="s">
        <v>1760</v>
      </c>
      <c r="E384" s="4">
        <v>4</v>
      </c>
      <c r="F384" s="4" t="str">
        <f ca="1">Master_List!$AW$1</f>
        <v>PERPUSTAKAAN PUSAT</v>
      </c>
      <c r="G384" s="4" t="str">
        <f ca="1">Master_List!$AW$2</f>
        <v>09:30 PM</v>
      </c>
      <c r="H384" s="4" t="str">
        <f ca="1">Master_List!$AW$3</f>
        <v>20/07/2026</v>
      </c>
      <c r="I384" s="4" t="str">
        <f ca="1">Master_List!$AW$4</f>
        <v>28.5</v>
      </c>
      <c r="J384" s="4" t="str">
        <f ca="1">Master_List!$AW$5</f>
        <v>65</v>
      </c>
      <c r="K384" s="4" t="s">
        <v>579</v>
      </c>
      <c r="BL384" s="4" t="s">
        <v>1744</v>
      </c>
      <c r="BM384" s="4" t="s">
        <v>1942</v>
      </c>
      <c r="BN384" s="4" t="s">
        <v>1746</v>
      </c>
      <c r="BO384" s="4" t="str">
        <f t="shared" si="5"/>
        <v>C:\Users\aremi\Desktop\REPORT CBM\PO TIANU JB\03. Raw Material\40. 10052026 SSU MEDINI SIGNATURE 33KV (VI)\IR</v>
      </c>
      <c r="BP384" t="s">
        <v>958</v>
      </c>
    </row>
    <row r="385" spans="1:68" thickBot="1" x14ac:dyDescent="0.3">
      <c r="A385" s="4">
        <v>192</v>
      </c>
      <c r="B385" s="4" t="s">
        <v>951</v>
      </c>
      <c r="C385" s="4">
        <v>6</v>
      </c>
      <c r="D385" s="4" t="s">
        <v>1760</v>
      </c>
      <c r="E385" s="4">
        <v>4</v>
      </c>
      <c r="F385" s="4" t="str">
        <f ca="1">Master_List!$AW$1</f>
        <v>PERPUSTAKAAN PUSAT</v>
      </c>
      <c r="G385" s="4" t="str">
        <f ca="1">Master_List!$AW$2</f>
        <v>09:30 PM</v>
      </c>
      <c r="H385" s="4" t="str">
        <f ca="1">Master_List!$AW$3</f>
        <v>20/07/2026</v>
      </c>
      <c r="I385" s="4" t="str">
        <f ca="1">Master_List!$AW$4</f>
        <v>28.5</v>
      </c>
      <c r="J385" s="4" t="str">
        <f ca="1">Master_List!$AW$5</f>
        <v>65</v>
      </c>
      <c r="K385" s="4" t="s">
        <v>579</v>
      </c>
      <c r="BL385" s="4" t="s">
        <v>1744</v>
      </c>
      <c r="BM385" s="4" t="s">
        <v>1942</v>
      </c>
      <c r="BN385" s="4" t="s">
        <v>1748</v>
      </c>
      <c r="BO385" s="4" t="str">
        <f t="shared" si="5"/>
        <v>C:\Users\aremi\Desktop\REPORT CBM\PO TIANU JB\03. Raw Material\40. 10052026 SSU MEDINI SIGNATURE 33KV (VI)\IR</v>
      </c>
      <c r="BP385" t="s">
        <v>959</v>
      </c>
    </row>
    <row r="386" spans="1:68" thickBot="1" x14ac:dyDescent="0.3">
      <c r="A386" s="4">
        <v>193</v>
      </c>
      <c r="B386" s="4" t="s">
        <v>951</v>
      </c>
      <c r="C386" s="4">
        <v>6</v>
      </c>
      <c r="D386" s="4" t="s">
        <v>1760</v>
      </c>
      <c r="E386" s="4">
        <v>5</v>
      </c>
      <c r="F386" s="4" t="str">
        <f ca="1">Master_List!$AW$1</f>
        <v>PERPUSTAKAAN PUSAT</v>
      </c>
      <c r="G386" s="4" t="str">
        <f ca="1">Master_List!$AW$2</f>
        <v>09:30 PM</v>
      </c>
      <c r="H386" s="4" t="str">
        <f ca="1">Master_List!$AW$3</f>
        <v>20/07/2026</v>
      </c>
      <c r="I386" s="4" t="str">
        <f ca="1">Master_List!$AW$4</f>
        <v>28.5</v>
      </c>
      <c r="J386" s="4" t="str">
        <f ca="1">Master_List!$AW$5</f>
        <v>65</v>
      </c>
      <c r="K386" s="4" t="s">
        <v>582</v>
      </c>
      <c r="BL386" s="4" t="s">
        <v>1744</v>
      </c>
      <c r="BM386" s="4" t="s">
        <v>1943</v>
      </c>
      <c r="BN386" s="4" t="s">
        <v>1746</v>
      </c>
      <c r="BO386" s="4" t="str">
        <f t="shared" si="5"/>
        <v>C:\Users\aremi\Desktop\REPORT CBM\PO TIANU JB\03. Raw Material\40. 10052026 SSU MEDINI SIGNATURE 33KV (VI)\IR</v>
      </c>
      <c r="BP386" t="s">
        <v>960</v>
      </c>
    </row>
    <row r="387" spans="1:68" thickBot="1" x14ac:dyDescent="0.3">
      <c r="A387" s="4">
        <v>193</v>
      </c>
      <c r="B387" s="4" t="s">
        <v>951</v>
      </c>
      <c r="C387" s="4">
        <v>6</v>
      </c>
      <c r="D387" s="4" t="s">
        <v>1760</v>
      </c>
      <c r="E387" s="4">
        <v>5</v>
      </c>
      <c r="F387" s="4" t="str">
        <f ca="1">Master_List!$AW$1</f>
        <v>PERPUSTAKAAN PUSAT</v>
      </c>
      <c r="G387" s="4" t="str">
        <f ca="1">Master_List!$AW$2</f>
        <v>09:30 PM</v>
      </c>
      <c r="H387" s="4" t="str">
        <f ca="1">Master_List!$AW$3</f>
        <v>20/07/2026</v>
      </c>
      <c r="I387" s="4" t="str">
        <f ca="1">Master_List!$AW$4</f>
        <v>28.5</v>
      </c>
      <c r="J387" s="4" t="str">
        <f ca="1">Master_List!$AW$5</f>
        <v>65</v>
      </c>
      <c r="K387" s="4" t="s">
        <v>582</v>
      </c>
      <c r="BL387" s="4" t="s">
        <v>1744</v>
      </c>
      <c r="BM387" s="4" t="s">
        <v>1943</v>
      </c>
      <c r="BN387" s="4" t="s">
        <v>1748</v>
      </c>
      <c r="BO387" s="4" t="str">
        <f t="shared" ref="BO387:BO450" si="6">BO386</f>
        <v>C:\Users\aremi\Desktop\REPORT CBM\PO TIANU JB\03. Raw Material\40. 10052026 SSU MEDINI SIGNATURE 33KV (VI)\IR</v>
      </c>
      <c r="BP387" t="s">
        <v>961</v>
      </c>
    </row>
    <row r="388" spans="1:68" thickBot="1" x14ac:dyDescent="0.3">
      <c r="A388" s="4">
        <v>194</v>
      </c>
      <c r="B388" s="4" t="s">
        <v>951</v>
      </c>
      <c r="C388" s="4">
        <v>6</v>
      </c>
      <c r="D388" s="4" t="s">
        <v>1760</v>
      </c>
      <c r="E388" s="4">
        <v>6</v>
      </c>
      <c r="F388" s="4" t="str">
        <f ca="1">Master_List!$AW$1</f>
        <v>PERPUSTAKAAN PUSAT</v>
      </c>
      <c r="G388" s="4" t="str">
        <f ca="1">Master_List!$AW$2</f>
        <v>09:30 PM</v>
      </c>
      <c r="H388" s="4" t="str">
        <f ca="1">Master_List!$AW$3</f>
        <v>20/07/2026</v>
      </c>
      <c r="I388" s="4" t="str">
        <f ca="1">Master_List!$AW$4</f>
        <v>28.5</v>
      </c>
      <c r="J388" s="4" t="str">
        <f ca="1">Master_List!$AW$5</f>
        <v>65</v>
      </c>
      <c r="K388" s="4" t="s">
        <v>585</v>
      </c>
      <c r="BL388" s="4" t="s">
        <v>1744</v>
      </c>
      <c r="BM388" s="4" t="s">
        <v>1944</v>
      </c>
      <c r="BN388" s="4" t="s">
        <v>1746</v>
      </c>
      <c r="BO388" s="4" t="str">
        <f t="shared" si="6"/>
        <v>C:\Users\aremi\Desktop\REPORT CBM\PO TIANU JB\03. Raw Material\40. 10052026 SSU MEDINI SIGNATURE 33KV (VI)\IR</v>
      </c>
      <c r="BP388" t="s">
        <v>962</v>
      </c>
    </row>
    <row r="389" spans="1:68" thickBot="1" x14ac:dyDescent="0.3">
      <c r="A389" s="4">
        <v>194</v>
      </c>
      <c r="B389" s="4" t="s">
        <v>951</v>
      </c>
      <c r="C389" s="4">
        <v>6</v>
      </c>
      <c r="D389" s="4" t="s">
        <v>1760</v>
      </c>
      <c r="E389" s="4">
        <v>6</v>
      </c>
      <c r="F389" s="4" t="str">
        <f ca="1">Master_List!$AW$1</f>
        <v>PERPUSTAKAAN PUSAT</v>
      </c>
      <c r="G389" s="4" t="str">
        <f ca="1">Master_List!$AW$2</f>
        <v>09:30 PM</v>
      </c>
      <c r="H389" s="4" t="str">
        <f ca="1">Master_List!$AW$3</f>
        <v>20/07/2026</v>
      </c>
      <c r="I389" s="4" t="str">
        <f ca="1">Master_List!$AW$4</f>
        <v>28.5</v>
      </c>
      <c r="J389" s="4" t="str">
        <f ca="1">Master_List!$AW$5</f>
        <v>65</v>
      </c>
      <c r="K389" s="4" t="s">
        <v>585</v>
      </c>
      <c r="BL389" s="4" t="s">
        <v>1744</v>
      </c>
      <c r="BM389" s="4" t="s">
        <v>1944</v>
      </c>
      <c r="BN389" s="4" t="s">
        <v>1748</v>
      </c>
      <c r="BO389" s="4" t="str">
        <f t="shared" si="6"/>
        <v>C:\Users\aremi\Desktop\REPORT CBM\PO TIANU JB\03. Raw Material\40. 10052026 SSU MEDINI SIGNATURE 33KV (VI)\IR</v>
      </c>
      <c r="BP389" t="s">
        <v>963</v>
      </c>
    </row>
    <row r="390" spans="1:68" thickBot="1" x14ac:dyDescent="0.3">
      <c r="A390" s="4">
        <v>195</v>
      </c>
      <c r="B390" s="4" t="s">
        <v>951</v>
      </c>
      <c r="C390" s="4">
        <v>6</v>
      </c>
      <c r="D390" s="4" t="s">
        <v>1767</v>
      </c>
      <c r="E390" s="4">
        <v>7</v>
      </c>
      <c r="F390" s="4" t="str">
        <f ca="1">Master_List!$AW$1</f>
        <v>PERPUSTAKAAN PUSAT</v>
      </c>
      <c r="G390" s="4" t="str">
        <f ca="1">Master_List!$AW$2</f>
        <v>09:30 PM</v>
      </c>
      <c r="H390" s="4" t="str">
        <f ca="1">Master_List!$AW$3</f>
        <v>20/07/2026</v>
      </c>
      <c r="I390" s="4" t="str">
        <f ca="1">Master_List!$AW$4</f>
        <v>28.5</v>
      </c>
      <c r="J390" s="4" t="str">
        <f ca="1">Master_List!$AW$5</f>
        <v>65</v>
      </c>
      <c r="K390" s="4" t="s">
        <v>588</v>
      </c>
      <c r="BL390" s="4" t="s">
        <v>1744</v>
      </c>
      <c r="BM390" s="4" t="s">
        <v>1945</v>
      </c>
      <c r="BN390" s="4" t="s">
        <v>1746</v>
      </c>
      <c r="BO390" s="4" t="str">
        <f t="shared" si="6"/>
        <v>C:\Users\aremi\Desktop\REPORT CBM\PO TIANU JB\03. Raw Material\40. 10052026 SSU MEDINI SIGNATURE 33KV (VI)\IR</v>
      </c>
      <c r="BP390" t="s">
        <v>964</v>
      </c>
    </row>
    <row r="391" spans="1:68" thickBot="1" x14ac:dyDescent="0.3">
      <c r="A391" s="4">
        <v>195</v>
      </c>
      <c r="B391" s="4" t="s">
        <v>951</v>
      </c>
      <c r="C391" s="4">
        <v>6</v>
      </c>
      <c r="D391" s="4" t="s">
        <v>1767</v>
      </c>
      <c r="E391" s="4">
        <v>7</v>
      </c>
      <c r="F391" s="4" t="str">
        <f ca="1">Master_List!$AW$1</f>
        <v>PERPUSTAKAAN PUSAT</v>
      </c>
      <c r="G391" s="4" t="str">
        <f ca="1">Master_List!$AW$2</f>
        <v>09:30 PM</v>
      </c>
      <c r="H391" s="4" t="str">
        <f ca="1">Master_List!$AW$3</f>
        <v>20/07/2026</v>
      </c>
      <c r="I391" s="4" t="str">
        <f ca="1">Master_List!$AW$4</f>
        <v>28.5</v>
      </c>
      <c r="J391" s="4" t="str">
        <f ca="1">Master_List!$AW$5</f>
        <v>65</v>
      </c>
      <c r="K391" s="4" t="s">
        <v>588</v>
      </c>
      <c r="BL391" s="4" t="s">
        <v>1744</v>
      </c>
      <c r="BM391" s="4" t="s">
        <v>1945</v>
      </c>
      <c r="BN391" s="4" t="s">
        <v>1748</v>
      </c>
      <c r="BO391" s="4" t="str">
        <f t="shared" si="6"/>
        <v>C:\Users\aremi\Desktop\REPORT CBM\PO TIANU JB\03. Raw Material\40. 10052026 SSU MEDINI SIGNATURE 33KV (VI)\IR</v>
      </c>
      <c r="BP391" t="s">
        <v>965</v>
      </c>
    </row>
    <row r="392" spans="1:68" thickBot="1" x14ac:dyDescent="0.3">
      <c r="A392" s="4">
        <v>196</v>
      </c>
      <c r="B392" s="4" t="s">
        <v>951</v>
      </c>
      <c r="C392" s="4">
        <v>6</v>
      </c>
      <c r="D392" s="4" t="s">
        <v>1769</v>
      </c>
      <c r="E392" s="4">
        <v>8</v>
      </c>
      <c r="F392" s="4" t="str">
        <f ca="1">Master_List!$AW$1</f>
        <v>PERPUSTAKAAN PUSAT</v>
      </c>
      <c r="G392" s="4" t="str">
        <f ca="1">Master_List!$AW$2</f>
        <v>09:30 PM</v>
      </c>
      <c r="H392" s="4" t="str">
        <f ca="1">Master_List!$AW$3</f>
        <v>20/07/2026</v>
      </c>
      <c r="I392" s="4" t="str">
        <f ca="1">Master_List!$AW$4</f>
        <v>28.5</v>
      </c>
      <c r="J392" s="4" t="str">
        <f ca="1">Master_List!$AW$5</f>
        <v>65</v>
      </c>
      <c r="K392" s="4" t="s">
        <v>591</v>
      </c>
      <c r="BL392" s="4" t="s">
        <v>1744</v>
      </c>
      <c r="BM392" s="4" t="s">
        <v>1946</v>
      </c>
      <c r="BN392" s="4" t="s">
        <v>1746</v>
      </c>
      <c r="BO392" s="4" t="str">
        <f t="shared" si="6"/>
        <v>C:\Users\aremi\Desktop\REPORT CBM\PO TIANU JB\03. Raw Material\40. 10052026 SSU MEDINI SIGNATURE 33KV (VI)\IR</v>
      </c>
      <c r="BP392" t="s">
        <v>966</v>
      </c>
    </row>
    <row r="393" spans="1:68" thickBot="1" x14ac:dyDescent="0.3">
      <c r="A393" s="4">
        <v>196</v>
      </c>
      <c r="B393" s="4" t="s">
        <v>951</v>
      </c>
      <c r="C393" s="4">
        <v>6</v>
      </c>
      <c r="D393" s="4" t="s">
        <v>1769</v>
      </c>
      <c r="E393" s="4">
        <v>8</v>
      </c>
      <c r="F393" s="4" t="str">
        <f ca="1">Master_List!$AW$1</f>
        <v>PERPUSTAKAAN PUSAT</v>
      </c>
      <c r="G393" s="4" t="str">
        <f ca="1">Master_List!$AW$2</f>
        <v>09:30 PM</v>
      </c>
      <c r="H393" s="4" t="str">
        <f ca="1">Master_List!$AW$3</f>
        <v>20/07/2026</v>
      </c>
      <c r="I393" s="4" t="str">
        <f ca="1">Master_List!$AW$4</f>
        <v>28.5</v>
      </c>
      <c r="J393" s="4" t="str">
        <f ca="1">Master_List!$AW$5</f>
        <v>65</v>
      </c>
      <c r="K393" s="4" t="s">
        <v>591</v>
      </c>
      <c r="BL393" s="4" t="s">
        <v>1744</v>
      </c>
      <c r="BM393" s="4" t="s">
        <v>1946</v>
      </c>
      <c r="BN393" s="4" t="s">
        <v>1748</v>
      </c>
      <c r="BO393" s="4" t="str">
        <f t="shared" si="6"/>
        <v>C:\Users\aremi\Desktop\REPORT CBM\PO TIANU JB\03. Raw Material\40. 10052026 SSU MEDINI SIGNATURE 33KV (VI)\IR</v>
      </c>
      <c r="BP393" t="s">
        <v>967</v>
      </c>
    </row>
    <row r="394" spans="1:68" thickBot="1" x14ac:dyDescent="0.3">
      <c r="A394" s="4">
        <v>197</v>
      </c>
      <c r="B394" s="4" t="s">
        <v>968</v>
      </c>
      <c r="C394" s="4">
        <v>6</v>
      </c>
      <c r="D394" s="4" t="s">
        <v>1760</v>
      </c>
      <c r="E394" s="4">
        <v>1</v>
      </c>
      <c r="F394" s="4" t="str">
        <f ca="1">Master_List!$AW$1</f>
        <v>PERPUSTAKAAN PUSAT</v>
      </c>
      <c r="G394" s="4" t="str">
        <f ca="1">Master_List!$AW$2</f>
        <v>09:30 PM</v>
      </c>
      <c r="H394" s="4" t="str">
        <f ca="1">Master_List!$AW$3</f>
        <v>20/07/2026</v>
      </c>
      <c r="I394" s="4" t="str">
        <f ca="1">Master_List!$AW$4</f>
        <v>28.5</v>
      </c>
      <c r="J394" s="4" t="str">
        <f ca="1">Master_List!$AW$5</f>
        <v>65</v>
      </c>
      <c r="K394" s="4" t="s">
        <v>570</v>
      </c>
      <c r="BL394" s="4" t="s">
        <v>1744</v>
      </c>
      <c r="BM394" s="4" t="s">
        <v>1947</v>
      </c>
      <c r="BN394" s="4" t="s">
        <v>1746</v>
      </c>
      <c r="BO394" s="4" t="str">
        <f t="shared" si="6"/>
        <v>C:\Users\aremi\Desktop\REPORT CBM\PO TIANU JB\03. Raw Material\40. 10052026 SSU MEDINI SIGNATURE 33KV (VI)\IR</v>
      </c>
      <c r="BP394" t="s">
        <v>969</v>
      </c>
    </row>
    <row r="395" spans="1:68" thickBot="1" x14ac:dyDescent="0.3">
      <c r="A395" s="4">
        <v>197</v>
      </c>
      <c r="B395" s="4" t="s">
        <v>968</v>
      </c>
      <c r="C395" s="4">
        <v>6</v>
      </c>
      <c r="D395" s="4" t="s">
        <v>1760</v>
      </c>
      <c r="E395" s="4">
        <v>1</v>
      </c>
      <c r="F395" s="4" t="str">
        <f ca="1">Master_List!$AW$1</f>
        <v>PERPUSTAKAAN PUSAT</v>
      </c>
      <c r="G395" s="4" t="str">
        <f ca="1">Master_List!$AW$2</f>
        <v>09:30 PM</v>
      </c>
      <c r="H395" s="4" t="str">
        <f ca="1">Master_List!$AW$3</f>
        <v>20/07/2026</v>
      </c>
      <c r="I395" s="4" t="str">
        <f ca="1">Master_List!$AW$4</f>
        <v>28.5</v>
      </c>
      <c r="J395" s="4" t="str">
        <f ca="1">Master_List!$AW$5</f>
        <v>65</v>
      </c>
      <c r="K395" s="4" t="s">
        <v>570</v>
      </c>
      <c r="BL395" s="4" t="s">
        <v>1744</v>
      </c>
      <c r="BM395" s="4" t="s">
        <v>1947</v>
      </c>
      <c r="BN395" s="4" t="s">
        <v>1748</v>
      </c>
      <c r="BO395" s="4" t="str">
        <f t="shared" si="6"/>
        <v>C:\Users\aremi\Desktop\REPORT CBM\PO TIANU JB\03. Raw Material\40. 10052026 SSU MEDINI SIGNATURE 33KV (VI)\IR</v>
      </c>
      <c r="BP395" t="s">
        <v>970</v>
      </c>
    </row>
    <row r="396" spans="1:68" thickBot="1" x14ac:dyDescent="0.3">
      <c r="A396" s="4">
        <v>198</v>
      </c>
      <c r="B396" s="4" t="s">
        <v>968</v>
      </c>
      <c r="C396" s="4">
        <v>6</v>
      </c>
      <c r="D396" s="4" t="s">
        <v>1760</v>
      </c>
      <c r="E396" s="4">
        <v>2</v>
      </c>
      <c r="F396" s="4" t="str">
        <f ca="1">Master_List!$AW$1</f>
        <v>PERPUSTAKAAN PUSAT</v>
      </c>
      <c r="G396" s="4" t="str">
        <f ca="1">Master_List!$AW$2</f>
        <v>09:30 PM</v>
      </c>
      <c r="H396" s="4" t="str">
        <f ca="1">Master_List!$AW$3</f>
        <v>20/07/2026</v>
      </c>
      <c r="I396" s="4" t="str">
        <f ca="1">Master_List!$AW$4</f>
        <v>28.5</v>
      </c>
      <c r="J396" s="4" t="str">
        <f ca="1">Master_List!$AW$5</f>
        <v>65</v>
      </c>
      <c r="K396" s="4" t="s">
        <v>573</v>
      </c>
      <c r="BL396" s="4" t="s">
        <v>1744</v>
      </c>
      <c r="BM396" s="4" t="s">
        <v>1948</v>
      </c>
      <c r="BN396" s="4" t="s">
        <v>1746</v>
      </c>
      <c r="BO396" s="4" t="str">
        <f t="shared" si="6"/>
        <v>C:\Users\aremi\Desktop\REPORT CBM\PO TIANU JB\03. Raw Material\40. 10052026 SSU MEDINI SIGNATURE 33KV (VI)\IR</v>
      </c>
      <c r="BP396" t="s">
        <v>971</v>
      </c>
    </row>
    <row r="397" spans="1:68" thickBot="1" x14ac:dyDescent="0.3">
      <c r="A397" s="4">
        <v>198</v>
      </c>
      <c r="B397" s="4" t="s">
        <v>968</v>
      </c>
      <c r="C397" s="4">
        <v>6</v>
      </c>
      <c r="D397" s="4" t="s">
        <v>1760</v>
      </c>
      <c r="E397" s="4">
        <v>2</v>
      </c>
      <c r="F397" s="4" t="str">
        <f ca="1">Master_List!$AW$1</f>
        <v>PERPUSTAKAAN PUSAT</v>
      </c>
      <c r="G397" s="4" t="str">
        <f ca="1">Master_List!$AW$2</f>
        <v>09:30 PM</v>
      </c>
      <c r="H397" s="4" t="str">
        <f ca="1">Master_List!$AW$3</f>
        <v>20/07/2026</v>
      </c>
      <c r="I397" s="4" t="str">
        <f ca="1">Master_List!$AW$4</f>
        <v>28.5</v>
      </c>
      <c r="J397" s="4" t="str">
        <f ca="1">Master_List!$AW$5</f>
        <v>65</v>
      </c>
      <c r="K397" s="4" t="s">
        <v>573</v>
      </c>
      <c r="BL397" s="4" t="s">
        <v>1744</v>
      </c>
      <c r="BM397" s="4" t="s">
        <v>1948</v>
      </c>
      <c r="BN397" s="4" t="s">
        <v>1748</v>
      </c>
      <c r="BO397" s="4" t="str">
        <f t="shared" si="6"/>
        <v>C:\Users\aremi\Desktop\REPORT CBM\PO TIANU JB\03. Raw Material\40. 10052026 SSU MEDINI SIGNATURE 33KV (VI)\IR</v>
      </c>
      <c r="BP397" t="s">
        <v>972</v>
      </c>
    </row>
    <row r="398" spans="1:68" thickBot="1" x14ac:dyDescent="0.3">
      <c r="A398" s="4">
        <v>199</v>
      </c>
      <c r="B398" s="4" t="s">
        <v>968</v>
      </c>
      <c r="C398" s="4">
        <v>6</v>
      </c>
      <c r="D398" s="4" t="s">
        <v>1760</v>
      </c>
      <c r="E398" s="4">
        <v>3</v>
      </c>
      <c r="F398" s="4" t="str">
        <f ca="1">Master_List!$AW$1</f>
        <v>PERPUSTAKAAN PUSAT</v>
      </c>
      <c r="G398" s="4" t="str">
        <f ca="1">Master_List!$AW$2</f>
        <v>09:30 PM</v>
      </c>
      <c r="H398" s="4" t="str">
        <f ca="1">Master_List!$AW$3</f>
        <v>20/07/2026</v>
      </c>
      <c r="I398" s="4" t="str">
        <f ca="1">Master_List!$AW$4</f>
        <v>28.5</v>
      </c>
      <c r="J398" s="4" t="str">
        <f ca="1">Master_List!$AW$5</f>
        <v>65</v>
      </c>
      <c r="K398" s="4" t="s">
        <v>576</v>
      </c>
      <c r="BL398" s="4" t="s">
        <v>1744</v>
      </c>
      <c r="BM398" s="4" t="s">
        <v>1949</v>
      </c>
      <c r="BN398" s="4" t="s">
        <v>1746</v>
      </c>
      <c r="BO398" s="4" t="str">
        <f t="shared" si="6"/>
        <v>C:\Users\aremi\Desktop\REPORT CBM\PO TIANU JB\03. Raw Material\40. 10052026 SSU MEDINI SIGNATURE 33KV (VI)\IR</v>
      </c>
      <c r="BP398" t="s">
        <v>973</v>
      </c>
    </row>
    <row r="399" spans="1:68" thickBot="1" x14ac:dyDescent="0.3">
      <c r="A399" s="4">
        <v>199</v>
      </c>
      <c r="B399" s="4" t="s">
        <v>968</v>
      </c>
      <c r="C399" s="4">
        <v>6</v>
      </c>
      <c r="D399" s="4" t="s">
        <v>1760</v>
      </c>
      <c r="E399" s="4">
        <v>3</v>
      </c>
      <c r="F399" s="4" t="str">
        <f ca="1">Master_List!$AW$1</f>
        <v>PERPUSTAKAAN PUSAT</v>
      </c>
      <c r="G399" s="4" t="str">
        <f ca="1">Master_List!$AW$2</f>
        <v>09:30 PM</v>
      </c>
      <c r="H399" s="4" t="str">
        <f ca="1">Master_List!$AW$3</f>
        <v>20/07/2026</v>
      </c>
      <c r="I399" s="4" t="str">
        <f ca="1">Master_List!$AW$4</f>
        <v>28.5</v>
      </c>
      <c r="J399" s="4" t="str">
        <f ca="1">Master_List!$AW$5</f>
        <v>65</v>
      </c>
      <c r="K399" s="4" t="s">
        <v>576</v>
      </c>
      <c r="BL399" s="4" t="s">
        <v>1744</v>
      </c>
      <c r="BM399" s="4" t="s">
        <v>1949</v>
      </c>
      <c r="BN399" s="4" t="s">
        <v>1748</v>
      </c>
      <c r="BO399" s="4" t="str">
        <f t="shared" si="6"/>
        <v>C:\Users\aremi\Desktop\REPORT CBM\PO TIANU JB\03. Raw Material\40. 10052026 SSU MEDINI SIGNATURE 33KV (VI)\IR</v>
      </c>
      <c r="BP399" t="s">
        <v>974</v>
      </c>
    </row>
    <row r="400" spans="1:68" thickBot="1" x14ac:dyDescent="0.3">
      <c r="A400" s="4">
        <v>200</v>
      </c>
      <c r="B400" s="4" t="s">
        <v>968</v>
      </c>
      <c r="C400" s="4">
        <v>6</v>
      </c>
      <c r="D400" s="4" t="s">
        <v>1760</v>
      </c>
      <c r="E400" s="4">
        <v>4</v>
      </c>
      <c r="F400" s="4" t="str">
        <f ca="1">Master_List!$AW$1</f>
        <v>PERPUSTAKAAN PUSAT</v>
      </c>
      <c r="G400" s="4" t="str">
        <f ca="1">Master_List!$AW$2</f>
        <v>09:30 PM</v>
      </c>
      <c r="H400" s="4" t="str">
        <f ca="1">Master_List!$AW$3</f>
        <v>20/07/2026</v>
      </c>
      <c r="I400" s="4" t="str">
        <f ca="1">Master_List!$AW$4</f>
        <v>28.5</v>
      </c>
      <c r="J400" s="4" t="str">
        <f ca="1">Master_List!$AW$5</f>
        <v>65</v>
      </c>
      <c r="K400" s="4" t="s">
        <v>579</v>
      </c>
      <c r="BL400" s="4" t="s">
        <v>1744</v>
      </c>
      <c r="BM400" s="4" t="s">
        <v>1950</v>
      </c>
      <c r="BN400" s="4" t="s">
        <v>1746</v>
      </c>
      <c r="BO400" s="4" t="str">
        <f t="shared" si="6"/>
        <v>C:\Users\aremi\Desktop\REPORT CBM\PO TIANU JB\03. Raw Material\40. 10052026 SSU MEDINI SIGNATURE 33KV (VI)\IR</v>
      </c>
      <c r="BP400" t="s">
        <v>975</v>
      </c>
    </row>
    <row r="401" spans="1:68" thickBot="1" x14ac:dyDescent="0.3">
      <c r="A401" s="4">
        <v>200</v>
      </c>
      <c r="B401" s="4" t="s">
        <v>968</v>
      </c>
      <c r="C401" s="4">
        <v>6</v>
      </c>
      <c r="D401" s="4" t="s">
        <v>1760</v>
      </c>
      <c r="E401" s="4">
        <v>4</v>
      </c>
      <c r="F401" s="4" t="str">
        <f ca="1">Master_List!$AW$1</f>
        <v>PERPUSTAKAAN PUSAT</v>
      </c>
      <c r="G401" s="4" t="str">
        <f ca="1">Master_List!$AW$2</f>
        <v>09:30 PM</v>
      </c>
      <c r="H401" s="4" t="str">
        <f ca="1">Master_List!$AW$3</f>
        <v>20/07/2026</v>
      </c>
      <c r="I401" s="4" t="str">
        <f ca="1">Master_List!$AW$4</f>
        <v>28.5</v>
      </c>
      <c r="J401" s="4" t="str">
        <f ca="1">Master_List!$AW$5</f>
        <v>65</v>
      </c>
      <c r="K401" s="4" t="s">
        <v>579</v>
      </c>
      <c r="BL401" s="4" t="s">
        <v>1744</v>
      </c>
      <c r="BM401" s="4" t="s">
        <v>1950</v>
      </c>
      <c r="BN401" s="4" t="s">
        <v>1748</v>
      </c>
      <c r="BO401" s="4" t="str">
        <f t="shared" si="6"/>
        <v>C:\Users\aremi\Desktop\REPORT CBM\PO TIANU JB\03. Raw Material\40. 10052026 SSU MEDINI SIGNATURE 33KV (VI)\IR</v>
      </c>
      <c r="BP401" t="s">
        <v>976</v>
      </c>
    </row>
    <row r="402" spans="1:68" thickBot="1" x14ac:dyDescent="0.3">
      <c r="A402" s="4">
        <v>201</v>
      </c>
      <c r="B402" s="4" t="s">
        <v>968</v>
      </c>
      <c r="C402" s="4">
        <v>6</v>
      </c>
      <c r="D402" s="4" t="s">
        <v>1760</v>
      </c>
      <c r="E402" s="4">
        <v>5</v>
      </c>
      <c r="F402" s="4" t="str">
        <f ca="1">Master_List!$AW$1</f>
        <v>PERPUSTAKAAN PUSAT</v>
      </c>
      <c r="G402" s="4" t="str">
        <f ca="1">Master_List!$AW$2</f>
        <v>09:30 PM</v>
      </c>
      <c r="H402" s="4" t="str">
        <f ca="1">Master_List!$AW$3</f>
        <v>20/07/2026</v>
      </c>
      <c r="I402" s="4" t="str">
        <f ca="1">Master_List!$AW$4</f>
        <v>28.5</v>
      </c>
      <c r="J402" s="4" t="str">
        <f ca="1">Master_List!$AW$5</f>
        <v>65</v>
      </c>
      <c r="K402" s="4" t="s">
        <v>582</v>
      </c>
      <c r="BL402" s="4" t="s">
        <v>1744</v>
      </c>
      <c r="BM402" s="4" t="s">
        <v>1951</v>
      </c>
      <c r="BN402" s="4" t="s">
        <v>1746</v>
      </c>
      <c r="BO402" s="4" t="str">
        <f t="shared" si="6"/>
        <v>C:\Users\aremi\Desktop\REPORT CBM\PO TIANU JB\03. Raw Material\40. 10052026 SSU MEDINI SIGNATURE 33KV (VI)\IR</v>
      </c>
      <c r="BP402" t="s">
        <v>977</v>
      </c>
    </row>
    <row r="403" spans="1:68" thickBot="1" x14ac:dyDescent="0.3">
      <c r="A403" s="4">
        <v>201</v>
      </c>
      <c r="B403" s="4" t="s">
        <v>968</v>
      </c>
      <c r="C403" s="4">
        <v>6</v>
      </c>
      <c r="D403" s="4" t="s">
        <v>1760</v>
      </c>
      <c r="E403" s="4">
        <v>5</v>
      </c>
      <c r="F403" s="4" t="str">
        <f ca="1">Master_List!$AW$1</f>
        <v>PERPUSTAKAAN PUSAT</v>
      </c>
      <c r="G403" s="4" t="str">
        <f ca="1">Master_List!$AW$2</f>
        <v>09:30 PM</v>
      </c>
      <c r="H403" s="4" t="str">
        <f ca="1">Master_List!$AW$3</f>
        <v>20/07/2026</v>
      </c>
      <c r="I403" s="4" t="str">
        <f ca="1">Master_List!$AW$4</f>
        <v>28.5</v>
      </c>
      <c r="J403" s="4" t="str">
        <f ca="1">Master_List!$AW$5</f>
        <v>65</v>
      </c>
      <c r="K403" s="4" t="s">
        <v>582</v>
      </c>
      <c r="BL403" s="4" t="s">
        <v>1744</v>
      </c>
      <c r="BM403" s="4" t="s">
        <v>1951</v>
      </c>
      <c r="BN403" s="4" t="s">
        <v>1748</v>
      </c>
      <c r="BO403" s="4" t="str">
        <f t="shared" si="6"/>
        <v>C:\Users\aremi\Desktop\REPORT CBM\PO TIANU JB\03. Raw Material\40. 10052026 SSU MEDINI SIGNATURE 33KV (VI)\IR</v>
      </c>
      <c r="BP403" t="s">
        <v>978</v>
      </c>
    </row>
    <row r="404" spans="1:68" thickBot="1" x14ac:dyDescent="0.3">
      <c r="A404" s="4">
        <v>202</v>
      </c>
      <c r="B404" s="4" t="s">
        <v>968</v>
      </c>
      <c r="C404" s="4">
        <v>6</v>
      </c>
      <c r="D404" s="4" t="s">
        <v>1760</v>
      </c>
      <c r="E404" s="4">
        <v>6</v>
      </c>
      <c r="F404" s="4" t="str">
        <f ca="1">Master_List!$AW$1</f>
        <v>PERPUSTAKAAN PUSAT</v>
      </c>
      <c r="G404" s="4" t="str">
        <f ca="1">Master_List!$AW$2</f>
        <v>09:30 PM</v>
      </c>
      <c r="H404" s="4" t="str">
        <f ca="1">Master_List!$AW$3</f>
        <v>20/07/2026</v>
      </c>
      <c r="I404" s="4" t="str">
        <f ca="1">Master_List!$AW$4</f>
        <v>28.5</v>
      </c>
      <c r="J404" s="4" t="str">
        <f ca="1">Master_List!$AW$5</f>
        <v>65</v>
      </c>
      <c r="K404" s="4" t="s">
        <v>585</v>
      </c>
      <c r="BL404" s="4" t="s">
        <v>1744</v>
      </c>
      <c r="BM404" s="4" t="s">
        <v>1952</v>
      </c>
      <c r="BN404" s="4" t="s">
        <v>1746</v>
      </c>
      <c r="BO404" s="4" t="str">
        <f t="shared" si="6"/>
        <v>C:\Users\aremi\Desktop\REPORT CBM\PO TIANU JB\03. Raw Material\40. 10052026 SSU MEDINI SIGNATURE 33KV (VI)\IR</v>
      </c>
      <c r="BP404" t="s">
        <v>979</v>
      </c>
    </row>
    <row r="405" spans="1:68" thickBot="1" x14ac:dyDescent="0.3">
      <c r="A405" s="4">
        <v>202</v>
      </c>
      <c r="B405" s="4" t="s">
        <v>968</v>
      </c>
      <c r="C405" s="4">
        <v>6</v>
      </c>
      <c r="D405" s="4" t="s">
        <v>1760</v>
      </c>
      <c r="E405" s="4">
        <v>6</v>
      </c>
      <c r="F405" s="4" t="str">
        <f ca="1">Master_List!$AW$1</f>
        <v>PERPUSTAKAAN PUSAT</v>
      </c>
      <c r="G405" s="4" t="str">
        <f ca="1">Master_List!$AW$2</f>
        <v>09:30 PM</v>
      </c>
      <c r="H405" s="4" t="str">
        <f ca="1">Master_List!$AW$3</f>
        <v>20/07/2026</v>
      </c>
      <c r="I405" s="4" t="str">
        <f ca="1">Master_List!$AW$4</f>
        <v>28.5</v>
      </c>
      <c r="J405" s="4" t="str">
        <f ca="1">Master_List!$AW$5</f>
        <v>65</v>
      </c>
      <c r="K405" s="4" t="s">
        <v>585</v>
      </c>
      <c r="BL405" s="4" t="s">
        <v>1744</v>
      </c>
      <c r="BM405" s="4" t="s">
        <v>1952</v>
      </c>
      <c r="BN405" s="4" t="s">
        <v>1748</v>
      </c>
      <c r="BO405" s="4" t="str">
        <f t="shared" si="6"/>
        <v>C:\Users\aremi\Desktop\REPORT CBM\PO TIANU JB\03. Raw Material\40. 10052026 SSU MEDINI SIGNATURE 33KV (VI)\IR</v>
      </c>
      <c r="BP405" t="s">
        <v>980</v>
      </c>
    </row>
    <row r="406" spans="1:68" thickBot="1" x14ac:dyDescent="0.3">
      <c r="A406" s="4">
        <v>203</v>
      </c>
      <c r="B406" s="4" t="s">
        <v>968</v>
      </c>
      <c r="C406" s="4">
        <v>6</v>
      </c>
      <c r="D406" s="4" t="s">
        <v>1767</v>
      </c>
      <c r="E406" s="4">
        <v>7</v>
      </c>
      <c r="F406" s="4" t="str">
        <f ca="1">Master_List!$AW$1</f>
        <v>PERPUSTAKAAN PUSAT</v>
      </c>
      <c r="G406" s="4" t="str">
        <f ca="1">Master_List!$AW$2</f>
        <v>09:30 PM</v>
      </c>
      <c r="H406" s="4" t="str">
        <f ca="1">Master_List!$AW$3</f>
        <v>20/07/2026</v>
      </c>
      <c r="I406" s="4" t="str">
        <f ca="1">Master_List!$AW$4</f>
        <v>28.5</v>
      </c>
      <c r="J406" s="4" t="str">
        <f ca="1">Master_List!$AW$5</f>
        <v>65</v>
      </c>
      <c r="K406" s="4" t="s">
        <v>588</v>
      </c>
      <c r="BL406" s="4" t="s">
        <v>1744</v>
      </c>
      <c r="BM406" s="4" t="s">
        <v>1953</v>
      </c>
      <c r="BN406" s="4" t="s">
        <v>1746</v>
      </c>
      <c r="BO406" s="4" t="str">
        <f t="shared" si="6"/>
        <v>C:\Users\aremi\Desktop\REPORT CBM\PO TIANU JB\03. Raw Material\40. 10052026 SSU MEDINI SIGNATURE 33KV (VI)\IR</v>
      </c>
      <c r="BP406" t="s">
        <v>981</v>
      </c>
    </row>
    <row r="407" spans="1:68" thickBot="1" x14ac:dyDescent="0.3">
      <c r="A407" s="4">
        <v>203</v>
      </c>
      <c r="B407" s="4" t="s">
        <v>968</v>
      </c>
      <c r="C407" s="4">
        <v>6</v>
      </c>
      <c r="D407" s="4" t="s">
        <v>1767</v>
      </c>
      <c r="E407" s="4">
        <v>7</v>
      </c>
      <c r="F407" s="4" t="str">
        <f ca="1">Master_List!$AW$1</f>
        <v>PERPUSTAKAAN PUSAT</v>
      </c>
      <c r="G407" s="4" t="str">
        <f ca="1">Master_List!$AW$2</f>
        <v>09:30 PM</v>
      </c>
      <c r="H407" s="4" t="str">
        <f ca="1">Master_List!$AW$3</f>
        <v>20/07/2026</v>
      </c>
      <c r="I407" s="4" t="str">
        <f ca="1">Master_List!$AW$4</f>
        <v>28.5</v>
      </c>
      <c r="J407" s="4" t="str">
        <f ca="1">Master_List!$AW$5</f>
        <v>65</v>
      </c>
      <c r="K407" s="4" t="s">
        <v>588</v>
      </c>
      <c r="BL407" s="4" t="s">
        <v>1744</v>
      </c>
      <c r="BM407" s="4" t="s">
        <v>1953</v>
      </c>
      <c r="BN407" s="4" t="s">
        <v>1748</v>
      </c>
      <c r="BO407" s="4" t="str">
        <f t="shared" si="6"/>
        <v>C:\Users\aremi\Desktop\REPORT CBM\PO TIANU JB\03. Raw Material\40. 10052026 SSU MEDINI SIGNATURE 33KV (VI)\IR</v>
      </c>
      <c r="BP407" t="s">
        <v>982</v>
      </c>
    </row>
    <row r="408" spans="1:68" thickBot="1" x14ac:dyDescent="0.3">
      <c r="A408" s="4">
        <v>204</v>
      </c>
      <c r="B408" s="4" t="s">
        <v>968</v>
      </c>
      <c r="C408" s="4">
        <v>6</v>
      </c>
      <c r="D408" s="4" t="s">
        <v>1769</v>
      </c>
      <c r="E408" s="4">
        <v>8</v>
      </c>
      <c r="F408" s="4" t="str">
        <f ca="1">Master_List!$AW$1</f>
        <v>PERPUSTAKAAN PUSAT</v>
      </c>
      <c r="G408" s="4" t="str">
        <f ca="1">Master_List!$AW$2</f>
        <v>09:30 PM</v>
      </c>
      <c r="H408" s="4" t="str">
        <f ca="1">Master_List!$AW$3</f>
        <v>20/07/2026</v>
      </c>
      <c r="I408" s="4" t="str">
        <f ca="1">Master_List!$AW$4</f>
        <v>28.5</v>
      </c>
      <c r="J408" s="4" t="str">
        <f ca="1">Master_List!$AW$5</f>
        <v>65</v>
      </c>
      <c r="K408" s="4" t="s">
        <v>591</v>
      </c>
      <c r="BL408" s="4" t="s">
        <v>1744</v>
      </c>
      <c r="BM408" s="4" t="s">
        <v>1954</v>
      </c>
      <c r="BN408" s="4" t="s">
        <v>1746</v>
      </c>
      <c r="BO408" s="4" t="str">
        <f t="shared" si="6"/>
        <v>C:\Users\aremi\Desktop\REPORT CBM\PO TIANU JB\03. Raw Material\40. 10052026 SSU MEDINI SIGNATURE 33KV (VI)\IR</v>
      </c>
      <c r="BP408" t="s">
        <v>983</v>
      </c>
    </row>
    <row r="409" spans="1:68" thickBot="1" x14ac:dyDescent="0.3">
      <c r="A409" s="4">
        <v>204</v>
      </c>
      <c r="B409" s="4" t="s">
        <v>968</v>
      </c>
      <c r="C409" s="4">
        <v>6</v>
      </c>
      <c r="D409" s="4" t="s">
        <v>1769</v>
      </c>
      <c r="E409" s="4">
        <v>8</v>
      </c>
      <c r="F409" s="4" t="str">
        <f ca="1">Master_List!$AW$1</f>
        <v>PERPUSTAKAAN PUSAT</v>
      </c>
      <c r="G409" s="4" t="str">
        <f ca="1">Master_List!$AW$2</f>
        <v>09:30 PM</v>
      </c>
      <c r="H409" s="4" t="str">
        <f ca="1">Master_List!$AW$3</f>
        <v>20/07/2026</v>
      </c>
      <c r="I409" s="4" t="str">
        <f ca="1">Master_List!$AW$4</f>
        <v>28.5</v>
      </c>
      <c r="J409" s="4" t="str">
        <f ca="1">Master_List!$AW$5</f>
        <v>65</v>
      </c>
      <c r="K409" s="4" t="s">
        <v>591</v>
      </c>
      <c r="BL409" s="4" t="s">
        <v>1744</v>
      </c>
      <c r="BM409" s="4" t="s">
        <v>1954</v>
      </c>
      <c r="BN409" s="4" t="s">
        <v>1748</v>
      </c>
      <c r="BO409" s="4" t="str">
        <f t="shared" si="6"/>
        <v>C:\Users\aremi\Desktop\REPORT CBM\PO TIANU JB\03. Raw Material\40. 10052026 SSU MEDINI SIGNATURE 33KV (VI)\IR</v>
      </c>
      <c r="BP409" t="s">
        <v>984</v>
      </c>
    </row>
    <row r="410" spans="1:68" thickBot="1" x14ac:dyDescent="0.3">
      <c r="A410" s="4">
        <v>205</v>
      </c>
      <c r="B410" s="4" t="s">
        <v>985</v>
      </c>
      <c r="C410" s="4">
        <v>6</v>
      </c>
      <c r="D410" s="4" t="s">
        <v>1760</v>
      </c>
      <c r="E410" s="4">
        <v>1</v>
      </c>
      <c r="F410" s="4" t="str">
        <f ca="1">Master_List!$AW$1</f>
        <v>PERPUSTAKAAN PUSAT</v>
      </c>
      <c r="G410" s="4" t="str">
        <f ca="1">Master_List!$AW$2</f>
        <v>09:30 PM</v>
      </c>
      <c r="H410" s="4" t="str">
        <f ca="1">Master_List!$AW$3</f>
        <v>20/07/2026</v>
      </c>
      <c r="I410" s="4" t="str">
        <f ca="1">Master_List!$AW$4</f>
        <v>28.5</v>
      </c>
      <c r="J410" s="4" t="str">
        <f ca="1">Master_List!$AW$5</f>
        <v>65</v>
      </c>
      <c r="K410" s="4" t="s">
        <v>570</v>
      </c>
      <c r="BL410" s="4" t="s">
        <v>1744</v>
      </c>
      <c r="BM410" s="4" t="s">
        <v>1955</v>
      </c>
      <c r="BN410" s="4" t="s">
        <v>1746</v>
      </c>
      <c r="BO410" s="4" t="str">
        <f t="shared" si="6"/>
        <v>C:\Users\aremi\Desktop\REPORT CBM\PO TIANU JB\03. Raw Material\40. 10052026 SSU MEDINI SIGNATURE 33KV (VI)\IR</v>
      </c>
      <c r="BP410" t="s">
        <v>986</v>
      </c>
    </row>
    <row r="411" spans="1:68" thickBot="1" x14ac:dyDescent="0.3">
      <c r="A411" s="4">
        <v>205</v>
      </c>
      <c r="B411" s="4" t="s">
        <v>985</v>
      </c>
      <c r="C411" s="4">
        <v>6</v>
      </c>
      <c r="D411" s="4" t="s">
        <v>1760</v>
      </c>
      <c r="E411" s="4">
        <v>1</v>
      </c>
      <c r="F411" s="4" t="str">
        <f ca="1">Master_List!$AW$1</f>
        <v>PERPUSTAKAAN PUSAT</v>
      </c>
      <c r="G411" s="4" t="str">
        <f ca="1">Master_List!$AW$2</f>
        <v>09:30 PM</v>
      </c>
      <c r="H411" s="4" t="str">
        <f ca="1">Master_List!$AW$3</f>
        <v>20/07/2026</v>
      </c>
      <c r="I411" s="4" t="str">
        <f ca="1">Master_List!$AW$4</f>
        <v>28.5</v>
      </c>
      <c r="J411" s="4" t="str">
        <f ca="1">Master_List!$AW$5</f>
        <v>65</v>
      </c>
      <c r="K411" s="4" t="s">
        <v>570</v>
      </c>
      <c r="BL411" s="4" t="s">
        <v>1744</v>
      </c>
      <c r="BM411" s="4" t="s">
        <v>1955</v>
      </c>
      <c r="BN411" s="4" t="s">
        <v>1748</v>
      </c>
      <c r="BO411" s="4" t="str">
        <f t="shared" si="6"/>
        <v>C:\Users\aremi\Desktop\REPORT CBM\PO TIANU JB\03. Raw Material\40. 10052026 SSU MEDINI SIGNATURE 33KV (VI)\IR</v>
      </c>
      <c r="BP411" t="s">
        <v>987</v>
      </c>
    </row>
    <row r="412" spans="1:68" thickBot="1" x14ac:dyDescent="0.3">
      <c r="A412" s="4">
        <v>206</v>
      </c>
      <c r="B412" s="4" t="s">
        <v>985</v>
      </c>
      <c r="C412" s="4">
        <v>6</v>
      </c>
      <c r="D412" s="4" t="s">
        <v>1760</v>
      </c>
      <c r="E412" s="4">
        <v>2</v>
      </c>
      <c r="F412" s="4" t="str">
        <f ca="1">Master_List!$AW$1</f>
        <v>PERPUSTAKAAN PUSAT</v>
      </c>
      <c r="G412" s="4" t="str">
        <f ca="1">Master_List!$AW$2</f>
        <v>09:30 PM</v>
      </c>
      <c r="H412" s="4" t="str">
        <f ca="1">Master_List!$AW$3</f>
        <v>20/07/2026</v>
      </c>
      <c r="I412" s="4" t="str">
        <f ca="1">Master_List!$AW$4</f>
        <v>28.5</v>
      </c>
      <c r="J412" s="4" t="str">
        <f ca="1">Master_List!$AW$5</f>
        <v>65</v>
      </c>
      <c r="K412" s="4" t="s">
        <v>573</v>
      </c>
      <c r="BL412" s="4" t="s">
        <v>1744</v>
      </c>
      <c r="BM412" s="4" t="s">
        <v>1956</v>
      </c>
      <c r="BN412" s="4" t="s">
        <v>1746</v>
      </c>
      <c r="BO412" s="4" t="str">
        <f t="shared" si="6"/>
        <v>C:\Users\aremi\Desktop\REPORT CBM\PO TIANU JB\03. Raw Material\40. 10052026 SSU MEDINI SIGNATURE 33KV (VI)\IR</v>
      </c>
      <c r="BP412" t="s">
        <v>988</v>
      </c>
    </row>
    <row r="413" spans="1:68" thickBot="1" x14ac:dyDescent="0.3">
      <c r="A413" s="4">
        <v>206</v>
      </c>
      <c r="B413" s="4" t="s">
        <v>985</v>
      </c>
      <c r="C413" s="4">
        <v>6</v>
      </c>
      <c r="D413" s="4" t="s">
        <v>1760</v>
      </c>
      <c r="E413" s="4">
        <v>2</v>
      </c>
      <c r="F413" s="4" t="str">
        <f ca="1">Master_List!$AW$1</f>
        <v>PERPUSTAKAAN PUSAT</v>
      </c>
      <c r="G413" s="4" t="str">
        <f ca="1">Master_List!$AW$2</f>
        <v>09:30 PM</v>
      </c>
      <c r="H413" s="4" t="str">
        <f ca="1">Master_List!$AW$3</f>
        <v>20/07/2026</v>
      </c>
      <c r="I413" s="4" t="str">
        <f ca="1">Master_List!$AW$4</f>
        <v>28.5</v>
      </c>
      <c r="J413" s="4" t="str">
        <f ca="1">Master_List!$AW$5</f>
        <v>65</v>
      </c>
      <c r="K413" s="4" t="s">
        <v>573</v>
      </c>
      <c r="BL413" s="4" t="s">
        <v>1744</v>
      </c>
      <c r="BM413" s="4" t="s">
        <v>1956</v>
      </c>
      <c r="BN413" s="4" t="s">
        <v>1748</v>
      </c>
      <c r="BO413" s="4" t="str">
        <f t="shared" si="6"/>
        <v>C:\Users\aremi\Desktop\REPORT CBM\PO TIANU JB\03. Raw Material\40. 10052026 SSU MEDINI SIGNATURE 33KV (VI)\IR</v>
      </c>
      <c r="BP413" t="s">
        <v>989</v>
      </c>
    </row>
    <row r="414" spans="1:68" thickBot="1" x14ac:dyDescent="0.3">
      <c r="A414" s="4">
        <v>207</v>
      </c>
      <c r="B414" s="4" t="s">
        <v>985</v>
      </c>
      <c r="C414" s="4">
        <v>6</v>
      </c>
      <c r="D414" s="4" t="s">
        <v>1760</v>
      </c>
      <c r="E414" s="4">
        <v>3</v>
      </c>
      <c r="F414" s="4" t="str">
        <f ca="1">Master_List!$AW$1</f>
        <v>PERPUSTAKAAN PUSAT</v>
      </c>
      <c r="G414" s="4" t="str">
        <f ca="1">Master_List!$AW$2</f>
        <v>09:30 PM</v>
      </c>
      <c r="H414" s="4" t="str">
        <f ca="1">Master_List!$AW$3</f>
        <v>20/07/2026</v>
      </c>
      <c r="I414" s="4" t="str">
        <f ca="1">Master_List!$AW$4</f>
        <v>28.5</v>
      </c>
      <c r="J414" s="4" t="str">
        <f ca="1">Master_List!$AW$5</f>
        <v>65</v>
      </c>
      <c r="K414" s="4" t="s">
        <v>576</v>
      </c>
      <c r="BL414" s="4" t="s">
        <v>1744</v>
      </c>
      <c r="BM414" s="4" t="s">
        <v>1957</v>
      </c>
      <c r="BN414" s="4" t="s">
        <v>1746</v>
      </c>
      <c r="BO414" s="4" t="str">
        <f t="shared" si="6"/>
        <v>C:\Users\aremi\Desktop\REPORT CBM\PO TIANU JB\03. Raw Material\40. 10052026 SSU MEDINI SIGNATURE 33KV (VI)\IR</v>
      </c>
      <c r="BP414" t="s">
        <v>990</v>
      </c>
    </row>
    <row r="415" spans="1:68" thickBot="1" x14ac:dyDescent="0.3">
      <c r="A415" s="4">
        <v>207</v>
      </c>
      <c r="B415" s="4" t="s">
        <v>985</v>
      </c>
      <c r="C415" s="4">
        <v>6</v>
      </c>
      <c r="D415" s="4" t="s">
        <v>1760</v>
      </c>
      <c r="E415" s="4">
        <v>3</v>
      </c>
      <c r="F415" s="4" t="str">
        <f ca="1">Master_List!$AW$1</f>
        <v>PERPUSTAKAAN PUSAT</v>
      </c>
      <c r="G415" s="4" t="str">
        <f ca="1">Master_List!$AW$2</f>
        <v>09:30 PM</v>
      </c>
      <c r="H415" s="4" t="str">
        <f ca="1">Master_List!$AW$3</f>
        <v>20/07/2026</v>
      </c>
      <c r="I415" s="4" t="str">
        <f ca="1">Master_List!$AW$4</f>
        <v>28.5</v>
      </c>
      <c r="J415" s="4" t="str">
        <f ca="1">Master_List!$AW$5</f>
        <v>65</v>
      </c>
      <c r="K415" s="4" t="s">
        <v>576</v>
      </c>
      <c r="BL415" s="4" t="s">
        <v>1744</v>
      </c>
      <c r="BM415" s="4" t="s">
        <v>1957</v>
      </c>
      <c r="BN415" s="4" t="s">
        <v>1748</v>
      </c>
      <c r="BO415" s="4" t="str">
        <f t="shared" si="6"/>
        <v>C:\Users\aremi\Desktop\REPORT CBM\PO TIANU JB\03. Raw Material\40. 10052026 SSU MEDINI SIGNATURE 33KV (VI)\IR</v>
      </c>
      <c r="BP415" t="s">
        <v>991</v>
      </c>
    </row>
    <row r="416" spans="1:68" thickBot="1" x14ac:dyDescent="0.3">
      <c r="A416" s="4">
        <v>208</v>
      </c>
      <c r="B416" s="4" t="s">
        <v>985</v>
      </c>
      <c r="C416" s="4">
        <v>6</v>
      </c>
      <c r="D416" s="4" t="s">
        <v>1760</v>
      </c>
      <c r="E416" s="4">
        <v>4</v>
      </c>
      <c r="F416" s="4" t="str">
        <f ca="1">Master_List!$AW$1</f>
        <v>PERPUSTAKAAN PUSAT</v>
      </c>
      <c r="G416" s="4" t="str">
        <f ca="1">Master_List!$AW$2</f>
        <v>09:30 PM</v>
      </c>
      <c r="H416" s="4" t="str">
        <f ca="1">Master_List!$AW$3</f>
        <v>20/07/2026</v>
      </c>
      <c r="I416" s="4" t="str">
        <f ca="1">Master_List!$AW$4</f>
        <v>28.5</v>
      </c>
      <c r="J416" s="4" t="str">
        <f ca="1">Master_List!$AW$5</f>
        <v>65</v>
      </c>
      <c r="K416" s="4" t="s">
        <v>579</v>
      </c>
      <c r="BL416" s="4" t="s">
        <v>1744</v>
      </c>
      <c r="BM416" s="4" t="s">
        <v>1958</v>
      </c>
      <c r="BN416" s="4" t="s">
        <v>1746</v>
      </c>
      <c r="BO416" s="4" t="str">
        <f t="shared" si="6"/>
        <v>C:\Users\aremi\Desktop\REPORT CBM\PO TIANU JB\03. Raw Material\40. 10052026 SSU MEDINI SIGNATURE 33KV (VI)\IR</v>
      </c>
      <c r="BP416" t="s">
        <v>992</v>
      </c>
    </row>
    <row r="417" spans="1:68" thickBot="1" x14ac:dyDescent="0.3">
      <c r="A417" s="4">
        <v>208</v>
      </c>
      <c r="B417" s="4" t="s">
        <v>985</v>
      </c>
      <c r="C417" s="4">
        <v>6</v>
      </c>
      <c r="D417" s="4" t="s">
        <v>1760</v>
      </c>
      <c r="E417" s="4">
        <v>4</v>
      </c>
      <c r="F417" s="4" t="str">
        <f ca="1">Master_List!$AW$1</f>
        <v>PERPUSTAKAAN PUSAT</v>
      </c>
      <c r="G417" s="4" t="str">
        <f ca="1">Master_List!$AW$2</f>
        <v>09:30 PM</v>
      </c>
      <c r="H417" s="4" t="str">
        <f ca="1">Master_List!$AW$3</f>
        <v>20/07/2026</v>
      </c>
      <c r="I417" s="4" t="str">
        <f ca="1">Master_List!$AW$4</f>
        <v>28.5</v>
      </c>
      <c r="J417" s="4" t="str">
        <f ca="1">Master_List!$AW$5</f>
        <v>65</v>
      </c>
      <c r="K417" s="4" t="s">
        <v>579</v>
      </c>
      <c r="BL417" s="4" t="s">
        <v>1744</v>
      </c>
      <c r="BM417" s="4" t="s">
        <v>1958</v>
      </c>
      <c r="BN417" s="4" t="s">
        <v>1748</v>
      </c>
      <c r="BO417" s="4" t="str">
        <f t="shared" si="6"/>
        <v>C:\Users\aremi\Desktop\REPORT CBM\PO TIANU JB\03. Raw Material\40. 10052026 SSU MEDINI SIGNATURE 33KV (VI)\IR</v>
      </c>
      <c r="BP417" t="s">
        <v>993</v>
      </c>
    </row>
    <row r="418" spans="1:68" thickBot="1" x14ac:dyDescent="0.3">
      <c r="A418" s="4">
        <v>209</v>
      </c>
      <c r="B418" s="4" t="s">
        <v>985</v>
      </c>
      <c r="C418" s="4">
        <v>6</v>
      </c>
      <c r="D418" s="4" t="s">
        <v>1760</v>
      </c>
      <c r="E418" s="4">
        <v>5</v>
      </c>
      <c r="F418" s="4" t="str">
        <f ca="1">Master_List!$AW$1</f>
        <v>PERPUSTAKAAN PUSAT</v>
      </c>
      <c r="G418" s="4" t="str">
        <f ca="1">Master_List!$AW$2</f>
        <v>09:30 PM</v>
      </c>
      <c r="H418" s="4" t="str">
        <f ca="1">Master_List!$AW$3</f>
        <v>20/07/2026</v>
      </c>
      <c r="I418" s="4" t="str">
        <f ca="1">Master_List!$AW$4</f>
        <v>28.5</v>
      </c>
      <c r="J418" s="4" t="str">
        <f ca="1">Master_List!$AW$5</f>
        <v>65</v>
      </c>
      <c r="K418" s="4" t="s">
        <v>582</v>
      </c>
      <c r="BL418" s="4" t="s">
        <v>1744</v>
      </c>
      <c r="BM418" s="4" t="s">
        <v>1959</v>
      </c>
      <c r="BN418" s="4" t="s">
        <v>1746</v>
      </c>
      <c r="BO418" s="4" t="str">
        <f t="shared" si="6"/>
        <v>C:\Users\aremi\Desktop\REPORT CBM\PO TIANU JB\03. Raw Material\40. 10052026 SSU MEDINI SIGNATURE 33KV (VI)\IR</v>
      </c>
      <c r="BP418" t="s">
        <v>994</v>
      </c>
    </row>
    <row r="419" spans="1:68" thickBot="1" x14ac:dyDescent="0.3">
      <c r="A419" s="4">
        <v>209</v>
      </c>
      <c r="B419" s="4" t="s">
        <v>985</v>
      </c>
      <c r="C419" s="4">
        <v>6</v>
      </c>
      <c r="D419" s="4" t="s">
        <v>1760</v>
      </c>
      <c r="E419" s="4">
        <v>5</v>
      </c>
      <c r="F419" s="4" t="str">
        <f ca="1">Master_List!$AW$1</f>
        <v>PERPUSTAKAAN PUSAT</v>
      </c>
      <c r="G419" s="4" t="str">
        <f ca="1">Master_List!$AW$2</f>
        <v>09:30 PM</v>
      </c>
      <c r="H419" s="4" t="str">
        <f ca="1">Master_List!$AW$3</f>
        <v>20/07/2026</v>
      </c>
      <c r="I419" s="4" t="str">
        <f ca="1">Master_List!$AW$4</f>
        <v>28.5</v>
      </c>
      <c r="J419" s="4" t="str">
        <f ca="1">Master_List!$AW$5</f>
        <v>65</v>
      </c>
      <c r="K419" s="4" t="s">
        <v>582</v>
      </c>
      <c r="BL419" s="4" t="s">
        <v>1744</v>
      </c>
      <c r="BM419" s="4" t="s">
        <v>1959</v>
      </c>
      <c r="BN419" s="4" t="s">
        <v>1748</v>
      </c>
      <c r="BO419" s="4" t="str">
        <f t="shared" si="6"/>
        <v>C:\Users\aremi\Desktop\REPORT CBM\PO TIANU JB\03. Raw Material\40. 10052026 SSU MEDINI SIGNATURE 33KV (VI)\IR</v>
      </c>
      <c r="BP419" t="s">
        <v>995</v>
      </c>
    </row>
    <row r="420" spans="1:68" thickBot="1" x14ac:dyDescent="0.3">
      <c r="A420" s="4">
        <v>210</v>
      </c>
      <c r="B420" s="4" t="s">
        <v>985</v>
      </c>
      <c r="C420" s="4">
        <v>6</v>
      </c>
      <c r="D420" s="4" t="s">
        <v>1760</v>
      </c>
      <c r="E420" s="4">
        <v>6</v>
      </c>
      <c r="F420" s="4" t="str">
        <f ca="1">Master_List!$AW$1</f>
        <v>PERPUSTAKAAN PUSAT</v>
      </c>
      <c r="G420" s="4" t="str">
        <f ca="1">Master_List!$AW$2</f>
        <v>09:30 PM</v>
      </c>
      <c r="H420" s="4" t="str">
        <f ca="1">Master_List!$AW$3</f>
        <v>20/07/2026</v>
      </c>
      <c r="I420" s="4" t="str">
        <f ca="1">Master_List!$AW$4</f>
        <v>28.5</v>
      </c>
      <c r="J420" s="4" t="str">
        <f ca="1">Master_List!$AW$5</f>
        <v>65</v>
      </c>
      <c r="K420" s="4" t="s">
        <v>585</v>
      </c>
      <c r="BL420" s="4" t="s">
        <v>1744</v>
      </c>
      <c r="BM420" s="4" t="s">
        <v>1960</v>
      </c>
      <c r="BN420" s="4" t="s">
        <v>1746</v>
      </c>
      <c r="BO420" s="4" t="str">
        <f t="shared" si="6"/>
        <v>C:\Users\aremi\Desktop\REPORT CBM\PO TIANU JB\03. Raw Material\40. 10052026 SSU MEDINI SIGNATURE 33KV (VI)\IR</v>
      </c>
      <c r="BP420" t="s">
        <v>996</v>
      </c>
    </row>
    <row r="421" spans="1:68" thickBot="1" x14ac:dyDescent="0.3">
      <c r="A421" s="4">
        <v>210</v>
      </c>
      <c r="B421" s="4" t="s">
        <v>985</v>
      </c>
      <c r="C421" s="4">
        <v>6</v>
      </c>
      <c r="D421" s="4" t="s">
        <v>1760</v>
      </c>
      <c r="E421" s="4">
        <v>6</v>
      </c>
      <c r="F421" s="4" t="str">
        <f ca="1">Master_List!$AW$1</f>
        <v>PERPUSTAKAAN PUSAT</v>
      </c>
      <c r="G421" s="4" t="str">
        <f ca="1">Master_List!$AW$2</f>
        <v>09:30 PM</v>
      </c>
      <c r="H421" s="4" t="str">
        <f ca="1">Master_List!$AW$3</f>
        <v>20/07/2026</v>
      </c>
      <c r="I421" s="4" t="str">
        <f ca="1">Master_List!$AW$4</f>
        <v>28.5</v>
      </c>
      <c r="J421" s="4" t="str">
        <f ca="1">Master_List!$AW$5</f>
        <v>65</v>
      </c>
      <c r="K421" s="4" t="s">
        <v>585</v>
      </c>
      <c r="BL421" s="4" t="s">
        <v>1744</v>
      </c>
      <c r="BM421" s="4" t="s">
        <v>1960</v>
      </c>
      <c r="BN421" s="4" t="s">
        <v>1748</v>
      </c>
      <c r="BO421" s="4" t="str">
        <f t="shared" si="6"/>
        <v>C:\Users\aremi\Desktop\REPORT CBM\PO TIANU JB\03. Raw Material\40. 10052026 SSU MEDINI SIGNATURE 33KV (VI)\IR</v>
      </c>
      <c r="BP421" t="s">
        <v>997</v>
      </c>
    </row>
    <row r="422" spans="1:68" thickBot="1" x14ac:dyDescent="0.3">
      <c r="A422" s="4">
        <v>211</v>
      </c>
      <c r="B422" s="4" t="s">
        <v>985</v>
      </c>
      <c r="C422" s="4">
        <v>6</v>
      </c>
      <c r="D422" s="4" t="s">
        <v>1767</v>
      </c>
      <c r="E422" s="4">
        <v>7</v>
      </c>
      <c r="F422" s="4" t="str">
        <f ca="1">Master_List!$AW$1</f>
        <v>PERPUSTAKAAN PUSAT</v>
      </c>
      <c r="G422" s="4" t="str">
        <f ca="1">Master_List!$AW$2</f>
        <v>09:30 PM</v>
      </c>
      <c r="H422" s="4" t="str">
        <f ca="1">Master_List!$AW$3</f>
        <v>20/07/2026</v>
      </c>
      <c r="I422" s="4" t="str">
        <f ca="1">Master_List!$AW$4</f>
        <v>28.5</v>
      </c>
      <c r="J422" s="4" t="str">
        <f ca="1">Master_List!$AW$5</f>
        <v>65</v>
      </c>
      <c r="K422" s="4" t="s">
        <v>588</v>
      </c>
      <c r="BL422" s="4" t="s">
        <v>1744</v>
      </c>
      <c r="BM422" s="4" t="s">
        <v>1961</v>
      </c>
      <c r="BN422" s="4" t="s">
        <v>1746</v>
      </c>
      <c r="BO422" s="4" t="str">
        <f t="shared" si="6"/>
        <v>C:\Users\aremi\Desktop\REPORT CBM\PO TIANU JB\03. Raw Material\40. 10052026 SSU MEDINI SIGNATURE 33KV (VI)\IR</v>
      </c>
      <c r="BP422" t="s">
        <v>998</v>
      </c>
    </row>
    <row r="423" spans="1:68" thickBot="1" x14ac:dyDescent="0.3">
      <c r="A423" s="4">
        <v>211</v>
      </c>
      <c r="B423" s="4" t="s">
        <v>985</v>
      </c>
      <c r="C423" s="4">
        <v>6</v>
      </c>
      <c r="D423" s="4" t="s">
        <v>1767</v>
      </c>
      <c r="E423" s="4">
        <v>7</v>
      </c>
      <c r="F423" s="4" t="str">
        <f ca="1">Master_List!$AW$1</f>
        <v>PERPUSTAKAAN PUSAT</v>
      </c>
      <c r="G423" s="4" t="str">
        <f ca="1">Master_List!$AW$2</f>
        <v>09:30 PM</v>
      </c>
      <c r="H423" s="4" t="str">
        <f ca="1">Master_List!$AW$3</f>
        <v>20/07/2026</v>
      </c>
      <c r="I423" s="4" t="str">
        <f ca="1">Master_List!$AW$4</f>
        <v>28.5</v>
      </c>
      <c r="J423" s="4" t="str">
        <f ca="1">Master_List!$AW$5</f>
        <v>65</v>
      </c>
      <c r="K423" s="4" t="s">
        <v>588</v>
      </c>
      <c r="BL423" s="4" t="s">
        <v>1744</v>
      </c>
      <c r="BM423" s="4" t="s">
        <v>1961</v>
      </c>
      <c r="BN423" s="4" t="s">
        <v>1748</v>
      </c>
      <c r="BO423" s="4" t="str">
        <f t="shared" si="6"/>
        <v>C:\Users\aremi\Desktop\REPORT CBM\PO TIANU JB\03. Raw Material\40. 10052026 SSU MEDINI SIGNATURE 33KV (VI)\IR</v>
      </c>
      <c r="BP423" t="s">
        <v>999</v>
      </c>
    </row>
    <row r="424" spans="1:68" thickBot="1" x14ac:dyDescent="0.3">
      <c r="A424" s="4">
        <v>212</v>
      </c>
      <c r="B424" s="4" t="s">
        <v>985</v>
      </c>
      <c r="C424" s="4">
        <v>6</v>
      </c>
      <c r="D424" s="4" t="s">
        <v>1769</v>
      </c>
      <c r="E424" s="4">
        <v>8</v>
      </c>
      <c r="F424" s="4" t="str">
        <f ca="1">Master_List!$AW$1</f>
        <v>PERPUSTAKAAN PUSAT</v>
      </c>
      <c r="G424" s="4" t="str">
        <f ca="1">Master_List!$AW$2</f>
        <v>09:30 PM</v>
      </c>
      <c r="H424" s="4" t="str">
        <f ca="1">Master_List!$AW$3</f>
        <v>20/07/2026</v>
      </c>
      <c r="I424" s="4" t="str">
        <f ca="1">Master_List!$AW$4</f>
        <v>28.5</v>
      </c>
      <c r="J424" s="4" t="str">
        <f ca="1">Master_List!$AW$5</f>
        <v>65</v>
      </c>
      <c r="K424" s="4" t="s">
        <v>591</v>
      </c>
      <c r="BL424" s="4" t="s">
        <v>1744</v>
      </c>
      <c r="BM424" s="4" t="s">
        <v>1962</v>
      </c>
      <c r="BN424" s="4" t="s">
        <v>1746</v>
      </c>
      <c r="BO424" s="4" t="str">
        <f t="shared" si="6"/>
        <v>C:\Users\aremi\Desktop\REPORT CBM\PO TIANU JB\03. Raw Material\40. 10052026 SSU MEDINI SIGNATURE 33KV (VI)\IR</v>
      </c>
      <c r="BP424" t="s">
        <v>1000</v>
      </c>
    </row>
    <row r="425" spans="1:68" thickBot="1" x14ac:dyDescent="0.3">
      <c r="A425" s="4">
        <v>212</v>
      </c>
      <c r="B425" s="4" t="s">
        <v>985</v>
      </c>
      <c r="C425" s="4">
        <v>6</v>
      </c>
      <c r="D425" s="4" t="s">
        <v>1769</v>
      </c>
      <c r="E425" s="4">
        <v>8</v>
      </c>
      <c r="F425" s="4" t="str">
        <f ca="1">Master_List!$AW$1</f>
        <v>PERPUSTAKAAN PUSAT</v>
      </c>
      <c r="G425" s="4" t="str">
        <f ca="1">Master_List!$AW$2</f>
        <v>09:30 PM</v>
      </c>
      <c r="H425" s="4" t="str">
        <f ca="1">Master_List!$AW$3</f>
        <v>20/07/2026</v>
      </c>
      <c r="I425" s="4" t="str">
        <f ca="1">Master_List!$AW$4</f>
        <v>28.5</v>
      </c>
      <c r="J425" s="4" t="str">
        <f ca="1">Master_List!$AW$5</f>
        <v>65</v>
      </c>
      <c r="K425" s="4" t="s">
        <v>591</v>
      </c>
      <c r="BL425" s="4" t="s">
        <v>1744</v>
      </c>
      <c r="BM425" s="4" t="s">
        <v>1962</v>
      </c>
      <c r="BN425" s="4" t="s">
        <v>1748</v>
      </c>
      <c r="BO425" s="4" t="str">
        <f t="shared" si="6"/>
        <v>C:\Users\aremi\Desktop\REPORT CBM\PO TIANU JB\03. Raw Material\40. 10052026 SSU MEDINI SIGNATURE 33KV (VI)\IR</v>
      </c>
      <c r="BP425" t="s">
        <v>1001</v>
      </c>
    </row>
    <row r="426" spans="1:68" thickBot="1" x14ac:dyDescent="0.3">
      <c r="A426" s="4">
        <v>213</v>
      </c>
      <c r="B426" s="4" t="s">
        <v>1002</v>
      </c>
      <c r="C426" s="4">
        <v>7</v>
      </c>
      <c r="D426" s="4" t="s">
        <v>1963</v>
      </c>
      <c r="E426" s="4">
        <v>1</v>
      </c>
      <c r="F426" s="4" t="str">
        <f ca="1">Master_List!$AW$1</f>
        <v>PERPUSTAKAAN PUSAT</v>
      </c>
      <c r="G426" s="4" t="str">
        <f ca="1">Master_List!$AW$2</f>
        <v>09:30 PM</v>
      </c>
      <c r="H426" s="4" t="str">
        <f ca="1">Master_List!$AW$3</f>
        <v>20/07/2026</v>
      </c>
      <c r="I426" s="4" t="str">
        <f ca="1">Master_List!$AW$4</f>
        <v>28.5</v>
      </c>
      <c r="J426" s="4" t="str">
        <f ca="1">Master_List!$AW$5</f>
        <v>65</v>
      </c>
      <c r="K426" s="4" t="s">
        <v>533</v>
      </c>
      <c r="BL426" s="4" t="s">
        <v>1744</v>
      </c>
      <c r="BM426" s="4" t="s">
        <v>1964</v>
      </c>
      <c r="BN426" s="4" t="s">
        <v>1746</v>
      </c>
      <c r="BO426" s="4" t="str">
        <f t="shared" si="6"/>
        <v>C:\Users\aremi\Desktop\REPORT CBM\PO TIANU JB\03. Raw Material\40. 10052026 SSU MEDINI SIGNATURE 33KV (VI)\IR</v>
      </c>
      <c r="BP426" t="s">
        <v>1003</v>
      </c>
    </row>
    <row r="427" spans="1:68" thickBot="1" x14ac:dyDescent="0.3">
      <c r="A427" s="4">
        <v>213</v>
      </c>
      <c r="B427" s="4" t="s">
        <v>1002</v>
      </c>
      <c r="C427" s="4">
        <v>7</v>
      </c>
      <c r="D427" s="4" t="s">
        <v>1963</v>
      </c>
      <c r="E427" s="4">
        <v>1</v>
      </c>
      <c r="F427" s="4" t="str">
        <f ca="1">Master_List!$AW$1</f>
        <v>PERPUSTAKAAN PUSAT</v>
      </c>
      <c r="G427" s="4" t="str">
        <f ca="1">Master_List!$AW$2</f>
        <v>09:30 PM</v>
      </c>
      <c r="H427" s="4" t="str">
        <f ca="1">Master_List!$AW$3</f>
        <v>20/07/2026</v>
      </c>
      <c r="I427" s="4" t="str">
        <f ca="1">Master_List!$AW$4</f>
        <v>28.5</v>
      </c>
      <c r="J427" s="4" t="str">
        <f ca="1">Master_List!$AW$5</f>
        <v>65</v>
      </c>
      <c r="K427" s="4" t="s">
        <v>533</v>
      </c>
      <c r="BL427" s="4" t="s">
        <v>1744</v>
      </c>
      <c r="BM427" s="4" t="s">
        <v>1964</v>
      </c>
      <c r="BN427" s="4" t="s">
        <v>1748</v>
      </c>
      <c r="BO427" s="4" t="str">
        <f t="shared" si="6"/>
        <v>C:\Users\aremi\Desktop\REPORT CBM\PO TIANU JB\03. Raw Material\40. 10052026 SSU MEDINI SIGNATURE 33KV (VI)\IR</v>
      </c>
      <c r="BP427" t="s">
        <v>1004</v>
      </c>
    </row>
    <row r="428" spans="1:68" thickBot="1" x14ac:dyDescent="0.3">
      <c r="A428" s="4">
        <v>214</v>
      </c>
      <c r="B428" s="4" t="s">
        <v>1002</v>
      </c>
      <c r="C428" s="4">
        <v>7</v>
      </c>
      <c r="D428" s="4" t="s">
        <v>1963</v>
      </c>
      <c r="E428" s="4">
        <v>2</v>
      </c>
      <c r="F428" s="4" t="str">
        <f ca="1">Master_List!$AW$1</f>
        <v>PERPUSTAKAAN PUSAT</v>
      </c>
      <c r="G428" s="4" t="str">
        <f ca="1">Master_List!$AW$2</f>
        <v>09:30 PM</v>
      </c>
      <c r="H428" s="4" t="str">
        <f ca="1">Master_List!$AW$3</f>
        <v>20/07/2026</v>
      </c>
      <c r="I428" s="4" t="str">
        <f ca="1">Master_List!$AW$4</f>
        <v>28.5</v>
      </c>
      <c r="J428" s="4" t="str">
        <f ca="1">Master_List!$AW$5</f>
        <v>65</v>
      </c>
      <c r="K428" s="4" t="s">
        <v>538</v>
      </c>
      <c r="BL428" s="4" t="s">
        <v>1744</v>
      </c>
      <c r="BM428" s="4" t="s">
        <v>1965</v>
      </c>
      <c r="BN428" s="4" t="s">
        <v>1746</v>
      </c>
      <c r="BO428" s="4" t="str">
        <f t="shared" si="6"/>
        <v>C:\Users\aremi\Desktop\REPORT CBM\PO TIANU JB\03. Raw Material\40. 10052026 SSU MEDINI SIGNATURE 33KV (VI)\IR</v>
      </c>
      <c r="BP428" t="s">
        <v>1005</v>
      </c>
    </row>
    <row r="429" spans="1:68" thickBot="1" x14ac:dyDescent="0.3">
      <c r="A429" s="4">
        <v>214</v>
      </c>
      <c r="B429" s="4" t="s">
        <v>1002</v>
      </c>
      <c r="C429" s="4">
        <v>7</v>
      </c>
      <c r="D429" s="4" t="s">
        <v>1963</v>
      </c>
      <c r="E429" s="4">
        <v>2</v>
      </c>
      <c r="F429" s="4" t="str">
        <f ca="1">Master_List!$AW$1</f>
        <v>PERPUSTAKAAN PUSAT</v>
      </c>
      <c r="G429" s="4" t="str">
        <f ca="1">Master_List!$AW$2</f>
        <v>09:30 PM</v>
      </c>
      <c r="H429" s="4" t="str">
        <f ca="1">Master_List!$AW$3</f>
        <v>20/07/2026</v>
      </c>
      <c r="I429" s="4" t="str">
        <f ca="1">Master_List!$AW$4</f>
        <v>28.5</v>
      </c>
      <c r="J429" s="4" t="str">
        <f ca="1">Master_List!$AW$5</f>
        <v>65</v>
      </c>
      <c r="K429" s="4" t="s">
        <v>538</v>
      </c>
      <c r="BL429" s="4" t="s">
        <v>1744</v>
      </c>
      <c r="BM429" s="4" t="s">
        <v>1965</v>
      </c>
      <c r="BN429" s="4" t="s">
        <v>1748</v>
      </c>
      <c r="BO429" s="4" t="str">
        <f t="shared" si="6"/>
        <v>C:\Users\aremi\Desktop\REPORT CBM\PO TIANU JB\03. Raw Material\40. 10052026 SSU MEDINI SIGNATURE 33KV (VI)\IR</v>
      </c>
      <c r="BP429" t="s">
        <v>1006</v>
      </c>
    </row>
    <row r="430" spans="1:68" thickBot="1" x14ac:dyDescent="0.3">
      <c r="A430" s="4">
        <v>215</v>
      </c>
      <c r="B430" s="4" t="s">
        <v>1002</v>
      </c>
      <c r="C430" s="4">
        <v>7</v>
      </c>
      <c r="D430" s="4" t="s">
        <v>1963</v>
      </c>
      <c r="E430" s="4">
        <v>3</v>
      </c>
      <c r="F430" s="4" t="str">
        <f ca="1">Master_List!$AW$1</f>
        <v>PERPUSTAKAAN PUSAT</v>
      </c>
      <c r="G430" s="4" t="str">
        <f ca="1">Master_List!$AW$2</f>
        <v>09:30 PM</v>
      </c>
      <c r="H430" s="4" t="str">
        <f ca="1">Master_List!$AW$3</f>
        <v>20/07/2026</v>
      </c>
      <c r="I430" s="4" t="str">
        <f ca="1">Master_List!$AW$4</f>
        <v>28.5</v>
      </c>
      <c r="J430" s="4" t="str">
        <f ca="1">Master_List!$AW$5</f>
        <v>65</v>
      </c>
      <c r="K430" s="4" t="s">
        <v>541</v>
      </c>
      <c r="BL430" s="4" t="s">
        <v>1744</v>
      </c>
      <c r="BM430" s="4" t="s">
        <v>1966</v>
      </c>
      <c r="BN430" s="4" t="s">
        <v>1746</v>
      </c>
      <c r="BO430" s="4" t="str">
        <f t="shared" si="6"/>
        <v>C:\Users\aremi\Desktop\REPORT CBM\PO TIANU JB\03. Raw Material\40. 10052026 SSU MEDINI SIGNATURE 33KV (VI)\IR</v>
      </c>
      <c r="BP430" t="s">
        <v>1007</v>
      </c>
    </row>
    <row r="431" spans="1:68" thickBot="1" x14ac:dyDescent="0.3">
      <c r="A431" s="4">
        <v>215</v>
      </c>
      <c r="B431" s="4" t="s">
        <v>1002</v>
      </c>
      <c r="C431" s="4">
        <v>7</v>
      </c>
      <c r="D431" s="4" t="s">
        <v>1963</v>
      </c>
      <c r="E431" s="4">
        <v>3</v>
      </c>
      <c r="F431" s="4" t="str">
        <f ca="1">Master_List!$AW$1</f>
        <v>PERPUSTAKAAN PUSAT</v>
      </c>
      <c r="G431" s="4" t="str">
        <f ca="1">Master_List!$AW$2</f>
        <v>09:30 PM</v>
      </c>
      <c r="H431" s="4" t="str">
        <f ca="1">Master_List!$AW$3</f>
        <v>20/07/2026</v>
      </c>
      <c r="I431" s="4" t="str">
        <f ca="1">Master_List!$AW$4</f>
        <v>28.5</v>
      </c>
      <c r="J431" s="4" t="str">
        <f ca="1">Master_List!$AW$5</f>
        <v>65</v>
      </c>
      <c r="K431" s="4" t="s">
        <v>541</v>
      </c>
      <c r="BL431" s="4" t="s">
        <v>1744</v>
      </c>
      <c r="BM431" s="4" t="s">
        <v>1966</v>
      </c>
      <c r="BN431" s="4" t="s">
        <v>1748</v>
      </c>
      <c r="BO431" s="4" t="str">
        <f t="shared" si="6"/>
        <v>C:\Users\aremi\Desktop\REPORT CBM\PO TIANU JB\03. Raw Material\40. 10052026 SSU MEDINI SIGNATURE 33KV (VI)\IR</v>
      </c>
      <c r="BP431" t="s">
        <v>1008</v>
      </c>
    </row>
    <row r="432" spans="1:68" thickBot="1" x14ac:dyDescent="0.3">
      <c r="A432" s="4">
        <v>216</v>
      </c>
      <c r="B432" s="4" t="s">
        <v>1002</v>
      </c>
      <c r="C432" s="4">
        <v>7</v>
      </c>
      <c r="D432" s="4" t="s">
        <v>1963</v>
      </c>
      <c r="E432" s="4">
        <v>4</v>
      </c>
      <c r="F432" s="4" t="str">
        <f ca="1">Master_List!$AW$1</f>
        <v>PERPUSTAKAAN PUSAT</v>
      </c>
      <c r="G432" s="4" t="str">
        <f ca="1">Master_List!$AW$2</f>
        <v>09:30 PM</v>
      </c>
      <c r="H432" s="4" t="str">
        <f ca="1">Master_List!$AW$3</f>
        <v>20/07/2026</v>
      </c>
      <c r="I432" s="4" t="str">
        <f ca="1">Master_List!$AW$4</f>
        <v>28.5</v>
      </c>
      <c r="J432" s="4" t="str">
        <f ca="1">Master_List!$AW$5</f>
        <v>65</v>
      </c>
      <c r="K432" s="4" t="s">
        <v>544</v>
      </c>
      <c r="BL432" s="4" t="s">
        <v>1744</v>
      </c>
      <c r="BM432" s="4" t="s">
        <v>1967</v>
      </c>
      <c r="BN432" s="4" t="s">
        <v>1746</v>
      </c>
      <c r="BO432" s="4" t="str">
        <f t="shared" si="6"/>
        <v>C:\Users\aremi\Desktop\REPORT CBM\PO TIANU JB\03. Raw Material\40. 10052026 SSU MEDINI SIGNATURE 33KV (VI)\IR</v>
      </c>
      <c r="BP432" t="s">
        <v>1009</v>
      </c>
    </row>
    <row r="433" spans="1:68" thickBot="1" x14ac:dyDescent="0.3">
      <c r="A433" s="4">
        <v>216</v>
      </c>
      <c r="B433" s="4" t="s">
        <v>1002</v>
      </c>
      <c r="C433" s="4">
        <v>7</v>
      </c>
      <c r="D433" s="4" t="s">
        <v>1963</v>
      </c>
      <c r="E433" s="4">
        <v>4</v>
      </c>
      <c r="F433" s="4" t="str">
        <f ca="1">Master_List!$AW$1</f>
        <v>PERPUSTAKAAN PUSAT</v>
      </c>
      <c r="G433" s="4" t="str">
        <f ca="1">Master_List!$AW$2</f>
        <v>09:30 PM</v>
      </c>
      <c r="H433" s="4" t="str">
        <f ca="1">Master_List!$AW$3</f>
        <v>20/07/2026</v>
      </c>
      <c r="I433" s="4" t="str">
        <f ca="1">Master_List!$AW$4</f>
        <v>28.5</v>
      </c>
      <c r="J433" s="4" t="str">
        <f ca="1">Master_List!$AW$5</f>
        <v>65</v>
      </c>
      <c r="K433" s="4" t="s">
        <v>544</v>
      </c>
      <c r="BL433" s="4" t="s">
        <v>1744</v>
      </c>
      <c r="BM433" s="4" t="s">
        <v>1967</v>
      </c>
      <c r="BN433" s="4" t="s">
        <v>1748</v>
      </c>
      <c r="BO433" s="4" t="str">
        <f t="shared" si="6"/>
        <v>C:\Users\aremi\Desktop\REPORT CBM\PO TIANU JB\03. Raw Material\40. 10052026 SSU MEDINI SIGNATURE 33KV (VI)\IR</v>
      </c>
      <c r="BP433" t="s">
        <v>1010</v>
      </c>
    </row>
    <row r="434" spans="1:68" thickBot="1" x14ac:dyDescent="0.3">
      <c r="A434" s="4">
        <v>217</v>
      </c>
      <c r="B434" s="4" t="s">
        <v>1002</v>
      </c>
      <c r="C434" s="4">
        <v>7</v>
      </c>
      <c r="D434" s="4" t="s">
        <v>1963</v>
      </c>
      <c r="E434" s="4">
        <v>5</v>
      </c>
      <c r="F434" s="4" t="str">
        <f ca="1">Master_List!$AW$1</f>
        <v>PERPUSTAKAAN PUSAT</v>
      </c>
      <c r="G434" s="4" t="str">
        <f ca="1">Master_List!$AW$2</f>
        <v>09:30 PM</v>
      </c>
      <c r="H434" s="4" t="str">
        <f ca="1">Master_List!$AW$3</f>
        <v>20/07/2026</v>
      </c>
      <c r="I434" s="4" t="str">
        <f ca="1">Master_List!$AW$4</f>
        <v>28.5</v>
      </c>
      <c r="J434" s="4" t="str">
        <f ca="1">Master_List!$AW$5</f>
        <v>65</v>
      </c>
      <c r="K434" s="4" t="s">
        <v>547</v>
      </c>
      <c r="BL434" s="4" t="s">
        <v>1744</v>
      </c>
      <c r="BM434" s="4" t="s">
        <v>1968</v>
      </c>
      <c r="BN434" s="4" t="s">
        <v>1746</v>
      </c>
      <c r="BO434" s="4" t="str">
        <f t="shared" si="6"/>
        <v>C:\Users\aremi\Desktop\REPORT CBM\PO TIANU JB\03. Raw Material\40. 10052026 SSU MEDINI SIGNATURE 33KV (VI)\IR</v>
      </c>
      <c r="BP434" t="s">
        <v>1011</v>
      </c>
    </row>
    <row r="435" spans="1:68" thickBot="1" x14ac:dyDescent="0.3">
      <c r="A435" s="4">
        <v>217</v>
      </c>
      <c r="B435" s="4" t="s">
        <v>1002</v>
      </c>
      <c r="C435" s="4">
        <v>7</v>
      </c>
      <c r="D435" s="4" t="s">
        <v>1963</v>
      </c>
      <c r="E435" s="4">
        <v>5</v>
      </c>
      <c r="F435" s="4" t="str">
        <f ca="1">Master_List!$AW$1</f>
        <v>PERPUSTAKAAN PUSAT</v>
      </c>
      <c r="G435" s="4" t="str">
        <f ca="1">Master_List!$AW$2</f>
        <v>09:30 PM</v>
      </c>
      <c r="H435" s="4" t="str">
        <f ca="1">Master_List!$AW$3</f>
        <v>20/07/2026</v>
      </c>
      <c r="I435" s="4" t="str">
        <f ca="1">Master_List!$AW$4</f>
        <v>28.5</v>
      </c>
      <c r="J435" s="4" t="str">
        <f ca="1">Master_List!$AW$5</f>
        <v>65</v>
      </c>
      <c r="K435" s="4" t="s">
        <v>547</v>
      </c>
      <c r="BL435" s="4" t="s">
        <v>1744</v>
      </c>
      <c r="BM435" s="4" t="s">
        <v>1968</v>
      </c>
      <c r="BN435" s="4" t="s">
        <v>1748</v>
      </c>
      <c r="BO435" s="4" t="str">
        <f t="shared" si="6"/>
        <v>C:\Users\aremi\Desktop\REPORT CBM\PO TIANU JB\03. Raw Material\40. 10052026 SSU MEDINI SIGNATURE 33KV (VI)\IR</v>
      </c>
      <c r="BP435" t="s">
        <v>1012</v>
      </c>
    </row>
    <row r="436" spans="1:68" thickBot="1" x14ac:dyDescent="0.3">
      <c r="A436" s="4">
        <v>218</v>
      </c>
      <c r="B436" s="4" t="s">
        <v>1002</v>
      </c>
      <c r="C436" s="4">
        <v>7</v>
      </c>
      <c r="D436" s="4" t="s">
        <v>1963</v>
      </c>
      <c r="E436" s="4">
        <v>6</v>
      </c>
      <c r="F436" s="4" t="str">
        <f ca="1">Master_List!$AW$1</f>
        <v>PERPUSTAKAAN PUSAT</v>
      </c>
      <c r="G436" s="4" t="str">
        <f ca="1">Master_List!$AW$2</f>
        <v>09:30 PM</v>
      </c>
      <c r="H436" s="4" t="str">
        <f ca="1">Master_List!$AW$3</f>
        <v>20/07/2026</v>
      </c>
      <c r="I436" s="4" t="str">
        <f ca="1">Master_List!$AW$4</f>
        <v>28.5</v>
      </c>
      <c r="J436" s="4" t="str">
        <f ca="1">Master_List!$AW$5</f>
        <v>65</v>
      </c>
      <c r="K436" s="4" t="s">
        <v>550</v>
      </c>
      <c r="BL436" s="4" t="s">
        <v>1744</v>
      </c>
      <c r="BM436" s="4" t="s">
        <v>1969</v>
      </c>
      <c r="BN436" s="4" t="s">
        <v>1746</v>
      </c>
      <c r="BO436" s="4" t="str">
        <f t="shared" si="6"/>
        <v>C:\Users\aremi\Desktop\REPORT CBM\PO TIANU JB\03. Raw Material\40. 10052026 SSU MEDINI SIGNATURE 33KV (VI)\IR</v>
      </c>
      <c r="BP436" t="s">
        <v>1013</v>
      </c>
    </row>
    <row r="437" spans="1:68" thickBot="1" x14ac:dyDescent="0.3">
      <c r="A437" s="4">
        <v>218</v>
      </c>
      <c r="B437" s="4" t="s">
        <v>1002</v>
      </c>
      <c r="C437" s="4">
        <v>7</v>
      </c>
      <c r="D437" s="4" t="s">
        <v>1963</v>
      </c>
      <c r="E437" s="4">
        <v>6</v>
      </c>
      <c r="F437" s="4" t="str">
        <f ca="1">Master_List!$AW$1</f>
        <v>PERPUSTAKAAN PUSAT</v>
      </c>
      <c r="G437" s="4" t="str">
        <f ca="1">Master_List!$AW$2</f>
        <v>09:30 PM</v>
      </c>
      <c r="H437" s="4" t="str">
        <f ca="1">Master_List!$AW$3</f>
        <v>20/07/2026</v>
      </c>
      <c r="I437" s="4" t="str">
        <f ca="1">Master_List!$AW$4</f>
        <v>28.5</v>
      </c>
      <c r="J437" s="4" t="str">
        <f ca="1">Master_List!$AW$5</f>
        <v>65</v>
      </c>
      <c r="K437" s="4" t="s">
        <v>550</v>
      </c>
      <c r="BL437" s="4" t="s">
        <v>1744</v>
      </c>
      <c r="BM437" s="4" t="s">
        <v>1969</v>
      </c>
      <c r="BN437" s="4" t="s">
        <v>1748</v>
      </c>
      <c r="BO437" s="4" t="str">
        <f t="shared" si="6"/>
        <v>C:\Users\aremi\Desktop\REPORT CBM\PO TIANU JB\03. Raw Material\40. 10052026 SSU MEDINI SIGNATURE 33KV (VI)\IR</v>
      </c>
      <c r="BP437" t="s">
        <v>1014</v>
      </c>
    </row>
    <row r="438" spans="1:68" thickBot="1" x14ac:dyDescent="0.3">
      <c r="A438" s="4">
        <v>219</v>
      </c>
      <c r="B438" s="4" t="s">
        <v>1002</v>
      </c>
      <c r="C438" s="4">
        <v>7</v>
      </c>
      <c r="D438" s="4" t="s">
        <v>1963</v>
      </c>
      <c r="E438" s="4">
        <v>7</v>
      </c>
      <c r="F438" s="4" t="str">
        <f ca="1">Master_List!$AW$1</f>
        <v>PERPUSTAKAAN PUSAT</v>
      </c>
      <c r="G438" s="4" t="str">
        <f ca="1">Master_List!$AW$2</f>
        <v>09:30 PM</v>
      </c>
      <c r="H438" s="4" t="str">
        <f ca="1">Master_List!$AW$3</f>
        <v>20/07/2026</v>
      </c>
      <c r="I438" s="4" t="str">
        <f ca="1">Master_List!$AW$4</f>
        <v>28.5</v>
      </c>
      <c r="J438" s="4" t="str">
        <f ca="1">Master_List!$AW$5</f>
        <v>65</v>
      </c>
      <c r="K438" s="4" t="s">
        <v>553</v>
      </c>
      <c r="BL438" s="4" t="s">
        <v>1744</v>
      </c>
      <c r="BM438" s="4" t="s">
        <v>1970</v>
      </c>
      <c r="BN438" s="4" t="s">
        <v>1746</v>
      </c>
      <c r="BO438" s="4" t="str">
        <f t="shared" si="6"/>
        <v>C:\Users\aremi\Desktop\REPORT CBM\PO TIANU JB\03. Raw Material\40. 10052026 SSU MEDINI SIGNATURE 33KV (VI)\IR</v>
      </c>
      <c r="BP438" t="s">
        <v>1015</v>
      </c>
    </row>
    <row r="439" spans="1:68" thickBot="1" x14ac:dyDescent="0.3">
      <c r="A439" s="4">
        <v>219</v>
      </c>
      <c r="B439" s="4" t="s">
        <v>1002</v>
      </c>
      <c r="C439" s="4">
        <v>7</v>
      </c>
      <c r="D439" s="4" t="s">
        <v>1963</v>
      </c>
      <c r="E439" s="4">
        <v>7</v>
      </c>
      <c r="F439" s="4" t="str">
        <f ca="1">Master_List!$AW$1</f>
        <v>PERPUSTAKAAN PUSAT</v>
      </c>
      <c r="G439" s="4" t="str">
        <f ca="1">Master_List!$AW$2</f>
        <v>09:30 PM</v>
      </c>
      <c r="H439" s="4" t="str">
        <f ca="1">Master_List!$AW$3</f>
        <v>20/07/2026</v>
      </c>
      <c r="I439" s="4" t="str">
        <f ca="1">Master_List!$AW$4</f>
        <v>28.5</v>
      </c>
      <c r="J439" s="4" t="str">
        <f ca="1">Master_List!$AW$5</f>
        <v>65</v>
      </c>
      <c r="K439" s="4" t="s">
        <v>553</v>
      </c>
      <c r="BL439" s="4" t="s">
        <v>1744</v>
      </c>
      <c r="BM439" s="4" t="s">
        <v>1970</v>
      </c>
      <c r="BN439" s="4" t="s">
        <v>1748</v>
      </c>
      <c r="BO439" s="4" t="str">
        <f t="shared" si="6"/>
        <v>C:\Users\aremi\Desktop\REPORT CBM\PO TIANU JB\03. Raw Material\40. 10052026 SSU MEDINI SIGNATURE 33KV (VI)\IR</v>
      </c>
      <c r="BP439" t="s">
        <v>1016</v>
      </c>
    </row>
    <row r="440" spans="1:68" thickBot="1" x14ac:dyDescent="0.3">
      <c r="A440" s="4">
        <v>220</v>
      </c>
      <c r="B440" s="4" t="s">
        <v>1002</v>
      </c>
      <c r="C440" s="4">
        <v>7</v>
      </c>
      <c r="D440" s="4" t="s">
        <v>1963</v>
      </c>
      <c r="E440" s="4">
        <v>8</v>
      </c>
      <c r="F440" s="4" t="str">
        <f ca="1">Master_List!$AW$1</f>
        <v>PERPUSTAKAAN PUSAT</v>
      </c>
      <c r="G440" s="4" t="str">
        <f ca="1">Master_List!$AW$2</f>
        <v>09:30 PM</v>
      </c>
      <c r="H440" s="4" t="str">
        <f ca="1">Master_List!$AW$3</f>
        <v>20/07/2026</v>
      </c>
      <c r="I440" s="4" t="str">
        <f ca="1">Master_List!$AW$4</f>
        <v>28.5</v>
      </c>
      <c r="J440" s="4" t="str">
        <f ca="1">Master_List!$AW$5</f>
        <v>65</v>
      </c>
      <c r="K440" s="4" t="s">
        <v>556</v>
      </c>
      <c r="BL440" s="4" t="s">
        <v>1744</v>
      </c>
      <c r="BM440" s="4" t="s">
        <v>1971</v>
      </c>
      <c r="BN440" s="4" t="s">
        <v>1746</v>
      </c>
      <c r="BO440" s="4" t="str">
        <f t="shared" si="6"/>
        <v>C:\Users\aremi\Desktop\REPORT CBM\PO TIANU JB\03. Raw Material\40. 10052026 SSU MEDINI SIGNATURE 33KV (VI)\IR</v>
      </c>
      <c r="BP440" t="s">
        <v>1017</v>
      </c>
    </row>
    <row r="441" spans="1:68" thickBot="1" x14ac:dyDescent="0.3">
      <c r="A441" s="4">
        <v>220</v>
      </c>
      <c r="B441" s="4" t="s">
        <v>1002</v>
      </c>
      <c r="C441" s="4">
        <v>7</v>
      </c>
      <c r="D441" s="4" t="s">
        <v>1963</v>
      </c>
      <c r="E441" s="4">
        <v>8</v>
      </c>
      <c r="F441" s="4" t="str">
        <f ca="1">Master_List!$AW$1</f>
        <v>PERPUSTAKAAN PUSAT</v>
      </c>
      <c r="G441" s="4" t="str">
        <f ca="1">Master_List!$AW$2</f>
        <v>09:30 PM</v>
      </c>
      <c r="H441" s="4" t="str">
        <f ca="1">Master_List!$AW$3</f>
        <v>20/07/2026</v>
      </c>
      <c r="I441" s="4" t="str">
        <f ca="1">Master_List!$AW$4</f>
        <v>28.5</v>
      </c>
      <c r="J441" s="4" t="str">
        <f ca="1">Master_List!$AW$5</f>
        <v>65</v>
      </c>
      <c r="K441" s="4" t="s">
        <v>556</v>
      </c>
      <c r="BL441" s="4" t="s">
        <v>1744</v>
      </c>
      <c r="BM441" s="4" t="s">
        <v>1971</v>
      </c>
      <c r="BN441" s="4" t="s">
        <v>1748</v>
      </c>
      <c r="BO441" s="4" t="str">
        <f t="shared" si="6"/>
        <v>C:\Users\aremi\Desktop\REPORT CBM\PO TIANU JB\03. Raw Material\40. 10052026 SSU MEDINI SIGNATURE 33KV (VI)\IR</v>
      </c>
      <c r="BP441" t="s">
        <v>1018</v>
      </c>
    </row>
    <row r="442" spans="1:68" thickBot="1" x14ac:dyDescent="0.3">
      <c r="A442" s="4">
        <v>221</v>
      </c>
      <c r="B442" s="4" t="s">
        <v>1002</v>
      </c>
      <c r="C442" s="4">
        <v>7</v>
      </c>
      <c r="D442" s="4" t="s">
        <v>1963</v>
      </c>
      <c r="E442" s="4">
        <v>9</v>
      </c>
      <c r="F442" s="4" t="str">
        <f ca="1">Master_List!$AW$1</f>
        <v>PERPUSTAKAAN PUSAT</v>
      </c>
      <c r="G442" s="4" t="str">
        <f ca="1">Master_List!$AW$2</f>
        <v>09:30 PM</v>
      </c>
      <c r="H442" s="4" t="str">
        <f ca="1">Master_List!$AW$3</f>
        <v>20/07/2026</v>
      </c>
      <c r="I442" s="4" t="str">
        <f ca="1">Master_List!$AW$4</f>
        <v>28.5</v>
      </c>
      <c r="J442" s="4" t="str">
        <f ca="1">Master_List!$AW$5</f>
        <v>65</v>
      </c>
      <c r="K442" s="4" t="s">
        <v>553</v>
      </c>
      <c r="BL442" s="4" t="s">
        <v>1744</v>
      </c>
      <c r="BM442" s="4" t="s">
        <v>1972</v>
      </c>
      <c r="BN442" s="4" t="s">
        <v>1746</v>
      </c>
      <c r="BO442" s="4" t="str">
        <f t="shared" si="6"/>
        <v>C:\Users\aremi\Desktop\REPORT CBM\PO TIANU JB\03. Raw Material\40. 10052026 SSU MEDINI SIGNATURE 33KV (VI)\IR</v>
      </c>
      <c r="BP442" t="s">
        <v>1019</v>
      </c>
    </row>
    <row r="443" spans="1:68" thickBot="1" x14ac:dyDescent="0.3">
      <c r="A443" s="4">
        <v>221</v>
      </c>
      <c r="B443" s="4" t="s">
        <v>1002</v>
      </c>
      <c r="C443" s="4">
        <v>7</v>
      </c>
      <c r="D443" s="4" t="s">
        <v>1963</v>
      </c>
      <c r="E443" s="4">
        <v>9</v>
      </c>
      <c r="F443" s="4" t="str">
        <f ca="1">Master_List!$AW$1</f>
        <v>PERPUSTAKAAN PUSAT</v>
      </c>
      <c r="G443" s="4" t="str">
        <f ca="1">Master_List!$AW$2</f>
        <v>09:30 PM</v>
      </c>
      <c r="H443" s="4" t="str">
        <f ca="1">Master_List!$AW$3</f>
        <v>20/07/2026</v>
      </c>
      <c r="I443" s="4" t="str">
        <f ca="1">Master_List!$AW$4</f>
        <v>28.5</v>
      </c>
      <c r="J443" s="4" t="str">
        <f ca="1">Master_List!$AW$5</f>
        <v>65</v>
      </c>
      <c r="K443" s="4" t="s">
        <v>553</v>
      </c>
      <c r="BL443" s="4" t="s">
        <v>1744</v>
      </c>
      <c r="BM443" s="4" t="s">
        <v>1972</v>
      </c>
      <c r="BN443" s="4" t="s">
        <v>1748</v>
      </c>
      <c r="BO443" s="4" t="str">
        <f t="shared" si="6"/>
        <v>C:\Users\aremi\Desktop\REPORT CBM\PO TIANU JB\03. Raw Material\40. 10052026 SSU MEDINI SIGNATURE 33KV (VI)\IR</v>
      </c>
      <c r="BP443" t="s">
        <v>1020</v>
      </c>
    </row>
    <row r="444" spans="1:68" thickBot="1" x14ac:dyDescent="0.3">
      <c r="A444" s="4">
        <v>222</v>
      </c>
      <c r="B444" s="4" t="s">
        <v>1002</v>
      </c>
      <c r="C444" s="4">
        <v>7</v>
      </c>
      <c r="D444" s="4" t="s">
        <v>1963</v>
      </c>
      <c r="E444" s="4">
        <v>10</v>
      </c>
      <c r="F444" s="4" t="str">
        <f ca="1">Master_List!$AW$1</f>
        <v>PERPUSTAKAAN PUSAT</v>
      </c>
      <c r="G444" s="4" t="str">
        <f ca="1">Master_List!$AW$2</f>
        <v>09:30 PM</v>
      </c>
      <c r="H444" s="4" t="str">
        <f ca="1">Master_List!$AW$3</f>
        <v>20/07/2026</v>
      </c>
      <c r="I444" s="4" t="str">
        <f ca="1">Master_List!$AW$4</f>
        <v>28.5</v>
      </c>
      <c r="J444" s="4" t="str">
        <f ca="1">Master_List!$AW$5</f>
        <v>65</v>
      </c>
      <c r="K444" s="4" t="s">
        <v>556</v>
      </c>
      <c r="BL444" s="4" t="s">
        <v>1744</v>
      </c>
      <c r="BM444" s="4" t="s">
        <v>1973</v>
      </c>
      <c r="BN444" s="4" t="s">
        <v>1746</v>
      </c>
      <c r="BO444" s="4" t="str">
        <f t="shared" si="6"/>
        <v>C:\Users\aremi\Desktop\REPORT CBM\PO TIANU JB\03. Raw Material\40. 10052026 SSU MEDINI SIGNATURE 33KV (VI)\IR</v>
      </c>
      <c r="BP444" t="s">
        <v>1021</v>
      </c>
    </row>
    <row r="445" spans="1:68" thickBot="1" x14ac:dyDescent="0.3">
      <c r="A445" s="4">
        <v>222</v>
      </c>
      <c r="B445" s="4" t="s">
        <v>1002</v>
      </c>
      <c r="C445" s="4">
        <v>7</v>
      </c>
      <c r="D445" s="4" t="s">
        <v>1963</v>
      </c>
      <c r="E445" s="4">
        <v>10</v>
      </c>
      <c r="F445" s="4" t="str">
        <f ca="1">Master_List!$AW$1</f>
        <v>PERPUSTAKAAN PUSAT</v>
      </c>
      <c r="G445" s="4" t="str">
        <f ca="1">Master_List!$AW$2</f>
        <v>09:30 PM</v>
      </c>
      <c r="H445" s="4" t="str">
        <f ca="1">Master_List!$AW$3</f>
        <v>20/07/2026</v>
      </c>
      <c r="I445" s="4" t="str">
        <f ca="1">Master_List!$AW$4</f>
        <v>28.5</v>
      </c>
      <c r="J445" s="4" t="str">
        <f ca="1">Master_List!$AW$5</f>
        <v>65</v>
      </c>
      <c r="K445" s="4" t="s">
        <v>556</v>
      </c>
      <c r="BL445" s="4" t="s">
        <v>1744</v>
      </c>
      <c r="BM445" s="4" t="s">
        <v>1973</v>
      </c>
      <c r="BN445" s="4" t="s">
        <v>1748</v>
      </c>
      <c r="BO445" s="4" t="str">
        <f t="shared" si="6"/>
        <v>C:\Users\aremi\Desktop\REPORT CBM\PO TIANU JB\03. Raw Material\40. 10052026 SSU MEDINI SIGNATURE 33KV (VI)\IR</v>
      </c>
      <c r="BP445" t="s">
        <v>1022</v>
      </c>
    </row>
    <row r="446" spans="1:68" thickBot="1" x14ac:dyDescent="0.3">
      <c r="A446" s="4">
        <v>223</v>
      </c>
      <c r="B446" s="4" t="s">
        <v>1002</v>
      </c>
      <c r="C446" s="4">
        <v>7</v>
      </c>
      <c r="D446" s="4" t="s">
        <v>1963</v>
      </c>
      <c r="E446" s="4">
        <v>11</v>
      </c>
      <c r="F446" s="4" t="str">
        <f ca="1">Master_List!$AW$1</f>
        <v>PERPUSTAKAAN PUSAT</v>
      </c>
      <c r="G446" s="4" t="str">
        <f ca="1">Master_List!$AW$2</f>
        <v>09:30 PM</v>
      </c>
      <c r="H446" s="4" t="str">
        <f ca="1">Master_List!$AW$3</f>
        <v>20/07/2026</v>
      </c>
      <c r="I446" s="4" t="str">
        <f ca="1">Master_List!$AW$4</f>
        <v>28.5</v>
      </c>
      <c r="J446" s="4" t="str">
        <f ca="1">Master_List!$AW$5</f>
        <v>65</v>
      </c>
      <c r="K446" s="4" t="s">
        <v>563</v>
      </c>
      <c r="BL446" s="4" t="s">
        <v>1744</v>
      </c>
      <c r="BM446" s="4" t="s">
        <v>1974</v>
      </c>
      <c r="BN446" s="4" t="s">
        <v>1746</v>
      </c>
      <c r="BO446" s="4" t="str">
        <f t="shared" si="6"/>
        <v>C:\Users\aremi\Desktop\REPORT CBM\PO TIANU JB\03. Raw Material\40. 10052026 SSU MEDINI SIGNATURE 33KV (VI)\IR</v>
      </c>
      <c r="BP446" t="s">
        <v>1023</v>
      </c>
    </row>
    <row r="447" spans="1:68" thickBot="1" x14ac:dyDescent="0.3">
      <c r="A447" s="4">
        <v>223</v>
      </c>
      <c r="B447" s="4" t="s">
        <v>1002</v>
      </c>
      <c r="C447" s="4">
        <v>7</v>
      </c>
      <c r="D447" s="4" t="s">
        <v>1963</v>
      </c>
      <c r="E447" s="4">
        <v>11</v>
      </c>
      <c r="F447" s="4" t="str">
        <f ca="1">Master_List!$AW$1</f>
        <v>PERPUSTAKAAN PUSAT</v>
      </c>
      <c r="G447" s="4" t="str">
        <f ca="1">Master_List!$AW$2</f>
        <v>09:30 PM</v>
      </c>
      <c r="H447" s="4" t="str">
        <f ca="1">Master_List!$AW$3</f>
        <v>20/07/2026</v>
      </c>
      <c r="I447" s="4" t="str">
        <f ca="1">Master_List!$AW$4</f>
        <v>28.5</v>
      </c>
      <c r="J447" s="4" t="str">
        <f ca="1">Master_List!$AW$5</f>
        <v>65</v>
      </c>
      <c r="K447" s="4" t="s">
        <v>563</v>
      </c>
      <c r="BL447" s="4" t="s">
        <v>1744</v>
      </c>
      <c r="BM447" s="4" t="s">
        <v>1974</v>
      </c>
      <c r="BN447" s="4" t="s">
        <v>1748</v>
      </c>
      <c r="BO447" s="4" t="str">
        <f t="shared" si="6"/>
        <v>C:\Users\aremi\Desktop\REPORT CBM\PO TIANU JB\03. Raw Material\40. 10052026 SSU MEDINI SIGNATURE 33KV (VI)\IR</v>
      </c>
      <c r="BP447" t="s">
        <v>1024</v>
      </c>
    </row>
    <row r="448" spans="1:68" thickBot="1" x14ac:dyDescent="0.3">
      <c r="A448" s="4">
        <v>224</v>
      </c>
      <c r="B448" s="4" t="s">
        <v>1002</v>
      </c>
      <c r="C448" s="4">
        <v>7</v>
      </c>
      <c r="D448" s="4" t="s">
        <v>1963</v>
      </c>
      <c r="E448" s="4">
        <v>12</v>
      </c>
      <c r="F448" s="4" t="str">
        <f ca="1">Master_List!$AW$1</f>
        <v>PERPUSTAKAAN PUSAT</v>
      </c>
      <c r="G448" s="4" t="str">
        <f ca="1">Master_List!$AW$2</f>
        <v>09:30 PM</v>
      </c>
      <c r="H448" s="4" t="str">
        <f ca="1">Master_List!$AW$3</f>
        <v>20/07/2026</v>
      </c>
      <c r="I448" s="4" t="str">
        <f ca="1">Master_List!$AW$4</f>
        <v>28.5</v>
      </c>
      <c r="J448" s="4" t="str">
        <f ca="1">Master_List!$AW$5</f>
        <v>65</v>
      </c>
      <c r="K448" s="4" t="s">
        <v>566</v>
      </c>
      <c r="BL448" s="4" t="s">
        <v>1744</v>
      </c>
      <c r="BM448" s="4" t="s">
        <v>1975</v>
      </c>
      <c r="BN448" s="4" t="s">
        <v>1746</v>
      </c>
      <c r="BO448" s="4" t="str">
        <f t="shared" si="6"/>
        <v>C:\Users\aremi\Desktop\REPORT CBM\PO TIANU JB\03. Raw Material\40. 10052026 SSU MEDINI SIGNATURE 33KV (VI)\IR</v>
      </c>
      <c r="BP448" t="s">
        <v>1025</v>
      </c>
    </row>
    <row r="449" spans="1:68" thickBot="1" x14ac:dyDescent="0.3">
      <c r="A449" s="4">
        <v>224</v>
      </c>
      <c r="B449" s="4" t="s">
        <v>1002</v>
      </c>
      <c r="C449" s="4">
        <v>7</v>
      </c>
      <c r="D449" s="4" t="s">
        <v>1963</v>
      </c>
      <c r="E449" s="4">
        <v>12</v>
      </c>
      <c r="F449" s="4" t="str">
        <f ca="1">Master_List!$AW$1</f>
        <v>PERPUSTAKAAN PUSAT</v>
      </c>
      <c r="G449" s="4" t="str">
        <f ca="1">Master_List!$AW$2</f>
        <v>09:30 PM</v>
      </c>
      <c r="H449" s="4" t="str">
        <f ca="1">Master_List!$AW$3</f>
        <v>20/07/2026</v>
      </c>
      <c r="I449" s="4" t="str">
        <f ca="1">Master_List!$AW$4</f>
        <v>28.5</v>
      </c>
      <c r="J449" s="4" t="str">
        <f ca="1">Master_List!$AW$5</f>
        <v>65</v>
      </c>
      <c r="K449" s="4" t="s">
        <v>566</v>
      </c>
      <c r="BL449" s="4" t="s">
        <v>1744</v>
      </c>
      <c r="BM449" s="4" t="s">
        <v>1975</v>
      </c>
      <c r="BN449" s="4" t="s">
        <v>1748</v>
      </c>
      <c r="BO449" s="4" t="str">
        <f t="shared" si="6"/>
        <v>C:\Users\aremi\Desktop\REPORT CBM\PO TIANU JB\03. Raw Material\40. 10052026 SSU MEDINI SIGNATURE 33KV (VI)\IR</v>
      </c>
      <c r="BP449" t="s">
        <v>1026</v>
      </c>
    </row>
    <row r="450" spans="1:68" thickBot="1" x14ac:dyDescent="0.3">
      <c r="A450" s="4">
        <v>225</v>
      </c>
      <c r="B450" s="4" t="s">
        <v>1027</v>
      </c>
      <c r="C450" s="4">
        <v>8</v>
      </c>
      <c r="D450" s="4" t="s">
        <v>1976</v>
      </c>
      <c r="E450" s="4">
        <v>1</v>
      </c>
      <c r="F450" s="4" t="str">
        <f ca="1">Master_List!$AW$1</f>
        <v>PERPUSTAKAAN PUSAT</v>
      </c>
      <c r="G450" s="4" t="str">
        <f ca="1">Master_List!$AW$2</f>
        <v>09:30 PM</v>
      </c>
      <c r="H450" s="4" t="str">
        <f ca="1">Master_List!$AW$3</f>
        <v>20/07/2026</v>
      </c>
      <c r="I450" s="4" t="str">
        <f ca="1">Master_List!$AW$4</f>
        <v>28.5</v>
      </c>
      <c r="J450" s="4" t="str">
        <f ca="1">Master_List!$AW$5</f>
        <v>65</v>
      </c>
      <c r="K450" s="4" t="s">
        <v>570</v>
      </c>
      <c r="BL450" s="4" t="s">
        <v>1744</v>
      </c>
      <c r="BM450" s="4" t="s">
        <v>1977</v>
      </c>
      <c r="BN450" s="4" t="s">
        <v>1746</v>
      </c>
      <c r="BO450" s="4" t="str">
        <f t="shared" si="6"/>
        <v>C:\Users\aremi\Desktop\REPORT CBM\PO TIANU JB\03. Raw Material\40. 10052026 SSU MEDINI SIGNATURE 33KV (VI)\IR</v>
      </c>
      <c r="BP450" t="s">
        <v>1028</v>
      </c>
    </row>
    <row r="451" spans="1:68" thickBot="1" x14ac:dyDescent="0.3">
      <c r="A451" s="4">
        <v>225</v>
      </c>
      <c r="B451" s="4" t="s">
        <v>1027</v>
      </c>
      <c r="C451" s="4">
        <v>8</v>
      </c>
      <c r="D451" s="4" t="s">
        <v>1976</v>
      </c>
      <c r="E451" s="4">
        <v>1</v>
      </c>
      <c r="F451" s="4" t="str">
        <f ca="1">Master_List!$AW$1</f>
        <v>PERPUSTAKAAN PUSAT</v>
      </c>
      <c r="G451" s="4" t="str">
        <f ca="1">Master_List!$AW$2</f>
        <v>09:30 PM</v>
      </c>
      <c r="H451" s="4" t="str">
        <f ca="1">Master_List!$AW$3</f>
        <v>20/07/2026</v>
      </c>
      <c r="I451" s="4" t="str">
        <f ca="1">Master_List!$AW$4</f>
        <v>28.5</v>
      </c>
      <c r="J451" s="4" t="str">
        <f ca="1">Master_List!$AW$5</f>
        <v>65</v>
      </c>
      <c r="K451" s="4" t="s">
        <v>570</v>
      </c>
      <c r="BL451" s="4" t="s">
        <v>1744</v>
      </c>
      <c r="BM451" s="4" t="s">
        <v>1977</v>
      </c>
      <c r="BN451" s="4" t="s">
        <v>1748</v>
      </c>
      <c r="BO451" s="4" t="str">
        <f t="shared" ref="BO451:BO514" si="7">BO450</f>
        <v>C:\Users\aremi\Desktop\REPORT CBM\PO TIANU JB\03. Raw Material\40. 10052026 SSU MEDINI SIGNATURE 33KV (VI)\IR</v>
      </c>
      <c r="BP451" t="s">
        <v>1029</v>
      </c>
    </row>
    <row r="452" spans="1:68" thickBot="1" x14ac:dyDescent="0.3">
      <c r="A452" s="4">
        <v>226</v>
      </c>
      <c r="B452" s="4" t="s">
        <v>1027</v>
      </c>
      <c r="C452" s="4">
        <v>8</v>
      </c>
      <c r="D452" s="4" t="s">
        <v>1976</v>
      </c>
      <c r="E452" s="4">
        <v>2</v>
      </c>
      <c r="F452" s="4" t="str">
        <f ca="1">Master_List!$AW$1</f>
        <v>PERPUSTAKAAN PUSAT</v>
      </c>
      <c r="G452" s="4" t="str">
        <f ca="1">Master_List!$AW$2</f>
        <v>09:30 PM</v>
      </c>
      <c r="H452" s="4" t="str">
        <f ca="1">Master_List!$AW$3</f>
        <v>20/07/2026</v>
      </c>
      <c r="I452" s="4" t="str">
        <f ca="1">Master_List!$AW$4</f>
        <v>28.5</v>
      </c>
      <c r="J452" s="4" t="str">
        <f ca="1">Master_List!$AW$5</f>
        <v>65</v>
      </c>
      <c r="K452" s="4" t="s">
        <v>573</v>
      </c>
      <c r="BL452" s="4" t="s">
        <v>1744</v>
      </c>
      <c r="BM452" s="4" t="s">
        <v>1978</v>
      </c>
      <c r="BN452" s="4" t="s">
        <v>1746</v>
      </c>
      <c r="BO452" s="4" t="str">
        <f t="shared" si="7"/>
        <v>C:\Users\aremi\Desktop\REPORT CBM\PO TIANU JB\03. Raw Material\40. 10052026 SSU MEDINI SIGNATURE 33KV (VI)\IR</v>
      </c>
      <c r="BP452" t="s">
        <v>1030</v>
      </c>
    </row>
    <row r="453" spans="1:68" thickBot="1" x14ac:dyDescent="0.3">
      <c r="A453" s="4">
        <v>226</v>
      </c>
      <c r="B453" s="4" t="s">
        <v>1027</v>
      </c>
      <c r="C453" s="4">
        <v>8</v>
      </c>
      <c r="D453" s="4" t="s">
        <v>1976</v>
      </c>
      <c r="E453" s="4">
        <v>2</v>
      </c>
      <c r="F453" s="4" t="str">
        <f ca="1">Master_List!$AW$1</f>
        <v>PERPUSTAKAAN PUSAT</v>
      </c>
      <c r="G453" s="4" t="str">
        <f ca="1">Master_List!$AW$2</f>
        <v>09:30 PM</v>
      </c>
      <c r="H453" s="4" t="str">
        <f ca="1">Master_List!$AW$3</f>
        <v>20/07/2026</v>
      </c>
      <c r="I453" s="4" t="str">
        <f ca="1">Master_List!$AW$4</f>
        <v>28.5</v>
      </c>
      <c r="J453" s="4" t="str">
        <f ca="1">Master_List!$AW$5</f>
        <v>65</v>
      </c>
      <c r="K453" s="4" t="s">
        <v>573</v>
      </c>
      <c r="BL453" s="4" t="s">
        <v>1744</v>
      </c>
      <c r="BM453" s="4" t="s">
        <v>1978</v>
      </c>
      <c r="BN453" s="4" t="s">
        <v>1748</v>
      </c>
      <c r="BO453" s="4" t="str">
        <f t="shared" si="7"/>
        <v>C:\Users\aremi\Desktop\REPORT CBM\PO TIANU JB\03. Raw Material\40. 10052026 SSU MEDINI SIGNATURE 33KV (VI)\IR</v>
      </c>
      <c r="BP453" t="s">
        <v>1031</v>
      </c>
    </row>
    <row r="454" spans="1:68" thickBot="1" x14ac:dyDescent="0.3">
      <c r="A454" s="4">
        <v>227</v>
      </c>
      <c r="B454" s="4" t="s">
        <v>1027</v>
      </c>
      <c r="C454" s="4">
        <v>8</v>
      </c>
      <c r="D454" s="4" t="s">
        <v>1976</v>
      </c>
      <c r="E454" s="4">
        <v>3</v>
      </c>
      <c r="F454" s="4" t="str">
        <f ca="1">Master_List!$AW$1</f>
        <v>PERPUSTAKAAN PUSAT</v>
      </c>
      <c r="G454" s="4" t="str">
        <f ca="1">Master_List!$AW$2</f>
        <v>09:30 PM</v>
      </c>
      <c r="H454" s="4" t="str">
        <f ca="1">Master_List!$AW$3</f>
        <v>20/07/2026</v>
      </c>
      <c r="I454" s="4" t="str">
        <f ca="1">Master_List!$AW$4</f>
        <v>28.5</v>
      </c>
      <c r="J454" s="4" t="str">
        <f ca="1">Master_List!$AW$5</f>
        <v>65</v>
      </c>
      <c r="K454" s="4" t="s">
        <v>576</v>
      </c>
      <c r="BL454" s="4" t="s">
        <v>1744</v>
      </c>
      <c r="BM454" s="4" t="s">
        <v>1979</v>
      </c>
      <c r="BN454" s="4" t="s">
        <v>1746</v>
      </c>
      <c r="BO454" s="4" t="str">
        <f t="shared" si="7"/>
        <v>C:\Users\aremi\Desktop\REPORT CBM\PO TIANU JB\03. Raw Material\40. 10052026 SSU MEDINI SIGNATURE 33KV (VI)\IR</v>
      </c>
      <c r="BP454" t="s">
        <v>1032</v>
      </c>
    </row>
    <row r="455" spans="1:68" thickBot="1" x14ac:dyDescent="0.3">
      <c r="A455" s="4">
        <v>227</v>
      </c>
      <c r="B455" s="4" t="s">
        <v>1027</v>
      </c>
      <c r="C455" s="4">
        <v>8</v>
      </c>
      <c r="D455" s="4" t="s">
        <v>1976</v>
      </c>
      <c r="E455" s="4">
        <v>3</v>
      </c>
      <c r="F455" s="4" t="str">
        <f ca="1">Master_List!$AW$1</f>
        <v>PERPUSTAKAAN PUSAT</v>
      </c>
      <c r="G455" s="4" t="str">
        <f ca="1">Master_List!$AW$2</f>
        <v>09:30 PM</v>
      </c>
      <c r="H455" s="4" t="str">
        <f ca="1">Master_List!$AW$3</f>
        <v>20/07/2026</v>
      </c>
      <c r="I455" s="4" t="str">
        <f ca="1">Master_List!$AW$4</f>
        <v>28.5</v>
      </c>
      <c r="J455" s="4" t="str">
        <f ca="1">Master_List!$AW$5</f>
        <v>65</v>
      </c>
      <c r="K455" s="4" t="s">
        <v>576</v>
      </c>
      <c r="BL455" s="4" t="s">
        <v>1744</v>
      </c>
      <c r="BM455" s="4" t="s">
        <v>1979</v>
      </c>
      <c r="BN455" s="4" t="s">
        <v>1748</v>
      </c>
      <c r="BO455" s="4" t="str">
        <f t="shared" si="7"/>
        <v>C:\Users\aremi\Desktop\REPORT CBM\PO TIANU JB\03. Raw Material\40. 10052026 SSU MEDINI SIGNATURE 33KV (VI)\IR</v>
      </c>
      <c r="BP455" t="s">
        <v>1033</v>
      </c>
    </row>
    <row r="456" spans="1:68" thickBot="1" x14ac:dyDescent="0.3">
      <c r="A456" s="4">
        <v>228</v>
      </c>
      <c r="B456" s="4" t="s">
        <v>1027</v>
      </c>
      <c r="C456" s="4">
        <v>8</v>
      </c>
      <c r="D456" s="4" t="s">
        <v>1976</v>
      </c>
      <c r="E456" s="4">
        <v>4</v>
      </c>
      <c r="F456" s="4" t="str">
        <f ca="1">Master_List!$AW$1</f>
        <v>PERPUSTAKAAN PUSAT</v>
      </c>
      <c r="G456" s="4" t="str">
        <f ca="1">Master_List!$AW$2</f>
        <v>09:30 PM</v>
      </c>
      <c r="H456" s="4" t="str">
        <f ca="1">Master_List!$AW$3</f>
        <v>20/07/2026</v>
      </c>
      <c r="I456" s="4" t="str">
        <f ca="1">Master_List!$AW$4</f>
        <v>28.5</v>
      </c>
      <c r="J456" s="4" t="str">
        <f ca="1">Master_List!$AW$5</f>
        <v>65</v>
      </c>
      <c r="K456" s="4" t="s">
        <v>579</v>
      </c>
      <c r="BL456" s="4" t="s">
        <v>1744</v>
      </c>
      <c r="BM456" s="4" t="s">
        <v>1980</v>
      </c>
      <c r="BN456" s="4" t="s">
        <v>1746</v>
      </c>
      <c r="BO456" s="4" t="str">
        <f t="shared" si="7"/>
        <v>C:\Users\aremi\Desktop\REPORT CBM\PO TIANU JB\03. Raw Material\40. 10052026 SSU MEDINI SIGNATURE 33KV (VI)\IR</v>
      </c>
      <c r="BP456" t="s">
        <v>1034</v>
      </c>
    </row>
    <row r="457" spans="1:68" thickBot="1" x14ac:dyDescent="0.3">
      <c r="A457" s="4">
        <v>228</v>
      </c>
      <c r="B457" s="4" t="s">
        <v>1027</v>
      </c>
      <c r="C457" s="4">
        <v>8</v>
      </c>
      <c r="D457" s="4" t="s">
        <v>1976</v>
      </c>
      <c r="E457" s="4">
        <v>4</v>
      </c>
      <c r="F457" s="4" t="str">
        <f ca="1">Master_List!$AW$1</f>
        <v>PERPUSTAKAAN PUSAT</v>
      </c>
      <c r="G457" s="4" t="str">
        <f ca="1">Master_List!$AW$2</f>
        <v>09:30 PM</v>
      </c>
      <c r="H457" s="4" t="str">
        <f ca="1">Master_List!$AW$3</f>
        <v>20/07/2026</v>
      </c>
      <c r="I457" s="4" t="str">
        <f ca="1">Master_List!$AW$4</f>
        <v>28.5</v>
      </c>
      <c r="J457" s="4" t="str">
        <f ca="1">Master_List!$AW$5</f>
        <v>65</v>
      </c>
      <c r="K457" s="4" t="s">
        <v>579</v>
      </c>
      <c r="BL457" s="4" t="s">
        <v>1744</v>
      </c>
      <c r="BM457" s="4" t="s">
        <v>1980</v>
      </c>
      <c r="BN457" s="4" t="s">
        <v>1748</v>
      </c>
      <c r="BO457" s="4" t="str">
        <f t="shared" si="7"/>
        <v>C:\Users\aremi\Desktop\REPORT CBM\PO TIANU JB\03. Raw Material\40. 10052026 SSU MEDINI SIGNATURE 33KV (VI)\IR</v>
      </c>
      <c r="BP457" t="s">
        <v>1035</v>
      </c>
    </row>
    <row r="458" spans="1:68" thickBot="1" x14ac:dyDescent="0.3">
      <c r="A458" s="4">
        <v>229</v>
      </c>
      <c r="B458" s="4" t="s">
        <v>1027</v>
      </c>
      <c r="C458" s="4">
        <v>8</v>
      </c>
      <c r="D458" s="4" t="s">
        <v>1976</v>
      </c>
      <c r="E458" s="4">
        <v>5</v>
      </c>
      <c r="F458" s="4" t="str">
        <f ca="1">Master_List!$AW$1</f>
        <v>PERPUSTAKAAN PUSAT</v>
      </c>
      <c r="G458" s="4" t="str">
        <f ca="1">Master_List!$AW$2</f>
        <v>09:30 PM</v>
      </c>
      <c r="H458" s="4" t="str">
        <f ca="1">Master_List!$AW$3</f>
        <v>20/07/2026</v>
      </c>
      <c r="I458" s="4" t="str">
        <f ca="1">Master_List!$AW$4</f>
        <v>28.5</v>
      </c>
      <c r="J458" s="4" t="str">
        <f ca="1">Master_List!$AW$5</f>
        <v>65</v>
      </c>
      <c r="K458" s="4" t="s">
        <v>582</v>
      </c>
      <c r="BL458" s="4" t="s">
        <v>1744</v>
      </c>
      <c r="BM458" s="4" t="s">
        <v>1981</v>
      </c>
      <c r="BN458" s="4" t="s">
        <v>1746</v>
      </c>
      <c r="BO458" s="4" t="str">
        <f t="shared" si="7"/>
        <v>C:\Users\aremi\Desktop\REPORT CBM\PO TIANU JB\03. Raw Material\40. 10052026 SSU MEDINI SIGNATURE 33KV (VI)\IR</v>
      </c>
      <c r="BP458" t="s">
        <v>1036</v>
      </c>
    </row>
    <row r="459" spans="1:68" thickBot="1" x14ac:dyDescent="0.3">
      <c r="A459" s="4">
        <v>229</v>
      </c>
      <c r="B459" s="4" t="s">
        <v>1027</v>
      </c>
      <c r="C459" s="4">
        <v>8</v>
      </c>
      <c r="D459" s="4" t="s">
        <v>1976</v>
      </c>
      <c r="E459" s="4">
        <v>5</v>
      </c>
      <c r="F459" s="4" t="str">
        <f ca="1">Master_List!$AW$1</f>
        <v>PERPUSTAKAAN PUSAT</v>
      </c>
      <c r="G459" s="4" t="str">
        <f ca="1">Master_List!$AW$2</f>
        <v>09:30 PM</v>
      </c>
      <c r="H459" s="4" t="str">
        <f ca="1">Master_List!$AW$3</f>
        <v>20/07/2026</v>
      </c>
      <c r="I459" s="4" t="str">
        <f ca="1">Master_List!$AW$4</f>
        <v>28.5</v>
      </c>
      <c r="J459" s="4" t="str">
        <f ca="1">Master_List!$AW$5</f>
        <v>65</v>
      </c>
      <c r="K459" s="4" t="s">
        <v>582</v>
      </c>
      <c r="BL459" s="4" t="s">
        <v>1744</v>
      </c>
      <c r="BM459" s="4" t="s">
        <v>1981</v>
      </c>
      <c r="BN459" s="4" t="s">
        <v>1748</v>
      </c>
      <c r="BO459" s="4" t="str">
        <f t="shared" si="7"/>
        <v>C:\Users\aremi\Desktop\REPORT CBM\PO TIANU JB\03. Raw Material\40. 10052026 SSU MEDINI SIGNATURE 33KV (VI)\IR</v>
      </c>
      <c r="BP459" t="s">
        <v>1037</v>
      </c>
    </row>
    <row r="460" spans="1:68" thickBot="1" x14ac:dyDescent="0.3">
      <c r="A460" s="4">
        <v>230</v>
      </c>
      <c r="B460" s="4" t="s">
        <v>1027</v>
      </c>
      <c r="C460" s="4">
        <v>8</v>
      </c>
      <c r="D460" s="4" t="s">
        <v>1976</v>
      </c>
      <c r="E460" s="4">
        <v>6</v>
      </c>
      <c r="F460" s="4" t="str">
        <f ca="1">Master_List!$AW$1</f>
        <v>PERPUSTAKAAN PUSAT</v>
      </c>
      <c r="G460" s="4" t="str">
        <f ca="1">Master_List!$AW$2</f>
        <v>09:30 PM</v>
      </c>
      <c r="H460" s="4" t="str">
        <f ca="1">Master_List!$AW$3</f>
        <v>20/07/2026</v>
      </c>
      <c r="I460" s="4" t="str">
        <f ca="1">Master_List!$AW$4</f>
        <v>28.5</v>
      </c>
      <c r="J460" s="4" t="str">
        <f ca="1">Master_List!$AW$5</f>
        <v>65</v>
      </c>
      <c r="K460" s="4" t="s">
        <v>585</v>
      </c>
      <c r="BL460" s="4" t="s">
        <v>1744</v>
      </c>
      <c r="BM460" s="4" t="s">
        <v>1982</v>
      </c>
      <c r="BN460" s="4" t="s">
        <v>1746</v>
      </c>
      <c r="BO460" s="4" t="str">
        <f t="shared" si="7"/>
        <v>C:\Users\aremi\Desktop\REPORT CBM\PO TIANU JB\03. Raw Material\40. 10052026 SSU MEDINI SIGNATURE 33KV (VI)\IR</v>
      </c>
      <c r="BP460" t="s">
        <v>1038</v>
      </c>
    </row>
    <row r="461" spans="1:68" thickBot="1" x14ac:dyDescent="0.3">
      <c r="A461" s="4">
        <v>230</v>
      </c>
      <c r="B461" s="4" t="s">
        <v>1027</v>
      </c>
      <c r="C461" s="4">
        <v>8</v>
      </c>
      <c r="D461" s="4" t="s">
        <v>1976</v>
      </c>
      <c r="E461" s="4">
        <v>6</v>
      </c>
      <c r="F461" s="4" t="str">
        <f ca="1">Master_List!$AW$1</f>
        <v>PERPUSTAKAAN PUSAT</v>
      </c>
      <c r="G461" s="4" t="str">
        <f ca="1">Master_List!$AW$2</f>
        <v>09:30 PM</v>
      </c>
      <c r="H461" s="4" t="str">
        <f ca="1">Master_List!$AW$3</f>
        <v>20/07/2026</v>
      </c>
      <c r="I461" s="4" t="str">
        <f ca="1">Master_List!$AW$4</f>
        <v>28.5</v>
      </c>
      <c r="J461" s="4" t="str">
        <f ca="1">Master_List!$AW$5</f>
        <v>65</v>
      </c>
      <c r="K461" s="4" t="s">
        <v>585</v>
      </c>
      <c r="BL461" s="4" t="s">
        <v>1744</v>
      </c>
      <c r="BM461" s="4" t="s">
        <v>1982</v>
      </c>
      <c r="BN461" s="4" t="s">
        <v>1748</v>
      </c>
      <c r="BO461" s="4" t="str">
        <f t="shared" si="7"/>
        <v>C:\Users\aremi\Desktop\REPORT CBM\PO TIANU JB\03. Raw Material\40. 10052026 SSU MEDINI SIGNATURE 33KV (VI)\IR</v>
      </c>
      <c r="BP461" t="s">
        <v>1039</v>
      </c>
    </row>
    <row r="462" spans="1:68" thickBot="1" x14ac:dyDescent="0.3">
      <c r="A462" s="4">
        <v>231</v>
      </c>
      <c r="B462" s="4" t="s">
        <v>1027</v>
      </c>
      <c r="C462" s="4">
        <v>8</v>
      </c>
      <c r="D462" s="4" t="s">
        <v>1983</v>
      </c>
      <c r="E462" s="4">
        <v>7</v>
      </c>
      <c r="F462" s="4" t="str">
        <f ca="1">Master_List!$AW$1</f>
        <v>PERPUSTAKAAN PUSAT</v>
      </c>
      <c r="G462" s="4" t="str">
        <f ca="1">Master_List!$AW$2</f>
        <v>09:30 PM</v>
      </c>
      <c r="H462" s="4" t="str">
        <f ca="1">Master_List!$AW$3</f>
        <v>20/07/2026</v>
      </c>
      <c r="I462" s="4" t="str">
        <f ca="1">Master_List!$AW$4</f>
        <v>28.5</v>
      </c>
      <c r="J462" s="4" t="str">
        <f ca="1">Master_List!$AW$5</f>
        <v>65</v>
      </c>
      <c r="K462" s="4" t="s">
        <v>588</v>
      </c>
      <c r="BL462" s="4" t="s">
        <v>1744</v>
      </c>
      <c r="BM462" s="4" t="s">
        <v>1984</v>
      </c>
      <c r="BN462" s="4" t="s">
        <v>1746</v>
      </c>
      <c r="BO462" s="4" t="str">
        <f t="shared" si="7"/>
        <v>C:\Users\aremi\Desktop\REPORT CBM\PO TIANU JB\03. Raw Material\40. 10052026 SSU MEDINI SIGNATURE 33KV (VI)\IR</v>
      </c>
      <c r="BP462" t="s">
        <v>1040</v>
      </c>
    </row>
    <row r="463" spans="1:68" thickBot="1" x14ac:dyDescent="0.3">
      <c r="A463" s="4">
        <v>231</v>
      </c>
      <c r="B463" s="4" t="s">
        <v>1027</v>
      </c>
      <c r="C463" s="4">
        <v>8</v>
      </c>
      <c r="D463" s="4" t="s">
        <v>1983</v>
      </c>
      <c r="E463" s="4">
        <v>7</v>
      </c>
      <c r="F463" s="4" t="str">
        <f ca="1">Master_List!$AW$1</f>
        <v>PERPUSTAKAAN PUSAT</v>
      </c>
      <c r="G463" s="4" t="str">
        <f ca="1">Master_List!$AW$2</f>
        <v>09:30 PM</v>
      </c>
      <c r="H463" s="4" t="str">
        <f ca="1">Master_List!$AW$3</f>
        <v>20/07/2026</v>
      </c>
      <c r="I463" s="4" t="str">
        <f ca="1">Master_List!$AW$4</f>
        <v>28.5</v>
      </c>
      <c r="J463" s="4" t="str">
        <f ca="1">Master_List!$AW$5</f>
        <v>65</v>
      </c>
      <c r="K463" s="4" t="s">
        <v>588</v>
      </c>
      <c r="BL463" s="4" t="s">
        <v>1744</v>
      </c>
      <c r="BM463" s="4" t="s">
        <v>1984</v>
      </c>
      <c r="BN463" s="4" t="s">
        <v>1748</v>
      </c>
      <c r="BO463" s="4" t="str">
        <f t="shared" si="7"/>
        <v>C:\Users\aremi\Desktop\REPORT CBM\PO TIANU JB\03. Raw Material\40. 10052026 SSU MEDINI SIGNATURE 33KV (VI)\IR</v>
      </c>
      <c r="BP463" t="s">
        <v>1041</v>
      </c>
    </row>
    <row r="464" spans="1:68" thickBot="1" x14ac:dyDescent="0.3">
      <c r="A464" s="4">
        <v>232</v>
      </c>
      <c r="B464" s="4" t="s">
        <v>1027</v>
      </c>
      <c r="C464" s="4">
        <v>8</v>
      </c>
      <c r="D464" s="4" t="s">
        <v>1985</v>
      </c>
      <c r="E464" s="4">
        <v>8</v>
      </c>
      <c r="F464" s="4" t="str">
        <f ca="1">Master_List!$AW$1</f>
        <v>PERPUSTAKAAN PUSAT</v>
      </c>
      <c r="G464" s="4" t="str">
        <f ca="1">Master_List!$AW$2</f>
        <v>09:30 PM</v>
      </c>
      <c r="H464" s="4" t="str">
        <f ca="1">Master_List!$AW$3</f>
        <v>20/07/2026</v>
      </c>
      <c r="I464" s="4" t="str">
        <f ca="1">Master_List!$AW$4</f>
        <v>28.5</v>
      </c>
      <c r="J464" s="4" t="str">
        <f ca="1">Master_List!$AW$5</f>
        <v>65</v>
      </c>
      <c r="K464" s="4" t="s">
        <v>591</v>
      </c>
      <c r="BL464" s="4" t="s">
        <v>1744</v>
      </c>
      <c r="BM464" s="4" t="s">
        <v>1986</v>
      </c>
      <c r="BN464" s="4" t="s">
        <v>1746</v>
      </c>
      <c r="BO464" s="4" t="str">
        <f t="shared" si="7"/>
        <v>C:\Users\aremi\Desktop\REPORT CBM\PO TIANU JB\03. Raw Material\40. 10052026 SSU MEDINI SIGNATURE 33KV (VI)\IR</v>
      </c>
      <c r="BP464" t="s">
        <v>1042</v>
      </c>
    </row>
    <row r="465" spans="1:68" thickBot="1" x14ac:dyDescent="0.3">
      <c r="A465" s="4">
        <v>232</v>
      </c>
      <c r="B465" s="4" t="s">
        <v>1027</v>
      </c>
      <c r="C465" s="4">
        <v>8</v>
      </c>
      <c r="D465" s="4" t="s">
        <v>1985</v>
      </c>
      <c r="E465" s="4">
        <v>8</v>
      </c>
      <c r="F465" s="4" t="str">
        <f ca="1">Master_List!$AW$1</f>
        <v>PERPUSTAKAAN PUSAT</v>
      </c>
      <c r="G465" s="4" t="str">
        <f ca="1">Master_List!$AW$2</f>
        <v>09:30 PM</v>
      </c>
      <c r="H465" s="4" t="str">
        <f ca="1">Master_List!$AW$3</f>
        <v>20/07/2026</v>
      </c>
      <c r="I465" s="4" t="str">
        <f ca="1">Master_List!$AW$4</f>
        <v>28.5</v>
      </c>
      <c r="J465" s="4" t="str">
        <f ca="1">Master_List!$AW$5</f>
        <v>65</v>
      </c>
      <c r="K465" s="4" t="s">
        <v>591</v>
      </c>
      <c r="BL465" s="4" t="s">
        <v>1744</v>
      </c>
      <c r="BM465" s="4" t="s">
        <v>1986</v>
      </c>
      <c r="BN465" s="4" t="s">
        <v>1748</v>
      </c>
      <c r="BO465" s="4" t="str">
        <f t="shared" si="7"/>
        <v>C:\Users\aremi\Desktop\REPORT CBM\PO TIANU JB\03. Raw Material\40. 10052026 SSU MEDINI SIGNATURE 33KV (VI)\IR</v>
      </c>
      <c r="BP465" t="s">
        <v>1043</v>
      </c>
    </row>
    <row r="466" spans="1:68" thickBot="1" x14ac:dyDescent="0.3">
      <c r="A466" s="4">
        <v>233</v>
      </c>
      <c r="B466" s="4" t="s">
        <v>1044</v>
      </c>
      <c r="C466" s="4">
        <v>8</v>
      </c>
      <c r="D466" s="4" t="s">
        <v>1976</v>
      </c>
      <c r="E466" s="4">
        <v>1</v>
      </c>
      <c r="F466" s="4" t="str">
        <f ca="1">Master_List!$AW$1</f>
        <v>PERPUSTAKAAN PUSAT</v>
      </c>
      <c r="G466" s="4" t="str">
        <f ca="1">Master_List!$AW$2</f>
        <v>09:30 PM</v>
      </c>
      <c r="H466" s="4" t="str">
        <f ca="1">Master_List!$AW$3</f>
        <v>20/07/2026</v>
      </c>
      <c r="I466" s="4" t="str">
        <f ca="1">Master_List!$AW$4</f>
        <v>28.5</v>
      </c>
      <c r="J466" s="4" t="str">
        <f ca="1">Master_List!$AW$5</f>
        <v>65</v>
      </c>
      <c r="K466" s="4" t="s">
        <v>570</v>
      </c>
      <c r="BL466" s="4" t="s">
        <v>1744</v>
      </c>
      <c r="BM466" s="4" t="s">
        <v>1987</v>
      </c>
      <c r="BN466" s="4" t="s">
        <v>1746</v>
      </c>
      <c r="BO466" s="4" t="str">
        <f t="shared" si="7"/>
        <v>C:\Users\aremi\Desktop\REPORT CBM\PO TIANU JB\03. Raw Material\40. 10052026 SSU MEDINI SIGNATURE 33KV (VI)\IR</v>
      </c>
      <c r="BP466" t="s">
        <v>1045</v>
      </c>
    </row>
    <row r="467" spans="1:68" thickBot="1" x14ac:dyDescent="0.3">
      <c r="A467" s="4">
        <v>233</v>
      </c>
      <c r="B467" s="4" t="s">
        <v>1044</v>
      </c>
      <c r="C467" s="4">
        <v>8</v>
      </c>
      <c r="D467" s="4" t="s">
        <v>1976</v>
      </c>
      <c r="E467" s="4">
        <v>1</v>
      </c>
      <c r="F467" s="4" t="str">
        <f ca="1">Master_List!$AW$1</f>
        <v>PERPUSTAKAAN PUSAT</v>
      </c>
      <c r="G467" s="4" t="str">
        <f ca="1">Master_List!$AW$2</f>
        <v>09:30 PM</v>
      </c>
      <c r="H467" s="4" t="str">
        <f ca="1">Master_List!$AW$3</f>
        <v>20/07/2026</v>
      </c>
      <c r="I467" s="4" t="str">
        <f ca="1">Master_List!$AW$4</f>
        <v>28.5</v>
      </c>
      <c r="J467" s="4" t="str">
        <f ca="1">Master_List!$AW$5</f>
        <v>65</v>
      </c>
      <c r="K467" s="4" t="s">
        <v>570</v>
      </c>
      <c r="BL467" s="4" t="s">
        <v>1744</v>
      </c>
      <c r="BM467" s="4" t="s">
        <v>1987</v>
      </c>
      <c r="BN467" s="4" t="s">
        <v>1748</v>
      </c>
      <c r="BO467" s="4" t="str">
        <f t="shared" si="7"/>
        <v>C:\Users\aremi\Desktop\REPORT CBM\PO TIANU JB\03. Raw Material\40. 10052026 SSU MEDINI SIGNATURE 33KV (VI)\IR</v>
      </c>
      <c r="BP467" t="s">
        <v>1046</v>
      </c>
    </row>
    <row r="468" spans="1:68" thickBot="1" x14ac:dyDescent="0.3">
      <c r="A468" s="4">
        <v>234</v>
      </c>
      <c r="B468" s="4" t="s">
        <v>1044</v>
      </c>
      <c r="C468" s="4">
        <v>8</v>
      </c>
      <c r="D468" s="4" t="s">
        <v>1976</v>
      </c>
      <c r="E468" s="4">
        <v>2</v>
      </c>
      <c r="F468" s="4" t="str">
        <f ca="1">Master_List!$AW$1</f>
        <v>PERPUSTAKAAN PUSAT</v>
      </c>
      <c r="G468" s="4" t="str">
        <f ca="1">Master_List!$AW$2</f>
        <v>09:30 PM</v>
      </c>
      <c r="H468" s="4" t="str">
        <f ca="1">Master_List!$AW$3</f>
        <v>20/07/2026</v>
      </c>
      <c r="I468" s="4" t="str">
        <f ca="1">Master_List!$AW$4</f>
        <v>28.5</v>
      </c>
      <c r="J468" s="4" t="str">
        <f ca="1">Master_List!$AW$5</f>
        <v>65</v>
      </c>
      <c r="K468" s="4" t="s">
        <v>573</v>
      </c>
      <c r="BL468" s="4" t="s">
        <v>1744</v>
      </c>
      <c r="BM468" s="4" t="s">
        <v>1988</v>
      </c>
      <c r="BN468" s="4" t="s">
        <v>1746</v>
      </c>
      <c r="BO468" s="4" t="str">
        <f t="shared" si="7"/>
        <v>C:\Users\aremi\Desktop\REPORT CBM\PO TIANU JB\03. Raw Material\40. 10052026 SSU MEDINI SIGNATURE 33KV (VI)\IR</v>
      </c>
      <c r="BP468" t="s">
        <v>1047</v>
      </c>
    </row>
    <row r="469" spans="1:68" thickBot="1" x14ac:dyDescent="0.3">
      <c r="A469" s="4">
        <v>234</v>
      </c>
      <c r="B469" s="4" t="s">
        <v>1044</v>
      </c>
      <c r="C469" s="4">
        <v>8</v>
      </c>
      <c r="D469" s="4" t="s">
        <v>1976</v>
      </c>
      <c r="E469" s="4">
        <v>2</v>
      </c>
      <c r="F469" s="4" t="str">
        <f ca="1">Master_List!$AW$1</f>
        <v>PERPUSTAKAAN PUSAT</v>
      </c>
      <c r="G469" s="4" t="str">
        <f ca="1">Master_List!$AW$2</f>
        <v>09:30 PM</v>
      </c>
      <c r="H469" s="4" t="str">
        <f ca="1">Master_List!$AW$3</f>
        <v>20/07/2026</v>
      </c>
      <c r="I469" s="4" t="str">
        <f ca="1">Master_List!$AW$4</f>
        <v>28.5</v>
      </c>
      <c r="J469" s="4" t="str">
        <f ca="1">Master_List!$AW$5</f>
        <v>65</v>
      </c>
      <c r="K469" s="4" t="s">
        <v>573</v>
      </c>
      <c r="BL469" s="4" t="s">
        <v>1744</v>
      </c>
      <c r="BM469" s="4" t="s">
        <v>1988</v>
      </c>
      <c r="BN469" s="4" t="s">
        <v>1748</v>
      </c>
      <c r="BO469" s="4" t="str">
        <f t="shared" si="7"/>
        <v>C:\Users\aremi\Desktop\REPORT CBM\PO TIANU JB\03. Raw Material\40. 10052026 SSU MEDINI SIGNATURE 33KV (VI)\IR</v>
      </c>
      <c r="BP469" t="s">
        <v>1048</v>
      </c>
    </row>
    <row r="470" spans="1:68" thickBot="1" x14ac:dyDescent="0.3">
      <c r="A470" s="4">
        <v>235</v>
      </c>
      <c r="B470" s="4" t="s">
        <v>1044</v>
      </c>
      <c r="C470" s="4">
        <v>8</v>
      </c>
      <c r="D470" s="4" t="s">
        <v>1976</v>
      </c>
      <c r="E470" s="4">
        <v>3</v>
      </c>
      <c r="F470" s="4" t="str">
        <f ca="1">Master_List!$AW$1</f>
        <v>PERPUSTAKAAN PUSAT</v>
      </c>
      <c r="G470" s="4" t="str">
        <f ca="1">Master_List!$AW$2</f>
        <v>09:30 PM</v>
      </c>
      <c r="H470" s="4" t="str">
        <f ca="1">Master_List!$AW$3</f>
        <v>20/07/2026</v>
      </c>
      <c r="I470" s="4" t="str">
        <f ca="1">Master_List!$AW$4</f>
        <v>28.5</v>
      </c>
      <c r="J470" s="4" t="str">
        <f ca="1">Master_List!$AW$5</f>
        <v>65</v>
      </c>
      <c r="K470" s="4" t="s">
        <v>576</v>
      </c>
      <c r="BL470" s="4" t="s">
        <v>1744</v>
      </c>
      <c r="BM470" s="4" t="s">
        <v>1989</v>
      </c>
      <c r="BN470" s="4" t="s">
        <v>1746</v>
      </c>
      <c r="BO470" s="4" t="str">
        <f t="shared" si="7"/>
        <v>C:\Users\aremi\Desktop\REPORT CBM\PO TIANU JB\03. Raw Material\40. 10052026 SSU MEDINI SIGNATURE 33KV (VI)\IR</v>
      </c>
      <c r="BP470" t="s">
        <v>1049</v>
      </c>
    </row>
    <row r="471" spans="1:68" thickBot="1" x14ac:dyDescent="0.3">
      <c r="A471" s="4">
        <v>235</v>
      </c>
      <c r="B471" s="4" t="s">
        <v>1044</v>
      </c>
      <c r="C471" s="4">
        <v>8</v>
      </c>
      <c r="D471" s="4" t="s">
        <v>1976</v>
      </c>
      <c r="E471" s="4">
        <v>3</v>
      </c>
      <c r="F471" s="4" t="str">
        <f ca="1">Master_List!$AW$1</f>
        <v>PERPUSTAKAAN PUSAT</v>
      </c>
      <c r="G471" s="4" t="str">
        <f ca="1">Master_List!$AW$2</f>
        <v>09:30 PM</v>
      </c>
      <c r="H471" s="4" t="str">
        <f ca="1">Master_List!$AW$3</f>
        <v>20/07/2026</v>
      </c>
      <c r="I471" s="4" t="str">
        <f ca="1">Master_List!$AW$4</f>
        <v>28.5</v>
      </c>
      <c r="J471" s="4" t="str">
        <f ca="1">Master_List!$AW$5</f>
        <v>65</v>
      </c>
      <c r="K471" s="4" t="s">
        <v>576</v>
      </c>
      <c r="BL471" s="4" t="s">
        <v>1744</v>
      </c>
      <c r="BM471" s="4" t="s">
        <v>1989</v>
      </c>
      <c r="BN471" s="4" t="s">
        <v>1748</v>
      </c>
      <c r="BO471" s="4" t="str">
        <f t="shared" si="7"/>
        <v>C:\Users\aremi\Desktop\REPORT CBM\PO TIANU JB\03. Raw Material\40. 10052026 SSU MEDINI SIGNATURE 33KV (VI)\IR</v>
      </c>
      <c r="BP471" t="s">
        <v>1050</v>
      </c>
    </row>
    <row r="472" spans="1:68" thickBot="1" x14ac:dyDescent="0.3">
      <c r="A472" s="4">
        <v>236</v>
      </c>
      <c r="B472" s="4" t="s">
        <v>1044</v>
      </c>
      <c r="C472" s="4">
        <v>8</v>
      </c>
      <c r="D472" s="4" t="s">
        <v>1976</v>
      </c>
      <c r="E472" s="4">
        <v>4</v>
      </c>
      <c r="F472" s="4" t="str">
        <f ca="1">Master_List!$AW$1</f>
        <v>PERPUSTAKAAN PUSAT</v>
      </c>
      <c r="G472" s="4" t="str">
        <f ca="1">Master_List!$AW$2</f>
        <v>09:30 PM</v>
      </c>
      <c r="H472" s="4" t="str">
        <f ca="1">Master_List!$AW$3</f>
        <v>20/07/2026</v>
      </c>
      <c r="I472" s="4" t="str">
        <f ca="1">Master_List!$AW$4</f>
        <v>28.5</v>
      </c>
      <c r="J472" s="4" t="str">
        <f ca="1">Master_List!$AW$5</f>
        <v>65</v>
      </c>
      <c r="K472" s="4" t="s">
        <v>579</v>
      </c>
      <c r="BL472" s="4" t="s">
        <v>1744</v>
      </c>
      <c r="BM472" s="4" t="s">
        <v>1990</v>
      </c>
      <c r="BN472" s="4" t="s">
        <v>1746</v>
      </c>
      <c r="BO472" s="4" t="str">
        <f t="shared" si="7"/>
        <v>C:\Users\aremi\Desktop\REPORT CBM\PO TIANU JB\03. Raw Material\40. 10052026 SSU MEDINI SIGNATURE 33KV (VI)\IR</v>
      </c>
      <c r="BP472" t="s">
        <v>1051</v>
      </c>
    </row>
    <row r="473" spans="1:68" thickBot="1" x14ac:dyDescent="0.3">
      <c r="A473" s="4">
        <v>236</v>
      </c>
      <c r="B473" s="4" t="s">
        <v>1044</v>
      </c>
      <c r="C473" s="4">
        <v>8</v>
      </c>
      <c r="D473" s="4" t="s">
        <v>1976</v>
      </c>
      <c r="E473" s="4">
        <v>4</v>
      </c>
      <c r="F473" s="4" t="str">
        <f ca="1">Master_List!$AW$1</f>
        <v>PERPUSTAKAAN PUSAT</v>
      </c>
      <c r="G473" s="4" t="str">
        <f ca="1">Master_List!$AW$2</f>
        <v>09:30 PM</v>
      </c>
      <c r="H473" s="4" t="str">
        <f ca="1">Master_List!$AW$3</f>
        <v>20/07/2026</v>
      </c>
      <c r="I473" s="4" t="str">
        <f ca="1">Master_List!$AW$4</f>
        <v>28.5</v>
      </c>
      <c r="J473" s="4" t="str">
        <f ca="1">Master_List!$AW$5</f>
        <v>65</v>
      </c>
      <c r="K473" s="4" t="s">
        <v>579</v>
      </c>
      <c r="BL473" s="4" t="s">
        <v>1744</v>
      </c>
      <c r="BM473" s="4" t="s">
        <v>1990</v>
      </c>
      <c r="BN473" s="4" t="s">
        <v>1748</v>
      </c>
      <c r="BO473" s="4" t="str">
        <f t="shared" si="7"/>
        <v>C:\Users\aremi\Desktop\REPORT CBM\PO TIANU JB\03. Raw Material\40. 10052026 SSU MEDINI SIGNATURE 33KV (VI)\IR</v>
      </c>
      <c r="BP473" t="s">
        <v>1052</v>
      </c>
    </row>
    <row r="474" spans="1:68" thickBot="1" x14ac:dyDescent="0.3">
      <c r="A474" s="4">
        <v>237</v>
      </c>
      <c r="B474" s="4" t="s">
        <v>1044</v>
      </c>
      <c r="C474" s="4">
        <v>8</v>
      </c>
      <c r="D474" s="4" t="s">
        <v>1976</v>
      </c>
      <c r="E474" s="4">
        <v>5</v>
      </c>
      <c r="F474" s="4" t="str">
        <f ca="1">Master_List!$AW$1</f>
        <v>PERPUSTAKAAN PUSAT</v>
      </c>
      <c r="G474" s="4" t="str">
        <f ca="1">Master_List!$AW$2</f>
        <v>09:30 PM</v>
      </c>
      <c r="H474" s="4" t="str">
        <f ca="1">Master_List!$AW$3</f>
        <v>20/07/2026</v>
      </c>
      <c r="I474" s="4" t="str">
        <f ca="1">Master_List!$AW$4</f>
        <v>28.5</v>
      </c>
      <c r="J474" s="4" t="str">
        <f ca="1">Master_List!$AW$5</f>
        <v>65</v>
      </c>
      <c r="K474" s="4" t="s">
        <v>582</v>
      </c>
      <c r="BL474" s="4" t="s">
        <v>1744</v>
      </c>
      <c r="BM474" s="4" t="s">
        <v>1991</v>
      </c>
      <c r="BN474" s="4" t="s">
        <v>1746</v>
      </c>
      <c r="BO474" s="4" t="str">
        <f t="shared" si="7"/>
        <v>C:\Users\aremi\Desktop\REPORT CBM\PO TIANU JB\03. Raw Material\40. 10052026 SSU MEDINI SIGNATURE 33KV (VI)\IR</v>
      </c>
      <c r="BP474" t="s">
        <v>1053</v>
      </c>
    </row>
    <row r="475" spans="1:68" thickBot="1" x14ac:dyDescent="0.3">
      <c r="A475" s="4">
        <v>237</v>
      </c>
      <c r="B475" s="4" t="s">
        <v>1044</v>
      </c>
      <c r="C475" s="4">
        <v>8</v>
      </c>
      <c r="D475" s="4" t="s">
        <v>1976</v>
      </c>
      <c r="E475" s="4">
        <v>5</v>
      </c>
      <c r="F475" s="4" t="str">
        <f ca="1">Master_List!$AW$1</f>
        <v>PERPUSTAKAAN PUSAT</v>
      </c>
      <c r="G475" s="4" t="str">
        <f ca="1">Master_List!$AW$2</f>
        <v>09:30 PM</v>
      </c>
      <c r="H475" s="4" t="str">
        <f ca="1">Master_List!$AW$3</f>
        <v>20/07/2026</v>
      </c>
      <c r="I475" s="4" t="str">
        <f ca="1">Master_List!$AW$4</f>
        <v>28.5</v>
      </c>
      <c r="J475" s="4" t="str">
        <f ca="1">Master_List!$AW$5</f>
        <v>65</v>
      </c>
      <c r="K475" s="4" t="s">
        <v>582</v>
      </c>
      <c r="BL475" s="4" t="s">
        <v>1744</v>
      </c>
      <c r="BM475" s="4" t="s">
        <v>1991</v>
      </c>
      <c r="BN475" s="4" t="s">
        <v>1748</v>
      </c>
      <c r="BO475" s="4" t="str">
        <f t="shared" si="7"/>
        <v>C:\Users\aremi\Desktop\REPORT CBM\PO TIANU JB\03. Raw Material\40. 10052026 SSU MEDINI SIGNATURE 33KV (VI)\IR</v>
      </c>
      <c r="BP475" t="s">
        <v>1054</v>
      </c>
    </row>
    <row r="476" spans="1:68" thickBot="1" x14ac:dyDescent="0.3">
      <c r="A476" s="4">
        <v>238</v>
      </c>
      <c r="B476" s="4" t="s">
        <v>1044</v>
      </c>
      <c r="C476" s="4">
        <v>8</v>
      </c>
      <c r="D476" s="4" t="s">
        <v>1976</v>
      </c>
      <c r="E476" s="4">
        <v>6</v>
      </c>
      <c r="F476" s="4" t="str">
        <f ca="1">Master_List!$AW$1</f>
        <v>PERPUSTAKAAN PUSAT</v>
      </c>
      <c r="G476" s="4" t="str">
        <f ca="1">Master_List!$AW$2</f>
        <v>09:30 PM</v>
      </c>
      <c r="H476" s="4" t="str">
        <f ca="1">Master_List!$AW$3</f>
        <v>20/07/2026</v>
      </c>
      <c r="I476" s="4" t="str">
        <f ca="1">Master_List!$AW$4</f>
        <v>28.5</v>
      </c>
      <c r="J476" s="4" t="str">
        <f ca="1">Master_List!$AW$5</f>
        <v>65</v>
      </c>
      <c r="K476" s="4" t="s">
        <v>585</v>
      </c>
      <c r="BL476" s="4" t="s">
        <v>1744</v>
      </c>
      <c r="BM476" s="4" t="s">
        <v>1992</v>
      </c>
      <c r="BN476" s="4" t="s">
        <v>1746</v>
      </c>
      <c r="BO476" s="4" t="str">
        <f t="shared" si="7"/>
        <v>C:\Users\aremi\Desktop\REPORT CBM\PO TIANU JB\03. Raw Material\40. 10052026 SSU MEDINI SIGNATURE 33KV (VI)\IR</v>
      </c>
      <c r="BP476" t="s">
        <v>1055</v>
      </c>
    </row>
    <row r="477" spans="1:68" thickBot="1" x14ac:dyDescent="0.3">
      <c r="A477" s="4">
        <v>238</v>
      </c>
      <c r="B477" s="4" t="s">
        <v>1044</v>
      </c>
      <c r="C477" s="4">
        <v>8</v>
      </c>
      <c r="D477" s="4" t="s">
        <v>1976</v>
      </c>
      <c r="E477" s="4">
        <v>6</v>
      </c>
      <c r="F477" s="4" t="str">
        <f ca="1">Master_List!$AW$1</f>
        <v>PERPUSTAKAAN PUSAT</v>
      </c>
      <c r="G477" s="4" t="str">
        <f ca="1">Master_List!$AW$2</f>
        <v>09:30 PM</v>
      </c>
      <c r="H477" s="4" t="str">
        <f ca="1">Master_List!$AW$3</f>
        <v>20/07/2026</v>
      </c>
      <c r="I477" s="4" t="str">
        <f ca="1">Master_List!$AW$4</f>
        <v>28.5</v>
      </c>
      <c r="J477" s="4" t="str">
        <f ca="1">Master_List!$AW$5</f>
        <v>65</v>
      </c>
      <c r="K477" s="4" t="s">
        <v>585</v>
      </c>
      <c r="BL477" s="4" t="s">
        <v>1744</v>
      </c>
      <c r="BM477" s="4" t="s">
        <v>1992</v>
      </c>
      <c r="BN477" s="4" t="s">
        <v>1748</v>
      </c>
      <c r="BO477" s="4" t="str">
        <f t="shared" si="7"/>
        <v>C:\Users\aremi\Desktop\REPORT CBM\PO TIANU JB\03. Raw Material\40. 10052026 SSU MEDINI SIGNATURE 33KV (VI)\IR</v>
      </c>
      <c r="BP477" t="s">
        <v>1056</v>
      </c>
    </row>
    <row r="478" spans="1:68" thickBot="1" x14ac:dyDescent="0.3">
      <c r="A478" s="4">
        <v>239</v>
      </c>
      <c r="B478" s="4" t="s">
        <v>1044</v>
      </c>
      <c r="C478" s="4">
        <v>8</v>
      </c>
      <c r="D478" s="4" t="s">
        <v>1983</v>
      </c>
      <c r="E478" s="4">
        <v>7</v>
      </c>
      <c r="F478" s="4" t="str">
        <f ca="1">Master_List!$AW$1</f>
        <v>PERPUSTAKAAN PUSAT</v>
      </c>
      <c r="G478" s="4" t="str">
        <f ca="1">Master_List!$AW$2</f>
        <v>09:30 PM</v>
      </c>
      <c r="H478" s="4" t="str">
        <f ca="1">Master_List!$AW$3</f>
        <v>20/07/2026</v>
      </c>
      <c r="I478" s="4" t="str">
        <f ca="1">Master_List!$AW$4</f>
        <v>28.5</v>
      </c>
      <c r="J478" s="4" t="str">
        <f ca="1">Master_List!$AW$5</f>
        <v>65</v>
      </c>
      <c r="K478" s="4" t="s">
        <v>588</v>
      </c>
      <c r="BL478" s="4" t="s">
        <v>1744</v>
      </c>
      <c r="BM478" s="4" t="s">
        <v>1993</v>
      </c>
      <c r="BN478" s="4" t="s">
        <v>1746</v>
      </c>
      <c r="BO478" s="4" t="str">
        <f t="shared" si="7"/>
        <v>C:\Users\aremi\Desktop\REPORT CBM\PO TIANU JB\03. Raw Material\40. 10052026 SSU MEDINI SIGNATURE 33KV (VI)\IR</v>
      </c>
      <c r="BP478" t="s">
        <v>1057</v>
      </c>
    </row>
    <row r="479" spans="1:68" thickBot="1" x14ac:dyDescent="0.3">
      <c r="A479" s="4">
        <v>239</v>
      </c>
      <c r="B479" s="4" t="s">
        <v>1044</v>
      </c>
      <c r="C479" s="4">
        <v>8</v>
      </c>
      <c r="D479" s="4" t="s">
        <v>1983</v>
      </c>
      <c r="E479" s="4">
        <v>7</v>
      </c>
      <c r="F479" s="4" t="str">
        <f ca="1">Master_List!$AW$1</f>
        <v>PERPUSTAKAAN PUSAT</v>
      </c>
      <c r="G479" s="4" t="str">
        <f ca="1">Master_List!$AW$2</f>
        <v>09:30 PM</v>
      </c>
      <c r="H479" s="4" t="str">
        <f ca="1">Master_List!$AW$3</f>
        <v>20/07/2026</v>
      </c>
      <c r="I479" s="4" t="str">
        <f ca="1">Master_List!$AW$4</f>
        <v>28.5</v>
      </c>
      <c r="J479" s="4" t="str">
        <f ca="1">Master_List!$AW$5</f>
        <v>65</v>
      </c>
      <c r="K479" s="4" t="s">
        <v>588</v>
      </c>
      <c r="BL479" s="4" t="s">
        <v>1744</v>
      </c>
      <c r="BM479" s="4" t="s">
        <v>1993</v>
      </c>
      <c r="BN479" s="4" t="s">
        <v>1748</v>
      </c>
      <c r="BO479" s="4" t="str">
        <f t="shared" si="7"/>
        <v>C:\Users\aremi\Desktop\REPORT CBM\PO TIANU JB\03. Raw Material\40. 10052026 SSU MEDINI SIGNATURE 33KV (VI)\IR</v>
      </c>
      <c r="BP479" t="s">
        <v>1058</v>
      </c>
    </row>
    <row r="480" spans="1:68" thickBot="1" x14ac:dyDescent="0.3">
      <c r="A480" s="4">
        <v>240</v>
      </c>
      <c r="B480" s="4" t="s">
        <v>1044</v>
      </c>
      <c r="C480" s="4">
        <v>8</v>
      </c>
      <c r="D480" s="4" t="s">
        <v>1985</v>
      </c>
      <c r="E480" s="4">
        <v>8</v>
      </c>
      <c r="F480" s="4" t="str">
        <f ca="1">Master_List!$AW$1</f>
        <v>PERPUSTAKAAN PUSAT</v>
      </c>
      <c r="G480" s="4" t="str">
        <f ca="1">Master_List!$AW$2</f>
        <v>09:30 PM</v>
      </c>
      <c r="H480" s="4" t="str">
        <f ca="1">Master_List!$AW$3</f>
        <v>20/07/2026</v>
      </c>
      <c r="I480" s="4" t="str">
        <f ca="1">Master_List!$AW$4</f>
        <v>28.5</v>
      </c>
      <c r="J480" s="4" t="str">
        <f ca="1">Master_List!$AW$5</f>
        <v>65</v>
      </c>
      <c r="K480" s="4" t="s">
        <v>591</v>
      </c>
      <c r="BL480" s="4" t="s">
        <v>1744</v>
      </c>
      <c r="BM480" s="4" t="s">
        <v>1994</v>
      </c>
      <c r="BN480" s="4" t="s">
        <v>1746</v>
      </c>
      <c r="BO480" s="4" t="str">
        <f t="shared" si="7"/>
        <v>C:\Users\aremi\Desktop\REPORT CBM\PO TIANU JB\03. Raw Material\40. 10052026 SSU MEDINI SIGNATURE 33KV (VI)\IR</v>
      </c>
      <c r="BP480" t="s">
        <v>1059</v>
      </c>
    </row>
    <row r="481" spans="1:68" thickBot="1" x14ac:dyDescent="0.3">
      <c r="A481" s="4">
        <v>240</v>
      </c>
      <c r="B481" s="4" t="s">
        <v>1044</v>
      </c>
      <c r="C481" s="4">
        <v>8</v>
      </c>
      <c r="D481" s="4" t="s">
        <v>1985</v>
      </c>
      <c r="E481" s="4">
        <v>8</v>
      </c>
      <c r="F481" s="4" t="str">
        <f ca="1">Master_List!$AW$1</f>
        <v>PERPUSTAKAAN PUSAT</v>
      </c>
      <c r="G481" s="4" t="str">
        <f ca="1">Master_List!$AW$2</f>
        <v>09:30 PM</v>
      </c>
      <c r="H481" s="4" t="str">
        <f ca="1">Master_List!$AW$3</f>
        <v>20/07/2026</v>
      </c>
      <c r="I481" s="4" t="str">
        <f ca="1">Master_List!$AW$4</f>
        <v>28.5</v>
      </c>
      <c r="J481" s="4" t="str">
        <f ca="1">Master_List!$AW$5</f>
        <v>65</v>
      </c>
      <c r="K481" s="4" t="s">
        <v>591</v>
      </c>
      <c r="BL481" s="4" t="s">
        <v>1744</v>
      </c>
      <c r="BM481" s="4" t="s">
        <v>1994</v>
      </c>
      <c r="BN481" s="4" t="s">
        <v>1748</v>
      </c>
      <c r="BO481" s="4" t="str">
        <f t="shared" si="7"/>
        <v>C:\Users\aremi\Desktop\REPORT CBM\PO TIANU JB\03. Raw Material\40. 10052026 SSU MEDINI SIGNATURE 33KV (VI)\IR</v>
      </c>
      <c r="BP481" t="s">
        <v>1060</v>
      </c>
    </row>
    <row r="482" spans="1:68" thickBot="1" x14ac:dyDescent="0.3">
      <c r="A482" s="4">
        <v>241</v>
      </c>
      <c r="B482" s="4" t="s">
        <v>1061</v>
      </c>
      <c r="C482" s="4">
        <v>8</v>
      </c>
      <c r="D482" s="4" t="s">
        <v>1976</v>
      </c>
      <c r="E482" s="4">
        <v>1</v>
      </c>
      <c r="F482" s="4" t="str">
        <f ca="1">Master_List!$AW$1</f>
        <v>PERPUSTAKAAN PUSAT</v>
      </c>
      <c r="G482" s="4" t="str">
        <f ca="1">Master_List!$AW$2</f>
        <v>09:30 PM</v>
      </c>
      <c r="H482" s="4" t="str">
        <f ca="1">Master_List!$AW$3</f>
        <v>20/07/2026</v>
      </c>
      <c r="I482" s="4" t="str">
        <f ca="1">Master_List!$AW$4</f>
        <v>28.5</v>
      </c>
      <c r="J482" s="4" t="str">
        <f ca="1">Master_List!$AW$5</f>
        <v>65</v>
      </c>
      <c r="K482" s="4" t="s">
        <v>570</v>
      </c>
      <c r="BL482" s="4" t="s">
        <v>1744</v>
      </c>
      <c r="BM482" s="4" t="s">
        <v>1995</v>
      </c>
      <c r="BN482" s="4" t="s">
        <v>1746</v>
      </c>
      <c r="BO482" s="4" t="str">
        <f t="shared" si="7"/>
        <v>C:\Users\aremi\Desktop\REPORT CBM\PO TIANU JB\03. Raw Material\40. 10052026 SSU MEDINI SIGNATURE 33KV (VI)\IR</v>
      </c>
      <c r="BP482" t="s">
        <v>1062</v>
      </c>
    </row>
    <row r="483" spans="1:68" thickBot="1" x14ac:dyDescent="0.3">
      <c r="A483" s="4">
        <v>241</v>
      </c>
      <c r="B483" s="4" t="s">
        <v>1061</v>
      </c>
      <c r="C483" s="4">
        <v>8</v>
      </c>
      <c r="D483" s="4" t="s">
        <v>1976</v>
      </c>
      <c r="E483" s="4">
        <v>1</v>
      </c>
      <c r="F483" s="4" t="str">
        <f ca="1">Master_List!$AW$1</f>
        <v>PERPUSTAKAAN PUSAT</v>
      </c>
      <c r="G483" s="4" t="str">
        <f ca="1">Master_List!$AW$2</f>
        <v>09:30 PM</v>
      </c>
      <c r="H483" s="4" t="str">
        <f ca="1">Master_List!$AW$3</f>
        <v>20/07/2026</v>
      </c>
      <c r="I483" s="4" t="str">
        <f ca="1">Master_List!$AW$4</f>
        <v>28.5</v>
      </c>
      <c r="J483" s="4" t="str">
        <f ca="1">Master_List!$AW$5</f>
        <v>65</v>
      </c>
      <c r="K483" s="4" t="s">
        <v>570</v>
      </c>
      <c r="BL483" s="4" t="s">
        <v>1744</v>
      </c>
      <c r="BM483" s="4" t="s">
        <v>1995</v>
      </c>
      <c r="BN483" s="4" t="s">
        <v>1748</v>
      </c>
      <c r="BO483" s="4" t="str">
        <f t="shared" si="7"/>
        <v>C:\Users\aremi\Desktop\REPORT CBM\PO TIANU JB\03. Raw Material\40. 10052026 SSU MEDINI SIGNATURE 33KV (VI)\IR</v>
      </c>
      <c r="BP483" t="s">
        <v>1063</v>
      </c>
    </row>
    <row r="484" spans="1:68" thickBot="1" x14ac:dyDescent="0.3">
      <c r="A484" s="4">
        <v>242</v>
      </c>
      <c r="B484" s="4" t="s">
        <v>1061</v>
      </c>
      <c r="C484" s="4">
        <v>8</v>
      </c>
      <c r="D484" s="4" t="s">
        <v>1976</v>
      </c>
      <c r="E484" s="4">
        <v>2</v>
      </c>
      <c r="F484" s="4" t="str">
        <f ca="1">Master_List!$AW$1</f>
        <v>PERPUSTAKAAN PUSAT</v>
      </c>
      <c r="G484" s="4" t="str">
        <f ca="1">Master_List!$AW$2</f>
        <v>09:30 PM</v>
      </c>
      <c r="H484" s="4" t="str">
        <f ca="1">Master_List!$AW$3</f>
        <v>20/07/2026</v>
      </c>
      <c r="I484" s="4" t="str">
        <f ca="1">Master_List!$AW$4</f>
        <v>28.5</v>
      </c>
      <c r="J484" s="4" t="str">
        <f ca="1">Master_List!$AW$5</f>
        <v>65</v>
      </c>
      <c r="K484" s="4" t="s">
        <v>573</v>
      </c>
      <c r="BL484" s="4" t="s">
        <v>1744</v>
      </c>
      <c r="BM484" s="4" t="s">
        <v>1996</v>
      </c>
      <c r="BN484" s="4" t="s">
        <v>1746</v>
      </c>
      <c r="BO484" s="4" t="str">
        <f t="shared" si="7"/>
        <v>C:\Users\aremi\Desktop\REPORT CBM\PO TIANU JB\03. Raw Material\40. 10052026 SSU MEDINI SIGNATURE 33KV (VI)\IR</v>
      </c>
      <c r="BP484" t="s">
        <v>1064</v>
      </c>
    </row>
    <row r="485" spans="1:68" thickBot="1" x14ac:dyDescent="0.3">
      <c r="A485" s="4">
        <v>242</v>
      </c>
      <c r="B485" s="4" t="s">
        <v>1061</v>
      </c>
      <c r="C485" s="4">
        <v>8</v>
      </c>
      <c r="D485" s="4" t="s">
        <v>1976</v>
      </c>
      <c r="E485" s="4">
        <v>2</v>
      </c>
      <c r="F485" s="4" t="str">
        <f ca="1">Master_List!$AW$1</f>
        <v>PERPUSTAKAAN PUSAT</v>
      </c>
      <c r="G485" s="4" t="str">
        <f ca="1">Master_List!$AW$2</f>
        <v>09:30 PM</v>
      </c>
      <c r="H485" s="4" t="str">
        <f ca="1">Master_List!$AW$3</f>
        <v>20/07/2026</v>
      </c>
      <c r="I485" s="4" t="str">
        <f ca="1">Master_List!$AW$4</f>
        <v>28.5</v>
      </c>
      <c r="J485" s="4" t="str">
        <f ca="1">Master_List!$AW$5</f>
        <v>65</v>
      </c>
      <c r="K485" s="4" t="s">
        <v>573</v>
      </c>
      <c r="BL485" s="4" t="s">
        <v>1744</v>
      </c>
      <c r="BM485" s="4" t="s">
        <v>1996</v>
      </c>
      <c r="BN485" s="4" t="s">
        <v>1748</v>
      </c>
      <c r="BO485" s="4" t="str">
        <f t="shared" si="7"/>
        <v>C:\Users\aremi\Desktop\REPORT CBM\PO TIANU JB\03. Raw Material\40. 10052026 SSU MEDINI SIGNATURE 33KV (VI)\IR</v>
      </c>
      <c r="BP485" t="s">
        <v>1065</v>
      </c>
    </row>
    <row r="486" spans="1:68" thickBot="1" x14ac:dyDescent="0.3">
      <c r="A486" s="4">
        <v>243</v>
      </c>
      <c r="B486" s="4" t="s">
        <v>1061</v>
      </c>
      <c r="C486" s="4">
        <v>8</v>
      </c>
      <c r="D486" s="4" t="s">
        <v>1976</v>
      </c>
      <c r="E486" s="4">
        <v>3</v>
      </c>
      <c r="F486" s="4" t="str">
        <f ca="1">Master_List!$AW$1</f>
        <v>PERPUSTAKAAN PUSAT</v>
      </c>
      <c r="G486" s="4" t="str">
        <f ca="1">Master_List!$AW$2</f>
        <v>09:30 PM</v>
      </c>
      <c r="H486" s="4" t="str">
        <f ca="1">Master_List!$AW$3</f>
        <v>20/07/2026</v>
      </c>
      <c r="I486" s="4" t="str">
        <f ca="1">Master_List!$AW$4</f>
        <v>28.5</v>
      </c>
      <c r="J486" s="4" t="str">
        <f ca="1">Master_List!$AW$5</f>
        <v>65</v>
      </c>
      <c r="K486" s="4" t="s">
        <v>576</v>
      </c>
      <c r="BL486" s="4" t="s">
        <v>1744</v>
      </c>
      <c r="BM486" s="4" t="s">
        <v>1997</v>
      </c>
      <c r="BN486" s="4" t="s">
        <v>1746</v>
      </c>
      <c r="BO486" s="4" t="str">
        <f t="shared" si="7"/>
        <v>C:\Users\aremi\Desktop\REPORT CBM\PO TIANU JB\03. Raw Material\40. 10052026 SSU MEDINI SIGNATURE 33KV (VI)\IR</v>
      </c>
      <c r="BP486" t="s">
        <v>1066</v>
      </c>
    </row>
    <row r="487" spans="1:68" thickBot="1" x14ac:dyDescent="0.3">
      <c r="A487" s="4">
        <v>243</v>
      </c>
      <c r="B487" s="4" t="s">
        <v>1061</v>
      </c>
      <c r="C487" s="4">
        <v>8</v>
      </c>
      <c r="D487" s="4" t="s">
        <v>1976</v>
      </c>
      <c r="E487" s="4">
        <v>3</v>
      </c>
      <c r="F487" s="4" t="str">
        <f ca="1">Master_List!$AW$1</f>
        <v>PERPUSTAKAAN PUSAT</v>
      </c>
      <c r="G487" s="4" t="str">
        <f ca="1">Master_List!$AW$2</f>
        <v>09:30 PM</v>
      </c>
      <c r="H487" s="4" t="str">
        <f ca="1">Master_List!$AW$3</f>
        <v>20/07/2026</v>
      </c>
      <c r="I487" s="4" t="str">
        <f ca="1">Master_List!$AW$4</f>
        <v>28.5</v>
      </c>
      <c r="J487" s="4" t="str">
        <f ca="1">Master_List!$AW$5</f>
        <v>65</v>
      </c>
      <c r="K487" s="4" t="s">
        <v>576</v>
      </c>
      <c r="BL487" s="4" t="s">
        <v>1744</v>
      </c>
      <c r="BM487" s="4" t="s">
        <v>1997</v>
      </c>
      <c r="BN487" s="4" t="s">
        <v>1748</v>
      </c>
      <c r="BO487" s="4" t="str">
        <f t="shared" si="7"/>
        <v>C:\Users\aremi\Desktop\REPORT CBM\PO TIANU JB\03. Raw Material\40. 10052026 SSU MEDINI SIGNATURE 33KV (VI)\IR</v>
      </c>
      <c r="BP487" t="s">
        <v>1067</v>
      </c>
    </row>
    <row r="488" spans="1:68" thickBot="1" x14ac:dyDescent="0.3">
      <c r="A488" s="4">
        <v>244</v>
      </c>
      <c r="B488" s="4" t="s">
        <v>1061</v>
      </c>
      <c r="C488" s="4">
        <v>8</v>
      </c>
      <c r="D488" s="4" t="s">
        <v>1976</v>
      </c>
      <c r="E488" s="4">
        <v>4</v>
      </c>
      <c r="F488" s="4" t="str">
        <f ca="1">Master_List!$AW$1</f>
        <v>PERPUSTAKAAN PUSAT</v>
      </c>
      <c r="G488" s="4" t="str">
        <f ca="1">Master_List!$AW$2</f>
        <v>09:30 PM</v>
      </c>
      <c r="H488" s="4" t="str">
        <f ca="1">Master_List!$AW$3</f>
        <v>20/07/2026</v>
      </c>
      <c r="I488" s="4" t="str">
        <f ca="1">Master_List!$AW$4</f>
        <v>28.5</v>
      </c>
      <c r="J488" s="4" t="str">
        <f ca="1">Master_List!$AW$5</f>
        <v>65</v>
      </c>
      <c r="K488" s="4" t="s">
        <v>579</v>
      </c>
      <c r="BL488" s="4" t="s">
        <v>1744</v>
      </c>
      <c r="BM488" s="4" t="s">
        <v>1998</v>
      </c>
      <c r="BN488" s="4" t="s">
        <v>1746</v>
      </c>
      <c r="BO488" s="4" t="str">
        <f t="shared" si="7"/>
        <v>C:\Users\aremi\Desktop\REPORT CBM\PO TIANU JB\03. Raw Material\40. 10052026 SSU MEDINI SIGNATURE 33KV (VI)\IR</v>
      </c>
      <c r="BP488" t="s">
        <v>1068</v>
      </c>
    </row>
    <row r="489" spans="1:68" thickBot="1" x14ac:dyDescent="0.3">
      <c r="A489" s="4">
        <v>244</v>
      </c>
      <c r="B489" s="4" t="s">
        <v>1061</v>
      </c>
      <c r="C489" s="4">
        <v>8</v>
      </c>
      <c r="D489" s="4" t="s">
        <v>1976</v>
      </c>
      <c r="E489" s="4">
        <v>4</v>
      </c>
      <c r="F489" s="4" t="str">
        <f ca="1">Master_List!$AW$1</f>
        <v>PERPUSTAKAAN PUSAT</v>
      </c>
      <c r="G489" s="4" t="str">
        <f ca="1">Master_List!$AW$2</f>
        <v>09:30 PM</v>
      </c>
      <c r="H489" s="4" t="str">
        <f ca="1">Master_List!$AW$3</f>
        <v>20/07/2026</v>
      </c>
      <c r="I489" s="4" t="str">
        <f ca="1">Master_List!$AW$4</f>
        <v>28.5</v>
      </c>
      <c r="J489" s="4" t="str">
        <f ca="1">Master_List!$AW$5</f>
        <v>65</v>
      </c>
      <c r="K489" s="4" t="s">
        <v>579</v>
      </c>
      <c r="BL489" s="4" t="s">
        <v>1744</v>
      </c>
      <c r="BM489" s="4" t="s">
        <v>1998</v>
      </c>
      <c r="BN489" s="4" t="s">
        <v>1748</v>
      </c>
      <c r="BO489" s="4" t="str">
        <f t="shared" si="7"/>
        <v>C:\Users\aremi\Desktop\REPORT CBM\PO TIANU JB\03. Raw Material\40. 10052026 SSU MEDINI SIGNATURE 33KV (VI)\IR</v>
      </c>
      <c r="BP489" t="s">
        <v>1069</v>
      </c>
    </row>
    <row r="490" spans="1:68" thickBot="1" x14ac:dyDescent="0.3">
      <c r="A490" s="4">
        <v>245</v>
      </c>
      <c r="B490" s="4" t="s">
        <v>1061</v>
      </c>
      <c r="C490" s="4">
        <v>8</v>
      </c>
      <c r="D490" s="4" t="s">
        <v>1976</v>
      </c>
      <c r="E490" s="4">
        <v>5</v>
      </c>
      <c r="F490" s="4" t="str">
        <f ca="1">Master_List!$AW$1</f>
        <v>PERPUSTAKAAN PUSAT</v>
      </c>
      <c r="G490" s="4" t="str">
        <f ca="1">Master_List!$AW$2</f>
        <v>09:30 PM</v>
      </c>
      <c r="H490" s="4" t="str">
        <f ca="1">Master_List!$AW$3</f>
        <v>20/07/2026</v>
      </c>
      <c r="I490" s="4" t="str">
        <f ca="1">Master_List!$AW$4</f>
        <v>28.5</v>
      </c>
      <c r="J490" s="4" t="str">
        <f ca="1">Master_List!$AW$5</f>
        <v>65</v>
      </c>
      <c r="K490" s="4" t="s">
        <v>582</v>
      </c>
      <c r="BL490" s="4" t="s">
        <v>1744</v>
      </c>
      <c r="BM490" s="4" t="s">
        <v>1999</v>
      </c>
      <c r="BN490" s="4" t="s">
        <v>1746</v>
      </c>
      <c r="BO490" s="4" t="str">
        <f t="shared" si="7"/>
        <v>C:\Users\aremi\Desktop\REPORT CBM\PO TIANU JB\03. Raw Material\40. 10052026 SSU MEDINI SIGNATURE 33KV (VI)\IR</v>
      </c>
      <c r="BP490" t="s">
        <v>1070</v>
      </c>
    </row>
    <row r="491" spans="1:68" thickBot="1" x14ac:dyDescent="0.3">
      <c r="A491" s="4">
        <v>245</v>
      </c>
      <c r="B491" s="4" t="s">
        <v>1061</v>
      </c>
      <c r="C491" s="4">
        <v>8</v>
      </c>
      <c r="D491" s="4" t="s">
        <v>1976</v>
      </c>
      <c r="E491" s="4">
        <v>5</v>
      </c>
      <c r="F491" s="4" t="str">
        <f ca="1">Master_List!$AW$1</f>
        <v>PERPUSTAKAAN PUSAT</v>
      </c>
      <c r="G491" s="4" t="str">
        <f ca="1">Master_List!$AW$2</f>
        <v>09:30 PM</v>
      </c>
      <c r="H491" s="4" t="str">
        <f ca="1">Master_List!$AW$3</f>
        <v>20/07/2026</v>
      </c>
      <c r="I491" s="4" t="str">
        <f ca="1">Master_List!$AW$4</f>
        <v>28.5</v>
      </c>
      <c r="J491" s="4" t="str">
        <f ca="1">Master_List!$AW$5</f>
        <v>65</v>
      </c>
      <c r="K491" s="4" t="s">
        <v>582</v>
      </c>
      <c r="BL491" s="4" t="s">
        <v>1744</v>
      </c>
      <c r="BM491" s="4" t="s">
        <v>1999</v>
      </c>
      <c r="BN491" s="4" t="s">
        <v>1748</v>
      </c>
      <c r="BO491" s="4" t="str">
        <f t="shared" si="7"/>
        <v>C:\Users\aremi\Desktop\REPORT CBM\PO TIANU JB\03. Raw Material\40. 10052026 SSU MEDINI SIGNATURE 33KV (VI)\IR</v>
      </c>
      <c r="BP491" t="s">
        <v>1071</v>
      </c>
    </row>
    <row r="492" spans="1:68" thickBot="1" x14ac:dyDescent="0.3">
      <c r="A492" s="4">
        <v>246</v>
      </c>
      <c r="B492" s="4" t="s">
        <v>1061</v>
      </c>
      <c r="C492" s="4">
        <v>8</v>
      </c>
      <c r="D492" s="4" t="s">
        <v>1976</v>
      </c>
      <c r="E492" s="4">
        <v>6</v>
      </c>
      <c r="F492" s="4" t="str">
        <f ca="1">Master_List!$AW$1</f>
        <v>PERPUSTAKAAN PUSAT</v>
      </c>
      <c r="G492" s="4" t="str">
        <f ca="1">Master_List!$AW$2</f>
        <v>09:30 PM</v>
      </c>
      <c r="H492" s="4" t="str">
        <f ca="1">Master_List!$AW$3</f>
        <v>20/07/2026</v>
      </c>
      <c r="I492" s="4" t="str">
        <f ca="1">Master_List!$AW$4</f>
        <v>28.5</v>
      </c>
      <c r="J492" s="4" t="str">
        <f ca="1">Master_List!$AW$5</f>
        <v>65</v>
      </c>
      <c r="K492" s="4" t="s">
        <v>585</v>
      </c>
      <c r="BL492" s="4" t="s">
        <v>1744</v>
      </c>
      <c r="BM492" s="4" t="s">
        <v>2000</v>
      </c>
      <c r="BN492" s="4" t="s">
        <v>1746</v>
      </c>
      <c r="BO492" s="4" t="str">
        <f t="shared" si="7"/>
        <v>C:\Users\aremi\Desktop\REPORT CBM\PO TIANU JB\03. Raw Material\40. 10052026 SSU MEDINI SIGNATURE 33KV (VI)\IR</v>
      </c>
      <c r="BP492" t="s">
        <v>1072</v>
      </c>
    </row>
    <row r="493" spans="1:68" thickBot="1" x14ac:dyDescent="0.3">
      <c r="A493" s="4">
        <v>246</v>
      </c>
      <c r="B493" s="4" t="s">
        <v>1061</v>
      </c>
      <c r="C493" s="4">
        <v>8</v>
      </c>
      <c r="D493" s="4" t="s">
        <v>1976</v>
      </c>
      <c r="E493" s="4">
        <v>6</v>
      </c>
      <c r="F493" s="4" t="str">
        <f ca="1">Master_List!$AW$1</f>
        <v>PERPUSTAKAAN PUSAT</v>
      </c>
      <c r="G493" s="4" t="str">
        <f ca="1">Master_List!$AW$2</f>
        <v>09:30 PM</v>
      </c>
      <c r="H493" s="4" t="str">
        <f ca="1">Master_List!$AW$3</f>
        <v>20/07/2026</v>
      </c>
      <c r="I493" s="4" t="str">
        <f ca="1">Master_List!$AW$4</f>
        <v>28.5</v>
      </c>
      <c r="J493" s="4" t="str">
        <f ca="1">Master_List!$AW$5</f>
        <v>65</v>
      </c>
      <c r="K493" s="4" t="s">
        <v>585</v>
      </c>
      <c r="BL493" s="4" t="s">
        <v>1744</v>
      </c>
      <c r="BM493" s="4" t="s">
        <v>2000</v>
      </c>
      <c r="BN493" s="4" t="s">
        <v>1748</v>
      </c>
      <c r="BO493" s="4" t="str">
        <f t="shared" si="7"/>
        <v>C:\Users\aremi\Desktop\REPORT CBM\PO TIANU JB\03. Raw Material\40. 10052026 SSU MEDINI SIGNATURE 33KV (VI)\IR</v>
      </c>
      <c r="BP493" t="s">
        <v>1073</v>
      </c>
    </row>
    <row r="494" spans="1:68" thickBot="1" x14ac:dyDescent="0.3">
      <c r="A494" s="4">
        <v>247</v>
      </c>
      <c r="B494" s="4" t="s">
        <v>1061</v>
      </c>
      <c r="C494" s="4">
        <v>8</v>
      </c>
      <c r="D494" s="4" t="s">
        <v>1983</v>
      </c>
      <c r="E494" s="4">
        <v>7</v>
      </c>
      <c r="F494" s="4" t="str">
        <f ca="1">Master_List!$AW$1</f>
        <v>PERPUSTAKAAN PUSAT</v>
      </c>
      <c r="G494" s="4" t="str">
        <f ca="1">Master_List!$AW$2</f>
        <v>09:30 PM</v>
      </c>
      <c r="H494" s="4" t="str">
        <f ca="1">Master_List!$AW$3</f>
        <v>20/07/2026</v>
      </c>
      <c r="I494" s="4" t="str">
        <f ca="1">Master_List!$AW$4</f>
        <v>28.5</v>
      </c>
      <c r="J494" s="4" t="str">
        <f ca="1">Master_List!$AW$5</f>
        <v>65</v>
      </c>
      <c r="K494" s="4" t="s">
        <v>588</v>
      </c>
      <c r="BL494" s="4" t="s">
        <v>1744</v>
      </c>
      <c r="BM494" s="4" t="s">
        <v>2001</v>
      </c>
      <c r="BN494" s="4" t="s">
        <v>1746</v>
      </c>
      <c r="BO494" s="4" t="str">
        <f t="shared" si="7"/>
        <v>C:\Users\aremi\Desktop\REPORT CBM\PO TIANU JB\03. Raw Material\40. 10052026 SSU MEDINI SIGNATURE 33KV (VI)\IR</v>
      </c>
      <c r="BP494" t="s">
        <v>1074</v>
      </c>
    </row>
    <row r="495" spans="1:68" thickBot="1" x14ac:dyDescent="0.3">
      <c r="A495" s="4">
        <v>247</v>
      </c>
      <c r="B495" s="4" t="s">
        <v>1061</v>
      </c>
      <c r="C495" s="4">
        <v>8</v>
      </c>
      <c r="D495" s="4" t="s">
        <v>1983</v>
      </c>
      <c r="E495" s="4">
        <v>7</v>
      </c>
      <c r="F495" s="4" t="str">
        <f ca="1">Master_List!$AW$1</f>
        <v>PERPUSTAKAAN PUSAT</v>
      </c>
      <c r="G495" s="4" t="str">
        <f ca="1">Master_List!$AW$2</f>
        <v>09:30 PM</v>
      </c>
      <c r="H495" s="4" t="str">
        <f ca="1">Master_List!$AW$3</f>
        <v>20/07/2026</v>
      </c>
      <c r="I495" s="4" t="str">
        <f ca="1">Master_List!$AW$4</f>
        <v>28.5</v>
      </c>
      <c r="J495" s="4" t="str">
        <f ca="1">Master_List!$AW$5</f>
        <v>65</v>
      </c>
      <c r="K495" s="4" t="s">
        <v>588</v>
      </c>
      <c r="BL495" s="4" t="s">
        <v>1744</v>
      </c>
      <c r="BM495" s="4" t="s">
        <v>2001</v>
      </c>
      <c r="BN495" s="4" t="s">
        <v>1748</v>
      </c>
      <c r="BO495" s="4" t="str">
        <f t="shared" si="7"/>
        <v>C:\Users\aremi\Desktop\REPORT CBM\PO TIANU JB\03. Raw Material\40. 10052026 SSU MEDINI SIGNATURE 33KV (VI)\IR</v>
      </c>
      <c r="BP495" t="s">
        <v>1075</v>
      </c>
    </row>
    <row r="496" spans="1:68" thickBot="1" x14ac:dyDescent="0.3">
      <c r="A496" s="4">
        <v>248</v>
      </c>
      <c r="B496" s="4" t="s">
        <v>1061</v>
      </c>
      <c r="C496" s="4">
        <v>8</v>
      </c>
      <c r="D496" s="4" t="s">
        <v>1985</v>
      </c>
      <c r="E496" s="4">
        <v>8</v>
      </c>
      <c r="F496" s="4" t="str">
        <f ca="1">Master_List!$AW$1</f>
        <v>PERPUSTAKAAN PUSAT</v>
      </c>
      <c r="G496" s="4" t="str">
        <f ca="1">Master_List!$AW$2</f>
        <v>09:30 PM</v>
      </c>
      <c r="H496" s="4" t="str">
        <f ca="1">Master_List!$AW$3</f>
        <v>20/07/2026</v>
      </c>
      <c r="I496" s="4" t="str">
        <f ca="1">Master_List!$AW$4</f>
        <v>28.5</v>
      </c>
      <c r="J496" s="4" t="str">
        <f ca="1">Master_List!$AW$5</f>
        <v>65</v>
      </c>
      <c r="K496" s="4" t="s">
        <v>591</v>
      </c>
      <c r="BL496" s="4" t="s">
        <v>1744</v>
      </c>
      <c r="BM496" s="4" t="s">
        <v>2002</v>
      </c>
      <c r="BN496" s="4" t="s">
        <v>1746</v>
      </c>
      <c r="BO496" s="4" t="str">
        <f t="shared" si="7"/>
        <v>C:\Users\aremi\Desktop\REPORT CBM\PO TIANU JB\03. Raw Material\40. 10052026 SSU MEDINI SIGNATURE 33KV (VI)\IR</v>
      </c>
      <c r="BP496" t="s">
        <v>1076</v>
      </c>
    </row>
    <row r="497" spans="1:68" thickBot="1" x14ac:dyDescent="0.3">
      <c r="A497" s="4">
        <v>248</v>
      </c>
      <c r="B497" s="4" t="s">
        <v>1061</v>
      </c>
      <c r="C497" s="4">
        <v>8</v>
      </c>
      <c r="D497" s="4" t="s">
        <v>1985</v>
      </c>
      <c r="E497" s="4">
        <v>8</v>
      </c>
      <c r="F497" s="4" t="str">
        <f ca="1">Master_List!$AW$1</f>
        <v>PERPUSTAKAAN PUSAT</v>
      </c>
      <c r="G497" s="4" t="str">
        <f ca="1">Master_List!$AW$2</f>
        <v>09:30 PM</v>
      </c>
      <c r="H497" s="4" t="str">
        <f ca="1">Master_List!$AW$3</f>
        <v>20/07/2026</v>
      </c>
      <c r="I497" s="4" t="str">
        <f ca="1">Master_List!$AW$4</f>
        <v>28.5</v>
      </c>
      <c r="J497" s="4" t="str">
        <f ca="1">Master_List!$AW$5</f>
        <v>65</v>
      </c>
      <c r="K497" s="4" t="s">
        <v>591</v>
      </c>
      <c r="BL497" s="4" t="s">
        <v>1744</v>
      </c>
      <c r="BM497" s="4" t="s">
        <v>2002</v>
      </c>
      <c r="BN497" s="4" t="s">
        <v>1748</v>
      </c>
      <c r="BO497" s="4" t="str">
        <f t="shared" si="7"/>
        <v>C:\Users\aremi\Desktop\REPORT CBM\PO TIANU JB\03. Raw Material\40. 10052026 SSU MEDINI SIGNATURE 33KV (VI)\IR</v>
      </c>
      <c r="BP497" t="s">
        <v>1077</v>
      </c>
    </row>
    <row r="498" spans="1:68" thickBot="1" x14ac:dyDescent="0.3">
      <c r="A498" s="4">
        <v>249</v>
      </c>
      <c r="B498" s="4" t="s">
        <v>1078</v>
      </c>
      <c r="C498" s="4">
        <v>8</v>
      </c>
      <c r="D498" s="4" t="s">
        <v>1976</v>
      </c>
      <c r="E498" s="4">
        <v>1</v>
      </c>
      <c r="F498" s="4" t="str">
        <f ca="1">Master_List!$AW$1</f>
        <v>PERPUSTAKAAN PUSAT</v>
      </c>
      <c r="G498" s="4" t="str">
        <f ca="1">Master_List!$AW$2</f>
        <v>09:30 PM</v>
      </c>
      <c r="H498" s="4" t="str">
        <f ca="1">Master_List!$AW$3</f>
        <v>20/07/2026</v>
      </c>
      <c r="I498" s="4" t="str">
        <f ca="1">Master_List!$AW$4</f>
        <v>28.5</v>
      </c>
      <c r="J498" s="4" t="str">
        <f ca="1">Master_List!$AW$5</f>
        <v>65</v>
      </c>
      <c r="K498" s="4" t="s">
        <v>570</v>
      </c>
      <c r="BL498" s="4" t="s">
        <v>1744</v>
      </c>
      <c r="BM498" s="4" t="s">
        <v>2003</v>
      </c>
      <c r="BN498" s="4" t="s">
        <v>1746</v>
      </c>
      <c r="BO498" s="4" t="str">
        <f t="shared" si="7"/>
        <v>C:\Users\aremi\Desktop\REPORT CBM\PO TIANU JB\03. Raw Material\40. 10052026 SSU MEDINI SIGNATURE 33KV (VI)\IR</v>
      </c>
      <c r="BP498" t="s">
        <v>1079</v>
      </c>
    </row>
    <row r="499" spans="1:68" thickBot="1" x14ac:dyDescent="0.3">
      <c r="A499" s="4">
        <v>249</v>
      </c>
      <c r="B499" s="4" t="s">
        <v>1078</v>
      </c>
      <c r="C499" s="4">
        <v>8</v>
      </c>
      <c r="D499" s="4" t="s">
        <v>1976</v>
      </c>
      <c r="E499" s="4">
        <v>1</v>
      </c>
      <c r="F499" s="4" t="str">
        <f ca="1">Master_List!$AW$1</f>
        <v>PERPUSTAKAAN PUSAT</v>
      </c>
      <c r="G499" s="4" t="str">
        <f ca="1">Master_List!$AW$2</f>
        <v>09:30 PM</v>
      </c>
      <c r="H499" s="4" t="str">
        <f ca="1">Master_List!$AW$3</f>
        <v>20/07/2026</v>
      </c>
      <c r="I499" s="4" t="str">
        <f ca="1">Master_List!$AW$4</f>
        <v>28.5</v>
      </c>
      <c r="J499" s="4" t="str">
        <f ca="1">Master_List!$AW$5</f>
        <v>65</v>
      </c>
      <c r="K499" s="4" t="s">
        <v>570</v>
      </c>
      <c r="BL499" s="4" t="s">
        <v>1744</v>
      </c>
      <c r="BM499" s="4" t="s">
        <v>2003</v>
      </c>
      <c r="BN499" s="4" t="s">
        <v>1748</v>
      </c>
      <c r="BO499" s="4" t="str">
        <f t="shared" si="7"/>
        <v>C:\Users\aremi\Desktop\REPORT CBM\PO TIANU JB\03. Raw Material\40. 10052026 SSU MEDINI SIGNATURE 33KV (VI)\IR</v>
      </c>
      <c r="BP499" t="s">
        <v>1080</v>
      </c>
    </row>
    <row r="500" spans="1:68" thickBot="1" x14ac:dyDescent="0.3">
      <c r="A500" s="4">
        <v>250</v>
      </c>
      <c r="B500" s="4" t="s">
        <v>1078</v>
      </c>
      <c r="C500" s="4">
        <v>8</v>
      </c>
      <c r="D500" s="4" t="s">
        <v>1976</v>
      </c>
      <c r="E500" s="4">
        <v>2</v>
      </c>
      <c r="F500" s="4" t="str">
        <f ca="1">Master_List!$AW$1</f>
        <v>PERPUSTAKAAN PUSAT</v>
      </c>
      <c r="G500" s="4" t="str">
        <f ca="1">Master_List!$AW$2</f>
        <v>09:30 PM</v>
      </c>
      <c r="H500" s="4" t="str">
        <f ca="1">Master_List!$AW$3</f>
        <v>20/07/2026</v>
      </c>
      <c r="I500" s="4" t="str">
        <f ca="1">Master_List!$AW$4</f>
        <v>28.5</v>
      </c>
      <c r="J500" s="4" t="str">
        <f ca="1">Master_List!$AW$5</f>
        <v>65</v>
      </c>
      <c r="K500" s="4" t="s">
        <v>573</v>
      </c>
      <c r="BL500" s="4" t="s">
        <v>1744</v>
      </c>
      <c r="BM500" s="4" t="s">
        <v>2004</v>
      </c>
      <c r="BN500" s="4" t="s">
        <v>1746</v>
      </c>
      <c r="BO500" s="4" t="str">
        <f t="shared" si="7"/>
        <v>C:\Users\aremi\Desktop\REPORT CBM\PO TIANU JB\03. Raw Material\40. 10052026 SSU MEDINI SIGNATURE 33KV (VI)\IR</v>
      </c>
      <c r="BP500" t="s">
        <v>1081</v>
      </c>
    </row>
    <row r="501" spans="1:68" thickBot="1" x14ac:dyDescent="0.3">
      <c r="A501" s="4">
        <v>250</v>
      </c>
      <c r="B501" s="4" t="s">
        <v>1078</v>
      </c>
      <c r="C501" s="4">
        <v>8</v>
      </c>
      <c r="D501" s="4" t="s">
        <v>1976</v>
      </c>
      <c r="E501" s="4">
        <v>2</v>
      </c>
      <c r="F501" s="4" t="str">
        <f ca="1">Master_List!$AW$1</f>
        <v>PERPUSTAKAAN PUSAT</v>
      </c>
      <c r="G501" s="4" t="str">
        <f ca="1">Master_List!$AW$2</f>
        <v>09:30 PM</v>
      </c>
      <c r="H501" s="4" t="str">
        <f ca="1">Master_List!$AW$3</f>
        <v>20/07/2026</v>
      </c>
      <c r="I501" s="4" t="str">
        <f ca="1">Master_List!$AW$4</f>
        <v>28.5</v>
      </c>
      <c r="J501" s="4" t="str">
        <f ca="1">Master_List!$AW$5</f>
        <v>65</v>
      </c>
      <c r="K501" s="4" t="s">
        <v>573</v>
      </c>
      <c r="BL501" s="4" t="s">
        <v>1744</v>
      </c>
      <c r="BM501" s="4" t="s">
        <v>2004</v>
      </c>
      <c r="BN501" s="4" t="s">
        <v>1748</v>
      </c>
      <c r="BO501" s="4" t="str">
        <f t="shared" si="7"/>
        <v>C:\Users\aremi\Desktop\REPORT CBM\PO TIANU JB\03. Raw Material\40. 10052026 SSU MEDINI SIGNATURE 33KV (VI)\IR</v>
      </c>
      <c r="BP501" t="s">
        <v>1082</v>
      </c>
    </row>
    <row r="502" spans="1:68" thickBot="1" x14ac:dyDescent="0.3">
      <c r="A502" s="4">
        <v>251</v>
      </c>
      <c r="B502" s="4" t="s">
        <v>1078</v>
      </c>
      <c r="C502" s="4">
        <v>8</v>
      </c>
      <c r="D502" s="4" t="s">
        <v>1976</v>
      </c>
      <c r="E502" s="4">
        <v>3</v>
      </c>
      <c r="F502" s="4" t="str">
        <f ca="1">Master_List!$AW$1</f>
        <v>PERPUSTAKAAN PUSAT</v>
      </c>
      <c r="G502" s="4" t="str">
        <f ca="1">Master_List!$AW$2</f>
        <v>09:30 PM</v>
      </c>
      <c r="H502" s="4" t="str">
        <f ca="1">Master_List!$AW$3</f>
        <v>20/07/2026</v>
      </c>
      <c r="I502" s="4" t="str">
        <f ca="1">Master_List!$AW$4</f>
        <v>28.5</v>
      </c>
      <c r="J502" s="4" t="str">
        <f ca="1">Master_List!$AW$5</f>
        <v>65</v>
      </c>
      <c r="K502" s="4" t="s">
        <v>576</v>
      </c>
      <c r="BL502" s="4" t="s">
        <v>1744</v>
      </c>
      <c r="BM502" s="4" t="s">
        <v>2005</v>
      </c>
      <c r="BN502" s="4" t="s">
        <v>1746</v>
      </c>
      <c r="BO502" s="4" t="str">
        <f t="shared" si="7"/>
        <v>C:\Users\aremi\Desktop\REPORT CBM\PO TIANU JB\03. Raw Material\40. 10052026 SSU MEDINI SIGNATURE 33KV (VI)\IR</v>
      </c>
      <c r="BP502" t="s">
        <v>1083</v>
      </c>
    </row>
    <row r="503" spans="1:68" thickBot="1" x14ac:dyDescent="0.3">
      <c r="A503" s="4">
        <v>251</v>
      </c>
      <c r="B503" s="4" t="s">
        <v>1078</v>
      </c>
      <c r="C503" s="4">
        <v>8</v>
      </c>
      <c r="D503" s="4" t="s">
        <v>1976</v>
      </c>
      <c r="E503" s="4">
        <v>3</v>
      </c>
      <c r="F503" s="4" t="str">
        <f ca="1">Master_List!$AW$1</f>
        <v>PERPUSTAKAAN PUSAT</v>
      </c>
      <c r="G503" s="4" t="str">
        <f ca="1">Master_List!$AW$2</f>
        <v>09:30 PM</v>
      </c>
      <c r="H503" s="4" t="str">
        <f ca="1">Master_List!$AW$3</f>
        <v>20/07/2026</v>
      </c>
      <c r="I503" s="4" t="str">
        <f ca="1">Master_List!$AW$4</f>
        <v>28.5</v>
      </c>
      <c r="J503" s="4" t="str">
        <f ca="1">Master_List!$AW$5</f>
        <v>65</v>
      </c>
      <c r="K503" s="4" t="s">
        <v>576</v>
      </c>
      <c r="BL503" s="4" t="s">
        <v>1744</v>
      </c>
      <c r="BM503" s="4" t="s">
        <v>2005</v>
      </c>
      <c r="BN503" s="4" t="s">
        <v>1748</v>
      </c>
      <c r="BO503" s="4" t="str">
        <f t="shared" si="7"/>
        <v>C:\Users\aremi\Desktop\REPORT CBM\PO TIANU JB\03. Raw Material\40. 10052026 SSU MEDINI SIGNATURE 33KV (VI)\IR</v>
      </c>
      <c r="BP503" t="s">
        <v>1084</v>
      </c>
    </row>
    <row r="504" spans="1:68" thickBot="1" x14ac:dyDescent="0.3">
      <c r="A504" s="4">
        <v>252</v>
      </c>
      <c r="B504" s="4" t="s">
        <v>1078</v>
      </c>
      <c r="C504" s="4">
        <v>8</v>
      </c>
      <c r="D504" s="4" t="s">
        <v>1976</v>
      </c>
      <c r="E504" s="4">
        <v>4</v>
      </c>
      <c r="F504" s="4" t="str">
        <f ca="1">Master_List!$AW$1</f>
        <v>PERPUSTAKAAN PUSAT</v>
      </c>
      <c r="G504" s="4" t="str">
        <f ca="1">Master_List!$AW$2</f>
        <v>09:30 PM</v>
      </c>
      <c r="H504" s="4" t="str">
        <f ca="1">Master_List!$AW$3</f>
        <v>20/07/2026</v>
      </c>
      <c r="I504" s="4" t="str">
        <f ca="1">Master_List!$AW$4</f>
        <v>28.5</v>
      </c>
      <c r="J504" s="4" t="str">
        <f ca="1">Master_List!$AW$5</f>
        <v>65</v>
      </c>
      <c r="K504" s="4" t="s">
        <v>579</v>
      </c>
      <c r="BL504" s="4" t="s">
        <v>1744</v>
      </c>
      <c r="BM504" s="4" t="s">
        <v>2006</v>
      </c>
      <c r="BN504" s="4" t="s">
        <v>1746</v>
      </c>
      <c r="BO504" s="4" t="str">
        <f t="shared" si="7"/>
        <v>C:\Users\aremi\Desktop\REPORT CBM\PO TIANU JB\03. Raw Material\40. 10052026 SSU MEDINI SIGNATURE 33KV (VI)\IR</v>
      </c>
      <c r="BP504" t="s">
        <v>1085</v>
      </c>
    </row>
    <row r="505" spans="1:68" thickBot="1" x14ac:dyDescent="0.3">
      <c r="A505" s="4">
        <v>252</v>
      </c>
      <c r="B505" s="4" t="s">
        <v>1078</v>
      </c>
      <c r="C505" s="4">
        <v>8</v>
      </c>
      <c r="D505" s="4" t="s">
        <v>1976</v>
      </c>
      <c r="E505" s="4">
        <v>4</v>
      </c>
      <c r="F505" s="4" t="str">
        <f ca="1">Master_List!$AW$1</f>
        <v>PERPUSTAKAAN PUSAT</v>
      </c>
      <c r="G505" s="4" t="str">
        <f ca="1">Master_List!$AW$2</f>
        <v>09:30 PM</v>
      </c>
      <c r="H505" s="4" t="str">
        <f ca="1">Master_List!$AW$3</f>
        <v>20/07/2026</v>
      </c>
      <c r="I505" s="4" t="str">
        <f ca="1">Master_List!$AW$4</f>
        <v>28.5</v>
      </c>
      <c r="J505" s="4" t="str">
        <f ca="1">Master_List!$AW$5</f>
        <v>65</v>
      </c>
      <c r="K505" s="4" t="s">
        <v>579</v>
      </c>
      <c r="BL505" s="4" t="s">
        <v>1744</v>
      </c>
      <c r="BM505" s="4" t="s">
        <v>2006</v>
      </c>
      <c r="BN505" s="4" t="s">
        <v>1748</v>
      </c>
      <c r="BO505" s="4" t="str">
        <f t="shared" si="7"/>
        <v>C:\Users\aremi\Desktop\REPORT CBM\PO TIANU JB\03. Raw Material\40. 10052026 SSU MEDINI SIGNATURE 33KV (VI)\IR</v>
      </c>
      <c r="BP505" t="s">
        <v>1086</v>
      </c>
    </row>
    <row r="506" spans="1:68" thickBot="1" x14ac:dyDescent="0.3">
      <c r="A506" s="4">
        <v>253</v>
      </c>
      <c r="B506" s="4" t="s">
        <v>1078</v>
      </c>
      <c r="C506" s="4">
        <v>8</v>
      </c>
      <c r="D506" s="4" t="s">
        <v>1976</v>
      </c>
      <c r="E506" s="4">
        <v>5</v>
      </c>
      <c r="F506" s="4" t="str">
        <f ca="1">Master_List!$AW$1</f>
        <v>PERPUSTAKAAN PUSAT</v>
      </c>
      <c r="G506" s="4" t="str">
        <f ca="1">Master_List!$AW$2</f>
        <v>09:30 PM</v>
      </c>
      <c r="H506" s="4" t="str">
        <f ca="1">Master_List!$AW$3</f>
        <v>20/07/2026</v>
      </c>
      <c r="I506" s="4" t="str">
        <f ca="1">Master_List!$AW$4</f>
        <v>28.5</v>
      </c>
      <c r="J506" s="4" t="str">
        <f ca="1">Master_List!$AW$5</f>
        <v>65</v>
      </c>
      <c r="K506" s="4" t="s">
        <v>582</v>
      </c>
      <c r="BL506" s="4" t="s">
        <v>1744</v>
      </c>
      <c r="BM506" s="4" t="s">
        <v>2007</v>
      </c>
      <c r="BN506" s="4" t="s">
        <v>1746</v>
      </c>
      <c r="BO506" s="4" t="str">
        <f t="shared" si="7"/>
        <v>C:\Users\aremi\Desktop\REPORT CBM\PO TIANU JB\03. Raw Material\40. 10052026 SSU MEDINI SIGNATURE 33KV (VI)\IR</v>
      </c>
      <c r="BP506" t="s">
        <v>1087</v>
      </c>
    </row>
    <row r="507" spans="1:68" thickBot="1" x14ac:dyDescent="0.3">
      <c r="A507" s="4">
        <v>253</v>
      </c>
      <c r="B507" s="4" t="s">
        <v>1078</v>
      </c>
      <c r="C507" s="4">
        <v>8</v>
      </c>
      <c r="D507" s="4" t="s">
        <v>1976</v>
      </c>
      <c r="E507" s="4">
        <v>5</v>
      </c>
      <c r="F507" s="4" t="str">
        <f ca="1">Master_List!$AW$1</f>
        <v>PERPUSTAKAAN PUSAT</v>
      </c>
      <c r="G507" s="4" t="str">
        <f ca="1">Master_List!$AW$2</f>
        <v>09:30 PM</v>
      </c>
      <c r="H507" s="4" t="str">
        <f ca="1">Master_List!$AW$3</f>
        <v>20/07/2026</v>
      </c>
      <c r="I507" s="4" t="str">
        <f ca="1">Master_List!$AW$4</f>
        <v>28.5</v>
      </c>
      <c r="J507" s="4" t="str">
        <f ca="1">Master_List!$AW$5</f>
        <v>65</v>
      </c>
      <c r="K507" s="4" t="s">
        <v>582</v>
      </c>
      <c r="BL507" s="4" t="s">
        <v>1744</v>
      </c>
      <c r="BM507" s="4" t="s">
        <v>2007</v>
      </c>
      <c r="BN507" s="4" t="s">
        <v>1748</v>
      </c>
      <c r="BO507" s="4" t="str">
        <f t="shared" si="7"/>
        <v>C:\Users\aremi\Desktop\REPORT CBM\PO TIANU JB\03. Raw Material\40. 10052026 SSU MEDINI SIGNATURE 33KV (VI)\IR</v>
      </c>
      <c r="BP507" t="s">
        <v>1088</v>
      </c>
    </row>
    <row r="508" spans="1:68" thickBot="1" x14ac:dyDescent="0.3">
      <c r="A508" s="4">
        <v>254</v>
      </c>
      <c r="B508" s="4" t="s">
        <v>1078</v>
      </c>
      <c r="C508" s="4">
        <v>8</v>
      </c>
      <c r="D508" s="4" t="s">
        <v>1976</v>
      </c>
      <c r="E508" s="4">
        <v>6</v>
      </c>
      <c r="F508" s="4" t="str">
        <f ca="1">Master_List!$AW$1</f>
        <v>PERPUSTAKAAN PUSAT</v>
      </c>
      <c r="G508" s="4" t="str">
        <f ca="1">Master_List!$AW$2</f>
        <v>09:30 PM</v>
      </c>
      <c r="H508" s="4" t="str">
        <f ca="1">Master_List!$AW$3</f>
        <v>20/07/2026</v>
      </c>
      <c r="I508" s="4" t="str">
        <f ca="1">Master_List!$AW$4</f>
        <v>28.5</v>
      </c>
      <c r="J508" s="4" t="str">
        <f ca="1">Master_List!$AW$5</f>
        <v>65</v>
      </c>
      <c r="K508" s="4" t="s">
        <v>585</v>
      </c>
      <c r="BL508" s="4" t="s">
        <v>1744</v>
      </c>
      <c r="BM508" s="4" t="s">
        <v>2008</v>
      </c>
      <c r="BN508" s="4" t="s">
        <v>1746</v>
      </c>
      <c r="BO508" s="4" t="str">
        <f t="shared" si="7"/>
        <v>C:\Users\aremi\Desktop\REPORT CBM\PO TIANU JB\03. Raw Material\40. 10052026 SSU MEDINI SIGNATURE 33KV (VI)\IR</v>
      </c>
      <c r="BP508" t="s">
        <v>1089</v>
      </c>
    </row>
    <row r="509" spans="1:68" thickBot="1" x14ac:dyDescent="0.3">
      <c r="A509" s="4">
        <v>254</v>
      </c>
      <c r="B509" s="4" t="s">
        <v>1078</v>
      </c>
      <c r="C509" s="4">
        <v>8</v>
      </c>
      <c r="D509" s="4" t="s">
        <v>1976</v>
      </c>
      <c r="E509" s="4">
        <v>6</v>
      </c>
      <c r="F509" s="4" t="str">
        <f ca="1">Master_List!$AW$1</f>
        <v>PERPUSTAKAAN PUSAT</v>
      </c>
      <c r="G509" s="4" t="str">
        <f ca="1">Master_List!$AW$2</f>
        <v>09:30 PM</v>
      </c>
      <c r="H509" s="4" t="str">
        <f ca="1">Master_List!$AW$3</f>
        <v>20/07/2026</v>
      </c>
      <c r="I509" s="4" t="str">
        <f ca="1">Master_List!$AW$4</f>
        <v>28.5</v>
      </c>
      <c r="J509" s="4" t="str">
        <f ca="1">Master_List!$AW$5</f>
        <v>65</v>
      </c>
      <c r="K509" s="4" t="s">
        <v>585</v>
      </c>
      <c r="BL509" s="4" t="s">
        <v>1744</v>
      </c>
      <c r="BM509" s="4" t="s">
        <v>2008</v>
      </c>
      <c r="BN509" s="4" t="s">
        <v>1748</v>
      </c>
      <c r="BO509" s="4" t="str">
        <f t="shared" si="7"/>
        <v>C:\Users\aremi\Desktop\REPORT CBM\PO TIANU JB\03. Raw Material\40. 10052026 SSU MEDINI SIGNATURE 33KV (VI)\IR</v>
      </c>
      <c r="BP509" t="s">
        <v>1090</v>
      </c>
    </row>
    <row r="510" spans="1:68" thickBot="1" x14ac:dyDescent="0.3">
      <c r="A510" s="4">
        <v>255</v>
      </c>
      <c r="B510" s="4" t="s">
        <v>1078</v>
      </c>
      <c r="C510" s="4">
        <v>8</v>
      </c>
      <c r="D510" s="4" t="s">
        <v>1983</v>
      </c>
      <c r="E510" s="4">
        <v>7</v>
      </c>
      <c r="F510" s="4" t="str">
        <f ca="1">Master_List!$AW$1</f>
        <v>PERPUSTAKAAN PUSAT</v>
      </c>
      <c r="G510" s="4" t="str">
        <f ca="1">Master_List!$AW$2</f>
        <v>09:30 PM</v>
      </c>
      <c r="H510" s="4" t="str">
        <f ca="1">Master_List!$AW$3</f>
        <v>20/07/2026</v>
      </c>
      <c r="I510" s="4" t="str">
        <f ca="1">Master_List!$AW$4</f>
        <v>28.5</v>
      </c>
      <c r="J510" s="4" t="str">
        <f ca="1">Master_List!$AW$5</f>
        <v>65</v>
      </c>
      <c r="K510" s="4" t="s">
        <v>588</v>
      </c>
      <c r="BL510" s="4" t="s">
        <v>1744</v>
      </c>
      <c r="BM510" s="4" t="s">
        <v>2009</v>
      </c>
      <c r="BN510" s="4" t="s">
        <v>1746</v>
      </c>
      <c r="BO510" s="4" t="str">
        <f t="shared" si="7"/>
        <v>C:\Users\aremi\Desktop\REPORT CBM\PO TIANU JB\03. Raw Material\40. 10052026 SSU MEDINI SIGNATURE 33KV (VI)\IR</v>
      </c>
      <c r="BP510" t="s">
        <v>1091</v>
      </c>
    </row>
    <row r="511" spans="1:68" thickBot="1" x14ac:dyDescent="0.3">
      <c r="A511" s="4">
        <v>255</v>
      </c>
      <c r="B511" s="4" t="s">
        <v>1078</v>
      </c>
      <c r="C511" s="4">
        <v>8</v>
      </c>
      <c r="D511" s="4" t="s">
        <v>1983</v>
      </c>
      <c r="E511" s="4">
        <v>7</v>
      </c>
      <c r="F511" s="4" t="str">
        <f ca="1">Master_List!$AW$1</f>
        <v>PERPUSTAKAAN PUSAT</v>
      </c>
      <c r="G511" s="4" t="str">
        <f ca="1">Master_List!$AW$2</f>
        <v>09:30 PM</v>
      </c>
      <c r="H511" s="4" t="str">
        <f ca="1">Master_List!$AW$3</f>
        <v>20/07/2026</v>
      </c>
      <c r="I511" s="4" t="str">
        <f ca="1">Master_List!$AW$4</f>
        <v>28.5</v>
      </c>
      <c r="J511" s="4" t="str">
        <f ca="1">Master_List!$AW$5</f>
        <v>65</v>
      </c>
      <c r="K511" s="4" t="s">
        <v>588</v>
      </c>
      <c r="BL511" s="4" t="s">
        <v>1744</v>
      </c>
      <c r="BM511" s="4" t="s">
        <v>2009</v>
      </c>
      <c r="BN511" s="4" t="s">
        <v>1748</v>
      </c>
      <c r="BO511" s="4" t="str">
        <f t="shared" si="7"/>
        <v>C:\Users\aremi\Desktop\REPORT CBM\PO TIANU JB\03. Raw Material\40. 10052026 SSU MEDINI SIGNATURE 33KV (VI)\IR</v>
      </c>
      <c r="BP511" t="s">
        <v>1092</v>
      </c>
    </row>
    <row r="512" spans="1:68" thickBot="1" x14ac:dyDescent="0.3">
      <c r="A512" s="4">
        <v>256</v>
      </c>
      <c r="B512" s="4" t="s">
        <v>1078</v>
      </c>
      <c r="C512" s="4">
        <v>8</v>
      </c>
      <c r="D512" s="4" t="s">
        <v>1985</v>
      </c>
      <c r="E512" s="4">
        <v>8</v>
      </c>
      <c r="F512" s="4" t="str">
        <f ca="1">Master_List!$AW$1</f>
        <v>PERPUSTAKAAN PUSAT</v>
      </c>
      <c r="G512" s="4" t="str">
        <f ca="1">Master_List!$AW$2</f>
        <v>09:30 PM</v>
      </c>
      <c r="H512" s="4" t="str">
        <f ca="1">Master_List!$AW$3</f>
        <v>20/07/2026</v>
      </c>
      <c r="I512" s="4" t="str">
        <f ca="1">Master_List!$AW$4</f>
        <v>28.5</v>
      </c>
      <c r="J512" s="4" t="str">
        <f ca="1">Master_List!$AW$5</f>
        <v>65</v>
      </c>
      <c r="K512" s="4" t="s">
        <v>591</v>
      </c>
      <c r="BL512" s="4" t="s">
        <v>1744</v>
      </c>
      <c r="BM512" s="4" t="s">
        <v>2010</v>
      </c>
      <c r="BN512" s="4" t="s">
        <v>1746</v>
      </c>
      <c r="BO512" s="4" t="str">
        <f t="shared" si="7"/>
        <v>C:\Users\aremi\Desktop\REPORT CBM\PO TIANU JB\03. Raw Material\40. 10052026 SSU MEDINI SIGNATURE 33KV (VI)\IR</v>
      </c>
      <c r="BP512" t="s">
        <v>1093</v>
      </c>
    </row>
    <row r="513" spans="1:68" thickBot="1" x14ac:dyDescent="0.3">
      <c r="A513" s="4">
        <v>256</v>
      </c>
      <c r="B513" s="4" t="s">
        <v>1078</v>
      </c>
      <c r="C513" s="4">
        <v>8</v>
      </c>
      <c r="D513" s="4" t="s">
        <v>1985</v>
      </c>
      <c r="E513" s="4">
        <v>8</v>
      </c>
      <c r="F513" s="4" t="str">
        <f ca="1">Master_List!$AW$1</f>
        <v>PERPUSTAKAAN PUSAT</v>
      </c>
      <c r="G513" s="4" t="str">
        <f ca="1">Master_List!$AW$2</f>
        <v>09:30 PM</v>
      </c>
      <c r="H513" s="4" t="str">
        <f ca="1">Master_List!$AW$3</f>
        <v>20/07/2026</v>
      </c>
      <c r="I513" s="4" t="str">
        <f ca="1">Master_List!$AW$4</f>
        <v>28.5</v>
      </c>
      <c r="J513" s="4" t="str">
        <f ca="1">Master_List!$AW$5</f>
        <v>65</v>
      </c>
      <c r="K513" s="4" t="s">
        <v>591</v>
      </c>
      <c r="BL513" s="4" t="s">
        <v>1744</v>
      </c>
      <c r="BM513" s="4" t="s">
        <v>2010</v>
      </c>
      <c r="BN513" s="4" t="s">
        <v>1748</v>
      </c>
      <c r="BO513" s="4" t="str">
        <f t="shared" si="7"/>
        <v>C:\Users\aremi\Desktop\REPORT CBM\PO TIANU JB\03. Raw Material\40. 10052026 SSU MEDINI SIGNATURE 33KV (VI)\IR</v>
      </c>
      <c r="BP513" t="s">
        <v>1094</v>
      </c>
    </row>
    <row r="514" spans="1:68" thickBot="1" x14ac:dyDescent="0.3">
      <c r="A514" s="4">
        <v>257</v>
      </c>
      <c r="B514" s="4" t="s">
        <v>1095</v>
      </c>
      <c r="C514" s="4">
        <v>8</v>
      </c>
      <c r="D514" s="4" t="s">
        <v>1976</v>
      </c>
      <c r="E514" s="4">
        <v>1</v>
      </c>
      <c r="F514" s="4" t="str">
        <f ca="1">Master_List!$AW$1</f>
        <v>PERPUSTAKAAN PUSAT</v>
      </c>
      <c r="G514" s="4" t="str">
        <f ca="1">Master_List!$AW$2</f>
        <v>09:30 PM</v>
      </c>
      <c r="H514" s="4" t="str">
        <f ca="1">Master_List!$AW$3</f>
        <v>20/07/2026</v>
      </c>
      <c r="I514" s="4" t="str">
        <f ca="1">Master_List!$AW$4</f>
        <v>28.5</v>
      </c>
      <c r="J514" s="4" t="str">
        <f ca="1">Master_List!$AW$5</f>
        <v>65</v>
      </c>
      <c r="K514" s="4" t="s">
        <v>570</v>
      </c>
      <c r="BL514" s="4" t="s">
        <v>1744</v>
      </c>
      <c r="BM514" s="4" t="s">
        <v>2011</v>
      </c>
      <c r="BN514" s="4" t="s">
        <v>1746</v>
      </c>
      <c r="BO514" s="4" t="str">
        <f t="shared" si="7"/>
        <v>C:\Users\aremi\Desktop\REPORT CBM\PO TIANU JB\03. Raw Material\40. 10052026 SSU MEDINI SIGNATURE 33KV (VI)\IR</v>
      </c>
      <c r="BP514" t="s">
        <v>1096</v>
      </c>
    </row>
    <row r="515" spans="1:68" thickBot="1" x14ac:dyDescent="0.3">
      <c r="A515" s="4">
        <v>257</v>
      </c>
      <c r="B515" s="4" t="s">
        <v>1095</v>
      </c>
      <c r="C515" s="4">
        <v>8</v>
      </c>
      <c r="D515" s="4" t="s">
        <v>1976</v>
      </c>
      <c r="E515" s="4">
        <v>1</v>
      </c>
      <c r="F515" s="4" t="str">
        <f ca="1">Master_List!$AW$1</f>
        <v>PERPUSTAKAAN PUSAT</v>
      </c>
      <c r="G515" s="4" t="str">
        <f ca="1">Master_List!$AW$2</f>
        <v>09:30 PM</v>
      </c>
      <c r="H515" s="4" t="str">
        <f ca="1">Master_List!$AW$3</f>
        <v>20/07/2026</v>
      </c>
      <c r="I515" s="4" t="str">
        <f ca="1">Master_List!$AW$4</f>
        <v>28.5</v>
      </c>
      <c r="J515" s="4" t="str">
        <f ca="1">Master_List!$AW$5</f>
        <v>65</v>
      </c>
      <c r="K515" s="4" t="s">
        <v>570</v>
      </c>
      <c r="BL515" s="4" t="s">
        <v>1744</v>
      </c>
      <c r="BM515" s="4" t="s">
        <v>2011</v>
      </c>
      <c r="BN515" s="4" t="s">
        <v>1748</v>
      </c>
      <c r="BO515" s="4" t="str">
        <f t="shared" ref="BO515:BO578" si="8">BO514</f>
        <v>C:\Users\aremi\Desktop\REPORT CBM\PO TIANU JB\03. Raw Material\40. 10052026 SSU MEDINI SIGNATURE 33KV (VI)\IR</v>
      </c>
      <c r="BP515" t="s">
        <v>1097</v>
      </c>
    </row>
    <row r="516" spans="1:68" thickBot="1" x14ac:dyDescent="0.3">
      <c r="A516" s="4">
        <v>258</v>
      </c>
      <c r="B516" s="4" t="s">
        <v>1095</v>
      </c>
      <c r="C516" s="4">
        <v>8</v>
      </c>
      <c r="D516" s="4" t="s">
        <v>1976</v>
      </c>
      <c r="E516" s="4">
        <v>2</v>
      </c>
      <c r="F516" s="4" t="str">
        <f ca="1">Master_List!$AW$1</f>
        <v>PERPUSTAKAAN PUSAT</v>
      </c>
      <c r="G516" s="4" t="str">
        <f ca="1">Master_List!$AW$2</f>
        <v>09:30 PM</v>
      </c>
      <c r="H516" s="4" t="str">
        <f ca="1">Master_List!$AW$3</f>
        <v>20/07/2026</v>
      </c>
      <c r="I516" s="4" t="str">
        <f ca="1">Master_List!$AW$4</f>
        <v>28.5</v>
      </c>
      <c r="J516" s="4" t="str">
        <f ca="1">Master_List!$AW$5</f>
        <v>65</v>
      </c>
      <c r="K516" s="4" t="s">
        <v>573</v>
      </c>
      <c r="BL516" s="4" t="s">
        <v>1744</v>
      </c>
      <c r="BM516" s="4" t="s">
        <v>2012</v>
      </c>
      <c r="BN516" s="4" t="s">
        <v>1746</v>
      </c>
      <c r="BO516" s="4" t="str">
        <f t="shared" si="8"/>
        <v>C:\Users\aremi\Desktop\REPORT CBM\PO TIANU JB\03. Raw Material\40. 10052026 SSU MEDINI SIGNATURE 33KV (VI)\IR</v>
      </c>
      <c r="BP516" t="s">
        <v>1098</v>
      </c>
    </row>
    <row r="517" spans="1:68" thickBot="1" x14ac:dyDescent="0.3">
      <c r="A517" s="4">
        <v>258</v>
      </c>
      <c r="B517" s="4" t="s">
        <v>1095</v>
      </c>
      <c r="C517" s="4">
        <v>8</v>
      </c>
      <c r="D517" s="4" t="s">
        <v>1976</v>
      </c>
      <c r="E517" s="4">
        <v>2</v>
      </c>
      <c r="F517" s="4" t="str">
        <f ca="1">Master_List!$AW$1</f>
        <v>PERPUSTAKAAN PUSAT</v>
      </c>
      <c r="G517" s="4" t="str">
        <f ca="1">Master_List!$AW$2</f>
        <v>09:30 PM</v>
      </c>
      <c r="H517" s="4" t="str">
        <f ca="1">Master_List!$AW$3</f>
        <v>20/07/2026</v>
      </c>
      <c r="I517" s="4" t="str">
        <f ca="1">Master_List!$AW$4</f>
        <v>28.5</v>
      </c>
      <c r="J517" s="4" t="str">
        <f ca="1">Master_List!$AW$5</f>
        <v>65</v>
      </c>
      <c r="K517" s="4" t="s">
        <v>573</v>
      </c>
      <c r="BL517" s="4" t="s">
        <v>1744</v>
      </c>
      <c r="BM517" s="4" t="s">
        <v>2012</v>
      </c>
      <c r="BN517" s="4" t="s">
        <v>1748</v>
      </c>
      <c r="BO517" s="4" t="str">
        <f t="shared" si="8"/>
        <v>C:\Users\aremi\Desktop\REPORT CBM\PO TIANU JB\03. Raw Material\40. 10052026 SSU MEDINI SIGNATURE 33KV (VI)\IR</v>
      </c>
      <c r="BP517" t="s">
        <v>1099</v>
      </c>
    </row>
    <row r="518" spans="1:68" thickBot="1" x14ac:dyDescent="0.3">
      <c r="A518" s="4">
        <v>259</v>
      </c>
      <c r="B518" s="4" t="s">
        <v>1095</v>
      </c>
      <c r="C518" s="4">
        <v>8</v>
      </c>
      <c r="D518" s="4" t="s">
        <v>1976</v>
      </c>
      <c r="E518" s="4">
        <v>3</v>
      </c>
      <c r="F518" s="4" t="str">
        <f ca="1">Master_List!$AW$1</f>
        <v>PERPUSTAKAAN PUSAT</v>
      </c>
      <c r="G518" s="4" t="str">
        <f ca="1">Master_List!$AW$2</f>
        <v>09:30 PM</v>
      </c>
      <c r="H518" s="4" t="str">
        <f ca="1">Master_List!$AW$3</f>
        <v>20/07/2026</v>
      </c>
      <c r="I518" s="4" t="str">
        <f ca="1">Master_List!$AW$4</f>
        <v>28.5</v>
      </c>
      <c r="J518" s="4" t="str">
        <f ca="1">Master_List!$AW$5</f>
        <v>65</v>
      </c>
      <c r="K518" s="4" t="s">
        <v>576</v>
      </c>
      <c r="BL518" s="4" t="s">
        <v>1744</v>
      </c>
      <c r="BM518" s="4" t="s">
        <v>2013</v>
      </c>
      <c r="BN518" s="4" t="s">
        <v>1746</v>
      </c>
      <c r="BO518" s="4" t="str">
        <f t="shared" si="8"/>
        <v>C:\Users\aremi\Desktop\REPORT CBM\PO TIANU JB\03. Raw Material\40. 10052026 SSU MEDINI SIGNATURE 33KV (VI)\IR</v>
      </c>
      <c r="BP518" t="s">
        <v>1100</v>
      </c>
    </row>
    <row r="519" spans="1:68" thickBot="1" x14ac:dyDescent="0.3">
      <c r="A519" s="4">
        <v>259</v>
      </c>
      <c r="B519" s="4" t="s">
        <v>1095</v>
      </c>
      <c r="C519" s="4">
        <v>8</v>
      </c>
      <c r="D519" s="4" t="s">
        <v>1976</v>
      </c>
      <c r="E519" s="4">
        <v>3</v>
      </c>
      <c r="F519" s="4" t="str">
        <f ca="1">Master_List!$AW$1</f>
        <v>PERPUSTAKAAN PUSAT</v>
      </c>
      <c r="G519" s="4" t="str">
        <f ca="1">Master_List!$AW$2</f>
        <v>09:30 PM</v>
      </c>
      <c r="H519" s="4" t="str">
        <f ca="1">Master_List!$AW$3</f>
        <v>20/07/2026</v>
      </c>
      <c r="I519" s="4" t="str">
        <f ca="1">Master_List!$AW$4</f>
        <v>28.5</v>
      </c>
      <c r="J519" s="4" t="str">
        <f ca="1">Master_List!$AW$5</f>
        <v>65</v>
      </c>
      <c r="K519" s="4" t="s">
        <v>576</v>
      </c>
      <c r="BL519" s="4" t="s">
        <v>1744</v>
      </c>
      <c r="BM519" s="4" t="s">
        <v>2013</v>
      </c>
      <c r="BN519" s="4" t="s">
        <v>1748</v>
      </c>
      <c r="BO519" s="4" t="str">
        <f t="shared" si="8"/>
        <v>C:\Users\aremi\Desktop\REPORT CBM\PO TIANU JB\03. Raw Material\40. 10052026 SSU MEDINI SIGNATURE 33KV (VI)\IR</v>
      </c>
      <c r="BP519" t="s">
        <v>1101</v>
      </c>
    </row>
    <row r="520" spans="1:68" thickBot="1" x14ac:dyDescent="0.3">
      <c r="A520" s="4">
        <v>260</v>
      </c>
      <c r="B520" s="4" t="s">
        <v>1095</v>
      </c>
      <c r="C520" s="4">
        <v>8</v>
      </c>
      <c r="D520" s="4" t="s">
        <v>1976</v>
      </c>
      <c r="E520" s="4">
        <v>4</v>
      </c>
      <c r="F520" s="4" t="str">
        <f ca="1">Master_List!$AW$1</f>
        <v>PERPUSTAKAAN PUSAT</v>
      </c>
      <c r="G520" s="4" t="str">
        <f ca="1">Master_List!$AW$2</f>
        <v>09:30 PM</v>
      </c>
      <c r="H520" s="4" t="str">
        <f ca="1">Master_List!$AW$3</f>
        <v>20/07/2026</v>
      </c>
      <c r="I520" s="4" t="str">
        <f ca="1">Master_List!$AW$4</f>
        <v>28.5</v>
      </c>
      <c r="J520" s="4" t="str">
        <f ca="1">Master_List!$AW$5</f>
        <v>65</v>
      </c>
      <c r="K520" s="4" t="s">
        <v>579</v>
      </c>
      <c r="BL520" s="4" t="s">
        <v>1744</v>
      </c>
      <c r="BM520" s="4" t="s">
        <v>2014</v>
      </c>
      <c r="BN520" s="4" t="s">
        <v>1746</v>
      </c>
      <c r="BO520" s="4" t="str">
        <f t="shared" si="8"/>
        <v>C:\Users\aremi\Desktop\REPORT CBM\PO TIANU JB\03. Raw Material\40. 10052026 SSU MEDINI SIGNATURE 33KV (VI)\IR</v>
      </c>
      <c r="BP520" t="s">
        <v>1102</v>
      </c>
    </row>
    <row r="521" spans="1:68" thickBot="1" x14ac:dyDescent="0.3">
      <c r="A521" s="4">
        <v>260</v>
      </c>
      <c r="B521" s="4" t="s">
        <v>1095</v>
      </c>
      <c r="C521" s="4">
        <v>8</v>
      </c>
      <c r="D521" s="4" t="s">
        <v>1976</v>
      </c>
      <c r="E521" s="4">
        <v>4</v>
      </c>
      <c r="F521" s="4" t="str">
        <f ca="1">Master_List!$AW$1</f>
        <v>PERPUSTAKAAN PUSAT</v>
      </c>
      <c r="G521" s="4" t="str">
        <f ca="1">Master_List!$AW$2</f>
        <v>09:30 PM</v>
      </c>
      <c r="H521" s="4" t="str">
        <f ca="1">Master_List!$AW$3</f>
        <v>20/07/2026</v>
      </c>
      <c r="I521" s="4" t="str">
        <f ca="1">Master_List!$AW$4</f>
        <v>28.5</v>
      </c>
      <c r="J521" s="4" t="str">
        <f ca="1">Master_List!$AW$5</f>
        <v>65</v>
      </c>
      <c r="K521" s="4" t="s">
        <v>579</v>
      </c>
      <c r="BL521" s="4" t="s">
        <v>1744</v>
      </c>
      <c r="BM521" s="4" t="s">
        <v>2014</v>
      </c>
      <c r="BN521" s="4" t="s">
        <v>1748</v>
      </c>
      <c r="BO521" s="4" t="str">
        <f t="shared" si="8"/>
        <v>C:\Users\aremi\Desktop\REPORT CBM\PO TIANU JB\03. Raw Material\40. 10052026 SSU MEDINI SIGNATURE 33KV (VI)\IR</v>
      </c>
      <c r="BP521" t="s">
        <v>1103</v>
      </c>
    </row>
    <row r="522" spans="1:68" thickBot="1" x14ac:dyDescent="0.3">
      <c r="A522" s="4">
        <v>261</v>
      </c>
      <c r="B522" s="4" t="s">
        <v>1095</v>
      </c>
      <c r="C522" s="4">
        <v>8</v>
      </c>
      <c r="D522" s="4" t="s">
        <v>1976</v>
      </c>
      <c r="E522" s="4">
        <v>5</v>
      </c>
      <c r="F522" s="4" t="str">
        <f ca="1">Master_List!$AW$1</f>
        <v>PERPUSTAKAAN PUSAT</v>
      </c>
      <c r="G522" s="4" t="str">
        <f ca="1">Master_List!$AW$2</f>
        <v>09:30 PM</v>
      </c>
      <c r="H522" s="4" t="str">
        <f ca="1">Master_List!$AW$3</f>
        <v>20/07/2026</v>
      </c>
      <c r="I522" s="4" t="str">
        <f ca="1">Master_List!$AW$4</f>
        <v>28.5</v>
      </c>
      <c r="J522" s="4" t="str">
        <f ca="1">Master_List!$AW$5</f>
        <v>65</v>
      </c>
      <c r="K522" s="4" t="s">
        <v>582</v>
      </c>
      <c r="BL522" s="4" t="s">
        <v>1744</v>
      </c>
      <c r="BM522" s="4" t="s">
        <v>2015</v>
      </c>
      <c r="BN522" s="4" t="s">
        <v>1746</v>
      </c>
      <c r="BO522" s="4" t="str">
        <f t="shared" si="8"/>
        <v>C:\Users\aremi\Desktop\REPORT CBM\PO TIANU JB\03. Raw Material\40. 10052026 SSU MEDINI SIGNATURE 33KV (VI)\IR</v>
      </c>
      <c r="BP522" t="s">
        <v>1104</v>
      </c>
    </row>
    <row r="523" spans="1:68" thickBot="1" x14ac:dyDescent="0.3">
      <c r="A523" s="4">
        <v>261</v>
      </c>
      <c r="B523" s="4" t="s">
        <v>1095</v>
      </c>
      <c r="C523" s="4">
        <v>8</v>
      </c>
      <c r="D523" s="4" t="s">
        <v>1976</v>
      </c>
      <c r="E523" s="4">
        <v>5</v>
      </c>
      <c r="F523" s="4" t="str">
        <f ca="1">Master_List!$AW$1</f>
        <v>PERPUSTAKAAN PUSAT</v>
      </c>
      <c r="G523" s="4" t="str">
        <f ca="1">Master_List!$AW$2</f>
        <v>09:30 PM</v>
      </c>
      <c r="H523" s="4" t="str">
        <f ca="1">Master_List!$AW$3</f>
        <v>20/07/2026</v>
      </c>
      <c r="I523" s="4" t="str">
        <f ca="1">Master_List!$AW$4</f>
        <v>28.5</v>
      </c>
      <c r="J523" s="4" t="str">
        <f ca="1">Master_List!$AW$5</f>
        <v>65</v>
      </c>
      <c r="K523" s="4" t="s">
        <v>582</v>
      </c>
      <c r="BL523" s="4" t="s">
        <v>1744</v>
      </c>
      <c r="BM523" s="4" t="s">
        <v>2015</v>
      </c>
      <c r="BN523" s="4" t="s">
        <v>1748</v>
      </c>
      <c r="BO523" s="4" t="str">
        <f t="shared" si="8"/>
        <v>C:\Users\aremi\Desktop\REPORT CBM\PO TIANU JB\03. Raw Material\40. 10052026 SSU MEDINI SIGNATURE 33KV (VI)\IR</v>
      </c>
      <c r="BP523" t="s">
        <v>1105</v>
      </c>
    </row>
    <row r="524" spans="1:68" thickBot="1" x14ac:dyDescent="0.3">
      <c r="A524" s="4">
        <v>262</v>
      </c>
      <c r="B524" s="4" t="s">
        <v>1095</v>
      </c>
      <c r="C524" s="4">
        <v>8</v>
      </c>
      <c r="D524" s="4" t="s">
        <v>1976</v>
      </c>
      <c r="E524" s="4">
        <v>6</v>
      </c>
      <c r="F524" s="4" t="str">
        <f ca="1">Master_List!$AW$1</f>
        <v>PERPUSTAKAAN PUSAT</v>
      </c>
      <c r="G524" s="4" t="str">
        <f ca="1">Master_List!$AW$2</f>
        <v>09:30 PM</v>
      </c>
      <c r="H524" s="4" t="str">
        <f ca="1">Master_List!$AW$3</f>
        <v>20/07/2026</v>
      </c>
      <c r="I524" s="4" t="str">
        <f ca="1">Master_List!$AW$4</f>
        <v>28.5</v>
      </c>
      <c r="J524" s="4" t="str">
        <f ca="1">Master_List!$AW$5</f>
        <v>65</v>
      </c>
      <c r="K524" s="4" t="s">
        <v>585</v>
      </c>
      <c r="BL524" s="4" t="s">
        <v>1744</v>
      </c>
      <c r="BM524" s="4" t="s">
        <v>2016</v>
      </c>
      <c r="BN524" s="4" t="s">
        <v>1746</v>
      </c>
      <c r="BO524" s="4" t="str">
        <f t="shared" si="8"/>
        <v>C:\Users\aremi\Desktop\REPORT CBM\PO TIANU JB\03. Raw Material\40. 10052026 SSU MEDINI SIGNATURE 33KV (VI)\IR</v>
      </c>
      <c r="BP524" t="s">
        <v>1106</v>
      </c>
    </row>
    <row r="525" spans="1:68" thickBot="1" x14ac:dyDescent="0.3">
      <c r="A525" s="4">
        <v>262</v>
      </c>
      <c r="B525" s="4" t="s">
        <v>1095</v>
      </c>
      <c r="C525" s="4">
        <v>8</v>
      </c>
      <c r="D525" s="4" t="s">
        <v>1976</v>
      </c>
      <c r="E525" s="4">
        <v>6</v>
      </c>
      <c r="F525" s="4" t="str">
        <f ca="1">Master_List!$AW$1</f>
        <v>PERPUSTAKAAN PUSAT</v>
      </c>
      <c r="G525" s="4" t="str">
        <f ca="1">Master_List!$AW$2</f>
        <v>09:30 PM</v>
      </c>
      <c r="H525" s="4" t="str">
        <f ca="1">Master_List!$AW$3</f>
        <v>20/07/2026</v>
      </c>
      <c r="I525" s="4" t="str">
        <f ca="1">Master_List!$AW$4</f>
        <v>28.5</v>
      </c>
      <c r="J525" s="4" t="str">
        <f ca="1">Master_List!$AW$5</f>
        <v>65</v>
      </c>
      <c r="K525" s="4" t="s">
        <v>585</v>
      </c>
      <c r="BL525" s="4" t="s">
        <v>1744</v>
      </c>
      <c r="BM525" s="4" t="s">
        <v>2016</v>
      </c>
      <c r="BN525" s="4" t="s">
        <v>1748</v>
      </c>
      <c r="BO525" s="4" t="str">
        <f t="shared" si="8"/>
        <v>C:\Users\aremi\Desktop\REPORT CBM\PO TIANU JB\03. Raw Material\40. 10052026 SSU MEDINI SIGNATURE 33KV (VI)\IR</v>
      </c>
      <c r="BP525" t="s">
        <v>1107</v>
      </c>
    </row>
    <row r="526" spans="1:68" thickBot="1" x14ac:dyDescent="0.3">
      <c r="A526" s="4">
        <v>263</v>
      </c>
      <c r="B526" s="4" t="s">
        <v>1095</v>
      </c>
      <c r="C526" s="4">
        <v>8</v>
      </c>
      <c r="D526" s="4" t="s">
        <v>1983</v>
      </c>
      <c r="E526" s="4">
        <v>7</v>
      </c>
      <c r="F526" s="4" t="str">
        <f ca="1">Master_List!$AW$1</f>
        <v>PERPUSTAKAAN PUSAT</v>
      </c>
      <c r="G526" s="4" t="str">
        <f ca="1">Master_List!$AW$2</f>
        <v>09:30 PM</v>
      </c>
      <c r="H526" s="4" t="str">
        <f ca="1">Master_List!$AW$3</f>
        <v>20/07/2026</v>
      </c>
      <c r="I526" s="4" t="str">
        <f ca="1">Master_List!$AW$4</f>
        <v>28.5</v>
      </c>
      <c r="J526" s="4" t="str">
        <f ca="1">Master_List!$AW$5</f>
        <v>65</v>
      </c>
      <c r="K526" s="4" t="s">
        <v>588</v>
      </c>
      <c r="BL526" s="4" t="s">
        <v>1744</v>
      </c>
      <c r="BM526" s="4" t="s">
        <v>2017</v>
      </c>
      <c r="BN526" s="4" t="s">
        <v>1746</v>
      </c>
      <c r="BO526" s="4" t="str">
        <f t="shared" si="8"/>
        <v>C:\Users\aremi\Desktop\REPORT CBM\PO TIANU JB\03. Raw Material\40. 10052026 SSU MEDINI SIGNATURE 33KV (VI)\IR</v>
      </c>
      <c r="BP526" t="s">
        <v>1108</v>
      </c>
    </row>
    <row r="527" spans="1:68" thickBot="1" x14ac:dyDescent="0.3">
      <c r="A527" s="4">
        <v>263</v>
      </c>
      <c r="B527" s="4" t="s">
        <v>1095</v>
      </c>
      <c r="C527" s="4">
        <v>8</v>
      </c>
      <c r="D527" s="4" t="s">
        <v>1983</v>
      </c>
      <c r="E527" s="4">
        <v>7</v>
      </c>
      <c r="F527" s="4" t="str">
        <f ca="1">Master_List!$AW$1</f>
        <v>PERPUSTAKAAN PUSAT</v>
      </c>
      <c r="G527" s="4" t="str">
        <f ca="1">Master_List!$AW$2</f>
        <v>09:30 PM</v>
      </c>
      <c r="H527" s="4" t="str">
        <f ca="1">Master_List!$AW$3</f>
        <v>20/07/2026</v>
      </c>
      <c r="I527" s="4" t="str">
        <f ca="1">Master_List!$AW$4</f>
        <v>28.5</v>
      </c>
      <c r="J527" s="4" t="str">
        <f ca="1">Master_List!$AW$5</f>
        <v>65</v>
      </c>
      <c r="K527" s="4" t="s">
        <v>588</v>
      </c>
      <c r="BL527" s="4" t="s">
        <v>1744</v>
      </c>
      <c r="BM527" s="4" t="s">
        <v>2017</v>
      </c>
      <c r="BN527" s="4" t="s">
        <v>1748</v>
      </c>
      <c r="BO527" s="4" t="str">
        <f t="shared" si="8"/>
        <v>C:\Users\aremi\Desktop\REPORT CBM\PO TIANU JB\03. Raw Material\40. 10052026 SSU MEDINI SIGNATURE 33KV (VI)\IR</v>
      </c>
      <c r="BP527" t="s">
        <v>1109</v>
      </c>
    </row>
    <row r="528" spans="1:68" thickBot="1" x14ac:dyDescent="0.3">
      <c r="A528" s="4">
        <v>264</v>
      </c>
      <c r="B528" s="4" t="s">
        <v>1095</v>
      </c>
      <c r="C528" s="4">
        <v>8</v>
      </c>
      <c r="D528" s="4" t="s">
        <v>1985</v>
      </c>
      <c r="E528" s="4">
        <v>8</v>
      </c>
      <c r="F528" s="4" t="str">
        <f ca="1">Master_List!$AW$1</f>
        <v>PERPUSTAKAAN PUSAT</v>
      </c>
      <c r="G528" s="4" t="str">
        <f ca="1">Master_List!$AW$2</f>
        <v>09:30 PM</v>
      </c>
      <c r="H528" s="4" t="str">
        <f ca="1">Master_List!$AW$3</f>
        <v>20/07/2026</v>
      </c>
      <c r="I528" s="4" t="str">
        <f ca="1">Master_List!$AW$4</f>
        <v>28.5</v>
      </c>
      <c r="J528" s="4" t="str">
        <f ca="1">Master_List!$AW$5</f>
        <v>65</v>
      </c>
      <c r="K528" s="4" t="s">
        <v>591</v>
      </c>
      <c r="BL528" s="4" t="s">
        <v>1744</v>
      </c>
      <c r="BM528" s="4" t="s">
        <v>2018</v>
      </c>
      <c r="BN528" s="4" t="s">
        <v>1746</v>
      </c>
      <c r="BO528" s="4" t="str">
        <f t="shared" si="8"/>
        <v>C:\Users\aremi\Desktop\REPORT CBM\PO TIANU JB\03. Raw Material\40. 10052026 SSU MEDINI SIGNATURE 33KV (VI)\IR</v>
      </c>
      <c r="BP528" t="s">
        <v>1110</v>
      </c>
    </row>
    <row r="529" spans="1:68" thickBot="1" x14ac:dyDescent="0.3">
      <c r="A529" s="4">
        <v>264</v>
      </c>
      <c r="B529" s="4" t="s">
        <v>1095</v>
      </c>
      <c r="C529" s="4">
        <v>8</v>
      </c>
      <c r="D529" s="4" t="s">
        <v>1985</v>
      </c>
      <c r="E529" s="4">
        <v>8</v>
      </c>
      <c r="F529" s="4" t="str">
        <f ca="1">Master_List!$AW$1</f>
        <v>PERPUSTAKAAN PUSAT</v>
      </c>
      <c r="G529" s="4" t="str">
        <f ca="1">Master_List!$AW$2</f>
        <v>09:30 PM</v>
      </c>
      <c r="H529" s="4" t="str">
        <f ca="1">Master_List!$AW$3</f>
        <v>20/07/2026</v>
      </c>
      <c r="I529" s="4" t="str">
        <f ca="1">Master_List!$AW$4</f>
        <v>28.5</v>
      </c>
      <c r="J529" s="4" t="str">
        <f ca="1">Master_List!$AW$5</f>
        <v>65</v>
      </c>
      <c r="K529" s="4" t="s">
        <v>591</v>
      </c>
      <c r="BL529" s="4" t="s">
        <v>1744</v>
      </c>
      <c r="BM529" s="4" t="s">
        <v>2018</v>
      </c>
      <c r="BN529" s="4" t="s">
        <v>1748</v>
      </c>
      <c r="BO529" s="4" t="str">
        <f t="shared" si="8"/>
        <v>C:\Users\aremi\Desktop\REPORT CBM\PO TIANU JB\03. Raw Material\40. 10052026 SSU MEDINI SIGNATURE 33KV (VI)\IR</v>
      </c>
      <c r="BP529" t="s">
        <v>1111</v>
      </c>
    </row>
    <row r="530" spans="1:68" thickBot="1" x14ac:dyDescent="0.3">
      <c r="A530" s="4">
        <v>265</v>
      </c>
      <c r="B530" s="4" t="s">
        <v>1112</v>
      </c>
      <c r="C530" s="4">
        <v>9</v>
      </c>
      <c r="D530" s="4" t="s">
        <v>1976</v>
      </c>
      <c r="E530" s="4">
        <v>1</v>
      </c>
      <c r="F530" s="4" t="str">
        <f ca="1">Master_List!$AW$1</f>
        <v>PERPUSTAKAAN PUSAT</v>
      </c>
      <c r="G530" s="4" t="str">
        <f ca="1">Master_List!$AW$2</f>
        <v>09:30 PM</v>
      </c>
      <c r="H530" s="4" t="str">
        <f ca="1">Master_List!$AW$3</f>
        <v>20/07/2026</v>
      </c>
      <c r="I530" s="4" t="str">
        <f ca="1">Master_List!$AW$4</f>
        <v>28.5</v>
      </c>
      <c r="J530" s="4" t="str">
        <f ca="1">Master_List!$AW$5</f>
        <v>65</v>
      </c>
      <c r="K530" s="4" t="s">
        <v>570</v>
      </c>
      <c r="BL530" s="4" t="s">
        <v>1744</v>
      </c>
      <c r="BM530" s="4" t="s">
        <v>2019</v>
      </c>
      <c r="BN530" s="4" t="s">
        <v>1746</v>
      </c>
      <c r="BO530" s="4" t="str">
        <f t="shared" si="8"/>
        <v>C:\Users\aremi\Desktop\REPORT CBM\PO TIANU JB\03. Raw Material\40. 10052026 SSU MEDINI SIGNATURE 33KV (VI)\IR</v>
      </c>
      <c r="BP530" t="s">
        <v>1113</v>
      </c>
    </row>
    <row r="531" spans="1:68" thickBot="1" x14ac:dyDescent="0.3">
      <c r="A531" s="4">
        <v>265</v>
      </c>
      <c r="B531" s="4" t="s">
        <v>1112</v>
      </c>
      <c r="C531" s="4">
        <v>9</v>
      </c>
      <c r="D531" s="4" t="s">
        <v>1976</v>
      </c>
      <c r="E531" s="4">
        <v>1</v>
      </c>
      <c r="F531" s="4" t="str">
        <f ca="1">Master_List!$AW$1</f>
        <v>PERPUSTAKAAN PUSAT</v>
      </c>
      <c r="G531" s="4" t="str">
        <f ca="1">Master_List!$AW$2</f>
        <v>09:30 PM</v>
      </c>
      <c r="H531" s="4" t="str">
        <f ca="1">Master_List!$AW$3</f>
        <v>20/07/2026</v>
      </c>
      <c r="I531" s="4" t="str">
        <f ca="1">Master_List!$AW$4</f>
        <v>28.5</v>
      </c>
      <c r="J531" s="4" t="str">
        <f ca="1">Master_List!$AW$5</f>
        <v>65</v>
      </c>
      <c r="K531" s="4" t="s">
        <v>570</v>
      </c>
      <c r="BL531" s="4" t="s">
        <v>1744</v>
      </c>
      <c r="BM531" s="4" t="s">
        <v>2019</v>
      </c>
      <c r="BN531" s="4" t="s">
        <v>1748</v>
      </c>
      <c r="BO531" s="4" t="str">
        <f t="shared" si="8"/>
        <v>C:\Users\aremi\Desktop\REPORT CBM\PO TIANU JB\03. Raw Material\40. 10052026 SSU MEDINI SIGNATURE 33KV (VI)\IR</v>
      </c>
      <c r="BP531" t="s">
        <v>1114</v>
      </c>
    </row>
    <row r="532" spans="1:68" thickBot="1" x14ac:dyDescent="0.3">
      <c r="A532" s="4">
        <v>266</v>
      </c>
      <c r="B532" s="4" t="s">
        <v>1112</v>
      </c>
      <c r="C532" s="4">
        <v>9</v>
      </c>
      <c r="D532" s="4" t="s">
        <v>1976</v>
      </c>
      <c r="E532" s="4">
        <v>2</v>
      </c>
      <c r="F532" s="4" t="str">
        <f ca="1">Master_List!$AW$1</f>
        <v>PERPUSTAKAAN PUSAT</v>
      </c>
      <c r="G532" s="4" t="str">
        <f ca="1">Master_List!$AW$2</f>
        <v>09:30 PM</v>
      </c>
      <c r="H532" s="4" t="str">
        <f ca="1">Master_List!$AW$3</f>
        <v>20/07/2026</v>
      </c>
      <c r="I532" s="4" t="str">
        <f ca="1">Master_List!$AW$4</f>
        <v>28.5</v>
      </c>
      <c r="J532" s="4" t="str">
        <f ca="1">Master_List!$AW$5</f>
        <v>65</v>
      </c>
      <c r="K532" s="4" t="s">
        <v>573</v>
      </c>
      <c r="BL532" s="4" t="s">
        <v>1744</v>
      </c>
      <c r="BM532" s="4" t="s">
        <v>2020</v>
      </c>
      <c r="BN532" s="4" t="s">
        <v>1746</v>
      </c>
      <c r="BO532" s="4" t="str">
        <f t="shared" si="8"/>
        <v>C:\Users\aremi\Desktop\REPORT CBM\PO TIANU JB\03. Raw Material\40. 10052026 SSU MEDINI SIGNATURE 33KV (VI)\IR</v>
      </c>
      <c r="BP532" t="s">
        <v>1115</v>
      </c>
    </row>
    <row r="533" spans="1:68" thickBot="1" x14ac:dyDescent="0.3">
      <c r="A533" s="4">
        <v>266</v>
      </c>
      <c r="B533" s="4" t="s">
        <v>1112</v>
      </c>
      <c r="C533" s="4">
        <v>9</v>
      </c>
      <c r="D533" s="4" t="s">
        <v>1976</v>
      </c>
      <c r="E533" s="4">
        <v>2</v>
      </c>
      <c r="F533" s="4" t="str">
        <f ca="1">Master_List!$AW$1</f>
        <v>PERPUSTAKAAN PUSAT</v>
      </c>
      <c r="G533" s="4" t="str">
        <f ca="1">Master_List!$AW$2</f>
        <v>09:30 PM</v>
      </c>
      <c r="H533" s="4" t="str">
        <f ca="1">Master_List!$AW$3</f>
        <v>20/07/2026</v>
      </c>
      <c r="I533" s="4" t="str">
        <f ca="1">Master_List!$AW$4</f>
        <v>28.5</v>
      </c>
      <c r="J533" s="4" t="str">
        <f ca="1">Master_List!$AW$5</f>
        <v>65</v>
      </c>
      <c r="K533" s="4" t="s">
        <v>573</v>
      </c>
      <c r="BL533" s="4" t="s">
        <v>1744</v>
      </c>
      <c r="BM533" s="4" t="s">
        <v>2020</v>
      </c>
      <c r="BN533" s="4" t="s">
        <v>1748</v>
      </c>
      <c r="BO533" s="4" t="str">
        <f t="shared" si="8"/>
        <v>C:\Users\aremi\Desktop\REPORT CBM\PO TIANU JB\03. Raw Material\40. 10052026 SSU MEDINI SIGNATURE 33KV (VI)\IR</v>
      </c>
      <c r="BP533" t="s">
        <v>1116</v>
      </c>
    </row>
    <row r="534" spans="1:68" thickBot="1" x14ac:dyDescent="0.3">
      <c r="A534" s="4">
        <v>267</v>
      </c>
      <c r="B534" s="4" t="s">
        <v>1112</v>
      </c>
      <c r="C534" s="4">
        <v>9</v>
      </c>
      <c r="D534" s="4" t="s">
        <v>1976</v>
      </c>
      <c r="E534" s="4">
        <v>3</v>
      </c>
      <c r="F534" s="4" t="str">
        <f ca="1">Master_List!$AW$1</f>
        <v>PERPUSTAKAAN PUSAT</v>
      </c>
      <c r="G534" s="4" t="str">
        <f ca="1">Master_List!$AW$2</f>
        <v>09:30 PM</v>
      </c>
      <c r="H534" s="4" t="str">
        <f ca="1">Master_List!$AW$3</f>
        <v>20/07/2026</v>
      </c>
      <c r="I534" s="4" t="str">
        <f ca="1">Master_List!$AW$4</f>
        <v>28.5</v>
      </c>
      <c r="J534" s="4" t="str">
        <f ca="1">Master_List!$AW$5</f>
        <v>65</v>
      </c>
      <c r="K534" s="4" t="s">
        <v>576</v>
      </c>
      <c r="BL534" s="4" t="s">
        <v>1744</v>
      </c>
      <c r="BM534" s="4" t="s">
        <v>2021</v>
      </c>
      <c r="BN534" s="4" t="s">
        <v>1746</v>
      </c>
      <c r="BO534" s="4" t="str">
        <f t="shared" si="8"/>
        <v>C:\Users\aremi\Desktop\REPORT CBM\PO TIANU JB\03. Raw Material\40. 10052026 SSU MEDINI SIGNATURE 33KV (VI)\IR</v>
      </c>
      <c r="BP534" t="s">
        <v>1117</v>
      </c>
    </row>
    <row r="535" spans="1:68" thickBot="1" x14ac:dyDescent="0.3">
      <c r="A535" s="4">
        <v>267</v>
      </c>
      <c r="B535" s="4" t="s">
        <v>1112</v>
      </c>
      <c r="C535" s="4">
        <v>9</v>
      </c>
      <c r="D535" s="4" t="s">
        <v>1976</v>
      </c>
      <c r="E535" s="4">
        <v>3</v>
      </c>
      <c r="F535" s="4" t="str">
        <f ca="1">Master_List!$AW$1</f>
        <v>PERPUSTAKAAN PUSAT</v>
      </c>
      <c r="G535" s="4" t="str">
        <f ca="1">Master_List!$AW$2</f>
        <v>09:30 PM</v>
      </c>
      <c r="H535" s="4" t="str">
        <f ca="1">Master_List!$AW$3</f>
        <v>20/07/2026</v>
      </c>
      <c r="I535" s="4" t="str">
        <f ca="1">Master_List!$AW$4</f>
        <v>28.5</v>
      </c>
      <c r="J535" s="4" t="str">
        <f ca="1">Master_List!$AW$5</f>
        <v>65</v>
      </c>
      <c r="K535" s="4" t="s">
        <v>576</v>
      </c>
      <c r="BL535" s="4" t="s">
        <v>1744</v>
      </c>
      <c r="BM535" s="4" t="s">
        <v>2021</v>
      </c>
      <c r="BN535" s="4" t="s">
        <v>1748</v>
      </c>
      <c r="BO535" s="4" t="str">
        <f t="shared" si="8"/>
        <v>C:\Users\aremi\Desktop\REPORT CBM\PO TIANU JB\03. Raw Material\40. 10052026 SSU MEDINI SIGNATURE 33KV (VI)\IR</v>
      </c>
      <c r="BP535" t="s">
        <v>1118</v>
      </c>
    </row>
    <row r="536" spans="1:68" thickBot="1" x14ac:dyDescent="0.3">
      <c r="A536" s="4">
        <v>268</v>
      </c>
      <c r="B536" s="4" t="s">
        <v>1112</v>
      </c>
      <c r="C536" s="4">
        <v>9</v>
      </c>
      <c r="D536" s="4" t="s">
        <v>1976</v>
      </c>
      <c r="E536" s="4">
        <v>4</v>
      </c>
      <c r="F536" s="4" t="str">
        <f ca="1">Master_List!$AW$1</f>
        <v>PERPUSTAKAAN PUSAT</v>
      </c>
      <c r="G536" s="4" t="str">
        <f ca="1">Master_List!$AW$2</f>
        <v>09:30 PM</v>
      </c>
      <c r="H536" s="4" t="str">
        <f ca="1">Master_List!$AW$3</f>
        <v>20/07/2026</v>
      </c>
      <c r="I536" s="4" t="str">
        <f ca="1">Master_List!$AW$4</f>
        <v>28.5</v>
      </c>
      <c r="J536" s="4" t="str">
        <f ca="1">Master_List!$AW$5</f>
        <v>65</v>
      </c>
      <c r="K536" s="4" t="s">
        <v>579</v>
      </c>
      <c r="BL536" s="4" t="s">
        <v>1744</v>
      </c>
      <c r="BM536" s="4" t="s">
        <v>2022</v>
      </c>
      <c r="BN536" s="4" t="s">
        <v>1746</v>
      </c>
      <c r="BO536" s="4" t="str">
        <f t="shared" si="8"/>
        <v>C:\Users\aremi\Desktop\REPORT CBM\PO TIANU JB\03. Raw Material\40. 10052026 SSU MEDINI SIGNATURE 33KV (VI)\IR</v>
      </c>
      <c r="BP536" t="s">
        <v>1119</v>
      </c>
    </row>
    <row r="537" spans="1:68" thickBot="1" x14ac:dyDescent="0.3">
      <c r="A537" s="4">
        <v>268</v>
      </c>
      <c r="B537" s="4" t="s">
        <v>1112</v>
      </c>
      <c r="C537" s="4">
        <v>9</v>
      </c>
      <c r="D537" s="4" t="s">
        <v>1976</v>
      </c>
      <c r="E537" s="4">
        <v>4</v>
      </c>
      <c r="F537" s="4" t="str">
        <f ca="1">Master_List!$AW$1</f>
        <v>PERPUSTAKAAN PUSAT</v>
      </c>
      <c r="G537" s="4" t="str">
        <f ca="1">Master_List!$AW$2</f>
        <v>09:30 PM</v>
      </c>
      <c r="H537" s="4" t="str">
        <f ca="1">Master_List!$AW$3</f>
        <v>20/07/2026</v>
      </c>
      <c r="I537" s="4" t="str">
        <f ca="1">Master_List!$AW$4</f>
        <v>28.5</v>
      </c>
      <c r="J537" s="4" t="str">
        <f ca="1">Master_List!$AW$5</f>
        <v>65</v>
      </c>
      <c r="K537" s="4" t="s">
        <v>579</v>
      </c>
      <c r="BL537" s="4" t="s">
        <v>1744</v>
      </c>
      <c r="BM537" s="4" t="s">
        <v>2022</v>
      </c>
      <c r="BN537" s="4" t="s">
        <v>1748</v>
      </c>
      <c r="BO537" s="4" t="str">
        <f t="shared" si="8"/>
        <v>C:\Users\aremi\Desktop\REPORT CBM\PO TIANU JB\03. Raw Material\40. 10052026 SSU MEDINI SIGNATURE 33KV (VI)\IR</v>
      </c>
      <c r="BP537" t="s">
        <v>1120</v>
      </c>
    </row>
    <row r="538" spans="1:68" thickBot="1" x14ac:dyDescent="0.3">
      <c r="A538" s="4">
        <v>269</v>
      </c>
      <c r="B538" s="4" t="s">
        <v>1112</v>
      </c>
      <c r="C538" s="4">
        <v>9</v>
      </c>
      <c r="D538" s="4" t="s">
        <v>1976</v>
      </c>
      <c r="E538" s="4">
        <v>5</v>
      </c>
      <c r="F538" s="4" t="str">
        <f ca="1">Master_List!$AW$1</f>
        <v>PERPUSTAKAAN PUSAT</v>
      </c>
      <c r="G538" s="4" t="str">
        <f ca="1">Master_List!$AW$2</f>
        <v>09:30 PM</v>
      </c>
      <c r="H538" s="4" t="str">
        <f ca="1">Master_List!$AW$3</f>
        <v>20/07/2026</v>
      </c>
      <c r="I538" s="4" t="str">
        <f ca="1">Master_List!$AW$4</f>
        <v>28.5</v>
      </c>
      <c r="J538" s="4" t="str">
        <f ca="1">Master_List!$AW$5</f>
        <v>65</v>
      </c>
      <c r="K538" s="4" t="s">
        <v>582</v>
      </c>
      <c r="BL538" s="4" t="s">
        <v>1744</v>
      </c>
      <c r="BM538" s="4" t="s">
        <v>2023</v>
      </c>
      <c r="BN538" s="4" t="s">
        <v>1746</v>
      </c>
      <c r="BO538" s="4" t="str">
        <f t="shared" si="8"/>
        <v>C:\Users\aremi\Desktop\REPORT CBM\PO TIANU JB\03. Raw Material\40. 10052026 SSU MEDINI SIGNATURE 33KV (VI)\IR</v>
      </c>
      <c r="BP538" t="s">
        <v>1121</v>
      </c>
    </row>
    <row r="539" spans="1:68" thickBot="1" x14ac:dyDescent="0.3">
      <c r="A539" s="4">
        <v>269</v>
      </c>
      <c r="B539" s="4" t="s">
        <v>1112</v>
      </c>
      <c r="C539" s="4">
        <v>9</v>
      </c>
      <c r="D539" s="4" t="s">
        <v>1976</v>
      </c>
      <c r="E539" s="4">
        <v>5</v>
      </c>
      <c r="F539" s="4" t="str">
        <f ca="1">Master_List!$AW$1</f>
        <v>PERPUSTAKAAN PUSAT</v>
      </c>
      <c r="G539" s="4" t="str">
        <f ca="1">Master_List!$AW$2</f>
        <v>09:30 PM</v>
      </c>
      <c r="H539" s="4" t="str">
        <f ca="1">Master_List!$AW$3</f>
        <v>20/07/2026</v>
      </c>
      <c r="I539" s="4" t="str">
        <f ca="1">Master_List!$AW$4</f>
        <v>28.5</v>
      </c>
      <c r="J539" s="4" t="str">
        <f ca="1">Master_List!$AW$5</f>
        <v>65</v>
      </c>
      <c r="K539" s="4" t="s">
        <v>582</v>
      </c>
      <c r="BL539" s="4" t="s">
        <v>1744</v>
      </c>
      <c r="BM539" s="4" t="s">
        <v>2023</v>
      </c>
      <c r="BN539" s="4" t="s">
        <v>1748</v>
      </c>
      <c r="BO539" s="4" t="str">
        <f t="shared" si="8"/>
        <v>C:\Users\aremi\Desktop\REPORT CBM\PO TIANU JB\03. Raw Material\40. 10052026 SSU MEDINI SIGNATURE 33KV (VI)\IR</v>
      </c>
      <c r="BP539" t="s">
        <v>1122</v>
      </c>
    </row>
    <row r="540" spans="1:68" thickBot="1" x14ac:dyDescent="0.3">
      <c r="A540" s="4">
        <v>270</v>
      </c>
      <c r="B540" s="4" t="s">
        <v>1112</v>
      </c>
      <c r="C540" s="4">
        <v>9</v>
      </c>
      <c r="D540" s="4" t="s">
        <v>1976</v>
      </c>
      <c r="E540" s="4">
        <v>6</v>
      </c>
      <c r="F540" s="4" t="str">
        <f ca="1">Master_List!$AW$1</f>
        <v>PERPUSTAKAAN PUSAT</v>
      </c>
      <c r="G540" s="4" t="str">
        <f ca="1">Master_List!$AW$2</f>
        <v>09:30 PM</v>
      </c>
      <c r="H540" s="4" t="str">
        <f ca="1">Master_List!$AW$3</f>
        <v>20/07/2026</v>
      </c>
      <c r="I540" s="4" t="str">
        <f ca="1">Master_List!$AW$4</f>
        <v>28.5</v>
      </c>
      <c r="J540" s="4" t="str">
        <f ca="1">Master_List!$AW$5</f>
        <v>65</v>
      </c>
      <c r="K540" s="4" t="s">
        <v>585</v>
      </c>
      <c r="BL540" s="4" t="s">
        <v>1744</v>
      </c>
      <c r="BM540" s="4" t="s">
        <v>2024</v>
      </c>
      <c r="BN540" s="4" t="s">
        <v>1746</v>
      </c>
      <c r="BO540" s="4" t="str">
        <f t="shared" si="8"/>
        <v>C:\Users\aremi\Desktop\REPORT CBM\PO TIANU JB\03. Raw Material\40. 10052026 SSU MEDINI SIGNATURE 33KV (VI)\IR</v>
      </c>
      <c r="BP540" t="s">
        <v>1123</v>
      </c>
    </row>
    <row r="541" spans="1:68" thickBot="1" x14ac:dyDescent="0.3">
      <c r="A541" s="4">
        <v>270</v>
      </c>
      <c r="B541" s="4" t="s">
        <v>1112</v>
      </c>
      <c r="C541" s="4">
        <v>9</v>
      </c>
      <c r="D541" s="4" t="s">
        <v>1976</v>
      </c>
      <c r="E541" s="4">
        <v>6</v>
      </c>
      <c r="F541" s="4" t="str">
        <f ca="1">Master_List!$AW$1</f>
        <v>PERPUSTAKAAN PUSAT</v>
      </c>
      <c r="G541" s="4" t="str">
        <f ca="1">Master_List!$AW$2</f>
        <v>09:30 PM</v>
      </c>
      <c r="H541" s="4" t="str">
        <f ca="1">Master_List!$AW$3</f>
        <v>20/07/2026</v>
      </c>
      <c r="I541" s="4" t="str">
        <f ca="1">Master_List!$AW$4</f>
        <v>28.5</v>
      </c>
      <c r="J541" s="4" t="str">
        <f ca="1">Master_List!$AW$5</f>
        <v>65</v>
      </c>
      <c r="K541" s="4" t="s">
        <v>585</v>
      </c>
      <c r="BL541" s="4" t="s">
        <v>1744</v>
      </c>
      <c r="BM541" s="4" t="s">
        <v>2024</v>
      </c>
      <c r="BN541" s="4" t="s">
        <v>1748</v>
      </c>
      <c r="BO541" s="4" t="str">
        <f t="shared" si="8"/>
        <v>C:\Users\aremi\Desktop\REPORT CBM\PO TIANU JB\03. Raw Material\40. 10052026 SSU MEDINI SIGNATURE 33KV (VI)\IR</v>
      </c>
      <c r="BP541" t="s">
        <v>1124</v>
      </c>
    </row>
    <row r="542" spans="1:68" thickBot="1" x14ac:dyDescent="0.3">
      <c r="A542" s="4">
        <v>271</v>
      </c>
      <c r="B542" s="4" t="s">
        <v>1112</v>
      </c>
      <c r="C542" s="4">
        <v>9</v>
      </c>
      <c r="D542" s="4" t="s">
        <v>1983</v>
      </c>
      <c r="E542" s="4">
        <v>7</v>
      </c>
      <c r="F542" s="4" t="str">
        <f ca="1">Master_List!$AW$1</f>
        <v>PERPUSTAKAAN PUSAT</v>
      </c>
      <c r="G542" s="4" t="str">
        <f ca="1">Master_List!$AW$2</f>
        <v>09:30 PM</v>
      </c>
      <c r="H542" s="4" t="str">
        <f ca="1">Master_List!$AW$3</f>
        <v>20/07/2026</v>
      </c>
      <c r="I542" s="4" t="str">
        <f ca="1">Master_List!$AW$4</f>
        <v>28.5</v>
      </c>
      <c r="J542" s="4" t="str">
        <f ca="1">Master_List!$AW$5</f>
        <v>65</v>
      </c>
      <c r="K542" s="4" t="s">
        <v>588</v>
      </c>
      <c r="BL542" s="4" t="s">
        <v>1744</v>
      </c>
      <c r="BM542" s="4" t="s">
        <v>2025</v>
      </c>
      <c r="BN542" s="4" t="s">
        <v>1746</v>
      </c>
      <c r="BO542" s="4" t="str">
        <f t="shared" si="8"/>
        <v>C:\Users\aremi\Desktop\REPORT CBM\PO TIANU JB\03. Raw Material\40. 10052026 SSU MEDINI SIGNATURE 33KV (VI)\IR</v>
      </c>
      <c r="BP542" t="s">
        <v>1125</v>
      </c>
    </row>
    <row r="543" spans="1:68" thickBot="1" x14ac:dyDescent="0.3">
      <c r="A543" s="4">
        <v>271</v>
      </c>
      <c r="B543" s="4" t="s">
        <v>1112</v>
      </c>
      <c r="C543" s="4">
        <v>9</v>
      </c>
      <c r="D543" s="4" t="s">
        <v>1983</v>
      </c>
      <c r="E543" s="4">
        <v>7</v>
      </c>
      <c r="F543" s="4" t="str">
        <f ca="1">Master_List!$AW$1</f>
        <v>PERPUSTAKAAN PUSAT</v>
      </c>
      <c r="G543" s="4" t="str">
        <f ca="1">Master_List!$AW$2</f>
        <v>09:30 PM</v>
      </c>
      <c r="H543" s="4" t="str">
        <f ca="1">Master_List!$AW$3</f>
        <v>20/07/2026</v>
      </c>
      <c r="I543" s="4" t="str">
        <f ca="1">Master_List!$AW$4</f>
        <v>28.5</v>
      </c>
      <c r="J543" s="4" t="str">
        <f ca="1">Master_List!$AW$5</f>
        <v>65</v>
      </c>
      <c r="K543" s="4" t="s">
        <v>588</v>
      </c>
      <c r="BL543" s="4" t="s">
        <v>1744</v>
      </c>
      <c r="BM543" s="4" t="s">
        <v>2025</v>
      </c>
      <c r="BN543" s="4" t="s">
        <v>1748</v>
      </c>
      <c r="BO543" s="4" t="str">
        <f t="shared" si="8"/>
        <v>C:\Users\aremi\Desktop\REPORT CBM\PO TIANU JB\03. Raw Material\40. 10052026 SSU MEDINI SIGNATURE 33KV (VI)\IR</v>
      </c>
      <c r="BP543" t="s">
        <v>1126</v>
      </c>
    </row>
    <row r="544" spans="1:68" thickBot="1" x14ac:dyDescent="0.3">
      <c r="A544" s="4">
        <v>272</v>
      </c>
      <c r="B544" s="4" t="s">
        <v>1112</v>
      </c>
      <c r="C544" s="4">
        <v>9</v>
      </c>
      <c r="D544" s="4" t="s">
        <v>1985</v>
      </c>
      <c r="E544" s="4">
        <v>8</v>
      </c>
      <c r="F544" s="4" t="str">
        <f ca="1">Master_List!$AW$1</f>
        <v>PERPUSTAKAAN PUSAT</v>
      </c>
      <c r="G544" s="4" t="str">
        <f ca="1">Master_List!$AW$2</f>
        <v>09:30 PM</v>
      </c>
      <c r="H544" s="4" t="str">
        <f ca="1">Master_List!$AW$3</f>
        <v>20/07/2026</v>
      </c>
      <c r="I544" s="4" t="str">
        <f ca="1">Master_List!$AW$4</f>
        <v>28.5</v>
      </c>
      <c r="J544" s="4" t="str">
        <f ca="1">Master_List!$AW$5</f>
        <v>65</v>
      </c>
      <c r="K544" s="4" t="s">
        <v>591</v>
      </c>
      <c r="BL544" s="4" t="s">
        <v>1744</v>
      </c>
      <c r="BM544" s="4" t="s">
        <v>2026</v>
      </c>
      <c r="BN544" s="4" t="s">
        <v>1746</v>
      </c>
      <c r="BO544" s="4" t="str">
        <f t="shared" si="8"/>
        <v>C:\Users\aremi\Desktop\REPORT CBM\PO TIANU JB\03. Raw Material\40. 10052026 SSU MEDINI SIGNATURE 33KV (VI)\IR</v>
      </c>
      <c r="BP544" t="s">
        <v>1127</v>
      </c>
    </row>
    <row r="545" spans="1:68" thickBot="1" x14ac:dyDescent="0.3">
      <c r="A545" s="4">
        <v>272</v>
      </c>
      <c r="B545" s="4" t="s">
        <v>1112</v>
      </c>
      <c r="C545" s="4">
        <v>9</v>
      </c>
      <c r="D545" s="4" t="s">
        <v>1985</v>
      </c>
      <c r="E545" s="4">
        <v>8</v>
      </c>
      <c r="F545" s="4" t="str">
        <f ca="1">Master_List!$AW$1</f>
        <v>PERPUSTAKAAN PUSAT</v>
      </c>
      <c r="G545" s="4" t="str">
        <f ca="1">Master_List!$AW$2</f>
        <v>09:30 PM</v>
      </c>
      <c r="H545" s="4" t="str">
        <f ca="1">Master_List!$AW$3</f>
        <v>20/07/2026</v>
      </c>
      <c r="I545" s="4" t="str">
        <f ca="1">Master_List!$AW$4</f>
        <v>28.5</v>
      </c>
      <c r="J545" s="4" t="str">
        <f ca="1">Master_List!$AW$5</f>
        <v>65</v>
      </c>
      <c r="K545" s="4" t="s">
        <v>591</v>
      </c>
      <c r="BL545" s="4" t="s">
        <v>1744</v>
      </c>
      <c r="BM545" s="4" t="s">
        <v>2026</v>
      </c>
      <c r="BN545" s="4" t="s">
        <v>1748</v>
      </c>
      <c r="BO545" s="4" t="str">
        <f t="shared" si="8"/>
        <v>C:\Users\aremi\Desktop\REPORT CBM\PO TIANU JB\03. Raw Material\40. 10052026 SSU MEDINI SIGNATURE 33KV (VI)\IR</v>
      </c>
      <c r="BP545" t="s">
        <v>1128</v>
      </c>
    </row>
    <row r="546" spans="1:68" thickBot="1" x14ac:dyDescent="0.3">
      <c r="A546" s="4">
        <v>273</v>
      </c>
      <c r="B546" s="4" t="s">
        <v>1129</v>
      </c>
      <c r="C546" s="4">
        <v>9</v>
      </c>
      <c r="D546" s="4" t="s">
        <v>1976</v>
      </c>
      <c r="E546" s="4">
        <v>1</v>
      </c>
      <c r="F546" s="4" t="str">
        <f ca="1">Master_List!$AW$1</f>
        <v>PERPUSTAKAAN PUSAT</v>
      </c>
      <c r="G546" s="4" t="str">
        <f ca="1">Master_List!$AW$2</f>
        <v>09:30 PM</v>
      </c>
      <c r="H546" s="4" t="str">
        <f ca="1">Master_List!$AW$3</f>
        <v>20/07/2026</v>
      </c>
      <c r="I546" s="4" t="str">
        <f ca="1">Master_List!$AW$4</f>
        <v>28.5</v>
      </c>
      <c r="J546" s="4" t="str">
        <f ca="1">Master_List!$AW$5</f>
        <v>65</v>
      </c>
      <c r="K546" s="4" t="s">
        <v>570</v>
      </c>
      <c r="BL546" s="4" t="s">
        <v>1744</v>
      </c>
      <c r="BM546" s="4" t="s">
        <v>2027</v>
      </c>
      <c r="BN546" s="4" t="s">
        <v>1746</v>
      </c>
      <c r="BO546" s="4" t="str">
        <f t="shared" si="8"/>
        <v>C:\Users\aremi\Desktop\REPORT CBM\PO TIANU JB\03. Raw Material\40. 10052026 SSU MEDINI SIGNATURE 33KV (VI)\IR</v>
      </c>
      <c r="BP546" t="s">
        <v>1130</v>
      </c>
    </row>
    <row r="547" spans="1:68" thickBot="1" x14ac:dyDescent="0.3">
      <c r="A547" s="4">
        <v>273</v>
      </c>
      <c r="B547" s="4" t="s">
        <v>1129</v>
      </c>
      <c r="C547" s="4">
        <v>9</v>
      </c>
      <c r="D547" s="4" t="s">
        <v>1976</v>
      </c>
      <c r="E547" s="4">
        <v>1</v>
      </c>
      <c r="F547" s="4" t="str">
        <f ca="1">Master_List!$AW$1</f>
        <v>PERPUSTAKAAN PUSAT</v>
      </c>
      <c r="G547" s="4" t="str">
        <f ca="1">Master_List!$AW$2</f>
        <v>09:30 PM</v>
      </c>
      <c r="H547" s="4" t="str">
        <f ca="1">Master_List!$AW$3</f>
        <v>20/07/2026</v>
      </c>
      <c r="I547" s="4" t="str">
        <f ca="1">Master_List!$AW$4</f>
        <v>28.5</v>
      </c>
      <c r="J547" s="4" t="str">
        <f ca="1">Master_List!$AW$5</f>
        <v>65</v>
      </c>
      <c r="K547" s="4" t="s">
        <v>570</v>
      </c>
      <c r="BL547" s="4" t="s">
        <v>1744</v>
      </c>
      <c r="BM547" s="4" t="s">
        <v>2027</v>
      </c>
      <c r="BN547" s="4" t="s">
        <v>1748</v>
      </c>
      <c r="BO547" s="4" t="str">
        <f t="shared" si="8"/>
        <v>C:\Users\aremi\Desktop\REPORT CBM\PO TIANU JB\03. Raw Material\40. 10052026 SSU MEDINI SIGNATURE 33KV (VI)\IR</v>
      </c>
      <c r="BP547" t="s">
        <v>1131</v>
      </c>
    </row>
    <row r="548" spans="1:68" thickBot="1" x14ac:dyDescent="0.3">
      <c r="A548" s="4">
        <v>274</v>
      </c>
      <c r="B548" s="4" t="s">
        <v>1129</v>
      </c>
      <c r="C548" s="4">
        <v>9</v>
      </c>
      <c r="D548" s="4" t="s">
        <v>1976</v>
      </c>
      <c r="E548" s="4">
        <v>2</v>
      </c>
      <c r="F548" s="4" t="str">
        <f ca="1">Master_List!$AW$1</f>
        <v>PERPUSTAKAAN PUSAT</v>
      </c>
      <c r="G548" s="4" t="str">
        <f ca="1">Master_List!$AW$2</f>
        <v>09:30 PM</v>
      </c>
      <c r="H548" s="4" t="str">
        <f ca="1">Master_List!$AW$3</f>
        <v>20/07/2026</v>
      </c>
      <c r="I548" s="4" t="str">
        <f ca="1">Master_List!$AW$4</f>
        <v>28.5</v>
      </c>
      <c r="J548" s="4" t="str">
        <f ca="1">Master_List!$AW$5</f>
        <v>65</v>
      </c>
      <c r="K548" s="4" t="s">
        <v>573</v>
      </c>
      <c r="BL548" s="4" t="s">
        <v>1744</v>
      </c>
      <c r="BM548" s="4" t="s">
        <v>2028</v>
      </c>
      <c r="BN548" s="4" t="s">
        <v>1746</v>
      </c>
      <c r="BO548" s="4" t="str">
        <f t="shared" si="8"/>
        <v>C:\Users\aremi\Desktop\REPORT CBM\PO TIANU JB\03. Raw Material\40. 10052026 SSU MEDINI SIGNATURE 33KV (VI)\IR</v>
      </c>
      <c r="BP548" t="s">
        <v>1132</v>
      </c>
    </row>
    <row r="549" spans="1:68" thickBot="1" x14ac:dyDescent="0.3">
      <c r="A549" s="4">
        <v>274</v>
      </c>
      <c r="B549" s="4" t="s">
        <v>1129</v>
      </c>
      <c r="C549" s="4">
        <v>9</v>
      </c>
      <c r="D549" s="4" t="s">
        <v>1976</v>
      </c>
      <c r="E549" s="4">
        <v>2</v>
      </c>
      <c r="F549" s="4" t="str">
        <f ca="1">Master_List!$AW$1</f>
        <v>PERPUSTAKAAN PUSAT</v>
      </c>
      <c r="G549" s="4" t="str">
        <f ca="1">Master_List!$AW$2</f>
        <v>09:30 PM</v>
      </c>
      <c r="H549" s="4" t="str">
        <f ca="1">Master_List!$AW$3</f>
        <v>20/07/2026</v>
      </c>
      <c r="I549" s="4" t="str">
        <f ca="1">Master_List!$AW$4</f>
        <v>28.5</v>
      </c>
      <c r="J549" s="4" t="str">
        <f ca="1">Master_List!$AW$5</f>
        <v>65</v>
      </c>
      <c r="K549" s="4" t="s">
        <v>573</v>
      </c>
      <c r="BL549" s="4" t="s">
        <v>1744</v>
      </c>
      <c r="BM549" s="4" t="s">
        <v>2028</v>
      </c>
      <c r="BN549" s="4" t="s">
        <v>1748</v>
      </c>
      <c r="BO549" s="4" t="str">
        <f t="shared" si="8"/>
        <v>C:\Users\aremi\Desktop\REPORT CBM\PO TIANU JB\03. Raw Material\40. 10052026 SSU MEDINI SIGNATURE 33KV (VI)\IR</v>
      </c>
      <c r="BP549" t="s">
        <v>1133</v>
      </c>
    </row>
    <row r="550" spans="1:68" thickBot="1" x14ac:dyDescent="0.3">
      <c r="A550" s="4">
        <v>275</v>
      </c>
      <c r="B550" s="4" t="s">
        <v>1129</v>
      </c>
      <c r="C550" s="4">
        <v>9</v>
      </c>
      <c r="D550" s="4" t="s">
        <v>1976</v>
      </c>
      <c r="E550" s="4">
        <v>3</v>
      </c>
      <c r="F550" s="4" t="str">
        <f ca="1">Master_List!$AW$1</f>
        <v>PERPUSTAKAAN PUSAT</v>
      </c>
      <c r="G550" s="4" t="str">
        <f ca="1">Master_List!$AW$2</f>
        <v>09:30 PM</v>
      </c>
      <c r="H550" s="4" t="str">
        <f ca="1">Master_List!$AW$3</f>
        <v>20/07/2026</v>
      </c>
      <c r="I550" s="4" t="str">
        <f ca="1">Master_List!$AW$4</f>
        <v>28.5</v>
      </c>
      <c r="J550" s="4" t="str">
        <f ca="1">Master_List!$AW$5</f>
        <v>65</v>
      </c>
      <c r="K550" s="4" t="s">
        <v>576</v>
      </c>
      <c r="BL550" s="4" t="s">
        <v>1744</v>
      </c>
      <c r="BM550" s="4" t="s">
        <v>2029</v>
      </c>
      <c r="BN550" s="4" t="s">
        <v>1746</v>
      </c>
      <c r="BO550" s="4" t="str">
        <f t="shared" si="8"/>
        <v>C:\Users\aremi\Desktop\REPORT CBM\PO TIANU JB\03. Raw Material\40. 10052026 SSU MEDINI SIGNATURE 33KV (VI)\IR</v>
      </c>
      <c r="BP550" t="s">
        <v>1134</v>
      </c>
    </row>
    <row r="551" spans="1:68" thickBot="1" x14ac:dyDescent="0.3">
      <c r="A551" s="4">
        <v>275</v>
      </c>
      <c r="B551" s="4" t="s">
        <v>1129</v>
      </c>
      <c r="C551" s="4">
        <v>9</v>
      </c>
      <c r="D551" s="4" t="s">
        <v>1976</v>
      </c>
      <c r="E551" s="4">
        <v>3</v>
      </c>
      <c r="F551" s="4" t="str">
        <f ca="1">Master_List!$AW$1</f>
        <v>PERPUSTAKAAN PUSAT</v>
      </c>
      <c r="G551" s="4" t="str">
        <f ca="1">Master_List!$AW$2</f>
        <v>09:30 PM</v>
      </c>
      <c r="H551" s="4" t="str">
        <f ca="1">Master_List!$AW$3</f>
        <v>20/07/2026</v>
      </c>
      <c r="I551" s="4" t="str">
        <f ca="1">Master_List!$AW$4</f>
        <v>28.5</v>
      </c>
      <c r="J551" s="4" t="str">
        <f ca="1">Master_List!$AW$5</f>
        <v>65</v>
      </c>
      <c r="K551" s="4" t="s">
        <v>576</v>
      </c>
      <c r="BL551" s="4" t="s">
        <v>1744</v>
      </c>
      <c r="BM551" s="4" t="s">
        <v>2029</v>
      </c>
      <c r="BN551" s="4" t="s">
        <v>1748</v>
      </c>
      <c r="BO551" s="4" t="str">
        <f t="shared" si="8"/>
        <v>C:\Users\aremi\Desktop\REPORT CBM\PO TIANU JB\03. Raw Material\40. 10052026 SSU MEDINI SIGNATURE 33KV (VI)\IR</v>
      </c>
      <c r="BP551" t="s">
        <v>1135</v>
      </c>
    </row>
    <row r="552" spans="1:68" thickBot="1" x14ac:dyDescent="0.3">
      <c r="A552" s="4">
        <v>276</v>
      </c>
      <c r="B552" s="4" t="s">
        <v>1129</v>
      </c>
      <c r="C552" s="4">
        <v>9</v>
      </c>
      <c r="D552" s="4" t="s">
        <v>1976</v>
      </c>
      <c r="E552" s="4">
        <v>4</v>
      </c>
      <c r="F552" s="4" t="str">
        <f ca="1">Master_List!$AW$1</f>
        <v>PERPUSTAKAAN PUSAT</v>
      </c>
      <c r="G552" s="4" t="str">
        <f ca="1">Master_List!$AW$2</f>
        <v>09:30 PM</v>
      </c>
      <c r="H552" s="4" t="str">
        <f ca="1">Master_List!$AW$3</f>
        <v>20/07/2026</v>
      </c>
      <c r="I552" s="4" t="str">
        <f ca="1">Master_List!$AW$4</f>
        <v>28.5</v>
      </c>
      <c r="J552" s="4" t="str">
        <f ca="1">Master_List!$AW$5</f>
        <v>65</v>
      </c>
      <c r="K552" s="4" t="s">
        <v>579</v>
      </c>
      <c r="BL552" s="4" t="s">
        <v>1744</v>
      </c>
      <c r="BM552" s="4" t="s">
        <v>2030</v>
      </c>
      <c r="BN552" s="4" t="s">
        <v>1746</v>
      </c>
      <c r="BO552" s="4" t="str">
        <f t="shared" si="8"/>
        <v>C:\Users\aremi\Desktop\REPORT CBM\PO TIANU JB\03. Raw Material\40. 10052026 SSU MEDINI SIGNATURE 33KV (VI)\IR</v>
      </c>
      <c r="BP552" t="s">
        <v>1136</v>
      </c>
    </row>
    <row r="553" spans="1:68" thickBot="1" x14ac:dyDescent="0.3">
      <c r="A553" s="4">
        <v>276</v>
      </c>
      <c r="B553" s="4" t="s">
        <v>1129</v>
      </c>
      <c r="C553" s="4">
        <v>9</v>
      </c>
      <c r="D553" s="4" t="s">
        <v>1976</v>
      </c>
      <c r="E553" s="4">
        <v>4</v>
      </c>
      <c r="F553" s="4" t="str">
        <f ca="1">Master_List!$AW$1</f>
        <v>PERPUSTAKAAN PUSAT</v>
      </c>
      <c r="G553" s="4" t="str">
        <f ca="1">Master_List!$AW$2</f>
        <v>09:30 PM</v>
      </c>
      <c r="H553" s="4" t="str">
        <f ca="1">Master_List!$AW$3</f>
        <v>20/07/2026</v>
      </c>
      <c r="I553" s="4" t="str">
        <f ca="1">Master_List!$AW$4</f>
        <v>28.5</v>
      </c>
      <c r="J553" s="4" t="str">
        <f ca="1">Master_List!$AW$5</f>
        <v>65</v>
      </c>
      <c r="K553" s="4" t="s">
        <v>579</v>
      </c>
      <c r="BL553" s="4" t="s">
        <v>1744</v>
      </c>
      <c r="BM553" s="4" t="s">
        <v>2030</v>
      </c>
      <c r="BN553" s="4" t="s">
        <v>1748</v>
      </c>
      <c r="BO553" s="4" t="str">
        <f t="shared" si="8"/>
        <v>C:\Users\aremi\Desktop\REPORT CBM\PO TIANU JB\03. Raw Material\40. 10052026 SSU MEDINI SIGNATURE 33KV (VI)\IR</v>
      </c>
      <c r="BP553" t="s">
        <v>1137</v>
      </c>
    </row>
    <row r="554" spans="1:68" thickBot="1" x14ac:dyDescent="0.3">
      <c r="A554" s="4">
        <v>277</v>
      </c>
      <c r="B554" s="4" t="s">
        <v>1129</v>
      </c>
      <c r="C554" s="4">
        <v>9</v>
      </c>
      <c r="D554" s="4" t="s">
        <v>1976</v>
      </c>
      <c r="E554" s="4">
        <v>5</v>
      </c>
      <c r="F554" s="4" t="str">
        <f ca="1">Master_List!$AW$1</f>
        <v>PERPUSTAKAAN PUSAT</v>
      </c>
      <c r="G554" s="4" t="str">
        <f ca="1">Master_List!$AW$2</f>
        <v>09:30 PM</v>
      </c>
      <c r="H554" s="4" t="str">
        <f ca="1">Master_List!$AW$3</f>
        <v>20/07/2026</v>
      </c>
      <c r="I554" s="4" t="str">
        <f ca="1">Master_List!$AW$4</f>
        <v>28.5</v>
      </c>
      <c r="J554" s="4" t="str">
        <f ca="1">Master_List!$AW$5</f>
        <v>65</v>
      </c>
      <c r="K554" s="4" t="s">
        <v>582</v>
      </c>
      <c r="BL554" s="4" t="s">
        <v>1744</v>
      </c>
      <c r="BM554" s="4" t="s">
        <v>2031</v>
      </c>
      <c r="BN554" s="4" t="s">
        <v>1746</v>
      </c>
      <c r="BO554" s="4" t="str">
        <f t="shared" si="8"/>
        <v>C:\Users\aremi\Desktop\REPORT CBM\PO TIANU JB\03. Raw Material\40. 10052026 SSU MEDINI SIGNATURE 33KV (VI)\IR</v>
      </c>
      <c r="BP554" t="s">
        <v>1138</v>
      </c>
    </row>
    <row r="555" spans="1:68" thickBot="1" x14ac:dyDescent="0.3">
      <c r="A555" s="4">
        <v>277</v>
      </c>
      <c r="B555" s="4" t="s">
        <v>1129</v>
      </c>
      <c r="C555" s="4">
        <v>9</v>
      </c>
      <c r="D555" s="4" t="s">
        <v>1976</v>
      </c>
      <c r="E555" s="4">
        <v>5</v>
      </c>
      <c r="F555" s="4" t="str">
        <f ca="1">Master_List!$AW$1</f>
        <v>PERPUSTAKAAN PUSAT</v>
      </c>
      <c r="G555" s="4" t="str">
        <f ca="1">Master_List!$AW$2</f>
        <v>09:30 PM</v>
      </c>
      <c r="H555" s="4" t="str">
        <f ca="1">Master_List!$AW$3</f>
        <v>20/07/2026</v>
      </c>
      <c r="I555" s="4" t="str">
        <f ca="1">Master_List!$AW$4</f>
        <v>28.5</v>
      </c>
      <c r="J555" s="4" t="str">
        <f ca="1">Master_List!$AW$5</f>
        <v>65</v>
      </c>
      <c r="K555" s="4" t="s">
        <v>582</v>
      </c>
      <c r="BL555" s="4" t="s">
        <v>1744</v>
      </c>
      <c r="BM555" s="4" t="s">
        <v>2031</v>
      </c>
      <c r="BN555" s="4" t="s">
        <v>1748</v>
      </c>
      <c r="BO555" s="4" t="str">
        <f t="shared" si="8"/>
        <v>C:\Users\aremi\Desktop\REPORT CBM\PO TIANU JB\03. Raw Material\40. 10052026 SSU MEDINI SIGNATURE 33KV (VI)\IR</v>
      </c>
      <c r="BP555" t="s">
        <v>1139</v>
      </c>
    </row>
    <row r="556" spans="1:68" thickBot="1" x14ac:dyDescent="0.3">
      <c r="A556" s="4">
        <v>278</v>
      </c>
      <c r="B556" s="4" t="s">
        <v>1129</v>
      </c>
      <c r="C556" s="4">
        <v>9</v>
      </c>
      <c r="D556" s="4" t="s">
        <v>1976</v>
      </c>
      <c r="E556" s="4">
        <v>6</v>
      </c>
      <c r="F556" s="4" t="str">
        <f ca="1">Master_List!$AW$1</f>
        <v>PERPUSTAKAAN PUSAT</v>
      </c>
      <c r="G556" s="4" t="str">
        <f ca="1">Master_List!$AW$2</f>
        <v>09:30 PM</v>
      </c>
      <c r="H556" s="4" t="str">
        <f ca="1">Master_List!$AW$3</f>
        <v>20/07/2026</v>
      </c>
      <c r="I556" s="4" t="str">
        <f ca="1">Master_List!$AW$4</f>
        <v>28.5</v>
      </c>
      <c r="J556" s="4" t="str">
        <f ca="1">Master_List!$AW$5</f>
        <v>65</v>
      </c>
      <c r="K556" s="4" t="s">
        <v>585</v>
      </c>
      <c r="BL556" s="4" t="s">
        <v>1744</v>
      </c>
      <c r="BM556" s="4" t="s">
        <v>2032</v>
      </c>
      <c r="BN556" s="4" t="s">
        <v>1746</v>
      </c>
      <c r="BO556" s="4" t="str">
        <f t="shared" si="8"/>
        <v>C:\Users\aremi\Desktop\REPORT CBM\PO TIANU JB\03. Raw Material\40. 10052026 SSU MEDINI SIGNATURE 33KV (VI)\IR</v>
      </c>
      <c r="BP556" t="s">
        <v>1140</v>
      </c>
    </row>
    <row r="557" spans="1:68" thickBot="1" x14ac:dyDescent="0.3">
      <c r="A557" s="4">
        <v>278</v>
      </c>
      <c r="B557" s="4" t="s">
        <v>1129</v>
      </c>
      <c r="C557" s="4">
        <v>9</v>
      </c>
      <c r="D557" s="4" t="s">
        <v>1976</v>
      </c>
      <c r="E557" s="4">
        <v>6</v>
      </c>
      <c r="F557" s="4" t="str">
        <f ca="1">Master_List!$AW$1</f>
        <v>PERPUSTAKAAN PUSAT</v>
      </c>
      <c r="G557" s="4" t="str">
        <f ca="1">Master_List!$AW$2</f>
        <v>09:30 PM</v>
      </c>
      <c r="H557" s="4" t="str">
        <f ca="1">Master_List!$AW$3</f>
        <v>20/07/2026</v>
      </c>
      <c r="I557" s="4" t="str">
        <f ca="1">Master_List!$AW$4</f>
        <v>28.5</v>
      </c>
      <c r="J557" s="4" t="str">
        <f ca="1">Master_List!$AW$5</f>
        <v>65</v>
      </c>
      <c r="K557" s="4" t="s">
        <v>585</v>
      </c>
      <c r="BL557" s="4" t="s">
        <v>1744</v>
      </c>
      <c r="BM557" s="4" t="s">
        <v>2032</v>
      </c>
      <c r="BN557" s="4" t="s">
        <v>1748</v>
      </c>
      <c r="BO557" s="4" t="str">
        <f t="shared" si="8"/>
        <v>C:\Users\aremi\Desktop\REPORT CBM\PO TIANU JB\03. Raw Material\40. 10052026 SSU MEDINI SIGNATURE 33KV (VI)\IR</v>
      </c>
      <c r="BP557" t="s">
        <v>1141</v>
      </c>
    </row>
    <row r="558" spans="1:68" thickBot="1" x14ac:dyDescent="0.3">
      <c r="A558" s="4">
        <v>279</v>
      </c>
      <c r="B558" s="4" t="s">
        <v>1129</v>
      </c>
      <c r="C558" s="4">
        <v>9</v>
      </c>
      <c r="D558" s="4" t="s">
        <v>1983</v>
      </c>
      <c r="E558" s="4">
        <v>7</v>
      </c>
      <c r="F558" s="4" t="str">
        <f ca="1">Master_List!$AW$1</f>
        <v>PERPUSTAKAAN PUSAT</v>
      </c>
      <c r="G558" s="4" t="str">
        <f ca="1">Master_List!$AW$2</f>
        <v>09:30 PM</v>
      </c>
      <c r="H558" s="4" t="str">
        <f ca="1">Master_List!$AW$3</f>
        <v>20/07/2026</v>
      </c>
      <c r="I558" s="4" t="str">
        <f ca="1">Master_List!$AW$4</f>
        <v>28.5</v>
      </c>
      <c r="J558" s="4" t="str">
        <f ca="1">Master_List!$AW$5</f>
        <v>65</v>
      </c>
      <c r="K558" s="4" t="s">
        <v>588</v>
      </c>
      <c r="BL558" s="4" t="s">
        <v>1744</v>
      </c>
      <c r="BM558" s="4" t="s">
        <v>2033</v>
      </c>
      <c r="BN558" s="4" t="s">
        <v>1746</v>
      </c>
      <c r="BO558" s="4" t="str">
        <f t="shared" si="8"/>
        <v>C:\Users\aremi\Desktop\REPORT CBM\PO TIANU JB\03. Raw Material\40. 10052026 SSU MEDINI SIGNATURE 33KV (VI)\IR</v>
      </c>
      <c r="BP558" t="s">
        <v>1142</v>
      </c>
    </row>
    <row r="559" spans="1:68" thickBot="1" x14ac:dyDescent="0.3">
      <c r="A559" s="4">
        <v>279</v>
      </c>
      <c r="B559" s="4" t="s">
        <v>1129</v>
      </c>
      <c r="C559" s="4">
        <v>9</v>
      </c>
      <c r="D559" s="4" t="s">
        <v>1983</v>
      </c>
      <c r="E559" s="4">
        <v>7</v>
      </c>
      <c r="F559" s="4" t="str">
        <f ca="1">Master_List!$AW$1</f>
        <v>PERPUSTAKAAN PUSAT</v>
      </c>
      <c r="G559" s="4" t="str">
        <f ca="1">Master_List!$AW$2</f>
        <v>09:30 PM</v>
      </c>
      <c r="H559" s="4" t="str">
        <f ca="1">Master_List!$AW$3</f>
        <v>20/07/2026</v>
      </c>
      <c r="I559" s="4" t="str">
        <f ca="1">Master_List!$AW$4</f>
        <v>28.5</v>
      </c>
      <c r="J559" s="4" t="str">
        <f ca="1">Master_List!$AW$5</f>
        <v>65</v>
      </c>
      <c r="K559" s="4" t="s">
        <v>588</v>
      </c>
      <c r="BL559" s="4" t="s">
        <v>1744</v>
      </c>
      <c r="BM559" s="4" t="s">
        <v>2033</v>
      </c>
      <c r="BN559" s="4" t="s">
        <v>1748</v>
      </c>
      <c r="BO559" s="4" t="str">
        <f t="shared" si="8"/>
        <v>C:\Users\aremi\Desktop\REPORT CBM\PO TIANU JB\03. Raw Material\40. 10052026 SSU MEDINI SIGNATURE 33KV (VI)\IR</v>
      </c>
      <c r="BP559" t="s">
        <v>1143</v>
      </c>
    </row>
    <row r="560" spans="1:68" thickBot="1" x14ac:dyDescent="0.3">
      <c r="A560" s="4">
        <v>280</v>
      </c>
      <c r="B560" s="4" t="s">
        <v>1129</v>
      </c>
      <c r="C560" s="4">
        <v>9</v>
      </c>
      <c r="D560" s="4" t="s">
        <v>1985</v>
      </c>
      <c r="E560" s="4">
        <v>8</v>
      </c>
      <c r="F560" s="4" t="str">
        <f ca="1">Master_List!$AW$1</f>
        <v>PERPUSTAKAAN PUSAT</v>
      </c>
      <c r="G560" s="4" t="str">
        <f ca="1">Master_List!$AW$2</f>
        <v>09:30 PM</v>
      </c>
      <c r="H560" s="4" t="str">
        <f ca="1">Master_List!$AW$3</f>
        <v>20/07/2026</v>
      </c>
      <c r="I560" s="4" t="str">
        <f ca="1">Master_List!$AW$4</f>
        <v>28.5</v>
      </c>
      <c r="J560" s="4" t="str">
        <f ca="1">Master_List!$AW$5</f>
        <v>65</v>
      </c>
      <c r="K560" s="4" t="s">
        <v>591</v>
      </c>
      <c r="BL560" s="4" t="s">
        <v>1744</v>
      </c>
      <c r="BM560" s="4" t="s">
        <v>2034</v>
      </c>
      <c r="BN560" s="4" t="s">
        <v>1746</v>
      </c>
      <c r="BO560" s="4" t="str">
        <f t="shared" si="8"/>
        <v>C:\Users\aremi\Desktop\REPORT CBM\PO TIANU JB\03. Raw Material\40. 10052026 SSU MEDINI SIGNATURE 33KV (VI)\IR</v>
      </c>
      <c r="BP560" t="s">
        <v>1144</v>
      </c>
    </row>
    <row r="561" spans="1:68" thickBot="1" x14ac:dyDescent="0.3">
      <c r="A561" s="4">
        <v>280</v>
      </c>
      <c r="B561" s="4" t="s">
        <v>1129</v>
      </c>
      <c r="C561" s="4">
        <v>9</v>
      </c>
      <c r="D561" s="4" t="s">
        <v>1985</v>
      </c>
      <c r="E561" s="4">
        <v>8</v>
      </c>
      <c r="F561" s="4" t="str">
        <f ca="1">Master_List!$AW$1</f>
        <v>PERPUSTAKAAN PUSAT</v>
      </c>
      <c r="G561" s="4" t="str">
        <f ca="1">Master_List!$AW$2</f>
        <v>09:30 PM</v>
      </c>
      <c r="H561" s="4" t="str">
        <f ca="1">Master_List!$AW$3</f>
        <v>20/07/2026</v>
      </c>
      <c r="I561" s="4" t="str">
        <f ca="1">Master_List!$AW$4</f>
        <v>28.5</v>
      </c>
      <c r="J561" s="4" t="str">
        <f ca="1">Master_List!$AW$5</f>
        <v>65</v>
      </c>
      <c r="K561" s="4" t="s">
        <v>591</v>
      </c>
      <c r="BL561" s="4" t="s">
        <v>1744</v>
      </c>
      <c r="BM561" s="4" t="s">
        <v>2034</v>
      </c>
      <c r="BN561" s="4" t="s">
        <v>1748</v>
      </c>
      <c r="BO561" s="4" t="str">
        <f t="shared" si="8"/>
        <v>C:\Users\aremi\Desktop\REPORT CBM\PO TIANU JB\03. Raw Material\40. 10052026 SSU MEDINI SIGNATURE 33KV (VI)\IR</v>
      </c>
      <c r="BP561" t="s">
        <v>1145</v>
      </c>
    </row>
    <row r="562" spans="1:68" thickBot="1" x14ac:dyDescent="0.3">
      <c r="A562" s="4">
        <v>281</v>
      </c>
      <c r="B562" s="4" t="s">
        <v>1146</v>
      </c>
      <c r="C562" s="4">
        <v>9</v>
      </c>
      <c r="D562" s="4" t="s">
        <v>1976</v>
      </c>
      <c r="E562" s="4">
        <v>1</v>
      </c>
      <c r="F562" s="4" t="str">
        <f ca="1">Master_List!$AW$1</f>
        <v>PERPUSTAKAAN PUSAT</v>
      </c>
      <c r="G562" s="4" t="str">
        <f ca="1">Master_List!$AW$2</f>
        <v>09:30 PM</v>
      </c>
      <c r="H562" s="4" t="str">
        <f ca="1">Master_List!$AW$3</f>
        <v>20/07/2026</v>
      </c>
      <c r="I562" s="4" t="str">
        <f ca="1">Master_List!$AW$4</f>
        <v>28.5</v>
      </c>
      <c r="J562" s="4" t="str">
        <f ca="1">Master_List!$AW$5</f>
        <v>65</v>
      </c>
      <c r="K562" s="4" t="s">
        <v>570</v>
      </c>
      <c r="BL562" s="4" t="s">
        <v>1744</v>
      </c>
      <c r="BM562" s="4" t="s">
        <v>2035</v>
      </c>
      <c r="BN562" s="4" t="s">
        <v>1746</v>
      </c>
      <c r="BO562" s="4" t="str">
        <f t="shared" si="8"/>
        <v>C:\Users\aremi\Desktop\REPORT CBM\PO TIANU JB\03. Raw Material\40. 10052026 SSU MEDINI SIGNATURE 33KV (VI)\IR</v>
      </c>
      <c r="BP562" t="s">
        <v>1147</v>
      </c>
    </row>
    <row r="563" spans="1:68" thickBot="1" x14ac:dyDescent="0.3">
      <c r="A563" s="4">
        <v>281</v>
      </c>
      <c r="B563" s="4" t="s">
        <v>1146</v>
      </c>
      <c r="C563" s="4">
        <v>9</v>
      </c>
      <c r="D563" s="4" t="s">
        <v>1976</v>
      </c>
      <c r="E563" s="4">
        <v>1</v>
      </c>
      <c r="F563" s="4" t="str">
        <f ca="1">Master_List!$AW$1</f>
        <v>PERPUSTAKAAN PUSAT</v>
      </c>
      <c r="G563" s="4" t="str">
        <f ca="1">Master_List!$AW$2</f>
        <v>09:30 PM</v>
      </c>
      <c r="H563" s="4" t="str">
        <f ca="1">Master_List!$AW$3</f>
        <v>20/07/2026</v>
      </c>
      <c r="I563" s="4" t="str">
        <f ca="1">Master_List!$AW$4</f>
        <v>28.5</v>
      </c>
      <c r="J563" s="4" t="str">
        <f ca="1">Master_List!$AW$5</f>
        <v>65</v>
      </c>
      <c r="K563" s="4" t="s">
        <v>570</v>
      </c>
      <c r="BL563" s="4" t="s">
        <v>1744</v>
      </c>
      <c r="BM563" s="4" t="s">
        <v>2035</v>
      </c>
      <c r="BN563" s="4" t="s">
        <v>1748</v>
      </c>
      <c r="BO563" s="4" t="str">
        <f t="shared" si="8"/>
        <v>C:\Users\aremi\Desktop\REPORT CBM\PO TIANU JB\03. Raw Material\40. 10052026 SSU MEDINI SIGNATURE 33KV (VI)\IR</v>
      </c>
      <c r="BP563" t="s">
        <v>1148</v>
      </c>
    </row>
    <row r="564" spans="1:68" thickBot="1" x14ac:dyDescent="0.3">
      <c r="A564" s="4">
        <v>282</v>
      </c>
      <c r="B564" s="4" t="s">
        <v>1146</v>
      </c>
      <c r="C564" s="4">
        <v>9</v>
      </c>
      <c r="D564" s="4" t="s">
        <v>1976</v>
      </c>
      <c r="E564" s="4">
        <v>2</v>
      </c>
      <c r="F564" s="4" t="str">
        <f ca="1">Master_List!$AW$1</f>
        <v>PERPUSTAKAAN PUSAT</v>
      </c>
      <c r="G564" s="4" t="str">
        <f ca="1">Master_List!$AW$2</f>
        <v>09:30 PM</v>
      </c>
      <c r="H564" s="4" t="str">
        <f ca="1">Master_List!$AW$3</f>
        <v>20/07/2026</v>
      </c>
      <c r="I564" s="4" t="str">
        <f ca="1">Master_List!$AW$4</f>
        <v>28.5</v>
      </c>
      <c r="J564" s="4" t="str">
        <f ca="1">Master_List!$AW$5</f>
        <v>65</v>
      </c>
      <c r="K564" s="4" t="s">
        <v>573</v>
      </c>
      <c r="BL564" s="4" t="s">
        <v>1744</v>
      </c>
      <c r="BM564" s="4" t="s">
        <v>2036</v>
      </c>
      <c r="BN564" s="4" t="s">
        <v>1746</v>
      </c>
      <c r="BO564" s="4" t="str">
        <f t="shared" si="8"/>
        <v>C:\Users\aremi\Desktop\REPORT CBM\PO TIANU JB\03. Raw Material\40. 10052026 SSU MEDINI SIGNATURE 33KV (VI)\IR</v>
      </c>
      <c r="BP564" t="s">
        <v>1149</v>
      </c>
    </row>
    <row r="565" spans="1:68" thickBot="1" x14ac:dyDescent="0.3">
      <c r="A565" s="4">
        <v>282</v>
      </c>
      <c r="B565" s="4" t="s">
        <v>1146</v>
      </c>
      <c r="C565" s="4">
        <v>9</v>
      </c>
      <c r="D565" s="4" t="s">
        <v>1976</v>
      </c>
      <c r="E565" s="4">
        <v>2</v>
      </c>
      <c r="F565" s="4" t="str">
        <f ca="1">Master_List!$AW$1</f>
        <v>PERPUSTAKAAN PUSAT</v>
      </c>
      <c r="G565" s="4" t="str">
        <f ca="1">Master_List!$AW$2</f>
        <v>09:30 PM</v>
      </c>
      <c r="H565" s="4" t="str">
        <f ca="1">Master_List!$AW$3</f>
        <v>20/07/2026</v>
      </c>
      <c r="I565" s="4" t="str">
        <f ca="1">Master_List!$AW$4</f>
        <v>28.5</v>
      </c>
      <c r="J565" s="4" t="str">
        <f ca="1">Master_List!$AW$5</f>
        <v>65</v>
      </c>
      <c r="K565" s="4" t="s">
        <v>573</v>
      </c>
      <c r="BL565" s="4" t="s">
        <v>1744</v>
      </c>
      <c r="BM565" s="4" t="s">
        <v>2036</v>
      </c>
      <c r="BN565" s="4" t="s">
        <v>1748</v>
      </c>
      <c r="BO565" s="4" t="str">
        <f t="shared" si="8"/>
        <v>C:\Users\aremi\Desktop\REPORT CBM\PO TIANU JB\03. Raw Material\40. 10052026 SSU MEDINI SIGNATURE 33KV (VI)\IR</v>
      </c>
      <c r="BP565" t="s">
        <v>1150</v>
      </c>
    </row>
    <row r="566" spans="1:68" thickBot="1" x14ac:dyDescent="0.3">
      <c r="A566" s="4">
        <v>283</v>
      </c>
      <c r="B566" s="4" t="s">
        <v>1146</v>
      </c>
      <c r="C566" s="4">
        <v>9</v>
      </c>
      <c r="D566" s="4" t="s">
        <v>1976</v>
      </c>
      <c r="E566" s="4">
        <v>3</v>
      </c>
      <c r="F566" s="4" t="str">
        <f ca="1">Master_List!$AW$1</f>
        <v>PERPUSTAKAAN PUSAT</v>
      </c>
      <c r="G566" s="4" t="str">
        <f ca="1">Master_List!$AW$2</f>
        <v>09:30 PM</v>
      </c>
      <c r="H566" s="4" t="str">
        <f ca="1">Master_List!$AW$3</f>
        <v>20/07/2026</v>
      </c>
      <c r="I566" s="4" t="str">
        <f ca="1">Master_List!$AW$4</f>
        <v>28.5</v>
      </c>
      <c r="J566" s="4" t="str">
        <f ca="1">Master_List!$AW$5</f>
        <v>65</v>
      </c>
      <c r="K566" s="4" t="s">
        <v>576</v>
      </c>
      <c r="BL566" s="4" t="s">
        <v>1744</v>
      </c>
      <c r="BM566" s="4" t="s">
        <v>2037</v>
      </c>
      <c r="BN566" s="4" t="s">
        <v>1746</v>
      </c>
      <c r="BO566" s="4" t="str">
        <f t="shared" si="8"/>
        <v>C:\Users\aremi\Desktop\REPORT CBM\PO TIANU JB\03. Raw Material\40. 10052026 SSU MEDINI SIGNATURE 33KV (VI)\IR</v>
      </c>
      <c r="BP566" t="s">
        <v>1151</v>
      </c>
    </row>
    <row r="567" spans="1:68" thickBot="1" x14ac:dyDescent="0.3">
      <c r="A567" s="4">
        <v>283</v>
      </c>
      <c r="B567" s="4" t="s">
        <v>1146</v>
      </c>
      <c r="C567" s="4">
        <v>9</v>
      </c>
      <c r="D567" s="4" t="s">
        <v>1976</v>
      </c>
      <c r="E567" s="4">
        <v>3</v>
      </c>
      <c r="F567" s="4" t="str">
        <f ca="1">Master_List!$AW$1</f>
        <v>PERPUSTAKAAN PUSAT</v>
      </c>
      <c r="G567" s="4" t="str">
        <f ca="1">Master_List!$AW$2</f>
        <v>09:30 PM</v>
      </c>
      <c r="H567" s="4" t="str">
        <f ca="1">Master_List!$AW$3</f>
        <v>20/07/2026</v>
      </c>
      <c r="I567" s="4" t="str">
        <f ca="1">Master_List!$AW$4</f>
        <v>28.5</v>
      </c>
      <c r="J567" s="4" t="str">
        <f ca="1">Master_List!$AW$5</f>
        <v>65</v>
      </c>
      <c r="K567" s="4" t="s">
        <v>576</v>
      </c>
      <c r="BL567" s="4" t="s">
        <v>1744</v>
      </c>
      <c r="BM567" s="4" t="s">
        <v>2037</v>
      </c>
      <c r="BN567" s="4" t="s">
        <v>1748</v>
      </c>
      <c r="BO567" s="4" t="str">
        <f t="shared" si="8"/>
        <v>C:\Users\aremi\Desktop\REPORT CBM\PO TIANU JB\03. Raw Material\40. 10052026 SSU MEDINI SIGNATURE 33KV (VI)\IR</v>
      </c>
      <c r="BP567" t="s">
        <v>1152</v>
      </c>
    </row>
    <row r="568" spans="1:68" thickBot="1" x14ac:dyDescent="0.3">
      <c r="A568" s="4">
        <v>284</v>
      </c>
      <c r="B568" s="4" t="s">
        <v>1146</v>
      </c>
      <c r="C568" s="4">
        <v>9</v>
      </c>
      <c r="D568" s="4" t="s">
        <v>1976</v>
      </c>
      <c r="E568" s="4">
        <v>4</v>
      </c>
      <c r="F568" s="4" t="str">
        <f ca="1">Master_List!$AW$1</f>
        <v>PERPUSTAKAAN PUSAT</v>
      </c>
      <c r="G568" s="4" t="str">
        <f ca="1">Master_List!$AW$2</f>
        <v>09:30 PM</v>
      </c>
      <c r="H568" s="4" t="str">
        <f ca="1">Master_List!$AW$3</f>
        <v>20/07/2026</v>
      </c>
      <c r="I568" s="4" t="str">
        <f ca="1">Master_List!$AW$4</f>
        <v>28.5</v>
      </c>
      <c r="J568" s="4" t="str">
        <f ca="1">Master_List!$AW$5</f>
        <v>65</v>
      </c>
      <c r="K568" s="4" t="s">
        <v>579</v>
      </c>
      <c r="BL568" s="4" t="s">
        <v>1744</v>
      </c>
      <c r="BM568" s="4" t="s">
        <v>2038</v>
      </c>
      <c r="BN568" s="4" t="s">
        <v>1746</v>
      </c>
      <c r="BO568" s="4" t="str">
        <f t="shared" si="8"/>
        <v>C:\Users\aremi\Desktop\REPORT CBM\PO TIANU JB\03. Raw Material\40. 10052026 SSU MEDINI SIGNATURE 33KV (VI)\IR</v>
      </c>
      <c r="BP568" t="s">
        <v>1153</v>
      </c>
    </row>
    <row r="569" spans="1:68" thickBot="1" x14ac:dyDescent="0.3">
      <c r="A569" s="4">
        <v>284</v>
      </c>
      <c r="B569" s="4" t="s">
        <v>1146</v>
      </c>
      <c r="C569" s="4">
        <v>9</v>
      </c>
      <c r="D569" s="4" t="s">
        <v>1976</v>
      </c>
      <c r="E569" s="4">
        <v>4</v>
      </c>
      <c r="F569" s="4" t="str">
        <f ca="1">Master_List!$AW$1</f>
        <v>PERPUSTAKAAN PUSAT</v>
      </c>
      <c r="G569" s="4" t="str">
        <f ca="1">Master_List!$AW$2</f>
        <v>09:30 PM</v>
      </c>
      <c r="H569" s="4" t="str">
        <f ca="1">Master_List!$AW$3</f>
        <v>20/07/2026</v>
      </c>
      <c r="I569" s="4" t="str">
        <f ca="1">Master_List!$AW$4</f>
        <v>28.5</v>
      </c>
      <c r="J569" s="4" t="str">
        <f ca="1">Master_List!$AW$5</f>
        <v>65</v>
      </c>
      <c r="K569" s="4" t="s">
        <v>579</v>
      </c>
      <c r="BL569" s="4" t="s">
        <v>1744</v>
      </c>
      <c r="BM569" s="4" t="s">
        <v>2038</v>
      </c>
      <c r="BN569" s="4" t="s">
        <v>1748</v>
      </c>
      <c r="BO569" s="4" t="str">
        <f t="shared" si="8"/>
        <v>C:\Users\aremi\Desktop\REPORT CBM\PO TIANU JB\03. Raw Material\40. 10052026 SSU MEDINI SIGNATURE 33KV (VI)\IR</v>
      </c>
      <c r="BP569" t="s">
        <v>1154</v>
      </c>
    </row>
    <row r="570" spans="1:68" thickBot="1" x14ac:dyDescent="0.3">
      <c r="A570" s="4">
        <v>285</v>
      </c>
      <c r="B570" s="4" t="s">
        <v>1146</v>
      </c>
      <c r="C570" s="4">
        <v>9</v>
      </c>
      <c r="D570" s="4" t="s">
        <v>1976</v>
      </c>
      <c r="E570" s="4">
        <v>5</v>
      </c>
      <c r="F570" s="4" t="str">
        <f ca="1">Master_List!$AW$1</f>
        <v>PERPUSTAKAAN PUSAT</v>
      </c>
      <c r="G570" s="4" t="str">
        <f ca="1">Master_List!$AW$2</f>
        <v>09:30 PM</v>
      </c>
      <c r="H570" s="4" t="str">
        <f ca="1">Master_List!$AW$3</f>
        <v>20/07/2026</v>
      </c>
      <c r="I570" s="4" t="str">
        <f ca="1">Master_List!$AW$4</f>
        <v>28.5</v>
      </c>
      <c r="J570" s="4" t="str">
        <f ca="1">Master_List!$AW$5</f>
        <v>65</v>
      </c>
      <c r="K570" s="4" t="s">
        <v>582</v>
      </c>
      <c r="BL570" s="4" t="s">
        <v>1744</v>
      </c>
      <c r="BM570" s="4" t="s">
        <v>2039</v>
      </c>
      <c r="BN570" s="4" t="s">
        <v>1746</v>
      </c>
      <c r="BO570" s="4" t="str">
        <f t="shared" si="8"/>
        <v>C:\Users\aremi\Desktop\REPORT CBM\PO TIANU JB\03. Raw Material\40. 10052026 SSU MEDINI SIGNATURE 33KV (VI)\IR</v>
      </c>
      <c r="BP570" t="s">
        <v>1155</v>
      </c>
    </row>
    <row r="571" spans="1:68" thickBot="1" x14ac:dyDescent="0.3">
      <c r="A571" s="4">
        <v>285</v>
      </c>
      <c r="B571" s="4" t="s">
        <v>1146</v>
      </c>
      <c r="C571" s="4">
        <v>9</v>
      </c>
      <c r="D571" s="4" t="s">
        <v>1976</v>
      </c>
      <c r="E571" s="4">
        <v>5</v>
      </c>
      <c r="F571" s="4" t="str">
        <f ca="1">Master_List!$AW$1</f>
        <v>PERPUSTAKAAN PUSAT</v>
      </c>
      <c r="G571" s="4" t="str">
        <f ca="1">Master_List!$AW$2</f>
        <v>09:30 PM</v>
      </c>
      <c r="H571" s="4" t="str">
        <f ca="1">Master_List!$AW$3</f>
        <v>20/07/2026</v>
      </c>
      <c r="I571" s="4" t="str">
        <f ca="1">Master_List!$AW$4</f>
        <v>28.5</v>
      </c>
      <c r="J571" s="4" t="str">
        <f ca="1">Master_List!$AW$5</f>
        <v>65</v>
      </c>
      <c r="K571" s="4" t="s">
        <v>582</v>
      </c>
      <c r="BL571" s="4" t="s">
        <v>1744</v>
      </c>
      <c r="BM571" s="4" t="s">
        <v>2039</v>
      </c>
      <c r="BN571" s="4" t="s">
        <v>1748</v>
      </c>
      <c r="BO571" s="4" t="str">
        <f t="shared" si="8"/>
        <v>C:\Users\aremi\Desktop\REPORT CBM\PO TIANU JB\03. Raw Material\40. 10052026 SSU MEDINI SIGNATURE 33KV (VI)\IR</v>
      </c>
      <c r="BP571" t="s">
        <v>1156</v>
      </c>
    </row>
    <row r="572" spans="1:68" thickBot="1" x14ac:dyDescent="0.3">
      <c r="A572" s="4">
        <v>286</v>
      </c>
      <c r="B572" s="4" t="s">
        <v>1146</v>
      </c>
      <c r="C572" s="4">
        <v>9</v>
      </c>
      <c r="D572" s="4" t="s">
        <v>1976</v>
      </c>
      <c r="E572" s="4">
        <v>6</v>
      </c>
      <c r="F572" s="4" t="str">
        <f ca="1">Master_List!$AW$1</f>
        <v>PERPUSTAKAAN PUSAT</v>
      </c>
      <c r="G572" s="4" t="str">
        <f ca="1">Master_List!$AW$2</f>
        <v>09:30 PM</v>
      </c>
      <c r="H572" s="4" t="str">
        <f ca="1">Master_List!$AW$3</f>
        <v>20/07/2026</v>
      </c>
      <c r="I572" s="4" t="str">
        <f ca="1">Master_List!$AW$4</f>
        <v>28.5</v>
      </c>
      <c r="J572" s="4" t="str">
        <f ca="1">Master_List!$AW$5</f>
        <v>65</v>
      </c>
      <c r="K572" s="4" t="s">
        <v>585</v>
      </c>
      <c r="BL572" s="4" t="s">
        <v>1744</v>
      </c>
      <c r="BM572" s="4" t="s">
        <v>2040</v>
      </c>
      <c r="BN572" s="4" t="s">
        <v>1746</v>
      </c>
      <c r="BO572" s="4" t="str">
        <f t="shared" si="8"/>
        <v>C:\Users\aremi\Desktop\REPORT CBM\PO TIANU JB\03. Raw Material\40. 10052026 SSU MEDINI SIGNATURE 33KV (VI)\IR</v>
      </c>
      <c r="BP572" t="s">
        <v>1157</v>
      </c>
    </row>
    <row r="573" spans="1:68" thickBot="1" x14ac:dyDescent="0.3">
      <c r="A573" s="4">
        <v>286</v>
      </c>
      <c r="B573" s="4" t="s">
        <v>1146</v>
      </c>
      <c r="C573" s="4">
        <v>9</v>
      </c>
      <c r="D573" s="4" t="s">
        <v>1976</v>
      </c>
      <c r="E573" s="4">
        <v>6</v>
      </c>
      <c r="F573" s="4" t="str">
        <f ca="1">Master_List!$AW$1</f>
        <v>PERPUSTAKAAN PUSAT</v>
      </c>
      <c r="G573" s="4" t="str">
        <f ca="1">Master_List!$AW$2</f>
        <v>09:30 PM</v>
      </c>
      <c r="H573" s="4" t="str">
        <f ca="1">Master_List!$AW$3</f>
        <v>20/07/2026</v>
      </c>
      <c r="I573" s="4" t="str">
        <f ca="1">Master_List!$AW$4</f>
        <v>28.5</v>
      </c>
      <c r="J573" s="4" t="str">
        <f ca="1">Master_List!$AW$5</f>
        <v>65</v>
      </c>
      <c r="K573" s="4" t="s">
        <v>585</v>
      </c>
      <c r="BL573" s="4" t="s">
        <v>1744</v>
      </c>
      <c r="BM573" s="4" t="s">
        <v>2040</v>
      </c>
      <c r="BN573" s="4" t="s">
        <v>1748</v>
      </c>
      <c r="BO573" s="4" t="str">
        <f t="shared" si="8"/>
        <v>C:\Users\aremi\Desktop\REPORT CBM\PO TIANU JB\03. Raw Material\40. 10052026 SSU MEDINI SIGNATURE 33KV (VI)\IR</v>
      </c>
      <c r="BP573" t="s">
        <v>1158</v>
      </c>
    </row>
    <row r="574" spans="1:68" thickBot="1" x14ac:dyDescent="0.3">
      <c r="A574" s="4">
        <v>287</v>
      </c>
      <c r="B574" s="4" t="s">
        <v>1146</v>
      </c>
      <c r="C574" s="4">
        <v>9</v>
      </c>
      <c r="D574" s="4" t="s">
        <v>1983</v>
      </c>
      <c r="E574" s="4">
        <v>7</v>
      </c>
      <c r="F574" s="4" t="str">
        <f ca="1">Master_List!$AW$1</f>
        <v>PERPUSTAKAAN PUSAT</v>
      </c>
      <c r="G574" s="4" t="str">
        <f ca="1">Master_List!$AW$2</f>
        <v>09:30 PM</v>
      </c>
      <c r="H574" s="4" t="str">
        <f ca="1">Master_List!$AW$3</f>
        <v>20/07/2026</v>
      </c>
      <c r="I574" s="4" t="str">
        <f ca="1">Master_List!$AW$4</f>
        <v>28.5</v>
      </c>
      <c r="J574" s="4" t="str">
        <f ca="1">Master_List!$AW$5</f>
        <v>65</v>
      </c>
      <c r="K574" s="4" t="s">
        <v>588</v>
      </c>
      <c r="BL574" s="4" t="s">
        <v>1744</v>
      </c>
      <c r="BM574" s="4" t="s">
        <v>2041</v>
      </c>
      <c r="BN574" s="4" t="s">
        <v>1746</v>
      </c>
      <c r="BO574" s="4" t="str">
        <f t="shared" si="8"/>
        <v>C:\Users\aremi\Desktop\REPORT CBM\PO TIANU JB\03. Raw Material\40. 10052026 SSU MEDINI SIGNATURE 33KV (VI)\IR</v>
      </c>
      <c r="BP574" t="s">
        <v>1159</v>
      </c>
    </row>
    <row r="575" spans="1:68" thickBot="1" x14ac:dyDescent="0.3">
      <c r="A575" s="4">
        <v>287</v>
      </c>
      <c r="B575" s="4" t="s">
        <v>1146</v>
      </c>
      <c r="C575" s="4">
        <v>9</v>
      </c>
      <c r="D575" s="4" t="s">
        <v>1983</v>
      </c>
      <c r="E575" s="4">
        <v>7</v>
      </c>
      <c r="F575" s="4" t="str">
        <f ca="1">Master_List!$AW$1</f>
        <v>PERPUSTAKAAN PUSAT</v>
      </c>
      <c r="G575" s="4" t="str">
        <f ca="1">Master_List!$AW$2</f>
        <v>09:30 PM</v>
      </c>
      <c r="H575" s="4" t="str">
        <f ca="1">Master_List!$AW$3</f>
        <v>20/07/2026</v>
      </c>
      <c r="I575" s="4" t="str">
        <f ca="1">Master_List!$AW$4</f>
        <v>28.5</v>
      </c>
      <c r="J575" s="4" t="str">
        <f ca="1">Master_List!$AW$5</f>
        <v>65</v>
      </c>
      <c r="K575" s="4" t="s">
        <v>588</v>
      </c>
      <c r="BL575" s="4" t="s">
        <v>1744</v>
      </c>
      <c r="BM575" s="4" t="s">
        <v>2041</v>
      </c>
      <c r="BN575" s="4" t="s">
        <v>1748</v>
      </c>
      <c r="BO575" s="4" t="str">
        <f t="shared" si="8"/>
        <v>C:\Users\aremi\Desktop\REPORT CBM\PO TIANU JB\03. Raw Material\40. 10052026 SSU MEDINI SIGNATURE 33KV (VI)\IR</v>
      </c>
      <c r="BP575" t="s">
        <v>1160</v>
      </c>
    </row>
    <row r="576" spans="1:68" thickBot="1" x14ac:dyDescent="0.3">
      <c r="A576" s="4">
        <v>288</v>
      </c>
      <c r="B576" s="4" t="s">
        <v>1146</v>
      </c>
      <c r="C576" s="4">
        <v>9</v>
      </c>
      <c r="D576" s="4" t="s">
        <v>1985</v>
      </c>
      <c r="E576" s="4">
        <v>8</v>
      </c>
      <c r="F576" s="4" t="str">
        <f ca="1">Master_List!$AW$1</f>
        <v>PERPUSTAKAAN PUSAT</v>
      </c>
      <c r="G576" s="4" t="str">
        <f ca="1">Master_List!$AW$2</f>
        <v>09:30 PM</v>
      </c>
      <c r="H576" s="4" t="str">
        <f ca="1">Master_List!$AW$3</f>
        <v>20/07/2026</v>
      </c>
      <c r="I576" s="4" t="str">
        <f ca="1">Master_List!$AW$4</f>
        <v>28.5</v>
      </c>
      <c r="J576" s="4" t="str">
        <f ca="1">Master_List!$AW$5</f>
        <v>65</v>
      </c>
      <c r="K576" s="4" t="s">
        <v>591</v>
      </c>
      <c r="BL576" s="4" t="s">
        <v>1744</v>
      </c>
      <c r="BM576" s="4" t="s">
        <v>2042</v>
      </c>
      <c r="BN576" s="4" t="s">
        <v>1746</v>
      </c>
      <c r="BO576" s="4" t="str">
        <f t="shared" si="8"/>
        <v>C:\Users\aremi\Desktop\REPORT CBM\PO TIANU JB\03. Raw Material\40. 10052026 SSU MEDINI SIGNATURE 33KV (VI)\IR</v>
      </c>
      <c r="BP576" t="s">
        <v>1161</v>
      </c>
    </row>
    <row r="577" spans="1:68" thickBot="1" x14ac:dyDescent="0.3">
      <c r="A577" s="4">
        <v>288</v>
      </c>
      <c r="B577" s="4" t="s">
        <v>1146</v>
      </c>
      <c r="C577" s="4">
        <v>9</v>
      </c>
      <c r="D577" s="4" t="s">
        <v>1985</v>
      </c>
      <c r="E577" s="4">
        <v>8</v>
      </c>
      <c r="F577" s="4" t="str">
        <f ca="1">Master_List!$AW$1</f>
        <v>PERPUSTAKAAN PUSAT</v>
      </c>
      <c r="G577" s="4" t="str">
        <f ca="1">Master_List!$AW$2</f>
        <v>09:30 PM</v>
      </c>
      <c r="H577" s="4" t="str">
        <f ca="1">Master_List!$AW$3</f>
        <v>20/07/2026</v>
      </c>
      <c r="I577" s="4" t="str">
        <f ca="1">Master_List!$AW$4</f>
        <v>28.5</v>
      </c>
      <c r="J577" s="4" t="str">
        <f ca="1">Master_List!$AW$5</f>
        <v>65</v>
      </c>
      <c r="K577" s="4" t="s">
        <v>591</v>
      </c>
      <c r="BL577" s="4" t="s">
        <v>1744</v>
      </c>
      <c r="BM577" s="4" t="s">
        <v>2042</v>
      </c>
      <c r="BN577" s="4" t="s">
        <v>1748</v>
      </c>
      <c r="BO577" s="4" t="str">
        <f t="shared" si="8"/>
        <v>C:\Users\aremi\Desktop\REPORT CBM\PO TIANU JB\03. Raw Material\40. 10052026 SSU MEDINI SIGNATURE 33KV (VI)\IR</v>
      </c>
      <c r="BP577" t="s">
        <v>1162</v>
      </c>
    </row>
    <row r="578" spans="1:68" thickBot="1" x14ac:dyDescent="0.3">
      <c r="A578" s="4">
        <v>289</v>
      </c>
      <c r="B578" s="4" t="s">
        <v>1163</v>
      </c>
      <c r="C578" s="4">
        <v>9</v>
      </c>
      <c r="D578" s="4" t="s">
        <v>1976</v>
      </c>
      <c r="E578" s="4">
        <v>1</v>
      </c>
      <c r="F578" s="4" t="str">
        <f ca="1">Master_List!$AW$1</f>
        <v>PERPUSTAKAAN PUSAT</v>
      </c>
      <c r="G578" s="4" t="str">
        <f ca="1">Master_List!$AW$2</f>
        <v>09:30 PM</v>
      </c>
      <c r="H578" s="4" t="str">
        <f ca="1">Master_List!$AW$3</f>
        <v>20/07/2026</v>
      </c>
      <c r="I578" s="4" t="str">
        <f ca="1">Master_List!$AW$4</f>
        <v>28.5</v>
      </c>
      <c r="J578" s="4" t="str">
        <f ca="1">Master_List!$AW$5</f>
        <v>65</v>
      </c>
      <c r="K578" s="4" t="s">
        <v>570</v>
      </c>
      <c r="BL578" s="4" t="s">
        <v>1744</v>
      </c>
      <c r="BM578" s="4" t="s">
        <v>2043</v>
      </c>
      <c r="BN578" s="4" t="s">
        <v>1746</v>
      </c>
      <c r="BO578" s="4" t="str">
        <f t="shared" si="8"/>
        <v>C:\Users\aremi\Desktop\REPORT CBM\PO TIANU JB\03. Raw Material\40. 10052026 SSU MEDINI SIGNATURE 33KV (VI)\IR</v>
      </c>
      <c r="BP578" t="s">
        <v>1164</v>
      </c>
    </row>
    <row r="579" spans="1:68" thickBot="1" x14ac:dyDescent="0.3">
      <c r="A579" s="4">
        <v>289</v>
      </c>
      <c r="B579" s="4" t="s">
        <v>1163</v>
      </c>
      <c r="C579" s="4">
        <v>9</v>
      </c>
      <c r="D579" s="4" t="s">
        <v>1976</v>
      </c>
      <c r="E579" s="4">
        <v>1</v>
      </c>
      <c r="F579" s="4" t="str">
        <f ca="1">Master_List!$AW$1</f>
        <v>PERPUSTAKAAN PUSAT</v>
      </c>
      <c r="G579" s="4" t="str">
        <f ca="1">Master_List!$AW$2</f>
        <v>09:30 PM</v>
      </c>
      <c r="H579" s="4" t="str">
        <f ca="1">Master_List!$AW$3</f>
        <v>20/07/2026</v>
      </c>
      <c r="I579" s="4" t="str">
        <f ca="1">Master_List!$AW$4</f>
        <v>28.5</v>
      </c>
      <c r="J579" s="4" t="str">
        <f ca="1">Master_List!$AW$5</f>
        <v>65</v>
      </c>
      <c r="K579" s="4" t="s">
        <v>570</v>
      </c>
      <c r="BL579" s="4" t="s">
        <v>1744</v>
      </c>
      <c r="BM579" s="4" t="s">
        <v>2043</v>
      </c>
      <c r="BN579" s="4" t="s">
        <v>1748</v>
      </c>
      <c r="BO579" s="4" t="str">
        <f t="shared" ref="BO579:BO642" si="9">BO578</f>
        <v>C:\Users\aremi\Desktop\REPORT CBM\PO TIANU JB\03. Raw Material\40. 10052026 SSU MEDINI SIGNATURE 33KV (VI)\IR</v>
      </c>
      <c r="BP579" t="s">
        <v>1165</v>
      </c>
    </row>
    <row r="580" spans="1:68" thickBot="1" x14ac:dyDescent="0.3">
      <c r="A580" s="4">
        <v>290</v>
      </c>
      <c r="B580" s="4" t="s">
        <v>1163</v>
      </c>
      <c r="C580" s="4">
        <v>9</v>
      </c>
      <c r="D580" s="4" t="s">
        <v>1976</v>
      </c>
      <c r="E580" s="4">
        <v>2</v>
      </c>
      <c r="F580" s="4" t="str">
        <f ca="1">Master_List!$AW$1</f>
        <v>PERPUSTAKAAN PUSAT</v>
      </c>
      <c r="G580" s="4" t="str">
        <f ca="1">Master_List!$AW$2</f>
        <v>09:30 PM</v>
      </c>
      <c r="H580" s="4" t="str">
        <f ca="1">Master_List!$AW$3</f>
        <v>20/07/2026</v>
      </c>
      <c r="I580" s="4" t="str">
        <f ca="1">Master_List!$AW$4</f>
        <v>28.5</v>
      </c>
      <c r="J580" s="4" t="str">
        <f ca="1">Master_List!$AW$5</f>
        <v>65</v>
      </c>
      <c r="K580" s="4" t="s">
        <v>573</v>
      </c>
      <c r="BL580" s="4" t="s">
        <v>1744</v>
      </c>
      <c r="BM580" s="4" t="s">
        <v>2044</v>
      </c>
      <c r="BN580" s="4" t="s">
        <v>1746</v>
      </c>
      <c r="BO580" s="4" t="str">
        <f t="shared" si="9"/>
        <v>C:\Users\aremi\Desktop\REPORT CBM\PO TIANU JB\03. Raw Material\40. 10052026 SSU MEDINI SIGNATURE 33KV (VI)\IR</v>
      </c>
      <c r="BP580" t="s">
        <v>1166</v>
      </c>
    </row>
    <row r="581" spans="1:68" thickBot="1" x14ac:dyDescent="0.3">
      <c r="A581" s="4">
        <v>290</v>
      </c>
      <c r="B581" s="4" t="s">
        <v>1163</v>
      </c>
      <c r="C581" s="4">
        <v>9</v>
      </c>
      <c r="D581" s="4" t="s">
        <v>1976</v>
      </c>
      <c r="E581" s="4">
        <v>2</v>
      </c>
      <c r="F581" s="4" t="str">
        <f ca="1">Master_List!$AW$1</f>
        <v>PERPUSTAKAAN PUSAT</v>
      </c>
      <c r="G581" s="4" t="str">
        <f ca="1">Master_List!$AW$2</f>
        <v>09:30 PM</v>
      </c>
      <c r="H581" s="4" t="str">
        <f ca="1">Master_List!$AW$3</f>
        <v>20/07/2026</v>
      </c>
      <c r="I581" s="4" t="str">
        <f ca="1">Master_List!$AW$4</f>
        <v>28.5</v>
      </c>
      <c r="J581" s="4" t="str">
        <f ca="1">Master_List!$AW$5</f>
        <v>65</v>
      </c>
      <c r="K581" s="4" t="s">
        <v>573</v>
      </c>
      <c r="BL581" s="4" t="s">
        <v>1744</v>
      </c>
      <c r="BM581" s="4" t="s">
        <v>2044</v>
      </c>
      <c r="BN581" s="4" t="s">
        <v>1748</v>
      </c>
      <c r="BO581" s="4" t="str">
        <f t="shared" si="9"/>
        <v>C:\Users\aremi\Desktop\REPORT CBM\PO TIANU JB\03. Raw Material\40. 10052026 SSU MEDINI SIGNATURE 33KV (VI)\IR</v>
      </c>
      <c r="BP581" t="s">
        <v>1167</v>
      </c>
    </row>
    <row r="582" spans="1:68" thickBot="1" x14ac:dyDescent="0.3">
      <c r="A582" s="4">
        <v>291</v>
      </c>
      <c r="B582" s="4" t="s">
        <v>1163</v>
      </c>
      <c r="C582" s="4">
        <v>9</v>
      </c>
      <c r="D582" s="4" t="s">
        <v>1976</v>
      </c>
      <c r="E582" s="4">
        <v>3</v>
      </c>
      <c r="F582" s="4" t="str">
        <f ca="1">Master_List!$AW$1</f>
        <v>PERPUSTAKAAN PUSAT</v>
      </c>
      <c r="G582" s="4" t="str">
        <f ca="1">Master_List!$AW$2</f>
        <v>09:30 PM</v>
      </c>
      <c r="H582" s="4" t="str">
        <f ca="1">Master_List!$AW$3</f>
        <v>20/07/2026</v>
      </c>
      <c r="I582" s="4" t="str">
        <f ca="1">Master_List!$AW$4</f>
        <v>28.5</v>
      </c>
      <c r="J582" s="4" t="str">
        <f ca="1">Master_List!$AW$5</f>
        <v>65</v>
      </c>
      <c r="K582" s="4" t="s">
        <v>576</v>
      </c>
      <c r="BL582" s="4" t="s">
        <v>1744</v>
      </c>
      <c r="BM582" s="4" t="s">
        <v>2045</v>
      </c>
      <c r="BN582" s="4" t="s">
        <v>1746</v>
      </c>
      <c r="BO582" s="4" t="str">
        <f t="shared" si="9"/>
        <v>C:\Users\aremi\Desktop\REPORT CBM\PO TIANU JB\03. Raw Material\40. 10052026 SSU MEDINI SIGNATURE 33KV (VI)\IR</v>
      </c>
      <c r="BP582" t="s">
        <v>1168</v>
      </c>
    </row>
    <row r="583" spans="1:68" thickBot="1" x14ac:dyDescent="0.3">
      <c r="A583" s="4">
        <v>291</v>
      </c>
      <c r="B583" s="4" t="s">
        <v>1163</v>
      </c>
      <c r="C583" s="4">
        <v>9</v>
      </c>
      <c r="D583" s="4" t="s">
        <v>1976</v>
      </c>
      <c r="E583" s="4">
        <v>3</v>
      </c>
      <c r="F583" s="4" t="str">
        <f ca="1">Master_List!$AW$1</f>
        <v>PERPUSTAKAAN PUSAT</v>
      </c>
      <c r="G583" s="4" t="str">
        <f ca="1">Master_List!$AW$2</f>
        <v>09:30 PM</v>
      </c>
      <c r="H583" s="4" t="str">
        <f ca="1">Master_List!$AW$3</f>
        <v>20/07/2026</v>
      </c>
      <c r="I583" s="4" t="str">
        <f ca="1">Master_List!$AW$4</f>
        <v>28.5</v>
      </c>
      <c r="J583" s="4" t="str">
        <f ca="1">Master_List!$AW$5</f>
        <v>65</v>
      </c>
      <c r="K583" s="4" t="s">
        <v>576</v>
      </c>
      <c r="BL583" s="4" t="s">
        <v>1744</v>
      </c>
      <c r="BM583" s="4" t="s">
        <v>2045</v>
      </c>
      <c r="BN583" s="4" t="s">
        <v>1748</v>
      </c>
      <c r="BO583" s="4" t="str">
        <f t="shared" si="9"/>
        <v>C:\Users\aremi\Desktop\REPORT CBM\PO TIANU JB\03. Raw Material\40. 10052026 SSU MEDINI SIGNATURE 33KV (VI)\IR</v>
      </c>
      <c r="BP583" t="s">
        <v>1169</v>
      </c>
    </row>
    <row r="584" spans="1:68" thickBot="1" x14ac:dyDescent="0.3">
      <c r="A584" s="4">
        <v>292</v>
      </c>
      <c r="B584" s="4" t="s">
        <v>1163</v>
      </c>
      <c r="C584" s="4">
        <v>9</v>
      </c>
      <c r="D584" s="4" t="s">
        <v>1976</v>
      </c>
      <c r="E584" s="4">
        <v>4</v>
      </c>
      <c r="F584" s="4" t="str">
        <f ca="1">Master_List!$AW$1</f>
        <v>PERPUSTAKAAN PUSAT</v>
      </c>
      <c r="G584" s="4" t="str">
        <f ca="1">Master_List!$AW$2</f>
        <v>09:30 PM</v>
      </c>
      <c r="H584" s="4" t="str">
        <f ca="1">Master_List!$AW$3</f>
        <v>20/07/2026</v>
      </c>
      <c r="I584" s="4" t="str">
        <f ca="1">Master_List!$AW$4</f>
        <v>28.5</v>
      </c>
      <c r="J584" s="4" t="str">
        <f ca="1">Master_List!$AW$5</f>
        <v>65</v>
      </c>
      <c r="K584" s="4" t="s">
        <v>579</v>
      </c>
      <c r="BL584" s="4" t="s">
        <v>1744</v>
      </c>
      <c r="BM584" s="4" t="s">
        <v>2046</v>
      </c>
      <c r="BN584" s="4" t="s">
        <v>1746</v>
      </c>
      <c r="BO584" s="4" t="str">
        <f t="shared" si="9"/>
        <v>C:\Users\aremi\Desktop\REPORT CBM\PO TIANU JB\03. Raw Material\40. 10052026 SSU MEDINI SIGNATURE 33KV (VI)\IR</v>
      </c>
      <c r="BP584" t="s">
        <v>1170</v>
      </c>
    </row>
    <row r="585" spans="1:68" thickBot="1" x14ac:dyDescent="0.3">
      <c r="A585" s="4">
        <v>292</v>
      </c>
      <c r="B585" s="4" t="s">
        <v>1163</v>
      </c>
      <c r="C585" s="4">
        <v>9</v>
      </c>
      <c r="D585" s="4" t="s">
        <v>1976</v>
      </c>
      <c r="E585" s="4">
        <v>4</v>
      </c>
      <c r="F585" s="4" t="str">
        <f ca="1">Master_List!$AW$1</f>
        <v>PERPUSTAKAAN PUSAT</v>
      </c>
      <c r="G585" s="4" t="str">
        <f ca="1">Master_List!$AW$2</f>
        <v>09:30 PM</v>
      </c>
      <c r="H585" s="4" t="str">
        <f ca="1">Master_List!$AW$3</f>
        <v>20/07/2026</v>
      </c>
      <c r="I585" s="4" t="str">
        <f ca="1">Master_List!$AW$4</f>
        <v>28.5</v>
      </c>
      <c r="J585" s="4" t="str">
        <f ca="1">Master_List!$AW$5</f>
        <v>65</v>
      </c>
      <c r="K585" s="4" t="s">
        <v>579</v>
      </c>
      <c r="BL585" s="4" t="s">
        <v>1744</v>
      </c>
      <c r="BM585" s="4" t="s">
        <v>2046</v>
      </c>
      <c r="BN585" s="4" t="s">
        <v>1748</v>
      </c>
      <c r="BO585" s="4" t="str">
        <f t="shared" si="9"/>
        <v>C:\Users\aremi\Desktop\REPORT CBM\PO TIANU JB\03. Raw Material\40. 10052026 SSU MEDINI SIGNATURE 33KV (VI)\IR</v>
      </c>
      <c r="BP585" t="s">
        <v>1171</v>
      </c>
    </row>
    <row r="586" spans="1:68" thickBot="1" x14ac:dyDescent="0.3">
      <c r="A586" s="4">
        <v>293</v>
      </c>
      <c r="B586" s="4" t="s">
        <v>1163</v>
      </c>
      <c r="C586" s="4">
        <v>9</v>
      </c>
      <c r="D586" s="4" t="s">
        <v>1976</v>
      </c>
      <c r="E586" s="4">
        <v>5</v>
      </c>
      <c r="F586" s="4" t="str">
        <f ca="1">Master_List!$AW$1</f>
        <v>PERPUSTAKAAN PUSAT</v>
      </c>
      <c r="G586" s="4" t="str">
        <f ca="1">Master_List!$AW$2</f>
        <v>09:30 PM</v>
      </c>
      <c r="H586" s="4" t="str">
        <f ca="1">Master_List!$AW$3</f>
        <v>20/07/2026</v>
      </c>
      <c r="I586" s="4" t="str">
        <f ca="1">Master_List!$AW$4</f>
        <v>28.5</v>
      </c>
      <c r="J586" s="4" t="str">
        <f ca="1">Master_List!$AW$5</f>
        <v>65</v>
      </c>
      <c r="K586" s="4" t="s">
        <v>582</v>
      </c>
      <c r="BL586" s="4" t="s">
        <v>1744</v>
      </c>
      <c r="BM586" s="4" t="s">
        <v>2047</v>
      </c>
      <c r="BN586" s="4" t="s">
        <v>1746</v>
      </c>
      <c r="BO586" s="4" t="str">
        <f t="shared" si="9"/>
        <v>C:\Users\aremi\Desktop\REPORT CBM\PO TIANU JB\03. Raw Material\40. 10052026 SSU MEDINI SIGNATURE 33KV (VI)\IR</v>
      </c>
      <c r="BP586" t="s">
        <v>1172</v>
      </c>
    </row>
    <row r="587" spans="1:68" thickBot="1" x14ac:dyDescent="0.3">
      <c r="A587" s="4">
        <v>293</v>
      </c>
      <c r="B587" s="4" t="s">
        <v>1163</v>
      </c>
      <c r="C587" s="4">
        <v>9</v>
      </c>
      <c r="D587" s="4" t="s">
        <v>1976</v>
      </c>
      <c r="E587" s="4">
        <v>5</v>
      </c>
      <c r="F587" s="4" t="str">
        <f ca="1">Master_List!$AW$1</f>
        <v>PERPUSTAKAAN PUSAT</v>
      </c>
      <c r="G587" s="4" t="str">
        <f ca="1">Master_List!$AW$2</f>
        <v>09:30 PM</v>
      </c>
      <c r="H587" s="4" t="str">
        <f ca="1">Master_List!$AW$3</f>
        <v>20/07/2026</v>
      </c>
      <c r="I587" s="4" t="str">
        <f ca="1">Master_List!$AW$4</f>
        <v>28.5</v>
      </c>
      <c r="J587" s="4" t="str">
        <f ca="1">Master_List!$AW$5</f>
        <v>65</v>
      </c>
      <c r="K587" s="4" t="s">
        <v>582</v>
      </c>
      <c r="BL587" s="4" t="s">
        <v>1744</v>
      </c>
      <c r="BM587" s="4" t="s">
        <v>2047</v>
      </c>
      <c r="BN587" s="4" t="s">
        <v>1748</v>
      </c>
      <c r="BO587" s="4" t="str">
        <f t="shared" si="9"/>
        <v>C:\Users\aremi\Desktop\REPORT CBM\PO TIANU JB\03. Raw Material\40. 10052026 SSU MEDINI SIGNATURE 33KV (VI)\IR</v>
      </c>
      <c r="BP587" t="s">
        <v>1173</v>
      </c>
    </row>
    <row r="588" spans="1:68" thickBot="1" x14ac:dyDescent="0.3">
      <c r="A588" s="4">
        <v>294</v>
      </c>
      <c r="B588" s="4" t="s">
        <v>1163</v>
      </c>
      <c r="C588" s="4">
        <v>9</v>
      </c>
      <c r="D588" s="4" t="s">
        <v>1976</v>
      </c>
      <c r="E588" s="4">
        <v>6</v>
      </c>
      <c r="F588" s="4" t="str">
        <f ca="1">Master_List!$AW$1</f>
        <v>PERPUSTAKAAN PUSAT</v>
      </c>
      <c r="G588" s="4" t="str">
        <f ca="1">Master_List!$AW$2</f>
        <v>09:30 PM</v>
      </c>
      <c r="H588" s="4" t="str">
        <f ca="1">Master_List!$AW$3</f>
        <v>20/07/2026</v>
      </c>
      <c r="I588" s="4" t="str">
        <f ca="1">Master_List!$AW$4</f>
        <v>28.5</v>
      </c>
      <c r="J588" s="4" t="str">
        <f ca="1">Master_List!$AW$5</f>
        <v>65</v>
      </c>
      <c r="K588" s="4" t="s">
        <v>585</v>
      </c>
      <c r="BL588" s="4" t="s">
        <v>1744</v>
      </c>
      <c r="BM588" s="4" t="s">
        <v>2048</v>
      </c>
      <c r="BN588" s="4" t="s">
        <v>1746</v>
      </c>
      <c r="BO588" s="4" t="str">
        <f t="shared" si="9"/>
        <v>C:\Users\aremi\Desktop\REPORT CBM\PO TIANU JB\03. Raw Material\40. 10052026 SSU MEDINI SIGNATURE 33KV (VI)\IR</v>
      </c>
      <c r="BP588" t="s">
        <v>1174</v>
      </c>
    </row>
    <row r="589" spans="1:68" thickBot="1" x14ac:dyDescent="0.3">
      <c r="A589" s="4">
        <v>294</v>
      </c>
      <c r="B589" s="4" t="s">
        <v>1163</v>
      </c>
      <c r="C589" s="4">
        <v>9</v>
      </c>
      <c r="D589" s="4" t="s">
        <v>1976</v>
      </c>
      <c r="E589" s="4">
        <v>6</v>
      </c>
      <c r="F589" s="4" t="str">
        <f ca="1">Master_List!$AW$1</f>
        <v>PERPUSTAKAAN PUSAT</v>
      </c>
      <c r="G589" s="4" t="str">
        <f ca="1">Master_List!$AW$2</f>
        <v>09:30 PM</v>
      </c>
      <c r="H589" s="4" t="str">
        <f ca="1">Master_List!$AW$3</f>
        <v>20/07/2026</v>
      </c>
      <c r="I589" s="4" t="str">
        <f ca="1">Master_List!$AW$4</f>
        <v>28.5</v>
      </c>
      <c r="J589" s="4" t="str">
        <f ca="1">Master_List!$AW$5</f>
        <v>65</v>
      </c>
      <c r="K589" s="4" t="s">
        <v>585</v>
      </c>
      <c r="BL589" s="4" t="s">
        <v>1744</v>
      </c>
      <c r="BM589" s="4" t="s">
        <v>2048</v>
      </c>
      <c r="BN589" s="4" t="s">
        <v>1748</v>
      </c>
      <c r="BO589" s="4" t="str">
        <f t="shared" si="9"/>
        <v>C:\Users\aremi\Desktop\REPORT CBM\PO TIANU JB\03. Raw Material\40. 10052026 SSU MEDINI SIGNATURE 33KV (VI)\IR</v>
      </c>
      <c r="BP589" t="s">
        <v>1175</v>
      </c>
    </row>
    <row r="590" spans="1:68" thickBot="1" x14ac:dyDescent="0.3">
      <c r="A590" s="4">
        <v>295</v>
      </c>
      <c r="B590" s="4" t="s">
        <v>1163</v>
      </c>
      <c r="C590" s="4">
        <v>9</v>
      </c>
      <c r="D590" s="4" t="s">
        <v>1983</v>
      </c>
      <c r="E590" s="4">
        <v>7</v>
      </c>
      <c r="F590" s="4" t="str">
        <f ca="1">Master_List!$AW$1</f>
        <v>PERPUSTAKAAN PUSAT</v>
      </c>
      <c r="G590" s="4" t="str">
        <f ca="1">Master_List!$AW$2</f>
        <v>09:30 PM</v>
      </c>
      <c r="H590" s="4" t="str">
        <f ca="1">Master_List!$AW$3</f>
        <v>20/07/2026</v>
      </c>
      <c r="I590" s="4" t="str">
        <f ca="1">Master_List!$AW$4</f>
        <v>28.5</v>
      </c>
      <c r="J590" s="4" t="str">
        <f ca="1">Master_List!$AW$5</f>
        <v>65</v>
      </c>
      <c r="K590" s="4" t="s">
        <v>588</v>
      </c>
      <c r="BL590" s="4" t="s">
        <v>1744</v>
      </c>
      <c r="BM590" s="4" t="s">
        <v>2049</v>
      </c>
      <c r="BN590" s="4" t="s">
        <v>1746</v>
      </c>
      <c r="BO590" s="4" t="str">
        <f t="shared" si="9"/>
        <v>C:\Users\aremi\Desktop\REPORT CBM\PO TIANU JB\03. Raw Material\40. 10052026 SSU MEDINI SIGNATURE 33KV (VI)\IR</v>
      </c>
      <c r="BP590" t="s">
        <v>1176</v>
      </c>
    </row>
    <row r="591" spans="1:68" thickBot="1" x14ac:dyDescent="0.3">
      <c r="A591" s="4">
        <v>295</v>
      </c>
      <c r="B591" s="4" t="s">
        <v>1163</v>
      </c>
      <c r="C591" s="4">
        <v>9</v>
      </c>
      <c r="D591" s="4" t="s">
        <v>1983</v>
      </c>
      <c r="E591" s="4">
        <v>7</v>
      </c>
      <c r="F591" s="4" t="str">
        <f ca="1">Master_List!$AW$1</f>
        <v>PERPUSTAKAAN PUSAT</v>
      </c>
      <c r="G591" s="4" t="str">
        <f ca="1">Master_List!$AW$2</f>
        <v>09:30 PM</v>
      </c>
      <c r="H591" s="4" t="str">
        <f ca="1">Master_List!$AW$3</f>
        <v>20/07/2026</v>
      </c>
      <c r="I591" s="4" t="str">
        <f ca="1">Master_List!$AW$4</f>
        <v>28.5</v>
      </c>
      <c r="J591" s="4" t="str">
        <f ca="1">Master_List!$AW$5</f>
        <v>65</v>
      </c>
      <c r="K591" s="4" t="s">
        <v>588</v>
      </c>
      <c r="BL591" s="4" t="s">
        <v>1744</v>
      </c>
      <c r="BM591" s="4" t="s">
        <v>2049</v>
      </c>
      <c r="BN591" s="4" t="s">
        <v>1748</v>
      </c>
      <c r="BO591" s="4" t="str">
        <f t="shared" si="9"/>
        <v>C:\Users\aremi\Desktop\REPORT CBM\PO TIANU JB\03. Raw Material\40. 10052026 SSU MEDINI SIGNATURE 33KV (VI)\IR</v>
      </c>
      <c r="BP591" t="s">
        <v>1177</v>
      </c>
    </row>
    <row r="592" spans="1:68" thickBot="1" x14ac:dyDescent="0.3">
      <c r="A592" s="4">
        <v>296</v>
      </c>
      <c r="B592" s="4" t="s">
        <v>1163</v>
      </c>
      <c r="C592" s="4">
        <v>9</v>
      </c>
      <c r="D592" s="4" t="s">
        <v>1985</v>
      </c>
      <c r="E592" s="4">
        <v>8</v>
      </c>
      <c r="F592" s="4" t="str">
        <f ca="1">Master_List!$AW$1</f>
        <v>PERPUSTAKAAN PUSAT</v>
      </c>
      <c r="G592" s="4" t="str">
        <f ca="1">Master_List!$AW$2</f>
        <v>09:30 PM</v>
      </c>
      <c r="H592" s="4" t="str">
        <f ca="1">Master_List!$AW$3</f>
        <v>20/07/2026</v>
      </c>
      <c r="I592" s="4" t="str">
        <f ca="1">Master_List!$AW$4</f>
        <v>28.5</v>
      </c>
      <c r="J592" s="4" t="str">
        <f ca="1">Master_List!$AW$5</f>
        <v>65</v>
      </c>
      <c r="K592" s="4" t="s">
        <v>591</v>
      </c>
      <c r="BL592" s="4" t="s">
        <v>1744</v>
      </c>
      <c r="BM592" s="4" t="s">
        <v>2050</v>
      </c>
      <c r="BN592" s="4" t="s">
        <v>1746</v>
      </c>
      <c r="BO592" s="4" t="str">
        <f t="shared" si="9"/>
        <v>C:\Users\aremi\Desktop\REPORT CBM\PO TIANU JB\03. Raw Material\40. 10052026 SSU MEDINI SIGNATURE 33KV (VI)\IR</v>
      </c>
      <c r="BP592" t="s">
        <v>1178</v>
      </c>
    </row>
    <row r="593" spans="1:68" thickBot="1" x14ac:dyDescent="0.3">
      <c r="A593" s="4">
        <v>296</v>
      </c>
      <c r="B593" s="4" t="s">
        <v>1163</v>
      </c>
      <c r="C593" s="4">
        <v>9</v>
      </c>
      <c r="D593" s="4" t="s">
        <v>1985</v>
      </c>
      <c r="E593" s="4">
        <v>8</v>
      </c>
      <c r="F593" s="4" t="str">
        <f ca="1">Master_List!$AW$1</f>
        <v>PERPUSTAKAAN PUSAT</v>
      </c>
      <c r="G593" s="4" t="str">
        <f ca="1">Master_List!$AW$2</f>
        <v>09:30 PM</v>
      </c>
      <c r="H593" s="4" t="str">
        <f ca="1">Master_List!$AW$3</f>
        <v>20/07/2026</v>
      </c>
      <c r="I593" s="4" t="str">
        <f ca="1">Master_List!$AW$4</f>
        <v>28.5</v>
      </c>
      <c r="J593" s="4" t="str">
        <f ca="1">Master_List!$AW$5</f>
        <v>65</v>
      </c>
      <c r="K593" s="4" t="s">
        <v>591</v>
      </c>
      <c r="BL593" s="4" t="s">
        <v>1744</v>
      </c>
      <c r="BM593" s="4" t="s">
        <v>2050</v>
      </c>
      <c r="BN593" s="4" t="s">
        <v>1748</v>
      </c>
      <c r="BO593" s="4" t="str">
        <f t="shared" si="9"/>
        <v>C:\Users\aremi\Desktop\REPORT CBM\PO TIANU JB\03. Raw Material\40. 10052026 SSU MEDINI SIGNATURE 33KV (VI)\IR</v>
      </c>
      <c r="BP593" t="s">
        <v>1179</v>
      </c>
    </row>
    <row r="594" spans="1:68" thickBot="1" x14ac:dyDescent="0.3">
      <c r="A594" s="4">
        <v>297</v>
      </c>
      <c r="B594" s="4" t="s">
        <v>1180</v>
      </c>
      <c r="C594" s="4">
        <v>9</v>
      </c>
      <c r="D594" s="4" t="s">
        <v>1976</v>
      </c>
      <c r="E594" s="4">
        <v>1</v>
      </c>
      <c r="F594" s="4" t="str">
        <f ca="1">Master_List!$AW$1</f>
        <v>PERPUSTAKAAN PUSAT</v>
      </c>
      <c r="G594" s="4" t="str">
        <f ca="1">Master_List!$AW$2</f>
        <v>09:30 PM</v>
      </c>
      <c r="H594" s="4" t="str">
        <f ca="1">Master_List!$AW$3</f>
        <v>20/07/2026</v>
      </c>
      <c r="I594" s="4" t="str">
        <f ca="1">Master_List!$AW$4</f>
        <v>28.5</v>
      </c>
      <c r="J594" s="4" t="str">
        <f ca="1">Master_List!$AW$5</f>
        <v>65</v>
      </c>
      <c r="K594" s="4" t="s">
        <v>570</v>
      </c>
      <c r="BL594" s="4" t="s">
        <v>1744</v>
      </c>
      <c r="BM594" s="4" t="s">
        <v>2051</v>
      </c>
      <c r="BN594" s="4" t="s">
        <v>1746</v>
      </c>
      <c r="BO594" s="4" t="str">
        <f t="shared" si="9"/>
        <v>C:\Users\aremi\Desktop\REPORT CBM\PO TIANU JB\03. Raw Material\40. 10052026 SSU MEDINI SIGNATURE 33KV (VI)\IR</v>
      </c>
      <c r="BP594" t="s">
        <v>1181</v>
      </c>
    </row>
    <row r="595" spans="1:68" thickBot="1" x14ac:dyDescent="0.3">
      <c r="A595" s="4">
        <v>297</v>
      </c>
      <c r="B595" s="4" t="s">
        <v>1180</v>
      </c>
      <c r="C595" s="4">
        <v>9</v>
      </c>
      <c r="D595" s="4" t="s">
        <v>1976</v>
      </c>
      <c r="E595" s="4">
        <v>1</v>
      </c>
      <c r="F595" s="4" t="str">
        <f ca="1">Master_List!$AW$1</f>
        <v>PERPUSTAKAAN PUSAT</v>
      </c>
      <c r="G595" s="4" t="str">
        <f ca="1">Master_List!$AW$2</f>
        <v>09:30 PM</v>
      </c>
      <c r="H595" s="4" t="str">
        <f ca="1">Master_List!$AW$3</f>
        <v>20/07/2026</v>
      </c>
      <c r="I595" s="4" t="str">
        <f ca="1">Master_List!$AW$4</f>
        <v>28.5</v>
      </c>
      <c r="J595" s="4" t="str">
        <f ca="1">Master_List!$AW$5</f>
        <v>65</v>
      </c>
      <c r="K595" s="4" t="s">
        <v>570</v>
      </c>
      <c r="BL595" s="4" t="s">
        <v>1744</v>
      </c>
      <c r="BM595" s="4" t="s">
        <v>2051</v>
      </c>
      <c r="BN595" s="4" t="s">
        <v>1748</v>
      </c>
      <c r="BO595" s="4" t="str">
        <f t="shared" si="9"/>
        <v>C:\Users\aremi\Desktop\REPORT CBM\PO TIANU JB\03. Raw Material\40. 10052026 SSU MEDINI SIGNATURE 33KV (VI)\IR</v>
      </c>
      <c r="BP595" t="s">
        <v>1182</v>
      </c>
    </row>
    <row r="596" spans="1:68" thickBot="1" x14ac:dyDescent="0.3">
      <c r="A596" s="4">
        <v>298</v>
      </c>
      <c r="B596" s="4" t="s">
        <v>1180</v>
      </c>
      <c r="C596" s="4">
        <v>9</v>
      </c>
      <c r="D596" s="4" t="s">
        <v>1976</v>
      </c>
      <c r="E596" s="4">
        <v>2</v>
      </c>
      <c r="F596" s="4" t="str">
        <f ca="1">Master_List!$AW$1</f>
        <v>PERPUSTAKAAN PUSAT</v>
      </c>
      <c r="G596" s="4" t="str">
        <f ca="1">Master_List!$AW$2</f>
        <v>09:30 PM</v>
      </c>
      <c r="H596" s="4" t="str">
        <f ca="1">Master_List!$AW$3</f>
        <v>20/07/2026</v>
      </c>
      <c r="I596" s="4" t="str">
        <f ca="1">Master_List!$AW$4</f>
        <v>28.5</v>
      </c>
      <c r="J596" s="4" t="str">
        <f ca="1">Master_List!$AW$5</f>
        <v>65</v>
      </c>
      <c r="K596" s="4" t="s">
        <v>573</v>
      </c>
      <c r="BL596" s="4" t="s">
        <v>1744</v>
      </c>
      <c r="BM596" s="4" t="s">
        <v>2052</v>
      </c>
      <c r="BN596" s="4" t="s">
        <v>1746</v>
      </c>
      <c r="BO596" s="4" t="str">
        <f t="shared" si="9"/>
        <v>C:\Users\aremi\Desktop\REPORT CBM\PO TIANU JB\03. Raw Material\40. 10052026 SSU MEDINI SIGNATURE 33KV (VI)\IR</v>
      </c>
      <c r="BP596" t="s">
        <v>1183</v>
      </c>
    </row>
    <row r="597" spans="1:68" thickBot="1" x14ac:dyDescent="0.3">
      <c r="A597" s="4">
        <v>298</v>
      </c>
      <c r="B597" s="4" t="s">
        <v>1180</v>
      </c>
      <c r="C597" s="4">
        <v>9</v>
      </c>
      <c r="D597" s="4" t="s">
        <v>1976</v>
      </c>
      <c r="E597" s="4">
        <v>2</v>
      </c>
      <c r="F597" s="4" t="str">
        <f ca="1">Master_List!$AW$1</f>
        <v>PERPUSTAKAAN PUSAT</v>
      </c>
      <c r="G597" s="4" t="str">
        <f ca="1">Master_List!$AW$2</f>
        <v>09:30 PM</v>
      </c>
      <c r="H597" s="4" t="str">
        <f ca="1">Master_List!$AW$3</f>
        <v>20/07/2026</v>
      </c>
      <c r="I597" s="4" t="str">
        <f ca="1">Master_List!$AW$4</f>
        <v>28.5</v>
      </c>
      <c r="J597" s="4" t="str">
        <f ca="1">Master_List!$AW$5</f>
        <v>65</v>
      </c>
      <c r="K597" s="4" t="s">
        <v>573</v>
      </c>
      <c r="BL597" s="4" t="s">
        <v>1744</v>
      </c>
      <c r="BM597" s="4" t="s">
        <v>2052</v>
      </c>
      <c r="BN597" s="4" t="s">
        <v>1748</v>
      </c>
      <c r="BO597" s="4" t="str">
        <f t="shared" si="9"/>
        <v>C:\Users\aremi\Desktop\REPORT CBM\PO TIANU JB\03. Raw Material\40. 10052026 SSU MEDINI SIGNATURE 33KV (VI)\IR</v>
      </c>
      <c r="BP597" t="s">
        <v>1184</v>
      </c>
    </row>
    <row r="598" spans="1:68" thickBot="1" x14ac:dyDescent="0.3">
      <c r="A598" s="4">
        <v>299</v>
      </c>
      <c r="B598" s="4" t="s">
        <v>1180</v>
      </c>
      <c r="C598" s="4">
        <v>9</v>
      </c>
      <c r="D598" s="4" t="s">
        <v>1976</v>
      </c>
      <c r="E598" s="4">
        <v>3</v>
      </c>
      <c r="F598" s="4" t="str">
        <f ca="1">Master_List!$AW$1</f>
        <v>PERPUSTAKAAN PUSAT</v>
      </c>
      <c r="G598" s="4" t="str">
        <f ca="1">Master_List!$AW$2</f>
        <v>09:30 PM</v>
      </c>
      <c r="H598" s="4" t="str">
        <f ca="1">Master_List!$AW$3</f>
        <v>20/07/2026</v>
      </c>
      <c r="I598" s="4" t="str">
        <f ca="1">Master_List!$AW$4</f>
        <v>28.5</v>
      </c>
      <c r="J598" s="4" t="str">
        <f ca="1">Master_List!$AW$5</f>
        <v>65</v>
      </c>
      <c r="K598" s="4" t="s">
        <v>576</v>
      </c>
      <c r="BL598" s="4" t="s">
        <v>1744</v>
      </c>
      <c r="BM598" s="4" t="s">
        <v>2053</v>
      </c>
      <c r="BN598" s="4" t="s">
        <v>1746</v>
      </c>
      <c r="BO598" s="4" t="str">
        <f t="shared" si="9"/>
        <v>C:\Users\aremi\Desktop\REPORT CBM\PO TIANU JB\03. Raw Material\40. 10052026 SSU MEDINI SIGNATURE 33KV (VI)\IR</v>
      </c>
      <c r="BP598" t="s">
        <v>1185</v>
      </c>
    </row>
    <row r="599" spans="1:68" thickBot="1" x14ac:dyDescent="0.3">
      <c r="A599" s="4">
        <v>299</v>
      </c>
      <c r="B599" s="4" t="s">
        <v>1180</v>
      </c>
      <c r="C599" s="4">
        <v>9</v>
      </c>
      <c r="D599" s="4" t="s">
        <v>1976</v>
      </c>
      <c r="E599" s="4">
        <v>3</v>
      </c>
      <c r="F599" s="4" t="str">
        <f ca="1">Master_List!$AW$1</f>
        <v>PERPUSTAKAAN PUSAT</v>
      </c>
      <c r="G599" s="4" t="str">
        <f ca="1">Master_List!$AW$2</f>
        <v>09:30 PM</v>
      </c>
      <c r="H599" s="4" t="str">
        <f ca="1">Master_List!$AW$3</f>
        <v>20/07/2026</v>
      </c>
      <c r="I599" s="4" t="str">
        <f ca="1">Master_List!$AW$4</f>
        <v>28.5</v>
      </c>
      <c r="J599" s="4" t="str">
        <f ca="1">Master_List!$AW$5</f>
        <v>65</v>
      </c>
      <c r="K599" s="4" t="s">
        <v>576</v>
      </c>
      <c r="BL599" s="4" t="s">
        <v>1744</v>
      </c>
      <c r="BM599" s="4" t="s">
        <v>2053</v>
      </c>
      <c r="BN599" s="4" t="s">
        <v>1748</v>
      </c>
      <c r="BO599" s="4" t="str">
        <f t="shared" si="9"/>
        <v>C:\Users\aremi\Desktop\REPORT CBM\PO TIANU JB\03. Raw Material\40. 10052026 SSU MEDINI SIGNATURE 33KV (VI)\IR</v>
      </c>
      <c r="BP599" t="s">
        <v>1186</v>
      </c>
    </row>
    <row r="600" spans="1:68" thickBot="1" x14ac:dyDescent="0.3">
      <c r="A600" s="4">
        <v>300</v>
      </c>
      <c r="B600" s="4" t="s">
        <v>1180</v>
      </c>
      <c r="C600" s="4">
        <v>9</v>
      </c>
      <c r="D600" s="4" t="s">
        <v>1976</v>
      </c>
      <c r="E600" s="4">
        <v>4</v>
      </c>
      <c r="F600" s="4" t="str">
        <f ca="1">Master_List!$AW$1</f>
        <v>PERPUSTAKAAN PUSAT</v>
      </c>
      <c r="G600" s="4" t="str">
        <f ca="1">Master_List!$AW$2</f>
        <v>09:30 PM</v>
      </c>
      <c r="H600" s="4" t="str">
        <f ca="1">Master_List!$AW$3</f>
        <v>20/07/2026</v>
      </c>
      <c r="I600" s="4" t="str">
        <f ca="1">Master_List!$AW$4</f>
        <v>28.5</v>
      </c>
      <c r="J600" s="4" t="str">
        <f ca="1">Master_List!$AW$5</f>
        <v>65</v>
      </c>
      <c r="K600" s="4" t="s">
        <v>579</v>
      </c>
      <c r="BL600" s="4" t="s">
        <v>1744</v>
      </c>
      <c r="BM600" s="4" t="s">
        <v>2054</v>
      </c>
      <c r="BN600" s="4" t="s">
        <v>1746</v>
      </c>
      <c r="BO600" s="4" t="str">
        <f t="shared" si="9"/>
        <v>C:\Users\aremi\Desktop\REPORT CBM\PO TIANU JB\03. Raw Material\40. 10052026 SSU MEDINI SIGNATURE 33KV (VI)\IR</v>
      </c>
      <c r="BP600" t="s">
        <v>1187</v>
      </c>
    </row>
    <row r="601" spans="1:68" thickBot="1" x14ac:dyDescent="0.3">
      <c r="A601" s="4">
        <v>300</v>
      </c>
      <c r="B601" s="4" t="s">
        <v>1180</v>
      </c>
      <c r="C601" s="4">
        <v>9</v>
      </c>
      <c r="D601" s="4" t="s">
        <v>1976</v>
      </c>
      <c r="E601" s="4">
        <v>4</v>
      </c>
      <c r="F601" s="4" t="str">
        <f ca="1">Master_List!$AW$1</f>
        <v>PERPUSTAKAAN PUSAT</v>
      </c>
      <c r="G601" s="4" t="str">
        <f ca="1">Master_List!$AW$2</f>
        <v>09:30 PM</v>
      </c>
      <c r="H601" s="4" t="str">
        <f ca="1">Master_List!$AW$3</f>
        <v>20/07/2026</v>
      </c>
      <c r="I601" s="4" t="str">
        <f ca="1">Master_List!$AW$4</f>
        <v>28.5</v>
      </c>
      <c r="J601" s="4" t="str">
        <f ca="1">Master_List!$AW$5</f>
        <v>65</v>
      </c>
      <c r="K601" s="4" t="s">
        <v>579</v>
      </c>
      <c r="BL601" s="4" t="s">
        <v>1744</v>
      </c>
      <c r="BM601" s="4" t="s">
        <v>2054</v>
      </c>
      <c r="BN601" s="4" t="s">
        <v>1748</v>
      </c>
      <c r="BO601" s="4" t="str">
        <f t="shared" si="9"/>
        <v>C:\Users\aremi\Desktop\REPORT CBM\PO TIANU JB\03. Raw Material\40. 10052026 SSU MEDINI SIGNATURE 33KV (VI)\IR</v>
      </c>
      <c r="BP601" t="s">
        <v>1188</v>
      </c>
    </row>
    <row r="602" spans="1:68" thickBot="1" x14ac:dyDescent="0.3">
      <c r="A602" s="4">
        <v>301</v>
      </c>
      <c r="B602" s="4" t="s">
        <v>1180</v>
      </c>
      <c r="C602" s="4">
        <v>9</v>
      </c>
      <c r="D602" s="4" t="s">
        <v>1976</v>
      </c>
      <c r="E602" s="4">
        <v>5</v>
      </c>
      <c r="F602" s="4" t="str">
        <f ca="1">Master_List!$AW$1</f>
        <v>PERPUSTAKAAN PUSAT</v>
      </c>
      <c r="G602" s="4" t="str">
        <f ca="1">Master_List!$AW$2</f>
        <v>09:30 PM</v>
      </c>
      <c r="H602" s="4" t="str">
        <f ca="1">Master_List!$AW$3</f>
        <v>20/07/2026</v>
      </c>
      <c r="I602" s="4" t="str">
        <f ca="1">Master_List!$AW$4</f>
        <v>28.5</v>
      </c>
      <c r="J602" s="4" t="str">
        <f ca="1">Master_List!$AW$5</f>
        <v>65</v>
      </c>
      <c r="K602" s="4" t="s">
        <v>582</v>
      </c>
      <c r="BL602" s="4" t="s">
        <v>1744</v>
      </c>
      <c r="BM602" s="4" t="s">
        <v>2055</v>
      </c>
      <c r="BN602" s="4" t="s">
        <v>1746</v>
      </c>
      <c r="BO602" s="4" t="str">
        <f t="shared" si="9"/>
        <v>C:\Users\aremi\Desktop\REPORT CBM\PO TIANU JB\03. Raw Material\40. 10052026 SSU MEDINI SIGNATURE 33KV (VI)\IR</v>
      </c>
      <c r="BP602" t="s">
        <v>1189</v>
      </c>
    </row>
    <row r="603" spans="1:68" thickBot="1" x14ac:dyDescent="0.3">
      <c r="A603" s="4">
        <v>301</v>
      </c>
      <c r="B603" s="4" t="s">
        <v>1180</v>
      </c>
      <c r="C603" s="4">
        <v>9</v>
      </c>
      <c r="D603" s="4" t="s">
        <v>1976</v>
      </c>
      <c r="E603" s="4">
        <v>5</v>
      </c>
      <c r="F603" s="4" t="str">
        <f ca="1">Master_List!$AW$1</f>
        <v>PERPUSTAKAAN PUSAT</v>
      </c>
      <c r="G603" s="4" t="str">
        <f ca="1">Master_List!$AW$2</f>
        <v>09:30 PM</v>
      </c>
      <c r="H603" s="4" t="str">
        <f ca="1">Master_List!$AW$3</f>
        <v>20/07/2026</v>
      </c>
      <c r="I603" s="4" t="str">
        <f ca="1">Master_List!$AW$4</f>
        <v>28.5</v>
      </c>
      <c r="J603" s="4" t="str">
        <f ca="1">Master_List!$AW$5</f>
        <v>65</v>
      </c>
      <c r="K603" s="4" t="s">
        <v>582</v>
      </c>
      <c r="BL603" s="4" t="s">
        <v>1744</v>
      </c>
      <c r="BM603" s="4" t="s">
        <v>2055</v>
      </c>
      <c r="BN603" s="4" t="s">
        <v>1748</v>
      </c>
      <c r="BO603" s="4" t="str">
        <f t="shared" si="9"/>
        <v>C:\Users\aremi\Desktop\REPORT CBM\PO TIANU JB\03. Raw Material\40. 10052026 SSU MEDINI SIGNATURE 33KV (VI)\IR</v>
      </c>
      <c r="BP603" t="s">
        <v>1190</v>
      </c>
    </row>
    <row r="604" spans="1:68" thickBot="1" x14ac:dyDescent="0.3">
      <c r="A604" s="4">
        <v>302</v>
      </c>
      <c r="B604" s="4" t="s">
        <v>1180</v>
      </c>
      <c r="C604" s="4">
        <v>9</v>
      </c>
      <c r="D604" s="4" t="s">
        <v>1976</v>
      </c>
      <c r="E604" s="4">
        <v>6</v>
      </c>
      <c r="F604" s="4" t="str">
        <f ca="1">Master_List!$AW$1</f>
        <v>PERPUSTAKAAN PUSAT</v>
      </c>
      <c r="G604" s="4" t="str">
        <f ca="1">Master_List!$AW$2</f>
        <v>09:30 PM</v>
      </c>
      <c r="H604" s="4" t="str">
        <f ca="1">Master_List!$AW$3</f>
        <v>20/07/2026</v>
      </c>
      <c r="I604" s="4" t="str">
        <f ca="1">Master_List!$AW$4</f>
        <v>28.5</v>
      </c>
      <c r="J604" s="4" t="str">
        <f ca="1">Master_List!$AW$5</f>
        <v>65</v>
      </c>
      <c r="K604" s="4" t="s">
        <v>585</v>
      </c>
      <c r="BL604" s="4" t="s">
        <v>1744</v>
      </c>
      <c r="BM604" s="4" t="s">
        <v>2056</v>
      </c>
      <c r="BN604" s="4" t="s">
        <v>1746</v>
      </c>
      <c r="BO604" s="4" t="str">
        <f t="shared" si="9"/>
        <v>C:\Users\aremi\Desktop\REPORT CBM\PO TIANU JB\03. Raw Material\40. 10052026 SSU MEDINI SIGNATURE 33KV (VI)\IR</v>
      </c>
      <c r="BP604" t="s">
        <v>1191</v>
      </c>
    </row>
    <row r="605" spans="1:68" thickBot="1" x14ac:dyDescent="0.3">
      <c r="A605" s="4">
        <v>302</v>
      </c>
      <c r="B605" s="4" t="s">
        <v>1180</v>
      </c>
      <c r="C605" s="4">
        <v>9</v>
      </c>
      <c r="D605" s="4" t="s">
        <v>1976</v>
      </c>
      <c r="E605" s="4">
        <v>6</v>
      </c>
      <c r="F605" s="4" t="str">
        <f ca="1">Master_List!$AW$1</f>
        <v>PERPUSTAKAAN PUSAT</v>
      </c>
      <c r="G605" s="4" t="str">
        <f ca="1">Master_List!$AW$2</f>
        <v>09:30 PM</v>
      </c>
      <c r="H605" s="4" t="str">
        <f ca="1">Master_List!$AW$3</f>
        <v>20/07/2026</v>
      </c>
      <c r="I605" s="4" t="str">
        <f ca="1">Master_List!$AW$4</f>
        <v>28.5</v>
      </c>
      <c r="J605" s="4" t="str">
        <f ca="1">Master_List!$AW$5</f>
        <v>65</v>
      </c>
      <c r="K605" s="4" t="s">
        <v>585</v>
      </c>
      <c r="BL605" s="4" t="s">
        <v>1744</v>
      </c>
      <c r="BM605" s="4" t="s">
        <v>2056</v>
      </c>
      <c r="BN605" s="4" t="s">
        <v>1748</v>
      </c>
      <c r="BO605" s="4" t="str">
        <f t="shared" si="9"/>
        <v>C:\Users\aremi\Desktop\REPORT CBM\PO TIANU JB\03. Raw Material\40. 10052026 SSU MEDINI SIGNATURE 33KV (VI)\IR</v>
      </c>
      <c r="BP605" t="s">
        <v>1192</v>
      </c>
    </row>
    <row r="606" spans="1:68" thickBot="1" x14ac:dyDescent="0.3">
      <c r="A606" s="4">
        <v>303</v>
      </c>
      <c r="B606" s="4" t="s">
        <v>1180</v>
      </c>
      <c r="C606" s="4">
        <v>9</v>
      </c>
      <c r="D606" s="4" t="s">
        <v>1983</v>
      </c>
      <c r="E606" s="4">
        <v>7</v>
      </c>
      <c r="F606" s="4" t="str">
        <f ca="1">Master_List!$AW$1</f>
        <v>PERPUSTAKAAN PUSAT</v>
      </c>
      <c r="G606" s="4" t="str">
        <f ca="1">Master_List!$AW$2</f>
        <v>09:30 PM</v>
      </c>
      <c r="H606" s="4" t="str">
        <f ca="1">Master_List!$AW$3</f>
        <v>20/07/2026</v>
      </c>
      <c r="I606" s="4" t="str">
        <f ca="1">Master_List!$AW$4</f>
        <v>28.5</v>
      </c>
      <c r="J606" s="4" t="str">
        <f ca="1">Master_List!$AW$5</f>
        <v>65</v>
      </c>
      <c r="K606" s="4" t="s">
        <v>588</v>
      </c>
      <c r="BL606" s="4" t="s">
        <v>1744</v>
      </c>
      <c r="BM606" s="4" t="s">
        <v>2057</v>
      </c>
      <c r="BN606" s="4" t="s">
        <v>1746</v>
      </c>
      <c r="BO606" s="4" t="str">
        <f t="shared" si="9"/>
        <v>C:\Users\aremi\Desktop\REPORT CBM\PO TIANU JB\03. Raw Material\40. 10052026 SSU MEDINI SIGNATURE 33KV (VI)\IR</v>
      </c>
      <c r="BP606" t="s">
        <v>1193</v>
      </c>
    </row>
    <row r="607" spans="1:68" thickBot="1" x14ac:dyDescent="0.3">
      <c r="A607" s="4">
        <v>303</v>
      </c>
      <c r="B607" s="4" t="s">
        <v>1180</v>
      </c>
      <c r="C607" s="4">
        <v>9</v>
      </c>
      <c r="D607" s="4" t="s">
        <v>1983</v>
      </c>
      <c r="E607" s="4">
        <v>7</v>
      </c>
      <c r="F607" s="4" t="str">
        <f ca="1">Master_List!$AW$1</f>
        <v>PERPUSTAKAAN PUSAT</v>
      </c>
      <c r="G607" s="4" t="str">
        <f ca="1">Master_List!$AW$2</f>
        <v>09:30 PM</v>
      </c>
      <c r="H607" s="4" t="str">
        <f ca="1">Master_List!$AW$3</f>
        <v>20/07/2026</v>
      </c>
      <c r="I607" s="4" t="str">
        <f ca="1">Master_List!$AW$4</f>
        <v>28.5</v>
      </c>
      <c r="J607" s="4" t="str">
        <f ca="1">Master_List!$AW$5</f>
        <v>65</v>
      </c>
      <c r="K607" s="4" t="s">
        <v>588</v>
      </c>
      <c r="BL607" s="4" t="s">
        <v>1744</v>
      </c>
      <c r="BM607" s="4" t="s">
        <v>2057</v>
      </c>
      <c r="BN607" s="4" t="s">
        <v>1748</v>
      </c>
      <c r="BO607" s="4" t="str">
        <f t="shared" si="9"/>
        <v>C:\Users\aremi\Desktop\REPORT CBM\PO TIANU JB\03. Raw Material\40. 10052026 SSU MEDINI SIGNATURE 33KV (VI)\IR</v>
      </c>
      <c r="BP607" t="s">
        <v>1194</v>
      </c>
    </row>
    <row r="608" spans="1:68" thickBot="1" x14ac:dyDescent="0.3">
      <c r="A608" s="4">
        <v>304</v>
      </c>
      <c r="B608" s="4" t="s">
        <v>1180</v>
      </c>
      <c r="C608" s="4">
        <v>9</v>
      </c>
      <c r="D608" s="4" t="s">
        <v>1985</v>
      </c>
      <c r="E608" s="4">
        <v>8</v>
      </c>
      <c r="F608" s="4" t="str">
        <f ca="1">Master_List!$AW$1</f>
        <v>PERPUSTAKAAN PUSAT</v>
      </c>
      <c r="G608" s="4" t="str">
        <f ca="1">Master_List!$AW$2</f>
        <v>09:30 PM</v>
      </c>
      <c r="H608" s="4" t="str">
        <f ca="1">Master_List!$AW$3</f>
        <v>20/07/2026</v>
      </c>
      <c r="I608" s="4" t="str">
        <f ca="1">Master_List!$AW$4</f>
        <v>28.5</v>
      </c>
      <c r="J608" s="4" t="str">
        <f ca="1">Master_List!$AW$5</f>
        <v>65</v>
      </c>
      <c r="K608" s="4" t="s">
        <v>591</v>
      </c>
      <c r="BL608" s="4" t="s">
        <v>1744</v>
      </c>
      <c r="BM608" s="4" t="s">
        <v>2058</v>
      </c>
      <c r="BN608" s="4" t="s">
        <v>1746</v>
      </c>
      <c r="BO608" s="4" t="str">
        <f t="shared" si="9"/>
        <v>C:\Users\aremi\Desktop\REPORT CBM\PO TIANU JB\03. Raw Material\40. 10052026 SSU MEDINI SIGNATURE 33KV (VI)\IR</v>
      </c>
      <c r="BP608" t="s">
        <v>1195</v>
      </c>
    </row>
    <row r="609" spans="1:68" thickBot="1" x14ac:dyDescent="0.3">
      <c r="A609" s="4">
        <v>304</v>
      </c>
      <c r="B609" s="4" t="s">
        <v>1180</v>
      </c>
      <c r="C609" s="4">
        <v>9</v>
      </c>
      <c r="D609" s="4" t="s">
        <v>1985</v>
      </c>
      <c r="E609" s="4">
        <v>8</v>
      </c>
      <c r="F609" s="4" t="str">
        <f ca="1">Master_List!$AW$1</f>
        <v>PERPUSTAKAAN PUSAT</v>
      </c>
      <c r="G609" s="4" t="str">
        <f ca="1">Master_List!$AW$2</f>
        <v>09:30 PM</v>
      </c>
      <c r="H609" s="4" t="str">
        <f ca="1">Master_List!$AW$3</f>
        <v>20/07/2026</v>
      </c>
      <c r="I609" s="4" t="str">
        <f ca="1">Master_List!$AW$4</f>
        <v>28.5</v>
      </c>
      <c r="J609" s="4" t="str">
        <f ca="1">Master_List!$AW$5</f>
        <v>65</v>
      </c>
      <c r="K609" s="4" t="s">
        <v>591</v>
      </c>
      <c r="BL609" s="4" t="s">
        <v>1744</v>
      </c>
      <c r="BM609" s="4" t="s">
        <v>2058</v>
      </c>
      <c r="BN609" s="4" t="s">
        <v>1748</v>
      </c>
      <c r="BO609" s="4" t="str">
        <f t="shared" si="9"/>
        <v>C:\Users\aremi\Desktop\REPORT CBM\PO TIANU JB\03. Raw Material\40. 10052026 SSU MEDINI SIGNATURE 33KV (VI)\IR</v>
      </c>
      <c r="BP609" t="s">
        <v>1196</v>
      </c>
    </row>
    <row r="610" spans="1:68" thickBot="1" x14ac:dyDescent="0.3">
      <c r="A610" s="4">
        <v>305</v>
      </c>
      <c r="B610" s="4" t="s">
        <v>1197</v>
      </c>
      <c r="C610" s="4">
        <v>10</v>
      </c>
      <c r="D610" s="4" t="s">
        <v>1976</v>
      </c>
      <c r="E610" s="4">
        <v>1</v>
      </c>
      <c r="F610" s="4" t="str">
        <f ca="1">Master_List!$AW$1</f>
        <v>PERPUSTAKAAN PUSAT</v>
      </c>
      <c r="G610" s="4" t="str">
        <f ca="1">Master_List!$AW$2</f>
        <v>09:30 PM</v>
      </c>
      <c r="H610" s="4" t="str">
        <f ca="1">Master_List!$AW$3</f>
        <v>20/07/2026</v>
      </c>
      <c r="I610" s="4" t="str">
        <f ca="1">Master_List!$AW$4</f>
        <v>28.5</v>
      </c>
      <c r="J610" s="4" t="str">
        <f ca="1">Master_List!$AW$5</f>
        <v>65</v>
      </c>
      <c r="K610" s="4" t="s">
        <v>570</v>
      </c>
      <c r="BL610" s="4" t="s">
        <v>1744</v>
      </c>
      <c r="BM610" s="4" t="s">
        <v>2059</v>
      </c>
      <c r="BN610" s="4" t="s">
        <v>1746</v>
      </c>
      <c r="BO610" s="4" t="str">
        <f t="shared" si="9"/>
        <v>C:\Users\aremi\Desktop\REPORT CBM\PO TIANU JB\03. Raw Material\40. 10052026 SSU MEDINI SIGNATURE 33KV (VI)\IR</v>
      </c>
      <c r="BP610" t="s">
        <v>1198</v>
      </c>
    </row>
    <row r="611" spans="1:68" thickBot="1" x14ac:dyDescent="0.3">
      <c r="A611" s="4">
        <v>305</v>
      </c>
      <c r="B611" s="4" t="s">
        <v>1197</v>
      </c>
      <c r="C611" s="4">
        <v>10</v>
      </c>
      <c r="D611" s="4" t="s">
        <v>1976</v>
      </c>
      <c r="E611" s="4">
        <v>1</v>
      </c>
      <c r="F611" s="4" t="str">
        <f ca="1">Master_List!$AW$1</f>
        <v>PERPUSTAKAAN PUSAT</v>
      </c>
      <c r="G611" s="4" t="str">
        <f ca="1">Master_List!$AW$2</f>
        <v>09:30 PM</v>
      </c>
      <c r="H611" s="4" t="str">
        <f ca="1">Master_List!$AW$3</f>
        <v>20/07/2026</v>
      </c>
      <c r="I611" s="4" t="str">
        <f ca="1">Master_List!$AW$4</f>
        <v>28.5</v>
      </c>
      <c r="J611" s="4" t="str">
        <f ca="1">Master_List!$AW$5</f>
        <v>65</v>
      </c>
      <c r="K611" s="4" t="s">
        <v>570</v>
      </c>
      <c r="BL611" s="4" t="s">
        <v>1744</v>
      </c>
      <c r="BM611" s="4" t="s">
        <v>2059</v>
      </c>
      <c r="BN611" s="4" t="s">
        <v>1748</v>
      </c>
      <c r="BO611" s="4" t="str">
        <f t="shared" si="9"/>
        <v>C:\Users\aremi\Desktop\REPORT CBM\PO TIANU JB\03. Raw Material\40. 10052026 SSU MEDINI SIGNATURE 33KV (VI)\IR</v>
      </c>
      <c r="BP611" t="s">
        <v>1199</v>
      </c>
    </row>
    <row r="612" spans="1:68" thickBot="1" x14ac:dyDescent="0.3">
      <c r="A612" s="4">
        <v>306</v>
      </c>
      <c r="B612" s="4" t="s">
        <v>1197</v>
      </c>
      <c r="C612" s="4">
        <v>10</v>
      </c>
      <c r="D612" s="4" t="s">
        <v>1976</v>
      </c>
      <c r="E612" s="4">
        <v>2</v>
      </c>
      <c r="F612" s="4" t="str">
        <f ca="1">Master_List!$AW$1</f>
        <v>PERPUSTAKAAN PUSAT</v>
      </c>
      <c r="G612" s="4" t="str">
        <f ca="1">Master_List!$AW$2</f>
        <v>09:30 PM</v>
      </c>
      <c r="H612" s="4" t="str">
        <f ca="1">Master_List!$AW$3</f>
        <v>20/07/2026</v>
      </c>
      <c r="I612" s="4" t="str">
        <f ca="1">Master_List!$AW$4</f>
        <v>28.5</v>
      </c>
      <c r="J612" s="4" t="str">
        <f ca="1">Master_List!$AW$5</f>
        <v>65</v>
      </c>
      <c r="K612" s="4" t="s">
        <v>573</v>
      </c>
      <c r="BL612" s="4" t="s">
        <v>1744</v>
      </c>
      <c r="BM612" s="4" t="s">
        <v>2060</v>
      </c>
      <c r="BN612" s="4" t="s">
        <v>1746</v>
      </c>
      <c r="BO612" s="4" t="str">
        <f t="shared" si="9"/>
        <v>C:\Users\aremi\Desktop\REPORT CBM\PO TIANU JB\03. Raw Material\40. 10052026 SSU MEDINI SIGNATURE 33KV (VI)\IR</v>
      </c>
      <c r="BP612" t="s">
        <v>1200</v>
      </c>
    </row>
    <row r="613" spans="1:68" thickBot="1" x14ac:dyDescent="0.3">
      <c r="A613" s="4">
        <v>306</v>
      </c>
      <c r="B613" s="4" t="s">
        <v>1197</v>
      </c>
      <c r="C613" s="4">
        <v>10</v>
      </c>
      <c r="D613" s="4" t="s">
        <v>1976</v>
      </c>
      <c r="E613" s="4">
        <v>2</v>
      </c>
      <c r="F613" s="4" t="str">
        <f ca="1">Master_List!$AW$1</f>
        <v>PERPUSTAKAAN PUSAT</v>
      </c>
      <c r="G613" s="4" t="str">
        <f ca="1">Master_List!$AW$2</f>
        <v>09:30 PM</v>
      </c>
      <c r="H613" s="4" t="str">
        <f ca="1">Master_List!$AW$3</f>
        <v>20/07/2026</v>
      </c>
      <c r="I613" s="4" t="str">
        <f ca="1">Master_List!$AW$4</f>
        <v>28.5</v>
      </c>
      <c r="J613" s="4" t="str">
        <f ca="1">Master_List!$AW$5</f>
        <v>65</v>
      </c>
      <c r="K613" s="4" t="s">
        <v>573</v>
      </c>
      <c r="BL613" s="4" t="s">
        <v>1744</v>
      </c>
      <c r="BM613" s="4" t="s">
        <v>2060</v>
      </c>
      <c r="BN613" s="4" t="s">
        <v>1748</v>
      </c>
      <c r="BO613" s="4" t="str">
        <f t="shared" si="9"/>
        <v>C:\Users\aremi\Desktop\REPORT CBM\PO TIANU JB\03. Raw Material\40. 10052026 SSU MEDINI SIGNATURE 33KV (VI)\IR</v>
      </c>
      <c r="BP613" t="s">
        <v>1201</v>
      </c>
    </row>
    <row r="614" spans="1:68" thickBot="1" x14ac:dyDescent="0.3">
      <c r="A614" s="4">
        <v>307</v>
      </c>
      <c r="B614" s="4" t="s">
        <v>1197</v>
      </c>
      <c r="C614" s="4">
        <v>10</v>
      </c>
      <c r="D614" s="4" t="s">
        <v>1976</v>
      </c>
      <c r="E614" s="4">
        <v>3</v>
      </c>
      <c r="F614" s="4" t="str">
        <f ca="1">Master_List!$AW$1</f>
        <v>PERPUSTAKAAN PUSAT</v>
      </c>
      <c r="G614" s="4" t="str">
        <f ca="1">Master_List!$AW$2</f>
        <v>09:30 PM</v>
      </c>
      <c r="H614" s="4" t="str">
        <f ca="1">Master_List!$AW$3</f>
        <v>20/07/2026</v>
      </c>
      <c r="I614" s="4" t="str">
        <f ca="1">Master_List!$AW$4</f>
        <v>28.5</v>
      </c>
      <c r="J614" s="4" t="str">
        <f ca="1">Master_List!$AW$5</f>
        <v>65</v>
      </c>
      <c r="K614" s="4" t="s">
        <v>576</v>
      </c>
      <c r="BL614" s="4" t="s">
        <v>1744</v>
      </c>
      <c r="BM614" s="4" t="s">
        <v>2061</v>
      </c>
      <c r="BN614" s="4" t="s">
        <v>1746</v>
      </c>
      <c r="BO614" s="4" t="str">
        <f t="shared" si="9"/>
        <v>C:\Users\aremi\Desktop\REPORT CBM\PO TIANU JB\03. Raw Material\40. 10052026 SSU MEDINI SIGNATURE 33KV (VI)\IR</v>
      </c>
      <c r="BP614" t="s">
        <v>1202</v>
      </c>
    </row>
    <row r="615" spans="1:68" thickBot="1" x14ac:dyDescent="0.3">
      <c r="A615" s="4">
        <v>307</v>
      </c>
      <c r="B615" s="4" t="s">
        <v>1197</v>
      </c>
      <c r="C615" s="4">
        <v>10</v>
      </c>
      <c r="D615" s="4" t="s">
        <v>1976</v>
      </c>
      <c r="E615" s="4">
        <v>3</v>
      </c>
      <c r="F615" s="4" t="str">
        <f ca="1">Master_List!$AW$1</f>
        <v>PERPUSTAKAAN PUSAT</v>
      </c>
      <c r="G615" s="4" t="str">
        <f ca="1">Master_List!$AW$2</f>
        <v>09:30 PM</v>
      </c>
      <c r="H615" s="4" t="str">
        <f ca="1">Master_List!$AW$3</f>
        <v>20/07/2026</v>
      </c>
      <c r="I615" s="4" t="str">
        <f ca="1">Master_List!$AW$4</f>
        <v>28.5</v>
      </c>
      <c r="J615" s="4" t="str">
        <f ca="1">Master_List!$AW$5</f>
        <v>65</v>
      </c>
      <c r="K615" s="4" t="s">
        <v>576</v>
      </c>
      <c r="BL615" s="4" t="s">
        <v>1744</v>
      </c>
      <c r="BM615" s="4" t="s">
        <v>2061</v>
      </c>
      <c r="BN615" s="4" t="s">
        <v>1748</v>
      </c>
      <c r="BO615" s="4" t="str">
        <f t="shared" si="9"/>
        <v>C:\Users\aremi\Desktop\REPORT CBM\PO TIANU JB\03. Raw Material\40. 10052026 SSU MEDINI SIGNATURE 33KV (VI)\IR</v>
      </c>
      <c r="BP615" t="s">
        <v>1203</v>
      </c>
    </row>
    <row r="616" spans="1:68" thickBot="1" x14ac:dyDescent="0.3">
      <c r="A616" s="4">
        <v>308</v>
      </c>
      <c r="B616" s="4" t="s">
        <v>1197</v>
      </c>
      <c r="C616" s="4">
        <v>10</v>
      </c>
      <c r="D616" s="4" t="s">
        <v>1976</v>
      </c>
      <c r="E616" s="4">
        <v>4</v>
      </c>
      <c r="F616" s="4" t="str">
        <f ca="1">Master_List!$AW$1</f>
        <v>PERPUSTAKAAN PUSAT</v>
      </c>
      <c r="G616" s="4" t="str">
        <f ca="1">Master_List!$AW$2</f>
        <v>09:30 PM</v>
      </c>
      <c r="H616" s="4" t="str">
        <f ca="1">Master_List!$AW$3</f>
        <v>20/07/2026</v>
      </c>
      <c r="I616" s="4" t="str">
        <f ca="1">Master_List!$AW$4</f>
        <v>28.5</v>
      </c>
      <c r="J616" s="4" t="str">
        <f ca="1">Master_List!$AW$5</f>
        <v>65</v>
      </c>
      <c r="K616" s="4" t="s">
        <v>579</v>
      </c>
      <c r="BL616" s="4" t="s">
        <v>1744</v>
      </c>
      <c r="BM616" s="4" t="s">
        <v>2062</v>
      </c>
      <c r="BN616" s="4" t="s">
        <v>1746</v>
      </c>
      <c r="BO616" s="4" t="str">
        <f t="shared" si="9"/>
        <v>C:\Users\aremi\Desktop\REPORT CBM\PO TIANU JB\03. Raw Material\40. 10052026 SSU MEDINI SIGNATURE 33KV (VI)\IR</v>
      </c>
      <c r="BP616" t="s">
        <v>1204</v>
      </c>
    </row>
    <row r="617" spans="1:68" thickBot="1" x14ac:dyDescent="0.3">
      <c r="A617" s="4">
        <v>308</v>
      </c>
      <c r="B617" s="4" t="s">
        <v>1197</v>
      </c>
      <c r="C617" s="4">
        <v>10</v>
      </c>
      <c r="D617" s="4" t="s">
        <v>1976</v>
      </c>
      <c r="E617" s="4">
        <v>4</v>
      </c>
      <c r="F617" s="4" t="str">
        <f ca="1">Master_List!$AW$1</f>
        <v>PERPUSTAKAAN PUSAT</v>
      </c>
      <c r="G617" s="4" t="str">
        <f ca="1">Master_List!$AW$2</f>
        <v>09:30 PM</v>
      </c>
      <c r="H617" s="4" t="str">
        <f ca="1">Master_List!$AW$3</f>
        <v>20/07/2026</v>
      </c>
      <c r="I617" s="4" t="str">
        <f ca="1">Master_List!$AW$4</f>
        <v>28.5</v>
      </c>
      <c r="J617" s="4" t="str">
        <f ca="1">Master_List!$AW$5</f>
        <v>65</v>
      </c>
      <c r="K617" s="4" t="s">
        <v>579</v>
      </c>
      <c r="BL617" s="4" t="s">
        <v>1744</v>
      </c>
      <c r="BM617" s="4" t="s">
        <v>2062</v>
      </c>
      <c r="BN617" s="4" t="s">
        <v>1748</v>
      </c>
      <c r="BO617" s="4" t="str">
        <f t="shared" si="9"/>
        <v>C:\Users\aremi\Desktop\REPORT CBM\PO TIANU JB\03. Raw Material\40. 10052026 SSU MEDINI SIGNATURE 33KV (VI)\IR</v>
      </c>
      <c r="BP617" t="s">
        <v>1205</v>
      </c>
    </row>
    <row r="618" spans="1:68" thickBot="1" x14ac:dyDescent="0.3">
      <c r="A618" s="4">
        <v>309</v>
      </c>
      <c r="B618" s="4" t="s">
        <v>1197</v>
      </c>
      <c r="C618" s="4">
        <v>10</v>
      </c>
      <c r="D618" s="4" t="s">
        <v>1976</v>
      </c>
      <c r="E618" s="4">
        <v>5</v>
      </c>
      <c r="F618" s="4" t="str">
        <f ca="1">Master_List!$AW$1</f>
        <v>PERPUSTAKAAN PUSAT</v>
      </c>
      <c r="G618" s="4" t="str">
        <f ca="1">Master_List!$AW$2</f>
        <v>09:30 PM</v>
      </c>
      <c r="H618" s="4" t="str">
        <f ca="1">Master_List!$AW$3</f>
        <v>20/07/2026</v>
      </c>
      <c r="I618" s="4" t="str">
        <f ca="1">Master_List!$AW$4</f>
        <v>28.5</v>
      </c>
      <c r="J618" s="4" t="str">
        <f ca="1">Master_List!$AW$5</f>
        <v>65</v>
      </c>
      <c r="K618" s="4" t="s">
        <v>582</v>
      </c>
      <c r="BL618" s="4" t="s">
        <v>1744</v>
      </c>
      <c r="BM618" s="4" t="s">
        <v>2063</v>
      </c>
      <c r="BN618" s="4" t="s">
        <v>1746</v>
      </c>
      <c r="BO618" s="4" t="str">
        <f t="shared" si="9"/>
        <v>C:\Users\aremi\Desktop\REPORT CBM\PO TIANU JB\03. Raw Material\40. 10052026 SSU MEDINI SIGNATURE 33KV (VI)\IR</v>
      </c>
      <c r="BP618" t="s">
        <v>1206</v>
      </c>
    </row>
    <row r="619" spans="1:68" thickBot="1" x14ac:dyDescent="0.3">
      <c r="A619" s="4">
        <v>309</v>
      </c>
      <c r="B619" s="4" t="s">
        <v>1197</v>
      </c>
      <c r="C619" s="4">
        <v>10</v>
      </c>
      <c r="D619" s="4" t="s">
        <v>1976</v>
      </c>
      <c r="E619" s="4">
        <v>5</v>
      </c>
      <c r="F619" s="4" t="str">
        <f ca="1">Master_List!$AW$1</f>
        <v>PERPUSTAKAAN PUSAT</v>
      </c>
      <c r="G619" s="4" t="str">
        <f ca="1">Master_List!$AW$2</f>
        <v>09:30 PM</v>
      </c>
      <c r="H619" s="4" t="str">
        <f ca="1">Master_List!$AW$3</f>
        <v>20/07/2026</v>
      </c>
      <c r="I619" s="4" t="str">
        <f ca="1">Master_List!$AW$4</f>
        <v>28.5</v>
      </c>
      <c r="J619" s="4" t="str">
        <f ca="1">Master_List!$AW$5</f>
        <v>65</v>
      </c>
      <c r="K619" s="4" t="s">
        <v>582</v>
      </c>
      <c r="BL619" s="4" t="s">
        <v>1744</v>
      </c>
      <c r="BM619" s="4" t="s">
        <v>2063</v>
      </c>
      <c r="BN619" s="4" t="s">
        <v>1748</v>
      </c>
      <c r="BO619" s="4" t="str">
        <f t="shared" si="9"/>
        <v>C:\Users\aremi\Desktop\REPORT CBM\PO TIANU JB\03. Raw Material\40. 10052026 SSU MEDINI SIGNATURE 33KV (VI)\IR</v>
      </c>
      <c r="BP619" t="s">
        <v>1207</v>
      </c>
    </row>
    <row r="620" spans="1:68" thickBot="1" x14ac:dyDescent="0.3">
      <c r="A620" s="4">
        <v>310</v>
      </c>
      <c r="B620" s="4" t="s">
        <v>1197</v>
      </c>
      <c r="C620" s="4">
        <v>10</v>
      </c>
      <c r="D620" s="4" t="s">
        <v>1976</v>
      </c>
      <c r="E620" s="4">
        <v>6</v>
      </c>
      <c r="F620" s="4" t="str">
        <f ca="1">Master_List!$AW$1</f>
        <v>PERPUSTAKAAN PUSAT</v>
      </c>
      <c r="G620" s="4" t="str">
        <f ca="1">Master_List!$AW$2</f>
        <v>09:30 PM</v>
      </c>
      <c r="H620" s="4" t="str">
        <f ca="1">Master_List!$AW$3</f>
        <v>20/07/2026</v>
      </c>
      <c r="I620" s="4" t="str">
        <f ca="1">Master_List!$AW$4</f>
        <v>28.5</v>
      </c>
      <c r="J620" s="4" t="str">
        <f ca="1">Master_List!$AW$5</f>
        <v>65</v>
      </c>
      <c r="K620" s="4" t="s">
        <v>585</v>
      </c>
      <c r="BL620" s="4" t="s">
        <v>1744</v>
      </c>
      <c r="BM620" s="4" t="s">
        <v>2064</v>
      </c>
      <c r="BN620" s="4" t="s">
        <v>1746</v>
      </c>
      <c r="BO620" s="4" t="str">
        <f t="shared" si="9"/>
        <v>C:\Users\aremi\Desktop\REPORT CBM\PO TIANU JB\03. Raw Material\40. 10052026 SSU MEDINI SIGNATURE 33KV (VI)\IR</v>
      </c>
      <c r="BP620" t="s">
        <v>1208</v>
      </c>
    </row>
    <row r="621" spans="1:68" thickBot="1" x14ac:dyDescent="0.3">
      <c r="A621" s="4">
        <v>310</v>
      </c>
      <c r="B621" s="4" t="s">
        <v>1197</v>
      </c>
      <c r="C621" s="4">
        <v>10</v>
      </c>
      <c r="D621" s="4" t="s">
        <v>1976</v>
      </c>
      <c r="E621" s="4">
        <v>6</v>
      </c>
      <c r="F621" s="4" t="str">
        <f ca="1">Master_List!$AW$1</f>
        <v>PERPUSTAKAAN PUSAT</v>
      </c>
      <c r="G621" s="4" t="str">
        <f ca="1">Master_List!$AW$2</f>
        <v>09:30 PM</v>
      </c>
      <c r="H621" s="4" t="str">
        <f ca="1">Master_List!$AW$3</f>
        <v>20/07/2026</v>
      </c>
      <c r="I621" s="4" t="str">
        <f ca="1">Master_List!$AW$4</f>
        <v>28.5</v>
      </c>
      <c r="J621" s="4" t="str">
        <f ca="1">Master_List!$AW$5</f>
        <v>65</v>
      </c>
      <c r="K621" s="4" t="s">
        <v>585</v>
      </c>
      <c r="BL621" s="4" t="s">
        <v>1744</v>
      </c>
      <c r="BM621" s="4" t="s">
        <v>2064</v>
      </c>
      <c r="BN621" s="4" t="s">
        <v>1748</v>
      </c>
      <c r="BO621" s="4" t="str">
        <f t="shared" si="9"/>
        <v>C:\Users\aremi\Desktop\REPORT CBM\PO TIANU JB\03. Raw Material\40. 10052026 SSU MEDINI SIGNATURE 33KV (VI)\IR</v>
      </c>
      <c r="BP621" t="s">
        <v>1209</v>
      </c>
    </row>
    <row r="622" spans="1:68" thickBot="1" x14ac:dyDescent="0.3">
      <c r="A622" s="4">
        <v>311</v>
      </c>
      <c r="B622" s="4" t="s">
        <v>1197</v>
      </c>
      <c r="C622" s="4">
        <v>10</v>
      </c>
      <c r="D622" s="4" t="s">
        <v>1983</v>
      </c>
      <c r="E622" s="4">
        <v>7</v>
      </c>
      <c r="F622" s="4" t="str">
        <f ca="1">Master_List!$AW$1</f>
        <v>PERPUSTAKAAN PUSAT</v>
      </c>
      <c r="G622" s="4" t="str">
        <f ca="1">Master_List!$AW$2</f>
        <v>09:30 PM</v>
      </c>
      <c r="H622" s="4" t="str">
        <f ca="1">Master_List!$AW$3</f>
        <v>20/07/2026</v>
      </c>
      <c r="I622" s="4" t="str">
        <f ca="1">Master_List!$AW$4</f>
        <v>28.5</v>
      </c>
      <c r="J622" s="4" t="str">
        <f ca="1">Master_List!$AW$5</f>
        <v>65</v>
      </c>
      <c r="K622" s="4" t="s">
        <v>588</v>
      </c>
      <c r="BL622" s="4" t="s">
        <v>1744</v>
      </c>
      <c r="BM622" s="4" t="s">
        <v>2065</v>
      </c>
      <c r="BN622" s="4" t="s">
        <v>1746</v>
      </c>
      <c r="BO622" s="4" t="str">
        <f t="shared" si="9"/>
        <v>C:\Users\aremi\Desktop\REPORT CBM\PO TIANU JB\03. Raw Material\40. 10052026 SSU MEDINI SIGNATURE 33KV (VI)\IR</v>
      </c>
      <c r="BP622" t="s">
        <v>1210</v>
      </c>
    </row>
    <row r="623" spans="1:68" thickBot="1" x14ac:dyDescent="0.3">
      <c r="A623" s="4">
        <v>311</v>
      </c>
      <c r="B623" s="4" t="s">
        <v>1197</v>
      </c>
      <c r="C623" s="4">
        <v>10</v>
      </c>
      <c r="D623" s="4" t="s">
        <v>1983</v>
      </c>
      <c r="E623" s="4">
        <v>7</v>
      </c>
      <c r="F623" s="4" t="str">
        <f ca="1">Master_List!$AW$1</f>
        <v>PERPUSTAKAAN PUSAT</v>
      </c>
      <c r="G623" s="4" t="str">
        <f ca="1">Master_List!$AW$2</f>
        <v>09:30 PM</v>
      </c>
      <c r="H623" s="4" t="str">
        <f ca="1">Master_List!$AW$3</f>
        <v>20/07/2026</v>
      </c>
      <c r="I623" s="4" t="str">
        <f ca="1">Master_List!$AW$4</f>
        <v>28.5</v>
      </c>
      <c r="J623" s="4" t="str">
        <f ca="1">Master_List!$AW$5</f>
        <v>65</v>
      </c>
      <c r="K623" s="4" t="s">
        <v>588</v>
      </c>
      <c r="BL623" s="4" t="s">
        <v>1744</v>
      </c>
      <c r="BM623" s="4" t="s">
        <v>2065</v>
      </c>
      <c r="BN623" s="4" t="s">
        <v>1748</v>
      </c>
      <c r="BO623" s="4" t="str">
        <f t="shared" si="9"/>
        <v>C:\Users\aremi\Desktop\REPORT CBM\PO TIANU JB\03. Raw Material\40. 10052026 SSU MEDINI SIGNATURE 33KV (VI)\IR</v>
      </c>
      <c r="BP623" t="s">
        <v>1211</v>
      </c>
    </row>
    <row r="624" spans="1:68" thickBot="1" x14ac:dyDescent="0.3">
      <c r="A624" s="4">
        <v>312</v>
      </c>
      <c r="B624" s="4" t="s">
        <v>1197</v>
      </c>
      <c r="C624" s="4">
        <v>10</v>
      </c>
      <c r="D624" s="4" t="s">
        <v>1985</v>
      </c>
      <c r="E624" s="4">
        <v>8</v>
      </c>
      <c r="F624" s="4" t="str">
        <f ca="1">Master_List!$AW$1</f>
        <v>PERPUSTAKAAN PUSAT</v>
      </c>
      <c r="G624" s="4" t="str">
        <f ca="1">Master_List!$AW$2</f>
        <v>09:30 PM</v>
      </c>
      <c r="H624" s="4" t="str">
        <f ca="1">Master_List!$AW$3</f>
        <v>20/07/2026</v>
      </c>
      <c r="I624" s="4" t="str">
        <f ca="1">Master_List!$AW$4</f>
        <v>28.5</v>
      </c>
      <c r="J624" s="4" t="str">
        <f ca="1">Master_List!$AW$5</f>
        <v>65</v>
      </c>
      <c r="K624" s="4" t="s">
        <v>591</v>
      </c>
      <c r="BL624" s="4" t="s">
        <v>1744</v>
      </c>
      <c r="BM624" s="4" t="s">
        <v>2066</v>
      </c>
      <c r="BN624" s="4" t="s">
        <v>1746</v>
      </c>
      <c r="BO624" s="4" t="str">
        <f t="shared" si="9"/>
        <v>C:\Users\aremi\Desktop\REPORT CBM\PO TIANU JB\03. Raw Material\40. 10052026 SSU MEDINI SIGNATURE 33KV (VI)\IR</v>
      </c>
      <c r="BP624" t="s">
        <v>1212</v>
      </c>
    </row>
    <row r="625" spans="1:68" thickBot="1" x14ac:dyDescent="0.3">
      <c r="A625" s="4">
        <v>312</v>
      </c>
      <c r="B625" s="4" t="s">
        <v>1197</v>
      </c>
      <c r="C625" s="4">
        <v>10</v>
      </c>
      <c r="D625" s="4" t="s">
        <v>1985</v>
      </c>
      <c r="E625" s="4">
        <v>8</v>
      </c>
      <c r="F625" s="4" t="str">
        <f ca="1">Master_List!$AW$1</f>
        <v>PERPUSTAKAAN PUSAT</v>
      </c>
      <c r="G625" s="4" t="str">
        <f ca="1">Master_List!$AW$2</f>
        <v>09:30 PM</v>
      </c>
      <c r="H625" s="4" t="str">
        <f ca="1">Master_List!$AW$3</f>
        <v>20/07/2026</v>
      </c>
      <c r="I625" s="4" t="str">
        <f ca="1">Master_List!$AW$4</f>
        <v>28.5</v>
      </c>
      <c r="J625" s="4" t="str">
        <f ca="1">Master_List!$AW$5</f>
        <v>65</v>
      </c>
      <c r="K625" s="4" t="s">
        <v>591</v>
      </c>
      <c r="BL625" s="4" t="s">
        <v>1744</v>
      </c>
      <c r="BM625" s="4" t="s">
        <v>2066</v>
      </c>
      <c r="BN625" s="4" t="s">
        <v>1748</v>
      </c>
      <c r="BO625" s="4" t="str">
        <f t="shared" si="9"/>
        <v>C:\Users\aremi\Desktop\REPORT CBM\PO TIANU JB\03. Raw Material\40. 10052026 SSU MEDINI SIGNATURE 33KV (VI)\IR</v>
      </c>
      <c r="BP625" t="s">
        <v>1213</v>
      </c>
    </row>
    <row r="626" spans="1:68" thickBot="1" x14ac:dyDescent="0.3">
      <c r="A626" s="4">
        <v>313</v>
      </c>
      <c r="B626" s="4" t="s">
        <v>1214</v>
      </c>
      <c r="C626" s="4">
        <v>10</v>
      </c>
      <c r="D626" s="4" t="s">
        <v>1976</v>
      </c>
      <c r="E626" s="4">
        <v>1</v>
      </c>
      <c r="F626" s="4" t="str">
        <f ca="1">Master_List!$AW$1</f>
        <v>PERPUSTAKAAN PUSAT</v>
      </c>
      <c r="G626" s="4" t="str">
        <f ca="1">Master_List!$AW$2</f>
        <v>09:30 PM</v>
      </c>
      <c r="H626" s="4" t="str">
        <f ca="1">Master_List!$AW$3</f>
        <v>20/07/2026</v>
      </c>
      <c r="I626" s="4" t="str">
        <f ca="1">Master_List!$AW$4</f>
        <v>28.5</v>
      </c>
      <c r="J626" s="4" t="str">
        <f ca="1">Master_List!$AW$5</f>
        <v>65</v>
      </c>
      <c r="K626" s="4" t="s">
        <v>570</v>
      </c>
      <c r="BL626" s="4" t="s">
        <v>1744</v>
      </c>
      <c r="BM626" s="4" t="s">
        <v>2067</v>
      </c>
      <c r="BN626" s="4" t="s">
        <v>1746</v>
      </c>
      <c r="BO626" s="4" t="str">
        <f t="shared" si="9"/>
        <v>C:\Users\aremi\Desktop\REPORT CBM\PO TIANU JB\03. Raw Material\40. 10052026 SSU MEDINI SIGNATURE 33KV (VI)\IR</v>
      </c>
      <c r="BP626" t="s">
        <v>1215</v>
      </c>
    </row>
    <row r="627" spans="1:68" thickBot="1" x14ac:dyDescent="0.3">
      <c r="A627" s="4">
        <v>313</v>
      </c>
      <c r="B627" s="4" t="s">
        <v>1214</v>
      </c>
      <c r="C627" s="4">
        <v>10</v>
      </c>
      <c r="D627" s="4" t="s">
        <v>1976</v>
      </c>
      <c r="E627" s="4">
        <v>1</v>
      </c>
      <c r="F627" s="4" t="str">
        <f ca="1">Master_List!$AW$1</f>
        <v>PERPUSTAKAAN PUSAT</v>
      </c>
      <c r="G627" s="4" t="str">
        <f ca="1">Master_List!$AW$2</f>
        <v>09:30 PM</v>
      </c>
      <c r="H627" s="4" t="str">
        <f ca="1">Master_List!$AW$3</f>
        <v>20/07/2026</v>
      </c>
      <c r="I627" s="4" t="str">
        <f ca="1">Master_List!$AW$4</f>
        <v>28.5</v>
      </c>
      <c r="J627" s="4" t="str">
        <f ca="1">Master_List!$AW$5</f>
        <v>65</v>
      </c>
      <c r="K627" s="4" t="s">
        <v>570</v>
      </c>
      <c r="BL627" s="4" t="s">
        <v>1744</v>
      </c>
      <c r="BM627" s="4" t="s">
        <v>2067</v>
      </c>
      <c r="BN627" s="4" t="s">
        <v>1748</v>
      </c>
      <c r="BO627" s="4" t="str">
        <f t="shared" si="9"/>
        <v>C:\Users\aremi\Desktop\REPORT CBM\PO TIANU JB\03. Raw Material\40. 10052026 SSU MEDINI SIGNATURE 33KV (VI)\IR</v>
      </c>
      <c r="BP627" t="s">
        <v>1216</v>
      </c>
    </row>
    <row r="628" spans="1:68" thickBot="1" x14ac:dyDescent="0.3">
      <c r="A628" s="4">
        <v>314</v>
      </c>
      <c r="B628" s="4" t="s">
        <v>1214</v>
      </c>
      <c r="C628" s="4">
        <v>10</v>
      </c>
      <c r="D628" s="4" t="s">
        <v>1976</v>
      </c>
      <c r="E628" s="4">
        <v>2</v>
      </c>
      <c r="F628" s="4" t="str">
        <f ca="1">Master_List!$AW$1</f>
        <v>PERPUSTAKAAN PUSAT</v>
      </c>
      <c r="G628" s="4" t="str">
        <f ca="1">Master_List!$AW$2</f>
        <v>09:30 PM</v>
      </c>
      <c r="H628" s="4" t="str">
        <f ca="1">Master_List!$AW$3</f>
        <v>20/07/2026</v>
      </c>
      <c r="I628" s="4" t="str">
        <f ca="1">Master_List!$AW$4</f>
        <v>28.5</v>
      </c>
      <c r="J628" s="4" t="str">
        <f ca="1">Master_List!$AW$5</f>
        <v>65</v>
      </c>
      <c r="K628" s="4" t="s">
        <v>573</v>
      </c>
      <c r="BL628" s="4" t="s">
        <v>1744</v>
      </c>
      <c r="BM628" s="4" t="s">
        <v>2068</v>
      </c>
      <c r="BN628" s="4" t="s">
        <v>1746</v>
      </c>
      <c r="BO628" s="4" t="str">
        <f t="shared" si="9"/>
        <v>C:\Users\aremi\Desktop\REPORT CBM\PO TIANU JB\03. Raw Material\40. 10052026 SSU MEDINI SIGNATURE 33KV (VI)\IR</v>
      </c>
      <c r="BP628" t="s">
        <v>1217</v>
      </c>
    </row>
    <row r="629" spans="1:68" thickBot="1" x14ac:dyDescent="0.3">
      <c r="A629" s="4">
        <v>314</v>
      </c>
      <c r="B629" s="4" t="s">
        <v>1214</v>
      </c>
      <c r="C629" s="4">
        <v>10</v>
      </c>
      <c r="D629" s="4" t="s">
        <v>1976</v>
      </c>
      <c r="E629" s="4">
        <v>2</v>
      </c>
      <c r="F629" s="4" t="str">
        <f ca="1">Master_List!$AW$1</f>
        <v>PERPUSTAKAAN PUSAT</v>
      </c>
      <c r="G629" s="4" t="str">
        <f ca="1">Master_List!$AW$2</f>
        <v>09:30 PM</v>
      </c>
      <c r="H629" s="4" t="str">
        <f ca="1">Master_List!$AW$3</f>
        <v>20/07/2026</v>
      </c>
      <c r="I629" s="4" t="str">
        <f ca="1">Master_List!$AW$4</f>
        <v>28.5</v>
      </c>
      <c r="J629" s="4" t="str">
        <f ca="1">Master_List!$AW$5</f>
        <v>65</v>
      </c>
      <c r="K629" s="4" t="s">
        <v>573</v>
      </c>
      <c r="BL629" s="4" t="s">
        <v>1744</v>
      </c>
      <c r="BM629" s="4" t="s">
        <v>2068</v>
      </c>
      <c r="BN629" s="4" t="s">
        <v>1748</v>
      </c>
      <c r="BO629" s="4" t="str">
        <f t="shared" si="9"/>
        <v>C:\Users\aremi\Desktop\REPORT CBM\PO TIANU JB\03. Raw Material\40. 10052026 SSU MEDINI SIGNATURE 33KV (VI)\IR</v>
      </c>
      <c r="BP629" t="s">
        <v>1218</v>
      </c>
    </row>
    <row r="630" spans="1:68" thickBot="1" x14ac:dyDescent="0.3">
      <c r="A630" s="4">
        <v>315</v>
      </c>
      <c r="B630" s="4" t="s">
        <v>1214</v>
      </c>
      <c r="C630" s="4">
        <v>10</v>
      </c>
      <c r="D630" s="4" t="s">
        <v>1976</v>
      </c>
      <c r="E630" s="4">
        <v>3</v>
      </c>
      <c r="F630" s="4" t="str">
        <f ca="1">Master_List!$AW$1</f>
        <v>PERPUSTAKAAN PUSAT</v>
      </c>
      <c r="G630" s="4" t="str">
        <f ca="1">Master_List!$AW$2</f>
        <v>09:30 PM</v>
      </c>
      <c r="H630" s="4" t="str">
        <f ca="1">Master_List!$AW$3</f>
        <v>20/07/2026</v>
      </c>
      <c r="I630" s="4" t="str">
        <f ca="1">Master_List!$AW$4</f>
        <v>28.5</v>
      </c>
      <c r="J630" s="4" t="str">
        <f ca="1">Master_List!$AW$5</f>
        <v>65</v>
      </c>
      <c r="K630" s="4" t="s">
        <v>576</v>
      </c>
      <c r="BL630" s="4" t="s">
        <v>1744</v>
      </c>
      <c r="BM630" s="4" t="s">
        <v>2069</v>
      </c>
      <c r="BN630" s="4" t="s">
        <v>1746</v>
      </c>
      <c r="BO630" s="4" t="str">
        <f t="shared" si="9"/>
        <v>C:\Users\aremi\Desktop\REPORT CBM\PO TIANU JB\03. Raw Material\40. 10052026 SSU MEDINI SIGNATURE 33KV (VI)\IR</v>
      </c>
      <c r="BP630" t="s">
        <v>1219</v>
      </c>
    </row>
    <row r="631" spans="1:68" thickBot="1" x14ac:dyDescent="0.3">
      <c r="A631" s="4">
        <v>315</v>
      </c>
      <c r="B631" s="4" t="s">
        <v>1214</v>
      </c>
      <c r="C631" s="4">
        <v>10</v>
      </c>
      <c r="D631" s="4" t="s">
        <v>1976</v>
      </c>
      <c r="E631" s="4">
        <v>3</v>
      </c>
      <c r="F631" s="4" t="str">
        <f ca="1">Master_List!$AW$1</f>
        <v>PERPUSTAKAAN PUSAT</v>
      </c>
      <c r="G631" s="4" t="str">
        <f ca="1">Master_List!$AW$2</f>
        <v>09:30 PM</v>
      </c>
      <c r="H631" s="4" t="str">
        <f ca="1">Master_List!$AW$3</f>
        <v>20/07/2026</v>
      </c>
      <c r="I631" s="4" t="str">
        <f ca="1">Master_List!$AW$4</f>
        <v>28.5</v>
      </c>
      <c r="J631" s="4" t="str">
        <f ca="1">Master_List!$AW$5</f>
        <v>65</v>
      </c>
      <c r="K631" s="4" t="s">
        <v>576</v>
      </c>
      <c r="BL631" s="4" t="s">
        <v>1744</v>
      </c>
      <c r="BM631" s="4" t="s">
        <v>2069</v>
      </c>
      <c r="BN631" s="4" t="s">
        <v>1748</v>
      </c>
      <c r="BO631" s="4" t="str">
        <f t="shared" si="9"/>
        <v>C:\Users\aremi\Desktop\REPORT CBM\PO TIANU JB\03. Raw Material\40. 10052026 SSU MEDINI SIGNATURE 33KV (VI)\IR</v>
      </c>
      <c r="BP631" t="s">
        <v>1220</v>
      </c>
    </row>
    <row r="632" spans="1:68" thickBot="1" x14ac:dyDescent="0.3">
      <c r="A632" s="4">
        <v>316</v>
      </c>
      <c r="B632" s="4" t="s">
        <v>1214</v>
      </c>
      <c r="C632" s="4">
        <v>10</v>
      </c>
      <c r="D632" s="4" t="s">
        <v>1976</v>
      </c>
      <c r="E632" s="4">
        <v>4</v>
      </c>
      <c r="F632" s="4" t="str">
        <f ca="1">Master_List!$AW$1</f>
        <v>PERPUSTAKAAN PUSAT</v>
      </c>
      <c r="G632" s="4" t="str">
        <f ca="1">Master_List!$AW$2</f>
        <v>09:30 PM</v>
      </c>
      <c r="H632" s="4" t="str">
        <f ca="1">Master_List!$AW$3</f>
        <v>20/07/2026</v>
      </c>
      <c r="I632" s="4" t="str">
        <f ca="1">Master_List!$AW$4</f>
        <v>28.5</v>
      </c>
      <c r="J632" s="4" t="str">
        <f ca="1">Master_List!$AW$5</f>
        <v>65</v>
      </c>
      <c r="K632" s="4" t="s">
        <v>579</v>
      </c>
      <c r="BL632" s="4" t="s">
        <v>1744</v>
      </c>
      <c r="BM632" s="4" t="s">
        <v>2070</v>
      </c>
      <c r="BN632" s="4" t="s">
        <v>1746</v>
      </c>
      <c r="BO632" s="4" t="str">
        <f t="shared" si="9"/>
        <v>C:\Users\aremi\Desktop\REPORT CBM\PO TIANU JB\03. Raw Material\40. 10052026 SSU MEDINI SIGNATURE 33KV (VI)\IR</v>
      </c>
      <c r="BP632" t="s">
        <v>1221</v>
      </c>
    </row>
    <row r="633" spans="1:68" thickBot="1" x14ac:dyDescent="0.3">
      <c r="A633" s="4">
        <v>316</v>
      </c>
      <c r="B633" s="4" t="s">
        <v>1214</v>
      </c>
      <c r="C633" s="4">
        <v>10</v>
      </c>
      <c r="D633" s="4" t="s">
        <v>1976</v>
      </c>
      <c r="E633" s="4">
        <v>4</v>
      </c>
      <c r="F633" s="4" t="str">
        <f ca="1">Master_List!$AW$1</f>
        <v>PERPUSTAKAAN PUSAT</v>
      </c>
      <c r="G633" s="4" t="str">
        <f ca="1">Master_List!$AW$2</f>
        <v>09:30 PM</v>
      </c>
      <c r="H633" s="4" t="str">
        <f ca="1">Master_List!$AW$3</f>
        <v>20/07/2026</v>
      </c>
      <c r="I633" s="4" t="str">
        <f ca="1">Master_List!$AW$4</f>
        <v>28.5</v>
      </c>
      <c r="J633" s="4" t="str">
        <f ca="1">Master_List!$AW$5</f>
        <v>65</v>
      </c>
      <c r="K633" s="4" t="s">
        <v>579</v>
      </c>
      <c r="BL633" s="4" t="s">
        <v>1744</v>
      </c>
      <c r="BM633" s="4" t="s">
        <v>2070</v>
      </c>
      <c r="BN633" s="4" t="s">
        <v>1748</v>
      </c>
      <c r="BO633" s="4" t="str">
        <f t="shared" si="9"/>
        <v>C:\Users\aremi\Desktop\REPORT CBM\PO TIANU JB\03. Raw Material\40. 10052026 SSU MEDINI SIGNATURE 33KV (VI)\IR</v>
      </c>
      <c r="BP633" t="s">
        <v>1222</v>
      </c>
    </row>
    <row r="634" spans="1:68" thickBot="1" x14ac:dyDescent="0.3">
      <c r="A634" s="4">
        <v>317</v>
      </c>
      <c r="B634" s="4" t="s">
        <v>1214</v>
      </c>
      <c r="C634" s="4">
        <v>10</v>
      </c>
      <c r="D634" s="4" t="s">
        <v>1976</v>
      </c>
      <c r="E634" s="4">
        <v>5</v>
      </c>
      <c r="F634" s="4" t="str">
        <f ca="1">Master_List!$AW$1</f>
        <v>PERPUSTAKAAN PUSAT</v>
      </c>
      <c r="G634" s="4" t="str">
        <f ca="1">Master_List!$AW$2</f>
        <v>09:30 PM</v>
      </c>
      <c r="H634" s="4" t="str">
        <f ca="1">Master_List!$AW$3</f>
        <v>20/07/2026</v>
      </c>
      <c r="I634" s="4" t="str">
        <f ca="1">Master_List!$AW$4</f>
        <v>28.5</v>
      </c>
      <c r="J634" s="4" t="str">
        <f ca="1">Master_List!$AW$5</f>
        <v>65</v>
      </c>
      <c r="K634" s="4" t="s">
        <v>582</v>
      </c>
      <c r="BL634" s="4" t="s">
        <v>1744</v>
      </c>
      <c r="BM634" s="4" t="s">
        <v>2071</v>
      </c>
      <c r="BN634" s="4" t="s">
        <v>1746</v>
      </c>
      <c r="BO634" s="4" t="str">
        <f t="shared" si="9"/>
        <v>C:\Users\aremi\Desktop\REPORT CBM\PO TIANU JB\03. Raw Material\40. 10052026 SSU MEDINI SIGNATURE 33KV (VI)\IR</v>
      </c>
      <c r="BP634" t="s">
        <v>1223</v>
      </c>
    </row>
    <row r="635" spans="1:68" thickBot="1" x14ac:dyDescent="0.3">
      <c r="A635" s="4">
        <v>317</v>
      </c>
      <c r="B635" s="4" t="s">
        <v>1214</v>
      </c>
      <c r="C635" s="4">
        <v>10</v>
      </c>
      <c r="D635" s="4" t="s">
        <v>1976</v>
      </c>
      <c r="E635" s="4">
        <v>5</v>
      </c>
      <c r="F635" s="4" t="str">
        <f ca="1">Master_List!$AW$1</f>
        <v>PERPUSTAKAAN PUSAT</v>
      </c>
      <c r="G635" s="4" t="str">
        <f ca="1">Master_List!$AW$2</f>
        <v>09:30 PM</v>
      </c>
      <c r="H635" s="4" t="str">
        <f ca="1">Master_List!$AW$3</f>
        <v>20/07/2026</v>
      </c>
      <c r="I635" s="4" t="str">
        <f ca="1">Master_List!$AW$4</f>
        <v>28.5</v>
      </c>
      <c r="J635" s="4" t="str">
        <f ca="1">Master_List!$AW$5</f>
        <v>65</v>
      </c>
      <c r="K635" s="4" t="s">
        <v>582</v>
      </c>
      <c r="BL635" s="4" t="s">
        <v>1744</v>
      </c>
      <c r="BM635" s="4" t="s">
        <v>2071</v>
      </c>
      <c r="BN635" s="4" t="s">
        <v>1748</v>
      </c>
      <c r="BO635" s="4" t="str">
        <f t="shared" si="9"/>
        <v>C:\Users\aremi\Desktop\REPORT CBM\PO TIANU JB\03. Raw Material\40. 10052026 SSU MEDINI SIGNATURE 33KV (VI)\IR</v>
      </c>
      <c r="BP635" t="s">
        <v>1224</v>
      </c>
    </row>
    <row r="636" spans="1:68" thickBot="1" x14ac:dyDescent="0.3">
      <c r="A636" s="4">
        <v>318</v>
      </c>
      <c r="B636" s="4" t="s">
        <v>1214</v>
      </c>
      <c r="C636" s="4">
        <v>10</v>
      </c>
      <c r="D636" s="4" t="s">
        <v>1976</v>
      </c>
      <c r="E636" s="4">
        <v>6</v>
      </c>
      <c r="F636" s="4" t="str">
        <f ca="1">Master_List!$AW$1</f>
        <v>PERPUSTAKAAN PUSAT</v>
      </c>
      <c r="G636" s="4" t="str">
        <f ca="1">Master_List!$AW$2</f>
        <v>09:30 PM</v>
      </c>
      <c r="H636" s="4" t="str">
        <f ca="1">Master_List!$AW$3</f>
        <v>20/07/2026</v>
      </c>
      <c r="I636" s="4" t="str">
        <f ca="1">Master_List!$AW$4</f>
        <v>28.5</v>
      </c>
      <c r="J636" s="4" t="str">
        <f ca="1">Master_List!$AW$5</f>
        <v>65</v>
      </c>
      <c r="K636" s="4" t="s">
        <v>585</v>
      </c>
      <c r="BL636" s="4" t="s">
        <v>1744</v>
      </c>
      <c r="BM636" s="4" t="s">
        <v>2072</v>
      </c>
      <c r="BN636" s="4" t="s">
        <v>1746</v>
      </c>
      <c r="BO636" s="4" t="str">
        <f t="shared" si="9"/>
        <v>C:\Users\aremi\Desktop\REPORT CBM\PO TIANU JB\03. Raw Material\40. 10052026 SSU MEDINI SIGNATURE 33KV (VI)\IR</v>
      </c>
      <c r="BP636" t="s">
        <v>1225</v>
      </c>
    </row>
    <row r="637" spans="1:68" thickBot="1" x14ac:dyDescent="0.3">
      <c r="A637" s="4">
        <v>318</v>
      </c>
      <c r="B637" s="4" t="s">
        <v>1214</v>
      </c>
      <c r="C637" s="4">
        <v>10</v>
      </c>
      <c r="D637" s="4" t="s">
        <v>1976</v>
      </c>
      <c r="E637" s="4">
        <v>6</v>
      </c>
      <c r="F637" s="4" t="str">
        <f ca="1">Master_List!$AW$1</f>
        <v>PERPUSTAKAAN PUSAT</v>
      </c>
      <c r="G637" s="4" t="str">
        <f ca="1">Master_List!$AW$2</f>
        <v>09:30 PM</v>
      </c>
      <c r="H637" s="4" t="str">
        <f ca="1">Master_List!$AW$3</f>
        <v>20/07/2026</v>
      </c>
      <c r="I637" s="4" t="str">
        <f ca="1">Master_List!$AW$4</f>
        <v>28.5</v>
      </c>
      <c r="J637" s="4" t="str">
        <f ca="1">Master_List!$AW$5</f>
        <v>65</v>
      </c>
      <c r="K637" s="4" t="s">
        <v>585</v>
      </c>
      <c r="BL637" s="4" t="s">
        <v>1744</v>
      </c>
      <c r="BM637" s="4" t="s">
        <v>2072</v>
      </c>
      <c r="BN637" s="4" t="s">
        <v>1748</v>
      </c>
      <c r="BO637" s="4" t="str">
        <f t="shared" si="9"/>
        <v>C:\Users\aremi\Desktop\REPORT CBM\PO TIANU JB\03. Raw Material\40. 10052026 SSU MEDINI SIGNATURE 33KV (VI)\IR</v>
      </c>
      <c r="BP637" t="s">
        <v>1226</v>
      </c>
    </row>
    <row r="638" spans="1:68" thickBot="1" x14ac:dyDescent="0.3">
      <c r="A638" s="4">
        <v>319</v>
      </c>
      <c r="B638" s="4" t="s">
        <v>1214</v>
      </c>
      <c r="C638" s="4">
        <v>10</v>
      </c>
      <c r="D638" s="4" t="s">
        <v>1983</v>
      </c>
      <c r="E638" s="4">
        <v>7</v>
      </c>
      <c r="F638" s="4" t="str">
        <f ca="1">Master_List!$AW$1</f>
        <v>PERPUSTAKAAN PUSAT</v>
      </c>
      <c r="G638" s="4" t="str">
        <f ca="1">Master_List!$AW$2</f>
        <v>09:30 PM</v>
      </c>
      <c r="H638" s="4" t="str">
        <f ca="1">Master_List!$AW$3</f>
        <v>20/07/2026</v>
      </c>
      <c r="I638" s="4" t="str">
        <f ca="1">Master_List!$AW$4</f>
        <v>28.5</v>
      </c>
      <c r="J638" s="4" t="str">
        <f ca="1">Master_List!$AW$5</f>
        <v>65</v>
      </c>
      <c r="K638" s="4" t="s">
        <v>588</v>
      </c>
      <c r="BL638" s="4" t="s">
        <v>1744</v>
      </c>
      <c r="BM638" s="4" t="s">
        <v>2073</v>
      </c>
      <c r="BN638" s="4" t="s">
        <v>1746</v>
      </c>
      <c r="BO638" s="4" t="str">
        <f t="shared" si="9"/>
        <v>C:\Users\aremi\Desktop\REPORT CBM\PO TIANU JB\03. Raw Material\40. 10052026 SSU MEDINI SIGNATURE 33KV (VI)\IR</v>
      </c>
      <c r="BP638" t="s">
        <v>1227</v>
      </c>
    </row>
    <row r="639" spans="1:68" thickBot="1" x14ac:dyDescent="0.3">
      <c r="A639" s="4">
        <v>319</v>
      </c>
      <c r="B639" s="4" t="s">
        <v>1214</v>
      </c>
      <c r="C639" s="4">
        <v>10</v>
      </c>
      <c r="D639" s="4" t="s">
        <v>1983</v>
      </c>
      <c r="E639" s="4">
        <v>7</v>
      </c>
      <c r="F639" s="4" t="str">
        <f ca="1">Master_List!$AW$1</f>
        <v>PERPUSTAKAAN PUSAT</v>
      </c>
      <c r="G639" s="4" t="str">
        <f ca="1">Master_List!$AW$2</f>
        <v>09:30 PM</v>
      </c>
      <c r="H639" s="4" t="str">
        <f ca="1">Master_List!$AW$3</f>
        <v>20/07/2026</v>
      </c>
      <c r="I639" s="4" t="str">
        <f ca="1">Master_List!$AW$4</f>
        <v>28.5</v>
      </c>
      <c r="J639" s="4" t="str">
        <f ca="1">Master_List!$AW$5</f>
        <v>65</v>
      </c>
      <c r="K639" s="4" t="s">
        <v>588</v>
      </c>
      <c r="BL639" s="4" t="s">
        <v>1744</v>
      </c>
      <c r="BM639" s="4" t="s">
        <v>2073</v>
      </c>
      <c r="BN639" s="4" t="s">
        <v>1748</v>
      </c>
      <c r="BO639" s="4" t="str">
        <f t="shared" si="9"/>
        <v>C:\Users\aremi\Desktop\REPORT CBM\PO TIANU JB\03. Raw Material\40. 10052026 SSU MEDINI SIGNATURE 33KV (VI)\IR</v>
      </c>
      <c r="BP639" t="s">
        <v>1228</v>
      </c>
    </row>
    <row r="640" spans="1:68" thickBot="1" x14ac:dyDescent="0.3">
      <c r="A640" s="4">
        <v>320</v>
      </c>
      <c r="B640" s="4" t="s">
        <v>1214</v>
      </c>
      <c r="C640" s="4">
        <v>10</v>
      </c>
      <c r="D640" s="4" t="s">
        <v>1985</v>
      </c>
      <c r="E640" s="4">
        <v>8</v>
      </c>
      <c r="F640" s="4" t="str">
        <f ca="1">Master_List!$AW$1</f>
        <v>PERPUSTAKAAN PUSAT</v>
      </c>
      <c r="G640" s="4" t="str">
        <f ca="1">Master_List!$AW$2</f>
        <v>09:30 PM</v>
      </c>
      <c r="H640" s="4" t="str">
        <f ca="1">Master_List!$AW$3</f>
        <v>20/07/2026</v>
      </c>
      <c r="I640" s="4" t="str">
        <f ca="1">Master_List!$AW$4</f>
        <v>28.5</v>
      </c>
      <c r="J640" s="4" t="str">
        <f ca="1">Master_List!$AW$5</f>
        <v>65</v>
      </c>
      <c r="K640" s="4" t="s">
        <v>591</v>
      </c>
      <c r="BL640" s="4" t="s">
        <v>1744</v>
      </c>
      <c r="BM640" s="4" t="s">
        <v>2074</v>
      </c>
      <c r="BN640" s="4" t="s">
        <v>1746</v>
      </c>
      <c r="BO640" s="4" t="str">
        <f t="shared" si="9"/>
        <v>C:\Users\aremi\Desktop\REPORT CBM\PO TIANU JB\03. Raw Material\40. 10052026 SSU MEDINI SIGNATURE 33KV (VI)\IR</v>
      </c>
      <c r="BP640" t="s">
        <v>1229</v>
      </c>
    </row>
    <row r="641" spans="1:68" thickBot="1" x14ac:dyDescent="0.3">
      <c r="A641" s="4">
        <v>320</v>
      </c>
      <c r="B641" s="4" t="s">
        <v>1214</v>
      </c>
      <c r="C641" s="4">
        <v>10</v>
      </c>
      <c r="D641" s="4" t="s">
        <v>1985</v>
      </c>
      <c r="E641" s="4">
        <v>8</v>
      </c>
      <c r="F641" s="4" t="str">
        <f ca="1">Master_List!$AW$1</f>
        <v>PERPUSTAKAAN PUSAT</v>
      </c>
      <c r="G641" s="4" t="str">
        <f ca="1">Master_List!$AW$2</f>
        <v>09:30 PM</v>
      </c>
      <c r="H641" s="4" t="str">
        <f ca="1">Master_List!$AW$3</f>
        <v>20/07/2026</v>
      </c>
      <c r="I641" s="4" t="str">
        <f ca="1">Master_List!$AW$4</f>
        <v>28.5</v>
      </c>
      <c r="J641" s="4" t="str">
        <f ca="1">Master_List!$AW$5</f>
        <v>65</v>
      </c>
      <c r="K641" s="4" t="s">
        <v>591</v>
      </c>
      <c r="BL641" s="4" t="s">
        <v>1744</v>
      </c>
      <c r="BM641" s="4" t="s">
        <v>2074</v>
      </c>
      <c r="BN641" s="4" t="s">
        <v>1748</v>
      </c>
      <c r="BO641" s="4" t="str">
        <f t="shared" si="9"/>
        <v>C:\Users\aremi\Desktop\REPORT CBM\PO TIANU JB\03. Raw Material\40. 10052026 SSU MEDINI SIGNATURE 33KV (VI)\IR</v>
      </c>
      <c r="BP641" t="s">
        <v>1230</v>
      </c>
    </row>
    <row r="642" spans="1:68" thickBot="1" x14ac:dyDescent="0.3">
      <c r="A642" s="4">
        <v>321</v>
      </c>
      <c r="B642" s="4" t="s">
        <v>1231</v>
      </c>
      <c r="C642" s="4">
        <v>10</v>
      </c>
      <c r="D642" s="4" t="s">
        <v>1976</v>
      </c>
      <c r="E642" s="4">
        <v>1</v>
      </c>
      <c r="F642" s="4" t="str">
        <f ca="1">Master_List!$AW$1</f>
        <v>PERPUSTAKAAN PUSAT</v>
      </c>
      <c r="G642" s="4" t="str">
        <f ca="1">Master_List!$AW$2</f>
        <v>09:30 PM</v>
      </c>
      <c r="H642" s="4" t="str">
        <f ca="1">Master_List!$AW$3</f>
        <v>20/07/2026</v>
      </c>
      <c r="I642" s="4" t="str">
        <f ca="1">Master_List!$AW$4</f>
        <v>28.5</v>
      </c>
      <c r="J642" s="4" t="str">
        <f ca="1">Master_List!$AW$5</f>
        <v>65</v>
      </c>
      <c r="K642" s="4" t="s">
        <v>570</v>
      </c>
      <c r="BL642" s="4" t="s">
        <v>1744</v>
      </c>
      <c r="BM642" s="4" t="s">
        <v>2075</v>
      </c>
      <c r="BN642" s="4" t="s">
        <v>1746</v>
      </c>
      <c r="BO642" s="4" t="str">
        <f t="shared" si="9"/>
        <v>C:\Users\aremi\Desktop\REPORT CBM\PO TIANU JB\03. Raw Material\40. 10052026 SSU MEDINI SIGNATURE 33KV (VI)\IR</v>
      </c>
      <c r="BP642" t="s">
        <v>1232</v>
      </c>
    </row>
    <row r="643" spans="1:68" thickBot="1" x14ac:dyDescent="0.3">
      <c r="A643" s="4">
        <v>321</v>
      </c>
      <c r="B643" s="4" t="s">
        <v>1231</v>
      </c>
      <c r="C643" s="4">
        <v>10</v>
      </c>
      <c r="D643" s="4" t="s">
        <v>1976</v>
      </c>
      <c r="E643" s="4">
        <v>1</v>
      </c>
      <c r="F643" s="4" t="str">
        <f ca="1">Master_List!$AW$1</f>
        <v>PERPUSTAKAAN PUSAT</v>
      </c>
      <c r="G643" s="4" t="str">
        <f ca="1">Master_List!$AW$2</f>
        <v>09:30 PM</v>
      </c>
      <c r="H643" s="4" t="str">
        <f ca="1">Master_List!$AW$3</f>
        <v>20/07/2026</v>
      </c>
      <c r="I643" s="4" t="str">
        <f ca="1">Master_List!$AW$4</f>
        <v>28.5</v>
      </c>
      <c r="J643" s="4" t="str">
        <f ca="1">Master_List!$AW$5</f>
        <v>65</v>
      </c>
      <c r="K643" s="4" t="s">
        <v>570</v>
      </c>
      <c r="BL643" s="4" t="s">
        <v>1744</v>
      </c>
      <c r="BM643" s="4" t="s">
        <v>2075</v>
      </c>
      <c r="BN643" s="4" t="s">
        <v>1748</v>
      </c>
      <c r="BO643" s="4" t="str">
        <f t="shared" ref="BO643:BO706" si="10">BO642</f>
        <v>C:\Users\aremi\Desktop\REPORT CBM\PO TIANU JB\03. Raw Material\40. 10052026 SSU MEDINI SIGNATURE 33KV (VI)\IR</v>
      </c>
      <c r="BP643" t="s">
        <v>1233</v>
      </c>
    </row>
    <row r="644" spans="1:68" thickBot="1" x14ac:dyDescent="0.3">
      <c r="A644" s="4">
        <v>322</v>
      </c>
      <c r="B644" s="4" t="s">
        <v>1231</v>
      </c>
      <c r="C644" s="4">
        <v>10</v>
      </c>
      <c r="D644" s="4" t="s">
        <v>1976</v>
      </c>
      <c r="E644" s="4">
        <v>2</v>
      </c>
      <c r="F644" s="4" t="str">
        <f ca="1">Master_List!$AW$1</f>
        <v>PERPUSTAKAAN PUSAT</v>
      </c>
      <c r="G644" s="4" t="str">
        <f ca="1">Master_List!$AW$2</f>
        <v>09:30 PM</v>
      </c>
      <c r="H644" s="4" t="str">
        <f ca="1">Master_List!$AW$3</f>
        <v>20/07/2026</v>
      </c>
      <c r="I644" s="4" t="str">
        <f ca="1">Master_List!$AW$4</f>
        <v>28.5</v>
      </c>
      <c r="J644" s="4" t="str">
        <f ca="1">Master_List!$AW$5</f>
        <v>65</v>
      </c>
      <c r="K644" s="4" t="s">
        <v>573</v>
      </c>
      <c r="BL644" s="4" t="s">
        <v>1744</v>
      </c>
      <c r="BM644" s="4" t="s">
        <v>2076</v>
      </c>
      <c r="BN644" s="4" t="s">
        <v>1746</v>
      </c>
      <c r="BO644" s="4" t="str">
        <f t="shared" si="10"/>
        <v>C:\Users\aremi\Desktop\REPORT CBM\PO TIANU JB\03. Raw Material\40. 10052026 SSU MEDINI SIGNATURE 33KV (VI)\IR</v>
      </c>
      <c r="BP644" t="s">
        <v>1234</v>
      </c>
    </row>
    <row r="645" spans="1:68" thickBot="1" x14ac:dyDescent="0.3">
      <c r="A645" s="4">
        <v>322</v>
      </c>
      <c r="B645" s="4" t="s">
        <v>1231</v>
      </c>
      <c r="C645" s="4">
        <v>10</v>
      </c>
      <c r="D645" s="4" t="s">
        <v>1976</v>
      </c>
      <c r="E645" s="4">
        <v>2</v>
      </c>
      <c r="F645" s="4" t="str">
        <f ca="1">Master_List!$AW$1</f>
        <v>PERPUSTAKAAN PUSAT</v>
      </c>
      <c r="G645" s="4" t="str">
        <f ca="1">Master_List!$AW$2</f>
        <v>09:30 PM</v>
      </c>
      <c r="H645" s="4" t="str">
        <f ca="1">Master_List!$AW$3</f>
        <v>20/07/2026</v>
      </c>
      <c r="I645" s="4" t="str">
        <f ca="1">Master_List!$AW$4</f>
        <v>28.5</v>
      </c>
      <c r="J645" s="4" t="str">
        <f ca="1">Master_List!$AW$5</f>
        <v>65</v>
      </c>
      <c r="K645" s="4" t="s">
        <v>573</v>
      </c>
      <c r="BL645" s="4" t="s">
        <v>1744</v>
      </c>
      <c r="BM645" s="4" t="s">
        <v>2076</v>
      </c>
      <c r="BN645" s="4" t="s">
        <v>1748</v>
      </c>
      <c r="BO645" s="4" t="str">
        <f t="shared" si="10"/>
        <v>C:\Users\aremi\Desktop\REPORT CBM\PO TIANU JB\03. Raw Material\40. 10052026 SSU MEDINI SIGNATURE 33KV (VI)\IR</v>
      </c>
      <c r="BP645" t="s">
        <v>1235</v>
      </c>
    </row>
    <row r="646" spans="1:68" thickBot="1" x14ac:dyDescent="0.3">
      <c r="A646" s="4">
        <v>323</v>
      </c>
      <c r="B646" s="4" t="s">
        <v>1231</v>
      </c>
      <c r="C646" s="4">
        <v>10</v>
      </c>
      <c r="D646" s="4" t="s">
        <v>1976</v>
      </c>
      <c r="E646" s="4">
        <v>3</v>
      </c>
      <c r="F646" s="4" t="str">
        <f ca="1">Master_List!$AW$1</f>
        <v>PERPUSTAKAAN PUSAT</v>
      </c>
      <c r="G646" s="4" t="str">
        <f ca="1">Master_List!$AW$2</f>
        <v>09:30 PM</v>
      </c>
      <c r="H646" s="4" t="str">
        <f ca="1">Master_List!$AW$3</f>
        <v>20/07/2026</v>
      </c>
      <c r="I646" s="4" t="str">
        <f ca="1">Master_List!$AW$4</f>
        <v>28.5</v>
      </c>
      <c r="J646" s="4" t="str">
        <f ca="1">Master_List!$AW$5</f>
        <v>65</v>
      </c>
      <c r="K646" s="4" t="s">
        <v>576</v>
      </c>
      <c r="BL646" s="4" t="s">
        <v>1744</v>
      </c>
      <c r="BM646" s="4" t="s">
        <v>2077</v>
      </c>
      <c r="BN646" s="4" t="s">
        <v>1746</v>
      </c>
      <c r="BO646" s="4" t="str">
        <f t="shared" si="10"/>
        <v>C:\Users\aremi\Desktop\REPORT CBM\PO TIANU JB\03. Raw Material\40. 10052026 SSU MEDINI SIGNATURE 33KV (VI)\IR</v>
      </c>
      <c r="BP646" t="s">
        <v>1236</v>
      </c>
    </row>
    <row r="647" spans="1:68" thickBot="1" x14ac:dyDescent="0.3">
      <c r="A647" s="4">
        <v>323</v>
      </c>
      <c r="B647" s="4" t="s">
        <v>1231</v>
      </c>
      <c r="C647" s="4">
        <v>10</v>
      </c>
      <c r="D647" s="4" t="s">
        <v>1976</v>
      </c>
      <c r="E647" s="4">
        <v>3</v>
      </c>
      <c r="F647" s="4" t="str">
        <f ca="1">Master_List!$AW$1</f>
        <v>PERPUSTAKAAN PUSAT</v>
      </c>
      <c r="G647" s="4" t="str">
        <f ca="1">Master_List!$AW$2</f>
        <v>09:30 PM</v>
      </c>
      <c r="H647" s="4" t="str">
        <f ca="1">Master_List!$AW$3</f>
        <v>20/07/2026</v>
      </c>
      <c r="I647" s="4" t="str">
        <f ca="1">Master_List!$AW$4</f>
        <v>28.5</v>
      </c>
      <c r="J647" s="4" t="str">
        <f ca="1">Master_List!$AW$5</f>
        <v>65</v>
      </c>
      <c r="K647" s="4" t="s">
        <v>576</v>
      </c>
      <c r="BL647" s="4" t="s">
        <v>1744</v>
      </c>
      <c r="BM647" s="4" t="s">
        <v>2077</v>
      </c>
      <c r="BN647" s="4" t="s">
        <v>1748</v>
      </c>
      <c r="BO647" s="4" t="str">
        <f t="shared" si="10"/>
        <v>C:\Users\aremi\Desktop\REPORT CBM\PO TIANU JB\03. Raw Material\40. 10052026 SSU MEDINI SIGNATURE 33KV (VI)\IR</v>
      </c>
      <c r="BP647" t="s">
        <v>1237</v>
      </c>
    </row>
    <row r="648" spans="1:68" thickBot="1" x14ac:dyDescent="0.3">
      <c r="A648" s="4">
        <v>324</v>
      </c>
      <c r="B648" s="4" t="s">
        <v>1231</v>
      </c>
      <c r="C648" s="4">
        <v>10</v>
      </c>
      <c r="D648" s="4" t="s">
        <v>1976</v>
      </c>
      <c r="E648" s="4">
        <v>4</v>
      </c>
      <c r="F648" s="4" t="str">
        <f ca="1">Master_List!$AW$1</f>
        <v>PERPUSTAKAAN PUSAT</v>
      </c>
      <c r="G648" s="4" t="str">
        <f ca="1">Master_List!$AW$2</f>
        <v>09:30 PM</v>
      </c>
      <c r="H648" s="4" t="str">
        <f ca="1">Master_List!$AW$3</f>
        <v>20/07/2026</v>
      </c>
      <c r="I648" s="4" t="str">
        <f ca="1">Master_List!$AW$4</f>
        <v>28.5</v>
      </c>
      <c r="J648" s="4" t="str">
        <f ca="1">Master_List!$AW$5</f>
        <v>65</v>
      </c>
      <c r="K648" s="4" t="s">
        <v>579</v>
      </c>
      <c r="BL648" s="4" t="s">
        <v>1744</v>
      </c>
      <c r="BM648" s="4" t="s">
        <v>2078</v>
      </c>
      <c r="BN648" s="4" t="s">
        <v>1746</v>
      </c>
      <c r="BO648" s="4" t="str">
        <f t="shared" si="10"/>
        <v>C:\Users\aremi\Desktop\REPORT CBM\PO TIANU JB\03. Raw Material\40. 10052026 SSU MEDINI SIGNATURE 33KV (VI)\IR</v>
      </c>
      <c r="BP648" t="s">
        <v>1238</v>
      </c>
    </row>
    <row r="649" spans="1:68" thickBot="1" x14ac:dyDescent="0.3">
      <c r="A649" s="4">
        <v>324</v>
      </c>
      <c r="B649" s="4" t="s">
        <v>1231</v>
      </c>
      <c r="C649" s="4">
        <v>10</v>
      </c>
      <c r="D649" s="4" t="s">
        <v>1976</v>
      </c>
      <c r="E649" s="4">
        <v>4</v>
      </c>
      <c r="F649" s="4" t="str">
        <f ca="1">Master_List!$AW$1</f>
        <v>PERPUSTAKAAN PUSAT</v>
      </c>
      <c r="G649" s="4" t="str">
        <f ca="1">Master_List!$AW$2</f>
        <v>09:30 PM</v>
      </c>
      <c r="H649" s="4" t="str">
        <f ca="1">Master_List!$AW$3</f>
        <v>20/07/2026</v>
      </c>
      <c r="I649" s="4" t="str">
        <f ca="1">Master_List!$AW$4</f>
        <v>28.5</v>
      </c>
      <c r="J649" s="4" t="str">
        <f ca="1">Master_List!$AW$5</f>
        <v>65</v>
      </c>
      <c r="K649" s="4" t="s">
        <v>579</v>
      </c>
      <c r="BL649" s="4" t="s">
        <v>1744</v>
      </c>
      <c r="BM649" s="4" t="s">
        <v>2078</v>
      </c>
      <c r="BN649" s="4" t="s">
        <v>1748</v>
      </c>
      <c r="BO649" s="4" t="str">
        <f t="shared" si="10"/>
        <v>C:\Users\aremi\Desktop\REPORT CBM\PO TIANU JB\03. Raw Material\40. 10052026 SSU MEDINI SIGNATURE 33KV (VI)\IR</v>
      </c>
      <c r="BP649" t="s">
        <v>1239</v>
      </c>
    </row>
    <row r="650" spans="1:68" thickBot="1" x14ac:dyDescent="0.3">
      <c r="A650" s="4">
        <v>325</v>
      </c>
      <c r="B650" s="4" t="s">
        <v>1231</v>
      </c>
      <c r="C650" s="4">
        <v>10</v>
      </c>
      <c r="D650" s="4" t="s">
        <v>1976</v>
      </c>
      <c r="E650" s="4">
        <v>5</v>
      </c>
      <c r="F650" s="4" t="str">
        <f ca="1">Master_List!$AW$1</f>
        <v>PERPUSTAKAAN PUSAT</v>
      </c>
      <c r="G650" s="4" t="str">
        <f ca="1">Master_List!$AW$2</f>
        <v>09:30 PM</v>
      </c>
      <c r="H650" s="4" t="str">
        <f ca="1">Master_List!$AW$3</f>
        <v>20/07/2026</v>
      </c>
      <c r="I650" s="4" t="str">
        <f ca="1">Master_List!$AW$4</f>
        <v>28.5</v>
      </c>
      <c r="J650" s="4" t="str">
        <f ca="1">Master_List!$AW$5</f>
        <v>65</v>
      </c>
      <c r="K650" s="4" t="s">
        <v>582</v>
      </c>
      <c r="BL650" s="4" t="s">
        <v>1744</v>
      </c>
      <c r="BM650" s="4" t="s">
        <v>2079</v>
      </c>
      <c r="BN650" s="4" t="s">
        <v>1746</v>
      </c>
      <c r="BO650" s="4" t="str">
        <f t="shared" si="10"/>
        <v>C:\Users\aremi\Desktop\REPORT CBM\PO TIANU JB\03. Raw Material\40. 10052026 SSU MEDINI SIGNATURE 33KV (VI)\IR</v>
      </c>
      <c r="BP650" t="s">
        <v>1240</v>
      </c>
    </row>
    <row r="651" spans="1:68" thickBot="1" x14ac:dyDescent="0.3">
      <c r="A651" s="4">
        <v>325</v>
      </c>
      <c r="B651" s="4" t="s">
        <v>1231</v>
      </c>
      <c r="C651" s="4">
        <v>10</v>
      </c>
      <c r="D651" s="4" t="s">
        <v>1976</v>
      </c>
      <c r="E651" s="4">
        <v>5</v>
      </c>
      <c r="F651" s="4" t="str">
        <f ca="1">Master_List!$AW$1</f>
        <v>PERPUSTAKAAN PUSAT</v>
      </c>
      <c r="G651" s="4" t="str">
        <f ca="1">Master_List!$AW$2</f>
        <v>09:30 PM</v>
      </c>
      <c r="H651" s="4" t="str">
        <f ca="1">Master_List!$AW$3</f>
        <v>20/07/2026</v>
      </c>
      <c r="I651" s="4" t="str">
        <f ca="1">Master_List!$AW$4</f>
        <v>28.5</v>
      </c>
      <c r="J651" s="4" t="str">
        <f ca="1">Master_List!$AW$5</f>
        <v>65</v>
      </c>
      <c r="K651" s="4" t="s">
        <v>582</v>
      </c>
      <c r="BL651" s="4" t="s">
        <v>1744</v>
      </c>
      <c r="BM651" s="4" t="s">
        <v>2079</v>
      </c>
      <c r="BN651" s="4" t="s">
        <v>1748</v>
      </c>
      <c r="BO651" s="4" t="str">
        <f t="shared" si="10"/>
        <v>C:\Users\aremi\Desktop\REPORT CBM\PO TIANU JB\03. Raw Material\40. 10052026 SSU MEDINI SIGNATURE 33KV (VI)\IR</v>
      </c>
      <c r="BP651" t="s">
        <v>1241</v>
      </c>
    </row>
    <row r="652" spans="1:68" thickBot="1" x14ac:dyDescent="0.3">
      <c r="A652" s="4">
        <v>326</v>
      </c>
      <c r="B652" s="4" t="s">
        <v>1231</v>
      </c>
      <c r="C652" s="4">
        <v>10</v>
      </c>
      <c r="D652" s="4" t="s">
        <v>1976</v>
      </c>
      <c r="E652" s="4">
        <v>6</v>
      </c>
      <c r="F652" s="4" t="str">
        <f ca="1">Master_List!$AW$1</f>
        <v>PERPUSTAKAAN PUSAT</v>
      </c>
      <c r="G652" s="4" t="str">
        <f ca="1">Master_List!$AW$2</f>
        <v>09:30 PM</v>
      </c>
      <c r="H652" s="4" t="str">
        <f ca="1">Master_List!$AW$3</f>
        <v>20/07/2026</v>
      </c>
      <c r="I652" s="4" t="str">
        <f ca="1">Master_List!$AW$4</f>
        <v>28.5</v>
      </c>
      <c r="J652" s="4" t="str">
        <f ca="1">Master_List!$AW$5</f>
        <v>65</v>
      </c>
      <c r="K652" s="4" t="s">
        <v>585</v>
      </c>
      <c r="BL652" s="4" t="s">
        <v>1744</v>
      </c>
      <c r="BM652" s="4" t="s">
        <v>2080</v>
      </c>
      <c r="BN652" s="4" t="s">
        <v>1746</v>
      </c>
      <c r="BO652" s="4" t="str">
        <f t="shared" si="10"/>
        <v>C:\Users\aremi\Desktop\REPORT CBM\PO TIANU JB\03. Raw Material\40. 10052026 SSU MEDINI SIGNATURE 33KV (VI)\IR</v>
      </c>
      <c r="BP652" t="s">
        <v>1242</v>
      </c>
    </row>
    <row r="653" spans="1:68" thickBot="1" x14ac:dyDescent="0.3">
      <c r="A653" s="4">
        <v>326</v>
      </c>
      <c r="B653" s="4" t="s">
        <v>1231</v>
      </c>
      <c r="C653" s="4">
        <v>10</v>
      </c>
      <c r="D653" s="4" t="s">
        <v>1976</v>
      </c>
      <c r="E653" s="4">
        <v>6</v>
      </c>
      <c r="F653" s="4" t="str">
        <f ca="1">Master_List!$AW$1</f>
        <v>PERPUSTAKAAN PUSAT</v>
      </c>
      <c r="G653" s="4" t="str">
        <f ca="1">Master_List!$AW$2</f>
        <v>09:30 PM</v>
      </c>
      <c r="H653" s="4" t="str">
        <f ca="1">Master_List!$AW$3</f>
        <v>20/07/2026</v>
      </c>
      <c r="I653" s="4" t="str">
        <f ca="1">Master_List!$AW$4</f>
        <v>28.5</v>
      </c>
      <c r="J653" s="4" t="str">
        <f ca="1">Master_List!$AW$5</f>
        <v>65</v>
      </c>
      <c r="K653" s="4" t="s">
        <v>585</v>
      </c>
      <c r="BL653" s="4" t="s">
        <v>1744</v>
      </c>
      <c r="BM653" s="4" t="s">
        <v>2080</v>
      </c>
      <c r="BN653" s="4" t="s">
        <v>1748</v>
      </c>
      <c r="BO653" s="4" t="str">
        <f t="shared" si="10"/>
        <v>C:\Users\aremi\Desktop\REPORT CBM\PO TIANU JB\03. Raw Material\40. 10052026 SSU MEDINI SIGNATURE 33KV (VI)\IR</v>
      </c>
      <c r="BP653" t="s">
        <v>1243</v>
      </c>
    </row>
    <row r="654" spans="1:68" thickBot="1" x14ac:dyDescent="0.3">
      <c r="A654" s="4">
        <v>327</v>
      </c>
      <c r="B654" s="4" t="s">
        <v>1231</v>
      </c>
      <c r="C654" s="4">
        <v>10</v>
      </c>
      <c r="D654" s="4" t="s">
        <v>1983</v>
      </c>
      <c r="E654" s="4">
        <v>7</v>
      </c>
      <c r="F654" s="4" t="str">
        <f ca="1">Master_List!$AW$1</f>
        <v>PERPUSTAKAAN PUSAT</v>
      </c>
      <c r="G654" s="4" t="str">
        <f ca="1">Master_List!$AW$2</f>
        <v>09:30 PM</v>
      </c>
      <c r="H654" s="4" t="str">
        <f ca="1">Master_List!$AW$3</f>
        <v>20/07/2026</v>
      </c>
      <c r="I654" s="4" t="str">
        <f ca="1">Master_List!$AW$4</f>
        <v>28.5</v>
      </c>
      <c r="J654" s="4" t="str">
        <f ca="1">Master_List!$AW$5</f>
        <v>65</v>
      </c>
      <c r="K654" s="4" t="s">
        <v>588</v>
      </c>
      <c r="BL654" s="4" t="s">
        <v>1744</v>
      </c>
      <c r="BM654" s="4" t="s">
        <v>2081</v>
      </c>
      <c r="BN654" s="4" t="s">
        <v>1746</v>
      </c>
      <c r="BO654" s="4" t="str">
        <f t="shared" si="10"/>
        <v>C:\Users\aremi\Desktop\REPORT CBM\PO TIANU JB\03. Raw Material\40. 10052026 SSU MEDINI SIGNATURE 33KV (VI)\IR</v>
      </c>
      <c r="BP654" t="s">
        <v>1244</v>
      </c>
    </row>
    <row r="655" spans="1:68" thickBot="1" x14ac:dyDescent="0.3">
      <c r="A655" s="4">
        <v>327</v>
      </c>
      <c r="B655" s="4" t="s">
        <v>1231</v>
      </c>
      <c r="C655" s="4">
        <v>10</v>
      </c>
      <c r="D655" s="4" t="s">
        <v>1983</v>
      </c>
      <c r="E655" s="4">
        <v>7</v>
      </c>
      <c r="F655" s="4" t="str">
        <f ca="1">Master_List!$AW$1</f>
        <v>PERPUSTAKAAN PUSAT</v>
      </c>
      <c r="G655" s="4" t="str">
        <f ca="1">Master_List!$AW$2</f>
        <v>09:30 PM</v>
      </c>
      <c r="H655" s="4" t="str">
        <f ca="1">Master_List!$AW$3</f>
        <v>20/07/2026</v>
      </c>
      <c r="I655" s="4" t="str">
        <f ca="1">Master_List!$AW$4</f>
        <v>28.5</v>
      </c>
      <c r="J655" s="4" t="str">
        <f ca="1">Master_List!$AW$5</f>
        <v>65</v>
      </c>
      <c r="K655" s="4" t="s">
        <v>588</v>
      </c>
      <c r="BL655" s="4" t="s">
        <v>1744</v>
      </c>
      <c r="BM655" s="4" t="s">
        <v>2081</v>
      </c>
      <c r="BN655" s="4" t="s">
        <v>1748</v>
      </c>
      <c r="BO655" s="4" t="str">
        <f t="shared" si="10"/>
        <v>C:\Users\aremi\Desktop\REPORT CBM\PO TIANU JB\03. Raw Material\40. 10052026 SSU MEDINI SIGNATURE 33KV (VI)\IR</v>
      </c>
      <c r="BP655" t="s">
        <v>1245</v>
      </c>
    </row>
    <row r="656" spans="1:68" thickBot="1" x14ac:dyDescent="0.3">
      <c r="A656" s="4">
        <v>328</v>
      </c>
      <c r="B656" s="4" t="s">
        <v>1231</v>
      </c>
      <c r="C656" s="4">
        <v>10</v>
      </c>
      <c r="D656" s="4" t="s">
        <v>1985</v>
      </c>
      <c r="E656" s="4">
        <v>8</v>
      </c>
      <c r="F656" s="4" t="str">
        <f ca="1">Master_List!$AW$1</f>
        <v>PERPUSTAKAAN PUSAT</v>
      </c>
      <c r="G656" s="4" t="str">
        <f ca="1">Master_List!$AW$2</f>
        <v>09:30 PM</v>
      </c>
      <c r="H656" s="4" t="str">
        <f ca="1">Master_List!$AW$3</f>
        <v>20/07/2026</v>
      </c>
      <c r="I656" s="4" t="str">
        <f ca="1">Master_List!$AW$4</f>
        <v>28.5</v>
      </c>
      <c r="J656" s="4" t="str">
        <f ca="1">Master_List!$AW$5</f>
        <v>65</v>
      </c>
      <c r="K656" s="4" t="s">
        <v>591</v>
      </c>
      <c r="BL656" s="4" t="s">
        <v>1744</v>
      </c>
      <c r="BM656" s="4" t="s">
        <v>2082</v>
      </c>
      <c r="BN656" s="4" t="s">
        <v>1746</v>
      </c>
      <c r="BO656" s="4" t="str">
        <f t="shared" si="10"/>
        <v>C:\Users\aremi\Desktop\REPORT CBM\PO TIANU JB\03. Raw Material\40. 10052026 SSU MEDINI SIGNATURE 33KV (VI)\IR</v>
      </c>
      <c r="BP656" t="s">
        <v>1246</v>
      </c>
    </row>
    <row r="657" spans="1:68" thickBot="1" x14ac:dyDescent="0.3">
      <c r="A657" s="4">
        <v>328</v>
      </c>
      <c r="B657" s="4" t="s">
        <v>1231</v>
      </c>
      <c r="C657" s="4">
        <v>10</v>
      </c>
      <c r="D657" s="4" t="s">
        <v>1985</v>
      </c>
      <c r="E657" s="4">
        <v>8</v>
      </c>
      <c r="F657" s="4" t="str">
        <f ca="1">Master_List!$AW$1</f>
        <v>PERPUSTAKAAN PUSAT</v>
      </c>
      <c r="G657" s="4" t="str">
        <f ca="1">Master_List!$AW$2</f>
        <v>09:30 PM</v>
      </c>
      <c r="H657" s="4" t="str">
        <f ca="1">Master_List!$AW$3</f>
        <v>20/07/2026</v>
      </c>
      <c r="I657" s="4" t="str">
        <f ca="1">Master_List!$AW$4</f>
        <v>28.5</v>
      </c>
      <c r="J657" s="4" t="str">
        <f ca="1">Master_List!$AW$5</f>
        <v>65</v>
      </c>
      <c r="K657" s="4" t="s">
        <v>591</v>
      </c>
      <c r="BL657" s="4" t="s">
        <v>1744</v>
      </c>
      <c r="BM657" s="4" t="s">
        <v>2082</v>
      </c>
      <c r="BN657" s="4" t="s">
        <v>1748</v>
      </c>
      <c r="BO657" s="4" t="str">
        <f t="shared" si="10"/>
        <v>C:\Users\aremi\Desktop\REPORT CBM\PO TIANU JB\03. Raw Material\40. 10052026 SSU MEDINI SIGNATURE 33KV (VI)\IR</v>
      </c>
      <c r="BP657" t="s">
        <v>1247</v>
      </c>
    </row>
    <row r="658" spans="1:68" thickBot="1" x14ac:dyDescent="0.3">
      <c r="A658" s="4">
        <v>329</v>
      </c>
      <c r="B658" s="4" t="s">
        <v>1248</v>
      </c>
      <c r="C658" s="4">
        <v>10</v>
      </c>
      <c r="D658" s="4" t="s">
        <v>1976</v>
      </c>
      <c r="E658" s="4">
        <v>1</v>
      </c>
      <c r="F658" s="4" t="str">
        <f ca="1">Master_List!$AW$1</f>
        <v>PERPUSTAKAAN PUSAT</v>
      </c>
      <c r="G658" s="4" t="str">
        <f ca="1">Master_List!$AW$2</f>
        <v>09:30 PM</v>
      </c>
      <c r="H658" s="4" t="str">
        <f ca="1">Master_List!$AW$3</f>
        <v>20/07/2026</v>
      </c>
      <c r="I658" s="4" t="str">
        <f ca="1">Master_List!$AW$4</f>
        <v>28.5</v>
      </c>
      <c r="J658" s="4" t="str">
        <f ca="1">Master_List!$AW$5</f>
        <v>65</v>
      </c>
      <c r="K658" s="4" t="s">
        <v>570</v>
      </c>
      <c r="BL658" s="4" t="s">
        <v>1744</v>
      </c>
      <c r="BM658" s="4" t="s">
        <v>2083</v>
      </c>
      <c r="BN658" s="4" t="s">
        <v>1746</v>
      </c>
      <c r="BO658" s="4" t="str">
        <f t="shared" si="10"/>
        <v>C:\Users\aremi\Desktop\REPORT CBM\PO TIANU JB\03. Raw Material\40. 10052026 SSU MEDINI SIGNATURE 33KV (VI)\IR</v>
      </c>
      <c r="BP658" t="s">
        <v>1249</v>
      </c>
    </row>
    <row r="659" spans="1:68" thickBot="1" x14ac:dyDescent="0.3">
      <c r="A659" s="4">
        <v>329</v>
      </c>
      <c r="B659" s="4" t="s">
        <v>1248</v>
      </c>
      <c r="C659" s="4">
        <v>10</v>
      </c>
      <c r="D659" s="4" t="s">
        <v>1976</v>
      </c>
      <c r="E659" s="4">
        <v>1</v>
      </c>
      <c r="F659" s="4" t="str">
        <f ca="1">Master_List!$AW$1</f>
        <v>PERPUSTAKAAN PUSAT</v>
      </c>
      <c r="G659" s="4" t="str">
        <f ca="1">Master_List!$AW$2</f>
        <v>09:30 PM</v>
      </c>
      <c r="H659" s="4" t="str">
        <f ca="1">Master_List!$AW$3</f>
        <v>20/07/2026</v>
      </c>
      <c r="I659" s="4" t="str">
        <f ca="1">Master_List!$AW$4</f>
        <v>28.5</v>
      </c>
      <c r="J659" s="4" t="str">
        <f ca="1">Master_List!$AW$5</f>
        <v>65</v>
      </c>
      <c r="K659" s="4" t="s">
        <v>570</v>
      </c>
      <c r="BL659" s="4" t="s">
        <v>1744</v>
      </c>
      <c r="BM659" s="4" t="s">
        <v>2083</v>
      </c>
      <c r="BN659" s="4" t="s">
        <v>1748</v>
      </c>
      <c r="BO659" s="4" t="str">
        <f t="shared" si="10"/>
        <v>C:\Users\aremi\Desktop\REPORT CBM\PO TIANU JB\03. Raw Material\40. 10052026 SSU MEDINI SIGNATURE 33KV (VI)\IR</v>
      </c>
      <c r="BP659" t="s">
        <v>1250</v>
      </c>
    </row>
    <row r="660" spans="1:68" thickBot="1" x14ac:dyDescent="0.3">
      <c r="A660" s="4">
        <v>330</v>
      </c>
      <c r="B660" s="4" t="s">
        <v>1248</v>
      </c>
      <c r="C660" s="4">
        <v>10</v>
      </c>
      <c r="D660" s="4" t="s">
        <v>1976</v>
      </c>
      <c r="E660" s="4">
        <v>2</v>
      </c>
      <c r="F660" s="4" t="str">
        <f ca="1">Master_List!$AW$1</f>
        <v>PERPUSTAKAAN PUSAT</v>
      </c>
      <c r="G660" s="4" t="str">
        <f ca="1">Master_List!$AW$2</f>
        <v>09:30 PM</v>
      </c>
      <c r="H660" s="4" t="str">
        <f ca="1">Master_List!$AW$3</f>
        <v>20/07/2026</v>
      </c>
      <c r="I660" s="4" t="str">
        <f ca="1">Master_List!$AW$4</f>
        <v>28.5</v>
      </c>
      <c r="J660" s="4" t="str">
        <f ca="1">Master_List!$AW$5</f>
        <v>65</v>
      </c>
      <c r="K660" s="4" t="s">
        <v>573</v>
      </c>
      <c r="BL660" s="4" t="s">
        <v>1744</v>
      </c>
      <c r="BM660" s="4" t="s">
        <v>2084</v>
      </c>
      <c r="BN660" s="4" t="s">
        <v>1746</v>
      </c>
      <c r="BO660" s="4" t="str">
        <f t="shared" si="10"/>
        <v>C:\Users\aremi\Desktop\REPORT CBM\PO TIANU JB\03. Raw Material\40. 10052026 SSU MEDINI SIGNATURE 33KV (VI)\IR</v>
      </c>
      <c r="BP660" t="s">
        <v>1251</v>
      </c>
    </row>
    <row r="661" spans="1:68" thickBot="1" x14ac:dyDescent="0.3">
      <c r="A661" s="4">
        <v>330</v>
      </c>
      <c r="B661" s="4" t="s">
        <v>1248</v>
      </c>
      <c r="C661" s="4">
        <v>10</v>
      </c>
      <c r="D661" s="4" t="s">
        <v>1976</v>
      </c>
      <c r="E661" s="4">
        <v>2</v>
      </c>
      <c r="F661" s="4" t="str">
        <f ca="1">Master_List!$AW$1</f>
        <v>PERPUSTAKAAN PUSAT</v>
      </c>
      <c r="G661" s="4" t="str">
        <f ca="1">Master_List!$AW$2</f>
        <v>09:30 PM</v>
      </c>
      <c r="H661" s="4" t="str">
        <f ca="1">Master_List!$AW$3</f>
        <v>20/07/2026</v>
      </c>
      <c r="I661" s="4" t="str">
        <f ca="1">Master_List!$AW$4</f>
        <v>28.5</v>
      </c>
      <c r="J661" s="4" t="str">
        <f ca="1">Master_List!$AW$5</f>
        <v>65</v>
      </c>
      <c r="K661" s="4" t="s">
        <v>573</v>
      </c>
      <c r="BL661" s="4" t="s">
        <v>1744</v>
      </c>
      <c r="BM661" s="4" t="s">
        <v>2084</v>
      </c>
      <c r="BN661" s="4" t="s">
        <v>1748</v>
      </c>
      <c r="BO661" s="4" t="str">
        <f t="shared" si="10"/>
        <v>C:\Users\aremi\Desktop\REPORT CBM\PO TIANU JB\03. Raw Material\40. 10052026 SSU MEDINI SIGNATURE 33KV (VI)\IR</v>
      </c>
      <c r="BP661" t="s">
        <v>1252</v>
      </c>
    </row>
    <row r="662" spans="1:68" thickBot="1" x14ac:dyDescent="0.3">
      <c r="A662" s="4">
        <v>331</v>
      </c>
      <c r="B662" s="4" t="s">
        <v>1248</v>
      </c>
      <c r="C662" s="4">
        <v>10</v>
      </c>
      <c r="D662" s="4" t="s">
        <v>1976</v>
      </c>
      <c r="E662" s="4">
        <v>3</v>
      </c>
      <c r="F662" s="4" t="str">
        <f ca="1">Master_List!$AW$1</f>
        <v>PERPUSTAKAAN PUSAT</v>
      </c>
      <c r="G662" s="4" t="str">
        <f ca="1">Master_List!$AW$2</f>
        <v>09:30 PM</v>
      </c>
      <c r="H662" s="4" t="str">
        <f ca="1">Master_List!$AW$3</f>
        <v>20/07/2026</v>
      </c>
      <c r="I662" s="4" t="str">
        <f ca="1">Master_List!$AW$4</f>
        <v>28.5</v>
      </c>
      <c r="J662" s="4" t="str">
        <f ca="1">Master_List!$AW$5</f>
        <v>65</v>
      </c>
      <c r="K662" s="4" t="s">
        <v>576</v>
      </c>
      <c r="BL662" s="4" t="s">
        <v>1744</v>
      </c>
      <c r="BM662" s="4" t="s">
        <v>2085</v>
      </c>
      <c r="BN662" s="4" t="s">
        <v>1746</v>
      </c>
      <c r="BO662" s="4" t="str">
        <f t="shared" si="10"/>
        <v>C:\Users\aremi\Desktop\REPORT CBM\PO TIANU JB\03. Raw Material\40. 10052026 SSU MEDINI SIGNATURE 33KV (VI)\IR</v>
      </c>
      <c r="BP662" t="s">
        <v>1253</v>
      </c>
    </row>
    <row r="663" spans="1:68" thickBot="1" x14ac:dyDescent="0.3">
      <c r="A663" s="4">
        <v>331</v>
      </c>
      <c r="B663" s="4" t="s">
        <v>1248</v>
      </c>
      <c r="C663" s="4">
        <v>10</v>
      </c>
      <c r="D663" s="4" t="s">
        <v>1976</v>
      </c>
      <c r="E663" s="4">
        <v>3</v>
      </c>
      <c r="F663" s="4" t="str">
        <f ca="1">Master_List!$AW$1</f>
        <v>PERPUSTAKAAN PUSAT</v>
      </c>
      <c r="G663" s="4" t="str">
        <f ca="1">Master_List!$AW$2</f>
        <v>09:30 PM</v>
      </c>
      <c r="H663" s="4" t="str">
        <f ca="1">Master_List!$AW$3</f>
        <v>20/07/2026</v>
      </c>
      <c r="I663" s="4" t="str">
        <f ca="1">Master_List!$AW$4</f>
        <v>28.5</v>
      </c>
      <c r="J663" s="4" t="str">
        <f ca="1">Master_List!$AW$5</f>
        <v>65</v>
      </c>
      <c r="K663" s="4" t="s">
        <v>576</v>
      </c>
      <c r="BL663" s="4" t="s">
        <v>1744</v>
      </c>
      <c r="BM663" s="4" t="s">
        <v>2085</v>
      </c>
      <c r="BN663" s="4" t="s">
        <v>1748</v>
      </c>
      <c r="BO663" s="4" t="str">
        <f t="shared" si="10"/>
        <v>C:\Users\aremi\Desktop\REPORT CBM\PO TIANU JB\03. Raw Material\40. 10052026 SSU MEDINI SIGNATURE 33KV (VI)\IR</v>
      </c>
      <c r="BP663" t="s">
        <v>1254</v>
      </c>
    </row>
    <row r="664" spans="1:68" thickBot="1" x14ac:dyDescent="0.3">
      <c r="A664" s="4">
        <v>332</v>
      </c>
      <c r="B664" s="4" t="s">
        <v>1248</v>
      </c>
      <c r="C664" s="4">
        <v>10</v>
      </c>
      <c r="D664" s="4" t="s">
        <v>1976</v>
      </c>
      <c r="E664" s="4">
        <v>4</v>
      </c>
      <c r="F664" s="4" t="str">
        <f ca="1">Master_List!$AW$1</f>
        <v>PERPUSTAKAAN PUSAT</v>
      </c>
      <c r="G664" s="4" t="str">
        <f ca="1">Master_List!$AW$2</f>
        <v>09:30 PM</v>
      </c>
      <c r="H664" s="4" t="str">
        <f ca="1">Master_List!$AW$3</f>
        <v>20/07/2026</v>
      </c>
      <c r="I664" s="4" t="str">
        <f ca="1">Master_List!$AW$4</f>
        <v>28.5</v>
      </c>
      <c r="J664" s="4" t="str">
        <f ca="1">Master_List!$AW$5</f>
        <v>65</v>
      </c>
      <c r="K664" s="4" t="s">
        <v>579</v>
      </c>
      <c r="BL664" s="4" t="s">
        <v>1744</v>
      </c>
      <c r="BM664" s="4" t="s">
        <v>2086</v>
      </c>
      <c r="BN664" s="4" t="s">
        <v>1746</v>
      </c>
      <c r="BO664" s="4" t="str">
        <f t="shared" si="10"/>
        <v>C:\Users\aremi\Desktop\REPORT CBM\PO TIANU JB\03. Raw Material\40. 10052026 SSU MEDINI SIGNATURE 33KV (VI)\IR</v>
      </c>
      <c r="BP664" t="s">
        <v>1255</v>
      </c>
    </row>
    <row r="665" spans="1:68" thickBot="1" x14ac:dyDescent="0.3">
      <c r="A665" s="4">
        <v>332</v>
      </c>
      <c r="B665" s="4" t="s">
        <v>1248</v>
      </c>
      <c r="C665" s="4">
        <v>10</v>
      </c>
      <c r="D665" s="4" t="s">
        <v>1976</v>
      </c>
      <c r="E665" s="4">
        <v>4</v>
      </c>
      <c r="F665" s="4" t="str">
        <f ca="1">Master_List!$AW$1</f>
        <v>PERPUSTAKAAN PUSAT</v>
      </c>
      <c r="G665" s="4" t="str">
        <f ca="1">Master_List!$AW$2</f>
        <v>09:30 PM</v>
      </c>
      <c r="H665" s="4" t="str">
        <f ca="1">Master_List!$AW$3</f>
        <v>20/07/2026</v>
      </c>
      <c r="I665" s="4" t="str">
        <f ca="1">Master_List!$AW$4</f>
        <v>28.5</v>
      </c>
      <c r="J665" s="4" t="str">
        <f ca="1">Master_List!$AW$5</f>
        <v>65</v>
      </c>
      <c r="K665" s="4" t="s">
        <v>579</v>
      </c>
      <c r="BL665" s="4" t="s">
        <v>1744</v>
      </c>
      <c r="BM665" s="4" t="s">
        <v>2086</v>
      </c>
      <c r="BN665" s="4" t="s">
        <v>1748</v>
      </c>
      <c r="BO665" s="4" t="str">
        <f t="shared" si="10"/>
        <v>C:\Users\aremi\Desktop\REPORT CBM\PO TIANU JB\03. Raw Material\40. 10052026 SSU MEDINI SIGNATURE 33KV (VI)\IR</v>
      </c>
      <c r="BP665" t="s">
        <v>1256</v>
      </c>
    </row>
    <row r="666" spans="1:68" thickBot="1" x14ac:dyDescent="0.3">
      <c r="A666" s="4">
        <v>333</v>
      </c>
      <c r="B666" s="4" t="s">
        <v>1248</v>
      </c>
      <c r="C666" s="4">
        <v>10</v>
      </c>
      <c r="D666" s="4" t="s">
        <v>1976</v>
      </c>
      <c r="E666" s="4">
        <v>5</v>
      </c>
      <c r="F666" s="4" t="str">
        <f ca="1">Master_List!$AW$1</f>
        <v>PERPUSTAKAAN PUSAT</v>
      </c>
      <c r="G666" s="4" t="str">
        <f ca="1">Master_List!$AW$2</f>
        <v>09:30 PM</v>
      </c>
      <c r="H666" s="4" t="str">
        <f ca="1">Master_List!$AW$3</f>
        <v>20/07/2026</v>
      </c>
      <c r="I666" s="4" t="str">
        <f ca="1">Master_List!$AW$4</f>
        <v>28.5</v>
      </c>
      <c r="J666" s="4" t="str">
        <f ca="1">Master_List!$AW$5</f>
        <v>65</v>
      </c>
      <c r="K666" s="4" t="s">
        <v>582</v>
      </c>
      <c r="BL666" s="4" t="s">
        <v>1744</v>
      </c>
      <c r="BM666" s="4" t="s">
        <v>2087</v>
      </c>
      <c r="BN666" s="4" t="s">
        <v>1746</v>
      </c>
      <c r="BO666" s="4" t="str">
        <f t="shared" si="10"/>
        <v>C:\Users\aremi\Desktop\REPORT CBM\PO TIANU JB\03. Raw Material\40. 10052026 SSU MEDINI SIGNATURE 33KV (VI)\IR</v>
      </c>
      <c r="BP666" t="s">
        <v>1257</v>
      </c>
    </row>
    <row r="667" spans="1:68" thickBot="1" x14ac:dyDescent="0.3">
      <c r="A667" s="4">
        <v>333</v>
      </c>
      <c r="B667" s="4" t="s">
        <v>1248</v>
      </c>
      <c r="C667" s="4">
        <v>10</v>
      </c>
      <c r="D667" s="4" t="s">
        <v>1976</v>
      </c>
      <c r="E667" s="4">
        <v>5</v>
      </c>
      <c r="F667" s="4" t="str">
        <f ca="1">Master_List!$AW$1</f>
        <v>PERPUSTAKAAN PUSAT</v>
      </c>
      <c r="G667" s="4" t="str">
        <f ca="1">Master_List!$AW$2</f>
        <v>09:30 PM</v>
      </c>
      <c r="H667" s="4" t="str">
        <f ca="1">Master_List!$AW$3</f>
        <v>20/07/2026</v>
      </c>
      <c r="I667" s="4" t="str">
        <f ca="1">Master_List!$AW$4</f>
        <v>28.5</v>
      </c>
      <c r="J667" s="4" t="str">
        <f ca="1">Master_List!$AW$5</f>
        <v>65</v>
      </c>
      <c r="K667" s="4" t="s">
        <v>582</v>
      </c>
      <c r="BL667" s="4" t="s">
        <v>1744</v>
      </c>
      <c r="BM667" s="4" t="s">
        <v>2087</v>
      </c>
      <c r="BN667" s="4" t="s">
        <v>1748</v>
      </c>
      <c r="BO667" s="4" t="str">
        <f t="shared" si="10"/>
        <v>C:\Users\aremi\Desktop\REPORT CBM\PO TIANU JB\03. Raw Material\40. 10052026 SSU MEDINI SIGNATURE 33KV (VI)\IR</v>
      </c>
      <c r="BP667" t="s">
        <v>1258</v>
      </c>
    </row>
    <row r="668" spans="1:68" thickBot="1" x14ac:dyDescent="0.3">
      <c r="A668" s="4">
        <v>334</v>
      </c>
      <c r="B668" s="4" t="s">
        <v>1248</v>
      </c>
      <c r="C668" s="4">
        <v>10</v>
      </c>
      <c r="D668" s="4" t="s">
        <v>1976</v>
      </c>
      <c r="E668" s="4">
        <v>6</v>
      </c>
      <c r="F668" s="4" t="str">
        <f ca="1">Master_List!$AW$1</f>
        <v>PERPUSTAKAAN PUSAT</v>
      </c>
      <c r="G668" s="4" t="str">
        <f ca="1">Master_List!$AW$2</f>
        <v>09:30 PM</v>
      </c>
      <c r="H668" s="4" t="str">
        <f ca="1">Master_List!$AW$3</f>
        <v>20/07/2026</v>
      </c>
      <c r="I668" s="4" t="str">
        <f ca="1">Master_List!$AW$4</f>
        <v>28.5</v>
      </c>
      <c r="J668" s="4" t="str">
        <f ca="1">Master_List!$AW$5</f>
        <v>65</v>
      </c>
      <c r="K668" s="4" t="s">
        <v>585</v>
      </c>
      <c r="BL668" s="4" t="s">
        <v>1744</v>
      </c>
      <c r="BM668" s="4" t="s">
        <v>2088</v>
      </c>
      <c r="BN668" s="4" t="s">
        <v>1746</v>
      </c>
      <c r="BO668" s="4" t="str">
        <f t="shared" si="10"/>
        <v>C:\Users\aremi\Desktop\REPORT CBM\PO TIANU JB\03. Raw Material\40. 10052026 SSU MEDINI SIGNATURE 33KV (VI)\IR</v>
      </c>
      <c r="BP668" t="s">
        <v>1259</v>
      </c>
    </row>
    <row r="669" spans="1:68" thickBot="1" x14ac:dyDescent="0.3">
      <c r="A669" s="4">
        <v>334</v>
      </c>
      <c r="B669" s="4" t="s">
        <v>1248</v>
      </c>
      <c r="C669" s="4">
        <v>10</v>
      </c>
      <c r="D669" s="4" t="s">
        <v>1976</v>
      </c>
      <c r="E669" s="4">
        <v>6</v>
      </c>
      <c r="F669" s="4" t="str">
        <f ca="1">Master_List!$AW$1</f>
        <v>PERPUSTAKAAN PUSAT</v>
      </c>
      <c r="G669" s="4" t="str">
        <f ca="1">Master_List!$AW$2</f>
        <v>09:30 PM</v>
      </c>
      <c r="H669" s="4" t="str">
        <f ca="1">Master_List!$AW$3</f>
        <v>20/07/2026</v>
      </c>
      <c r="I669" s="4" t="str">
        <f ca="1">Master_List!$AW$4</f>
        <v>28.5</v>
      </c>
      <c r="J669" s="4" t="str">
        <f ca="1">Master_List!$AW$5</f>
        <v>65</v>
      </c>
      <c r="K669" s="4" t="s">
        <v>585</v>
      </c>
      <c r="BL669" s="4" t="s">
        <v>1744</v>
      </c>
      <c r="BM669" s="4" t="s">
        <v>2088</v>
      </c>
      <c r="BN669" s="4" t="s">
        <v>1748</v>
      </c>
      <c r="BO669" s="4" t="str">
        <f t="shared" si="10"/>
        <v>C:\Users\aremi\Desktop\REPORT CBM\PO TIANU JB\03. Raw Material\40. 10052026 SSU MEDINI SIGNATURE 33KV (VI)\IR</v>
      </c>
      <c r="BP669" t="s">
        <v>1260</v>
      </c>
    </row>
    <row r="670" spans="1:68" thickBot="1" x14ac:dyDescent="0.3">
      <c r="A670" s="4">
        <v>335</v>
      </c>
      <c r="B670" s="4" t="s">
        <v>1248</v>
      </c>
      <c r="C670" s="4">
        <v>10</v>
      </c>
      <c r="D670" s="4" t="s">
        <v>1983</v>
      </c>
      <c r="E670" s="4">
        <v>7</v>
      </c>
      <c r="F670" s="4" t="str">
        <f ca="1">Master_List!$AW$1</f>
        <v>PERPUSTAKAAN PUSAT</v>
      </c>
      <c r="G670" s="4" t="str">
        <f ca="1">Master_List!$AW$2</f>
        <v>09:30 PM</v>
      </c>
      <c r="H670" s="4" t="str">
        <f ca="1">Master_List!$AW$3</f>
        <v>20/07/2026</v>
      </c>
      <c r="I670" s="4" t="str">
        <f ca="1">Master_List!$AW$4</f>
        <v>28.5</v>
      </c>
      <c r="J670" s="4" t="str">
        <f ca="1">Master_List!$AW$5</f>
        <v>65</v>
      </c>
      <c r="K670" s="4" t="s">
        <v>588</v>
      </c>
      <c r="BL670" s="4" t="s">
        <v>1744</v>
      </c>
      <c r="BM670" s="4" t="s">
        <v>2089</v>
      </c>
      <c r="BN670" s="4" t="s">
        <v>1746</v>
      </c>
      <c r="BO670" s="4" t="str">
        <f t="shared" si="10"/>
        <v>C:\Users\aremi\Desktop\REPORT CBM\PO TIANU JB\03. Raw Material\40. 10052026 SSU MEDINI SIGNATURE 33KV (VI)\IR</v>
      </c>
      <c r="BP670" t="s">
        <v>1261</v>
      </c>
    </row>
    <row r="671" spans="1:68" thickBot="1" x14ac:dyDescent="0.3">
      <c r="A671" s="4">
        <v>335</v>
      </c>
      <c r="B671" s="4" t="s">
        <v>1248</v>
      </c>
      <c r="C671" s="4">
        <v>10</v>
      </c>
      <c r="D671" s="4" t="s">
        <v>1983</v>
      </c>
      <c r="E671" s="4">
        <v>7</v>
      </c>
      <c r="F671" s="4" t="str">
        <f ca="1">Master_List!$AW$1</f>
        <v>PERPUSTAKAAN PUSAT</v>
      </c>
      <c r="G671" s="4" t="str">
        <f ca="1">Master_List!$AW$2</f>
        <v>09:30 PM</v>
      </c>
      <c r="H671" s="4" t="str">
        <f ca="1">Master_List!$AW$3</f>
        <v>20/07/2026</v>
      </c>
      <c r="I671" s="4" t="str">
        <f ca="1">Master_List!$AW$4</f>
        <v>28.5</v>
      </c>
      <c r="J671" s="4" t="str">
        <f ca="1">Master_List!$AW$5</f>
        <v>65</v>
      </c>
      <c r="K671" s="4" t="s">
        <v>588</v>
      </c>
      <c r="BL671" s="4" t="s">
        <v>1744</v>
      </c>
      <c r="BM671" s="4" t="s">
        <v>2089</v>
      </c>
      <c r="BN671" s="4" t="s">
        <v>1748</v>
      </c>
      <c r="BO671" s="4" t="str">
        <f t="shared" si="10"/>
        <v>C:\Users\aremi\Desktop\REPORT CBM\PO TIANU JB\03. Raw Material\40. 10052026 SSU MEDINI SIGNATURE 33KV (VI)\IR</v>
      </c>
      <c r="BP671" t="s">
        <v>1262</v>
      </c>
    </row>
    <row r="672" spans="1:68" thickBot="1" x14ac:dyDescent="0.3">
      <c r="A672" s="4">
        <v>336</v>
      </c>
      <c r="B672" s="4" t="s">
        <v>1248</v>
      </c>
      <c r="C672" s="4">
        <v>10</v>
      </c>
      <c r="D672" s="4" t="s">
        <v>1985</v>
      </c>
      <c r="E672" s="4">
        <v>8</v>
      </c>
      <c r="F672" s="4" t="str">
        <f ca="1">Master_List!$AW$1</f>
        <v>PERPUSTAKAAN PUSAT</v>
      </c>
      <c r="G672" s="4" t="str">
        <f ca="1">Master_List!$AW$2</f>
        <v>09:30 PM</v>
      </c>
      <c r="H672" s="4" t="str">
        <f ca="1">Master_List!$AW$3</f>
        <v>20/07/2026</v>
      </c>
      <c r="I672" s="4" t="str">
        <f ca="1">Master_List!$AW$4</f>
        <v>28.5</v>
      </c>
      <c r="J672" s="4" t="str">
        <f ca="1">Master_List!$AW$5</f>
        <v>65</v>
      </c>
      <c r="K672" s="4" t="s">
        <v>591</v>
      </c>
      <c r="BL672" s="4" t="s">
        <v>1744</v>
      </c>
      <c r="BM672" s="4" t="s">
        <v>2090</v>
      </c>
      <c r="BN672" s="4" t="s">
        <v>1746</v>
      </c>
      <c r="BO672" s="4" t="str">
        <f t="shared" si="10"/>
        <v>C:\Users\aremi\Desktop\REPORT CBM\PO TIANU JB\03. Raw Material\40. 10052026 SSU MEDINI SIGNATURE 33KV (VI)\IR</v>
      </c>
      <c r="BP672" t="s">
        <v>1263</v>
      </c>
    </row>
    <row r="673" spans="1:68" thickBot="1" x14ac:dyDescent="0.3">
      <c r="A673" s="4">
        <v>336</v>
      </c>
      <c r="B673" s="4" t="s">
        <v>1248</v>
      </c>
      <c r="C673" s="4">
        <v>10</v>
      </c>
      <c r="D673" s="4" t="s">
        <v>1985</v>
      </c>
      <c r="E673" s="4">
        <v>8</v>
      </c>
      <c r="F673" s="4" t="str">
        <f ca="1">Master_List!$AW$1</f>
        <v>PERPUSTAKAAN PUSAT</v>
      </c>
      <c r="G673" s="4" t="str">
        <f ca="1">Master_List!$AW$2</f>
        <v>09:30 PM</v>
      </c>
      <c r="H673" s="4" t="str">
        <f ca="1">Master_List!$AW$3</f>
        <v>20/07/2026</v>
      </c>
      <c r="I673" s="4" t="str">
        <f ca="1">Master_List!$AW$4</f>
        <v>28.5</v>
      </c>
      <c r="J673" s="4" t="str">
        <f ca="1">Master_List!$AW$5</f>
        <v>65</v>
      </c>
      <c r="K673" s="4" t="s">
        <v>591</v>
      </c>
      <c r="BL673" s="4" t="s">
        <v>1744</v>
      </c>
      <c r="BM673" s="4" t="s">
        <v>2090</v>
      </c>
      <c r="BN673" s="4" t="s">
        <v>1748</v>
      </c>
      <c r="BO673" s="4" t="str">
        <f t="shared" si="10"/>
        <v>C:\Users\aremi\Desktop\REPORT CBM\PO TIANU JB\03. Raw Material\40. 10052026 SSU MEDINI SIGNATURE 33KV (VI)\IR</v>
      </c>
      <c r="BP673" t="s">
        <v>1264</v>
      </c>
    </row>
    <row r="674" spans="1:68" thickBot="1" x14ac:dyDescent="0.3">
      <c r="A674" s="4">
        <v>337</v>
      </c>
      <c r="B674" s="4" t="s">
        <v>1265</v>
      </c>
      <c r="C674" s="4">
        <v>10</v>
      </c>
      <c r="D674" s="4" t="s">
        <v>1976</v>
      </c>
      <c r="E674" s="4">
        <v>1</v>
      </c>
      <c r="F674" s="4" t="str">
        <f ca="1">Master_List!$AW$1</f>
        <v>PERPUSTAKAAN PUSAT</v>
      </c>
      <c r="G674" s="4" t="str">
        <f ca="1">Master_List!$AW$2</f>
        <v>09:30 PM</v>
      </c>
      <c r="H674" s="4" t="str">
        <f ca="1">Master_List!$AW$3</f>
        <v>20/07/2026</v>
      </c>
      <c r="I674" s="4" t="str">
        <f ca="1">Master_List!$AW$4</f>
        <v>28.5</v>
      </c>
      <c r="J674" s="4" t="str">
        <f ca="1">Master_List!$AW$5</f>
        <v>65</v>
      </c>
      <c r="K674" s="4" t="s">
        <v>570</v>
      </c>
      <c r="BL674" s="4" t="s">
        <v>1744</v>
      </c>
      <c r="BM674" s="4" t="s">
        <v>2091</v>
      </c>
      <c r="BN674" s="4" t="s">
        <v>1746</v>
      </c>
      <c r="BO674" s="4" t="str">
        <f t="shared" si="10"/>
        <v>C:\Users\aremi\Desktop\REPORT CBM\PO TIANU JB\03. Raw Material\40. 10052026 SSU MEDINI SIGNATURE 33KV (VI)\IR</v>
      </c>
      <c r="BP674" t="s">
        <v>1266</v>
      </c>
    </row>
    <row r="675" spans="1:68" thickBot="1" x14ac:dyDescent="0.3">
      <c r="A675" s="4">
        <v>337</v>
      </c>
      <c r="B675" s="4" t="s">
        <v>1265</v>
      </c>
      <c r="C675" s="4">
        <v>10</v>
      </c>
      <c r="D675" s="4" t="s">
        <v>1976</v>
      </c>
      <c r="E675" s="4">
        <v>1</v>
      </c>
      <c r="F675" s="4" t="str">
        <f ca="1">Master_List!$AW$1</f>
        <v>PERPUSTAKAAN PUSAT</v>
      </c>
      <c r="G675" s="4" t="str">
        <f ca="1">Master_List!$AW$2</f>
        <v>09:30 PM</v>
      </c>
      <c r="H675" s="4" t="str">
        <f ca="1">Master_List!$AW$3</f>
        <v>20/07/2026</v>
      </c>
      <c r="I675" s="4" t="str">
        <f ca="1">Master_List!$AW$4</f>
        <v>28.5</v>
      </c>
      <c r="J675" s="4" t="str">
        <f ca="1">Master_List!$AW$5</f>
        <v>65</v>
      </c>
      <c r="K675" s="4" t="s">
        <v>570</v>
      </c>
      <c r="BL675" s="4" t="s">
        <v>1744</v>
      </c>
      <c r="BM675" s="4" t="s">
        <v>2091</v>
      </c>
      <c r="BN675" s="4" t="s">
        <v>1748</v>
      </c>
      <c r="BO675" s="4" t="str">
        <f t="shared" si="10"/>
        <v>C:\Users\aremi\Desktop\REPORT CBM\PO TIANU JB\03. Raw Material\40. 10052026 SSU MEDINI SIGNATURE 33KV (VI)\IR</v>
      </c>
      <c r="BP675" t="s">
        <v>1267</v>
      </c>
    </row>
    <row r="676" spans="1:68" thickBot="1" x14ac:dyDescent="0.3">
      <c r="A676" s="4">
        <v>338</v>
      </c>
      <c r="B676" s="4" t="s">
        <v>1265</v>
      </c>
      <c r="C676" s="4">
        <v>10</v>
      </c>
      <c r="D676" s="4" t="s">
        <v>1976</v>
      </c>
      <c r="E676" s="4">
        <v>2</v>
      </c>
      <c r="F676" s="4" t="str">
        <f ca="1">Master_List!$AW$1</f>
        <v>PERPUSTAKAAN PUSAT</v>
      </c>
      <c r="G676" s="4" t="str">
        <f ca="1">Master_List!$AW$2</f>
        <v>09:30 PM</v>
      </c>
      <c r="H676" s="4" t="str">
        <f ca="1">Master_List!$AW$3</f>
        <v>20/07/2026</v>
      </c>
      <c r="I676" s="4" t="str">
        <f ca="1">Master_List!$AW$4</f>
        <v>28.5</v>
      </c>
      <c r="J676" s="4" t="str">
        <f ca="1">Master_List!$AW$5</f>
        <v>65</v>
      </c>
      <c r="K676" s="4" t="s">
        <v>573</v>
      </c>
      <c r="BL676" s="4" t="s">
        <v>1744</v>
      </c>
      <c r="BM676" s="4" t="s">
        <v>2092</v>
      </c>
      <c r="BN676" s="4" t="s">
        <v>1746</v>
      </c>
      <c r="BO676" s="4" t="str">
        <f t="shared" si="10"/>
        <v>C:\Users\aremi\Desktop\REPORT CBM\PO TIANU JB\03. Raw Material\40. 10052026 SSU MEDINI SIGNATURE 33KV (VI)\IR</v>
      </c>
      <c r="BP676" t="s">
        <v>1268</v>
      </c>
    </row>
    <row r="677" spans="1:68" thickBot="1" x14ac:dyDescent="0.3">
      <c r="A677" s="4">
        <v>338</v>
      </c>
      <c r="B677" s="4" t="s">
        <v>1265</v>
      </c>
      <c r="C677" s="4">
        <v>10</v>
      </c>
      <c r="D677" s="4" t="s">
        <v>1976</v>
      </c>
      <c r="E677" s="4">
        <v>2</v>
      </c>
      <c r="F677" s="4" t="str">
        <f ca="1">Master_List!$AW$1</f>
        <v>PERPUSTAKAAN PUSAT</v>
      </c>
      <c r="G677" s="4" t="str">
        <f ca="1">Master_List!$AW$2</f>
        <v>09:30 PM</v>
      </c>
      <c r="H677" s="4" t="str">
        <f ca="1">Master_List!$AW$3</f>
        <v>20/07/2026</v>
      </c>
      <c r="I677" s="4" t="str">
        <f ca="1">Master_List!$AW$4</f>
        <v>28.5</v>
      </c>
      <c r="J677" s="4" t="str">
        <f ca="1">Master_List!$AW$5</f>
        <v>65</v>
      </c>
      <c r="K677" s="4" t="s">
        <v>573</v>
      </c>
      <c r="BL677" s="4" t="s">
        <v>1744</v>
      </c>
      <c r="BM677" s="4" t="s">
        <v>2092</v>
      </c>
      <c r="BN677" s="4" t="s">
        <v>1748</v>
      </c>
      <c r="BO677" s="4" t="str">
        <f t="shared" si="10"/>
        <v>C:\Users\aremi\Desktop\REPORT CBM\PO TIANU JB\03. Raw Material\40. 10052026 SSU MEDINI SIGNATURE 33KV (VI)\IR</v>
      </c>
      <c r="BP677" t="s">
        <v>1269</v>
      </c>
    </row>
    <row r="678" spans="1:68" thickBot="1" x14ac:dyDescent="0.3">
      <c r="A678" s="4">
        <v>339</v>
      </c>
      <c r="B678" s="4" t="s">
        <v>1265</v>
      </c>
      <c r="C678" s="4">
        <v>10</v>
      </c>
      <c r="D678" s="4" t="s">
        <v>1976</v>
      </c>
      <c r="E678" s="4">
        <v>3</v>
      </c>
      <c r="F678" s="4" t="str">
        <f ca="1">Master_List!$AW$1</f>
        <v>PERPUSTAKAAN PUSAT</v>
      </c>
      <c r="G678" s="4" t="str">
        <f ca="1">Master_List!$AW$2</f>
        <v>09:30 PM</v>
      </c>
      <c r="H678" s="4" t="str">
        <f ca="1">Master_List!$AW$3</f>
        <v>20/07/2026</v>
      </c>
      <c r="I678" s="4" t="str">
        <f ca="1">Master_List!$AW$4</f>
        <v>28.5</v>
      </c>
      <c r="J678" s="4" t="str">
        <f ca="1">Master_List!$AW$5</f>
        <v>65</v>
      </c>
      <c r="K678" s="4" t="s">
        <v>576</v>
      </c>
      <c r="BL678" s="4" t="s">
        <v>1744</v>
      </c>
      <c r="BM678" s="4" t="s">
        <v>2093</v>
      </c>
      <c r="BN678" s="4" t="s">
        <v>1746</v>
      </c>
      <c r="BO678" s="4" t="str">
        <f t="shared" si="10"/>
        <v>C:\Users\aremi\Desktop\REPORT CBM\PO TIANU JB\03. Raw Material\40. 10052026 SSU MEDINI SIGNATURE 33KV (VI)\IR</v>
      </c>
      <c r="BP678" t="s">
        <v>1270</v>
      </c>
    </row>
    <row r="679" spans="1:68" thickBot="1" x14ac:dyDescent="0.3">
      <c r="A679" s="4">
        <v>339</v>
      </c>
      <c r="B679" s="4" t="s">
        <v>1265</v>
      </c>
      <c r="C679" s="4">
        <v>10</v>
      </c>
      <c r="D679" s="4" t="s">
        <v>1976</v>
      </c>
      <c r="E679" s="4">
        <v>3</v>
      </c>
      <c r="F679" s="4" t="str">
        <f ca="1">Master_List!$AW$1</f>
        <v>PERPUSTAKAAN PUSAT</v>
      </c>
      <c r="G679" s="4" t="str">
        <f ca="1">Master_List!$AW$2</f>
        <v>09:30 PM</v>
      </c>
      <c r="H679" s="4" t="str">
        <f ca="1">Master_List!$AW$3</f>
        <v>20/07/2026</v>
      </c>
      <c r="I679" s="4" t="str">
        <f ca="1">Master_List!$AW$4</f>
        <v>28.5</v>
      </c>
      <c r="J679" s="4" t="str">
        <f ca="1">Master_List!$AW$5</f>
        <v>65</v>
      </c>
      <c r="K679" s="4" t="s">
        <v>576</v>
      </c>
      <c r="BL679" s="4" t="s">
        <v>1744</v>
      </c>
      <c r="BM679" s="4" t="s">
        <v>2093</v>
      </c>
      <c r="BN679" s="4" t="s">
        <v>1748</v>
      </c>
      <c r="BO679" s="4" t="str">
        <f t="shared" si="10"/>
        <v>C:\Users\aremi\Desktop\REPORT CBM\PO TIANU JB\03. Raw Material\40. 10052026 SSU MEDINI SIGNATURE 33KV (VI)\IR</v>
      </c>
      <c r="BP679" t="s">
        <v>1271</v>
      </c>
    </row>
    <row r="680" spans="1:68" thickBot="1" x14ac:dyDescent="0.3">
      <c r="A680" s="4">
        <v>340</v>
      </c>
      <c r="B680" s="4" t="s">
        <v>1265</v>
      </c>
      <c r="C680" s="4">
        <v>10</v>
      </c>
      <c r="D680" s="4" t="s">
        <v>1976</v>
      </c>
      <c r="E680" s="4">
        <v>4</v>
      </c>
      <c r="F680" s="4" t="str">
        <f ca="1">Master_List!$AW$1</f>
        <v>PERPUSTAKAAN PUSAT</v>
      </c>
      <c r="G680" s="4" t="str">
        <f ca="1">Master_List!$AW$2</f>
        <v>09:30 PM</v>
      </c>
      <c r="H680" s="4" t="str">
        <f ca="1">Master_List!$AW$3</f>
        <v>20/07/2026</v>
      </c>
      <c r="I680" s="4" t="str">
        <f ca="1">Master_List!$AW$4</f>
        <v>28.5</v>
      </c>
      <c r="J680" s="4" t="str">
        <f ca="1">Master_List!$AW$5</f>
        <v>65</v>
      </c>
      <c r="K680" s="4" t="s">
        <v>579</v>
      </c>
      <c r="BL680" s="4" t="s">
        <v>1744</v>
      </c>
      <c r="BM680" s="4" t="s">
        <v>2094</v>
      </c>
      <c r="BN680" s="4" t="s">
        <v>1746</v>
      </c>
      <c r="BO680" s="4" t="str">
        <f t="shared" si="10"/>
        <v>C:\Users\aremi\Desktop\REPORT CBM\PO TIANU JB\03. Raw Material\40. 10052026 SSU MEDINI SIGNATURE 33KV (VI)\IR</v>
      </c>
      <c r="BP680" t="s">
        <v>1272</v>
      </c>
    </row>
    <row r="681" spans="1:68" thickBot="1" x14ac:dyDescent="0.3">
      <c r="A681" s="4">
        <v>340</v>
      </c>
      <c r="B681" s="4" t="s">
        <v>1265</v>
      </c>
      <c r="C681" s="4">
        <v>10</v>
      </c>
      <c r="D681" s="4" t="s">
        <v>1976</v>
      </c>
      <c r="E681" s="4">
        <v>4</v>
      </c>
      <c r="F681" s="4" t="str">
        <f ca="1">Master_List!$AW$1</f>
        <v>PERPUSTAKAAN PUSAT</v>
      </c>
      <c r="G681" s="4" t="str">
        <f ca="1">Master_List!$AW$2</f>
        <v>09:30 PM</v>
      </c>
      <c r="H681" s="4" t="str">
        <f ca="1">Master_List!$AW$3</f>
        <v>20/07/2026</v>
      </c>
      <c r="I681" s="4" t="str">
        <f ca="1">Master_List!$AW$4</f>
        <v>28.5</v>
      </c>
      <c r="J681" s="4" t="str">
        <f ca="1">Master_List!$AW$5</f>
        <v>65</v>
      </c>
      <c r="K681" s="4" t="s">
        <v>579</v>
      </c>
      <c r="BL681" s="4" t="s">
        <v>1744</v>
      </c>
      <c r="BM681" s="4" t="s">
        <v>2094</v>
      </c>
      <c r="BN681" s="4" t="s">
        <v>1748</v>
      </c>
      <c r="BO681" s="4" t="str">
        <f t="shared" si="10"/>
        <v>C:\Users\aremi\Desktop\REPORT CBM\PO TIANU JB\03. Raw Material\40. 10052026 SSU MEDINI SIGNATURE 33KV (VI)\IR</v>
      </c>
      <c r="BP681" t="s">
        <v>1273</v>
      </c>
    </row>
    <row r="682" spans="1:68" thickBot="1" x14ac:dyDescent="0.3">
      <c r="A682" s="4">
        <v>341</v>
      </c>
      <c r="B682" s="4" t="s">
        <v>1265</v>
      </c>
      <c r="C682" s="4">
        <v>10</v>
      </c>
      <c r="D682" s="4" t="s">
        <v>1976</v>
      </c>
      <c r="E682" s="4">
        <v>5</v>
      </c>
      <c r="F682" s="4" t="str">
        <f ca="1">Master_List!$AW$1</f>
        <v>PERPUSTAKAAN PUSAT</v>
      </c>
      <c r="G682" s="4" t="str">
        <f ca="1">Master_List!$AW$2</f>
        <v>09:30 PM</v>
      </c>
      <c r="H682" s="4" t="str">
        <f ca="1">Master_List!$AW$3</f>
        <v>20/07/2026</v>
      </c>
      <c r="I682" s="4" t="str">
        <f ca="1">Master_List!$AW$4</f>
        <v>28.5</v>
      </c>
      <c r="J682" s="4" t="str">
        <f ca="1">Master_List!$AW$5</f>
        <v>65</v>
      </c>
      <c r="K682" s="4" t="s">
        <v>582</v>
      </c>
      <c r="BL682" s="4" t="s">
        <v>1744</v>
      </c>
      <c r="BM682" s="4" t="s">
        <v>2095</v>
      </c>
      <c r="BN682" s="4" t="s">
        <v>1746</v>
      </c>
      <c r="BO682" s="4" t="str">
        <f t="shared" si="10"/>
        <v>C:\Users\aremi\Desktop\REPORT CBM\PO TIANU JB\03. Raw Material\40. 10052026 SSU MEDINI SIGNATURE 33KV (VI)\IR</v>
      </c>
      <c r="BP682" t="s">
        <v>1274</v>
      </c>
    </row>
    <row r="683" spans="1:68" thickBot="1" x14ac:dyDescent="0.3">
      <c r="A683" s="4">
        <v>341</v>
      </c>
      <c r="B683" s="4" t="s">
        <v>1265</v>
      </c>
      <c r="C683" s="4">
        <v>10</v>
      </c>
      <c r="D683" s="4" t="s">
        <v>1976</v>
      </c>
      <c r="E683" s="4">
        <v>5</v>
      </c>
      <c r="F683" s="4" t="str">
        <f ca="1">Master_List!$AW$1</f>
        <v>PERPUSTAKAAN PUSAT</v>
      </c>
      <c r="G683" s="4" t="str">
        <f ca="1">Master_List!$AW$2</f>
        <v>09:30 PM</v>
      </c>
      <c r="H683" s="4" t="str">
        <f ca="1">Master_List!$AW$3</f>
        <v>20/07/2026</v>
      </c>
      <c r="I683" s="4" t="str">
        <f ca="1">Master_List!$AW$4</f>
        <v>28.5</v>
      </c>
      <c r="J683" s="4" t="str">
        <f ca="1">Master_List!$AW$5</f>
        <v>65</v>
      </c>
      <c r="K683" s="4" t="s">
        <v>582</v>
      </c>
      <c r="BL683" s="4" t="s">
        <v>1744</v>
      </c>
      <c r="BM683" s="4" t="s">
        <v>2095</v>
      </c>
      <c r="BN683" s="4" t="s">
        <v>1748</v>
      </c>
      <c r="BO683" s="4" t="str">
        <f t="shared" si="10"/>
        <v>C:\Users\aremi\Desktop\REPORT CBM\PO TIANU JB\03. Raw Material\40. 10052026 SSU MEDINI SIGNATURE 33KV (VI)\IR</v>
      </c>
      <c r="BP683" t="s">
        <v>1275</v>
      </c>
    </row>
    <row r="684" spans="1:68" thickBot="1" x14ac:dyDescent="0.3">
      <c r="A684" s="4">
        <v>342</v>
      </c>
      <c r="B684" s="4" t="s">
        <v>1265</v>
      </c>
      <c r="C684" s="4">
        <v>10</v>
      </c>
      <c r="D684" s="4" t="s">
        <v>1976</v>
      </c>
      <c r="E684" s="4">
        <v>6</v>
      </c>
      <c r="F684" s="4" t="str">
        <f ca="1">Master_List!$AW$1</f>
        <v>PERPUSTAKAAN PUSAT</v>
      </c>
      <c r="G684" s="4" t="str">
        <f ca="1">Master_List!$AW$2</f>
        <v>09:30 PM</v>
      </c>
      <c r="H684" s="4" t="str">
        <f ca="1">Master_List!$AW$3</f>
        <v>20/07/2026</v>
      </c>
      <c r="I684" s="4" t="str">
        <f ca="1">Master_List!$AW$4</f>
        <v>28.5</v>
      </c>
      <c r="J684" s="4" t="str">
        <f ca="1">Master_List!$AW$5</f>
        <v>65</v>
      </c>
      <c r="K684" s="4" t="s">
        <v>585</v>
      </c>
      <c r="BL684" s="4" t="s">
        <v>1744</v>
      </c>
      <c r="BM684" s="4" t="s">
        <v>2096</v>
      </c>
      <c r="BN684" s="4" t="s">
        <v>1746</v>
      </c>
      <c r="BO684" s="4" t="str">
        <f t="shared" si="10"/>
        <v>C:\Users\aremi\Desktop\REPORT CBM\PO TIANU JB\03. Raw Material\40. 10052026 SSU MEDINI SIGNATURE 33KV (VI)\IR</v>
      </c>
      <c r="BP684" t="s">
        <v>1276</v>
      </c>
    </row>
    <row r="685" spans="1:68" thickBot="1" x14ac:dyDescent="0.3">
      <c r="A685" s="4">
        <v>342</v>
      </c>
      <c r="B685" s="4" t="s">
        <v>1265</v>
      </c>
      <c r="C685" s="4">
        <v>10</v>
      </c>
      <c r="D685" s="4" t="s">
        <v>1976</v>
      </c>
      <c r="E685" s="4">
        <v>6</v>
      </c>
      <c r="F685" s="4" t="str">
        <f ca="1">Master_List!$AW$1</f>
        <v>PERPUSTAKAAN PUSAT</v>
      </c>
      <c r="G685" s="4" t="str">
        <f ca="1">Master_List!$AW$2</f>
        <v>09:30 PM</v>
      </c>
      <c r="H685" s="4" t="str">
        <f ca="1">Master_List!$AW$3</f>
        <v>20/07/2026</v>
      </c>
      <c r="I685" s="4" t="str">
        <f ca="1">Master_List!$AW$4</f>
        <v>28.5</v>
      </c>
      <c r="J685" s="4" t="str">
        <f ca="1">Master_List!$AW$5</f>
        <v>65</v>
      </c>
      <c r="K685" s="4" t="s">
        <v>585</v>
      </c>
      <c r="BL685" s="4" t="s">
        <v>1744</v>
      </c>
      <c r="BM685" s="4" t="s">
        <v>2096</v>
      </c>
      <c r="BN685" s="4" t="s">
        <v>1748</v>
      </c>
      <c r="BO685" s="4" t="str">
        <f t="shared" si="10"/>
        <v>C:\Users\aremi\Desktop\REPORT CBM\PO TIANU JB\03. Raw Material\40. 10052026 SSU MEDINI SIGNATURE 33KV (VI)\IR</v>
      </c>
      <c r="BP685" t="s">
        <v>1277</v>
      </c>
    </row>
    <row r="686" spans="1:68" thickBot="1" x14ac:dyDescent="0.3">
      <c r="A686" s="4">
        <v>343</v>
      </c>
      <c r="B686" s="4" t="s">
        <v>1265</v>
      </c>
      <c r="C686" s="4">
        <v>10</v>
      </c>
      <c r="D686" s="4" t="s">
        <v>1983</v>
      </c>
      <c r="E686" s="4">
        <v>7</v>
      </c>
      <c r="F686" s="4" t="str">
        <f ca="1">Master_List!$AW$1</f>
        <v>PERPUSTAKAAN PUSAT</v>
      </c>
      <c r="G686" s="4" t="str">
        <f ca="1">Master_List!$AW$2</f>
        <v>09:30 PM</v>
      </c>
      <c r="H686" s="4" t="str">
        <f ca="1">Master_List!$AW$3</f>
        <v>20/07/2026</v>
      </c>
      <c r="I686" s="4" t="str">
        <f ca="1">Master_List!$AW$4</f>
        <v>28.5</v>
      </c>
      <c r="J686" s="4" t="str">
        <f ca="1">Master_List!$AW$5</f>
        <v>65</v>
      </c>
      <c r="K686" s="4" t="s">
        <v>588</v>
      </c>
      <c r="BL686" s="4" t="s">
        <v>1744</v>
      </c>
      <c r="BM686" s="4" t="s">
        <v>2097</v>
      </c>
      <c r="BN686" s="4" t="s">
        <v>1746</v>
      </c>
      <c r="BO686" s="4" t="str">
        <f t="shared" si="10"/>
        <v>C:\Users\aremi\Desktop\REPORT CBM\PO TIANU JB\03. Raw Material\40. 10052026 SSU MEDINI SIGNATURE 33KV (VI)\IR</v>
      </c>
      <c r="BP686" t="s">
        <v>1278</v>
      </c>
    </row>
    <row r="687" spans="1:68" thickBot="1" x14ac:dyDescent="0.3">
      <c r="A687" s="4">
        <v>343</v>
      </c>
      <c r="B687" s="4" t="s">
        <v>1265</v>
      </c>
      <c r="C687" s="4">
        <v>10</v>
      </c>
      <c r="D687" s="4" t="s">
        <v>1983</v>
      </c>
      <c r="E687" s="4">
        <v>7</v>
      </c>
      <c r="F687" s="4" t="str">
        <f ca="1">Master_List!$AW$1</f>
        <v>PERPUSTAKAAN PUSAT</v>
      </c>
      <c r="G687" s="4" t="str">
        <f ca="1">Master_List!$AW$2</f>
        <v>09:30 PM</v>
      </c>
      <c r="H687" s="4" t="str">
        <f ca="1">Master_List!$AW$3</f>
        <v>20/07/2026</v>
      </c>
      <c r="I687" s="4" t="str">
        <f ca="1">Master_List!$AW$4</f>
        <v>28.5</v>
      </c>
      <c r="J687" s="4" t="str">
        <f ca="1">Master_List!$AW$5</f>
        <v>65</v>
      </c>
      <c r="K687" s="4" t="s">
        <v>588</v>
      </c>
      <c r="BL687" s="4" t="s">
        <v>1744</v>
      </c>
      <c r="BM687" s="4" t="s">
        <v>2097</v>
      </c>
      <c r="BN687" s="4" t="s">
        <v>1748</v>
      </c>
      <c r="BO687" s="4" t="str">
        <f t="shared" si="10"/>
        <v>C:\Users\aremi\Desktop\REPORT CBM\PO TIANU JB\03. Raw Material\40. 10052026 SSU MEDINI SIGNATURE 33KV (VI)\IR</v>
      </c>
      <c r="BP687" t="s">
        <v>1279</v>
      </c>
    </row>
    <row r="688" spans="1:68" thickBot="1" x14ac:dyDescent="0.3">
      <c r="A688" s="4">
        <v>344</v>
      </c>
      <c r="B688" s="4" t="s">
        <v>1265</v>
      </c>
      <c r="C688" s="4">
        <v>10</v>
      </c>
      <c r="D688" s="4" t="s">
        <v>1985</v>
      </c>
      <c r="E688" s="4">
        <v>8</v>
      </c>
      <c r="F688" s="4" t="str">
        <f ca="1">Master_List!$AW$1</f>
        <v>PERPUSTAKAAN PUSAT</v>
      </c>
      <c r="G688" s="4" t="str">
        <f ca="1">Master_List!$AW$2</f>
        <v>09:30 PM</v>
      </c>
      <c r="H688" s="4" t="str">
        <f ca="1">Master_List!$AW$3</f>
        <v>20/07/2026</v>
      </c>
      <c r="I688" s="4" t="str">
        <f ca="1">Master_List!$AW$4</f>
        <v>28.5</v>
      </c>
      <c r="J688" s="4" t="str">
        <f ca="1">Master_List!$AW$5</f>
        <v>65</v>
      </c>
      <c r="K688" s="4" t="s">
        <v>591</v>
      </c>
      <c r="BL688" s="4" t="s">
        <v>1744</v>
      </c>
      <c r="BM688" s="4" t="s">
        <v>2098</v>
      </c>
      <c r="BN688" s="4" t="s">
        <v>1746</v>
      </c>
      <c r="BO688" s="4" t="str">
        <f t="shared" si="10"/>
        <v>C:\Users\aremi\Desktop\REPORT CBM\PO TIANU JB\03. Raw Material\40. 10052026 SSU MEDINI SIGNATURE 33KV (VI)\IR</v>
      </c>
      <c r="BP688" t="s">
        <v>1280</v>
      </c>
    </row>
    <row r="689" spans="1:68" thickBot="1" x14ac:dyDescent="0.3">
      <c r="A689" s="4">
        <v>344</v>
      </c>
      <c r="B689" s="4" t="s">
        <v>1265</v>
      </c>
      <c r="C689" s="4">
        <v>10</v>
      </c>
      <c r="D689" s="4" t="s">
        <v>1985</v>
      </c>
      <c r="E689" s="4">
        <v>8</v>
      </c>
      <c r="F689" s="4" t="str">
        <f ca="1">Master_List!$AW$1</f>
        <v>PERPUSTAKAAN PUSAT</v>
      </c>
      <c r="G689" s="4" t="str">
        <f ca="1">Master_List!$AW$2</f>
        <v>09:30 PM</v>
      </c>
      <c r="H689" s="4" t="str">
        <f ca="1">Master_List!$AW$3</f>
        <v>20/07/2026</v>
      </c>
      <c r="I689" s="4" t="str">
        <f ca="1">Master_List!$AW$4</f>
        <v>28.5</v>
      </c>
      <c r="J689" s="4" t="str">
        <f ca="1">Master_List!$AW$5</f>
        <v>65</v>
      </c>
      <c r="K689" s="4" t="s">
        <v>591</v>
      </c>
      <c r="BL689" s="4" t="s">
        <v>1744</v>
      </c>
      <c r="BM689" s="4" t="s">
        <v>2098</v>
      </c>
      <c r="BN689" s="4" t="s">
        <v>1748</v>
      </c>
      <c r="BO689" s="4" t="str">
        <f t="shared" si="10"/>
        <v>C:\Users\aremi\Desktop\REPORT CBM\PO TIANU JB\03. Raw Material\40. 10052026 SSU MEDINI SIGNATURE 33KV (VI)\IR</v>
      </c>
      <c r="BP689" t="s">
        <v>1281</v>
      </c>
    </row>
    <row r="690" spans="1:68" thickBot="1" x14ac:dyDescent="0.3">
      <c r="A690" s="4">
        <v>345</v>
      </c>
      <c r="B690" s="4" t="s">
        <v>1282</v>
      </c>
      <c r="C690" s="4">
        <v>11</v>
      </c>
      <c r="D690" s="4" t="s">
        <v>1976</v>
      </c>
      <c r="E690" s="4">
        <v>1</v>
      </c>
      <c r="F690" s="4" t="str">
        <f ca="1">Master_List!$AW$1</f>
        <v>PERPUSTAKAAN PUSAT</v>
      </c>
      <c r="G690" s="4" t="str">
        <f ca="1">Master_List!$AW$2</f>
        <v>09:30 PM</v>
      </c>
      <c r="H690" s="4" t="str">
        <f ca="1">Master_List!$AW$3</f>
        <v>20/07/2026</v>
      </c>
      <c r="I690" s="4" t="str">
        <f ca="1">Master_List!$AW$4</f>
        <v>28.5</v>
      </c>
      <c r="J690" s="4" t="str">
        <f ca="1">Master_List!$AW$5</f>
        <v>65</v>
      </c>
      <c r="K690" s="4" t="s">
        <v>570</v>
      </c>
      <c r="BL690" s="4" t="s">
        <v>1744</v>
      </c>
      <c r="BM690" s="4" t="s">
        <v>2099</v>
      </c>
      <c r="BN690" s="4" t="s">
        <v>1746</v>
      </c>
      <c r="BO690" s="4" t="str">
        <f t="shared" si="10"/>
        <v>C:\Users\aremi\Desktop\REPORT CBM\PO TIANU JB\03. Raw Material\40. 10052026 SSU MEDINI SIGNATURE 33KV (VI)\IR</v>
      </c>
      <c r="BP690" t="s">
        <v>1283</v>
      </c>
    </row>
    <row r="691" spans="1:68" thickBot="1" x14ac:dyDescent="0.3">
      <c r="A691" s="4">
        <v>345</v>
      </c>
      <c r="B691" s="4" t="s">
        <v>1282</v>
      </c>
      <c r="C691" s="4">
        <v>11</v>
      </c>
      <c r="D691" s="4" t="s">
        <v>1976</v>
      </c>
      <c r="E691" s="4">
        <v>1</v>
      </c>
      <c r="F691" s="4" t="str">
        <f ca="1">Master_List!$AW$1</f>
        <v>PERPUSTAKAAN PUSAT</v>
      </c>
      <c r="G691" s="4" t="str">
        <f ca="1">Master_List!$AW$2</f>
        <v>09:30 PM</v>
      </c>
      <c r="H691" s="4" t="str">
        <f ca="1">Master_List!$AW$3</f>
        <v>20/07/2026</v>
      </c>
      <c r="I691" s="4" t="str">
        <f ca="1">Master_List!$AW$4</f>
        <v>28.5</v>
      </c>
      <c r="J691" s="4" t="str">
        <f ca="1">Master_List!$AW$5</f>
        <v>65</v>
      </c>
      <c r="K691" s="4" t="s">
        <v>570</v>
      </c>
      <c r="BL691" s="4" t="s">
        <v>1744</v>
      </c>
      <c r="BM691" s="4" t="s">
        <v>2099</v>
      </c>
      <c r="BN691" s="4" t="s">
        <v>1748</v>
      </c>
      <c r="BO691" s="4" t="str">
        <f t="shared" si="10"/>
        <v>C:\Users\aremi\Desktop\REPORT CBM\PO TIANU JB\03. Raw Material\40. 10052026 SSU MEDINI SIGNATURE 33KV (VI)\IR</v>
      </c>
      <c r="BP691" t="s">
        <v>1284</v>
      </c>
    </row>
    <row r="692" spans="1:68" thickBot="1" x14ac:dyDescent="0.3">
      <c r="A692" s="4">
        <v>346</v>
      </c>
      <c r="B692" s="4" t="s">
        <v>1282</v>
      </c>
      <c r="C692" s="4">
        <v>11</v>
      </c>
      <c r="D692" s="4" t="s">
        <v>1976</v>
      </c>
      <c r="E692" s="4">
        <v>2</v>
      </c>
      <c r="F692" s="4" t="str">
        <f ca="1">Master_List!$AW$1</f>
        <v>PERPUSTAKAAN PUSAT</v>
      </c>
      <c r="G692" s="4" t="str">
        <f ca="1">Master_List!$AW$2</f>
        <v>09:30 PM</v>
      </c>
      <c r="H692" s="4" t="str">
        <f ca="1">Master_List!$AW$3</f>
        <v>20/07/2026</v>
      </c>
      <c r="I692" s="4" t="str">
        <f ca="1">Master_List!$AW$4</f>
        <v>28.5</v>
      </c>
      <c r="J692" s="4" t="str">
        <f ca="1">Master_List!$AW$5</f>
        <v>65</v>
      </c>
      <c r="K692" s="4" t="s">
        <v>573</v>
      </c>
      <c r="BL692" s="4" t="s">
        <v>1744</v>
      </c>
      <c r="BM692" s="4" t="s">
        <v>2100</v>
      </c>
      <c r="BN692" s="4" t="s">
        <v>1746</v>
      </c>
      <c r="BO692" s="4" t="str">
        <f t="shared" si="10"/>
        <v>C:\Users\aremi\Desktop\REPORT CBM\PO TIANU JB\03. Raw Material\40. 10052026 SSU MEDINI SIGNATURE 33KV (VI)\IR</v>
      </c>
      <c r="BP692" t="s">
        <v>1285</v>
      </c>
    </row>
    <row r="693" spans="1:68" thickBot="1" x14ac:dyDescent="0.3">
      <c r="A693" s="4">
        <v>346</v>
      </c>
      <c r="B693" s="4" t="s">
        <v>1282</v>
      </c>
      <c r="C693" s="4">
        <v>11</v>
      </c>
      <c r="D693" s="4" t="s">
        <v>1976</v>
      </c>
      <c r="E693" s="4">
        <v>2</v>
      </c>
      <c r="F693" s="4" t="str">
        <f ca="1">Master_List!$AW$1</f>
        <v>PERPUSTAKAAN PUSAT</v>
      </c>
      <c r="G693" s="4" t="str">
        <f ca="1">Master_List!$AW$2</f>
        <v>09:30 PM</v>
      </c>
      <c r="H693" s="4" t="str">
        <f ca="1">Master_List!$AW$3</f>
        <v>20/07/2026</v>
      </c>
      <c r="I693" s="4" t="str">
        <f ca="1">Master_List!$AW$4</f>
        <v>28.5</v>
      </c>
      <c r="J693" s="4" t="str">
        <f ca="1">Master_List!$AW$5</f>
        <v>65</v>
      </c>
      <c r="K693" s="4" t="s">
        <v>573</v>
      </c>
      <c r="BL693" s="4" t="s">
        <v>1744</v>
      </c>
      <c r="BM693" s="4" t="s">
        <v>2100</v>
      </c>
      <c r="BN693" s="4" t="s">
        <v>1748</v>
      </c>
      <c r="BO693" s="4" t="str">
        <f t="shared" si="10"/>
        <v>C:\Users\aremi\Desktop\REPORT CBM\PO TIANU JB\03. Raw Material\40. 10052026 SSU MEDINI SIGNATURE 33KV (VI)\IR</v>
      </c>
      <c r="BP693" t="s">
        <v>1286</v>
      </c>
    </row>
    <row r="694" spans="1:68" thickBot="1" x14ac:dyDescent="0.3">
      <c r="A694" s="4">
        <v>347</v>
      </c>
      <c r="B694" s="4" t="s">
        <v>1282</v>
      </c>
      <c r="C694" s="4">
        <v>11</v>
      </c>
      <c r="D694" s="4" t="s">
        <v>1976</v>
      </c>
      <c r="E694" s="4">
        <v>3</v>
      </c>
      <c r="F694" s="4" t="str">
        <f ca="1">Master_List!$AW$1</f>
        <v>PERPUSTAKAAN PUSAT</v>
      </c>
      <c r="G694" s="4" t="str">
        <f ca="1">Master_List!$AW$2</f>
        <v>09:30 PM</v>
      </c>
      <c r="H694" s="4" t="str">
        <f ca="1">Master_List!$AW$3</f>
        <v>20/07/2026</v>
      </c>
      <c r="I694" s="4" t="str">
        <f ca="1">Master_List!$AW$4</f>
        <v>28.5</v>
      </c>
      <c r="J694" s="4" t="str">
        <f ca="1">Master_List!$AW$5</f>
        <v>65</v>
      </c>
      <c r="K694" s="4" t="s">
        <v>576</v>
      </c>
      <c r="BL694" s="4" t="s">
        <v>1744</v>
      </c>
      <c r="BM694" s="4" t="s">
        <v>2101</v>
      </c>
      <c r="BN694" s="4" t="s">
        <v>1746</v>
      </c>
      <c r="BO694" s="4" t="str">
        <f t="shared" si="10"/>
        <v>C:\Users\aremi\Desktop\REPORT CBM\PO TIANU JB\03. Raw Material\40. 10052026 SSU MEDINI SIGNATURE 33KV (VI)\IR</v>
      </c>
      <c r="BP694" t="s">
        <v>1287</v>
      </c>
    </row>
    <row r="695" spans="1:68" thickBot="1" x14ac:dyDescent="0.3">
      <c r="A695" s="4">
        <v>347</v>
      </c>
      <c r="B695" s="4" t="s">
        <v>1282</v>
      </c>
      <c r="C695" s="4">
        <v>11</v>
      </c>
      <c r="D695" s="4" t="s">
        <v>1976</v>
      </c>
      <c r="E695" s="4">
        <v>3</v>
      </c>
      <c r="F695" s="4" t="str">
        <f ca="1">Master_List!$AW$1</f>
        <v>PERPUSTAKAAN PUSAT</v>
      </c>
      <c r="G695" s="4" t="str">
        <f ca="1">Master_List!$AW$2</f>
        <v>09:30 PM</v>
      </c>
      <c r="H695" s="4" t="str">
        <f ca="1">Master_List!$AW$3</f>
        <v>20/07/2026</v>
      </c>
      <c r="I695" s="4" t="str">
        <f ca="1">Master_List!$AW$4</f>
        <v>28.5</v>
      </c>
      <c r="J695" s="4" t="str">
        <f ca="1">Master_List!$AW$5</f>
        <v>65</v>
      </c>
      <c r="K695" s="4" t="s">
        <v>576</v>
      </c>
      <c r="BL695" s="4" t="s">
        <v>1744</v>
      </c>
      <c r="BM695" s="4" t="s">
        <v>2101</v>
      </c>
      <c r="BN695" s="4" t="s">
        <v>1748</v>
      </c>
      <c r="BO695" s="4" t="str">
        <f t="shared" si="10"/>
        <v>C:\Users\aremi\Desktop\REPORT CBM\PO TIANU JB\03. Raw Material\40. 10052026 SSU MEDINI SIGNATURE 33KV (VI)\IR</v>
      </c>
      <c r="BP695" t="s">
        <v>1288</v>
      </c>
    </row>
    <row r="696" spans="1:68" thickBot="1" x14ac:dyDescent="0.3">
      <c r="A696" s="4">
        <v>348</v>
      </c>
      <c r="B696" s="4" t="s">
        <v>1282</v>
      </c>
      <c r="C696" s="4">
        <v>11</v>
      </c>
      <c r="D696" s="4" t="s">
        <v>1976</v>
      </c>
      <c r="E696" s="4">
        <v>4</v>
      </c>
      <c r="F696" s="4" t="str">
        <f ca="1">Master_List!$AW$1</f>
        <v>PERPUSTAKAAN PUSAT</v>
      </c>
      <c r="G696" s="4" t="str">
        <f ca="1">Master_List!$AW$2</f>
        <v>09:30 PM</v>
      </c>
      <c r="H696" s="4" t="str">
        <f ca="1">Master_List!$AW$3</f>
        <v>20/07/2026</v>
      </c>
      <c r="I696" s="4" t="str">
        <f ca="1">Master_List!$AW$4</f>
        <v>28.5</v>
      </c>
      <c r="J696" s="4" t="str">
        <f ca="1">Master_List!$AW$5</f>
        <v>65</v>
      </c>
      <c r="K696" s="4" t="s">
        <v>579</v>
      </c>
      <c r="BL696" s="4" t="s">
        <v>1744</v>
      </c>
      <c r="BM696" s="4" t="s">
        <v>2102</v>
      </c>
      <c r="BN696" s="4" t="s">
        <v>1746</v>
      </c>
      <c r="BO696" s="4" t="str">
        <f t="shared" si="10"/>
        <v>C:\Users\aremi\Desktop\REPORT CBM\PO TIANU JB\03. Raw Material\40. 10052026 SSU MEDINI SIGNATURE 33KV (VI)\IR</v>
      </c>
      <c r="BP696" t="s">
        <v>1289</v>
      </c>
    </row>
    <row r="697" spans="1:68" thickBot="1" x14ac:dyDescent="0.3">
      <c r="A697" s="4">
        <v>348</v>
      </c>
      <c r="B697" s="4" t="s">
        <v>1282</v>
      </c>
      <c r="C697" s="4">
        <v>11</v>
      </c>
      <c r="D697" s="4" t="s">
        <v>1976</v>
      </c>
      <c r="E697" s="4">
        <v>4</v>
      </c>
      <c r="F697" s="4" t="str">
        <f ca="1">Master_List!$AW$1</f>
        <v>PERPUSTAKAAN PUSAT</v>
      </c>
      <c r="G697" s="4" t="str">
        <f ca="1">Master_List!$AW$2</f>
        <v>09:30 PM</v>
      </c>
      <c r="H697" s="4" t="str">
        <f ca="1">Master_List!$AW$3</f>
        <v>20/07/2026</v>
      </c>
      <c r="I697" s="4" t="str">
        <f ca="1">Master_List!$AW$4</f>
        <v>28.5</v>
      </c>
      <c r="J697" s="4" t="str">
        <f ca="1">Master_List!$AW$5</f>
        <v>65</v>
      </c>
      <c r="K697" s="4" t="s">
        <v>579</v>
      </c>
      <c r="BL697" s="4" t="s">
        <v>1744</v>
      </c>
      <c r="BM697" s="4" t="s">
        <v>2102</v>
      </c>
      <c r="BN697" s="4" t="s">
        <v>1748</v>
      </c>
      <c r="BO697" s="4" t="str">
        <f t="shared" si="10"/>
        <v>C:\Users\aremi\Desktop\REPORT CBM\PO TIANU JB\03. Raw Material\40. 10052026 SSU MEDINI SIGNATURE 33KV (VI)\IR</v>
      </c>
      <c r="BP697" t="s">
        <v>1290</v>
      </c>
    </row>
    <row r="698" spans="1:68" thickBot="1" x14ac:dyDescent="0.3">
      <c r="A698" s="4">
        <v>349</v>
      </c>
      <c r="B698" s="4" t="s">
        <v>1282</v>
      </c>
      <c r="C698" s="4">
        <v>11</v>
      </c>
      <c r="D698" s="4" t="s">
        <v>1976</v>
      </c>
      <c r="E698" s="4">
        <v>5</v>
      </c>
      <c r="F698" s="4" t="str">
        <f ca="1">Master_List!$AW$1</f>
        <v>PERPUSTAKAAN PUSAT</v>
      </c>
      <c r="G698" s="4" t="str">
        <f ca="1">Master_List!$AW$2</f>
        <v>09:30 PM</v>
      </c>
      <c r="H698" s="4" t="str">
        <f ca="1">Master_List!$AW$3</f>
        <v>20/07/2026</v>
      </c>
      <c r="I698" s="4" t="str">
        <f ca="1">Master_List!$AW$4</f>
        <v>28.5</v>
      </c>
      <c r="J698" s="4" t="str">
        <f ca="1">Master_List!$AW$5</f>
        <v>65</v>
      </c>
      <c r="K698" s="4" t="s">
        <v>582</v>
      </c>
      <c r="BL698" s="4" t="s">
        <v>1744</v>
      </c>
      <c r="BM698" s="4" t="s">
        <v>2103</v>
      </c>
      <c r="BN698" s="4" t="s">
        <v>1746</v>
      </c>
      <c r="BO698" s="4" t="str">
        <f t="shared" si="10"/>
        <v>C:\Users\aremi\Desktop\REPORT CBM\PO TIANU JB\03. Raw Material\40. 10052026 SSU MEDINI SIGNATURE 33KV (VI)\IR</v>
      </c>
      <c r="BP698" t="s">
        <v>1291</v>
      </c>
    </row>
    <row r="699" spans="1:68" thickBot="1" x14ac:dyDescent="0.3">
      <c r="A699" s="4">
        <v>349</v>
      </c>
      <c r="B699" s="4" t="s">
        <v>1282</v>
      </c>
      <c r="C699" s="4">
        <v>11</v>
      </c>
      <c r="D699" s="4" t="s">
        <v>1976</v>
      </c>
      <c r="E699" s="4">
        <v>5</v>
      </c>
      <c r="F699" s="4" t="str">
        <f ca="1">Master_List!$AW$1</f>
        <v>PERPUSTAKAAN PUSAT</v>
      </c>
      <c r="G699" s="4" t="str">
        <f ca="1">Master_List!$AW$2</f>
        <v>09:30 PM</v>
      </c>
      <c r="H699" s="4" t="str">
        <f ca="1">Master_List!$AW$3</f>
        <v>20/07/2026</v>
      </c>
      <c r="I699" s="4" t="str">
        <f ca="1">Master_List!$AW$4</f>
        <v>28.5</v>
      </c>
      <c r="J699" s="4" t="str">
        <f ca="1">Master_List!$AW$5</f>
        <v>65</v>
      </c>
      <c r="K699" s="4" t="s">
        <v>582</v>
      </c>
      <c r="BL699" s="4" t="s">
        <v>1744</v>
      </c>
      <c r="BM699" s="4" t="s">
        <v>2103</v>
      </c>
      <c r="BN699" s="4" t="s">
        <v>1748</v>
      </c>
      <c r="BO699" s="4" t="str">
        <f t="shared" si="10"/>
        <v>C:\Users\aremi\Desktop\REPORT CBM\PO TIANU JB\03. Raw Material\40. 10052026 SSU MEDINI SIGNATURE 33KV (VI)\IR</v>
      </c>
      <c r="BP699" t="s">
        <v>1292</v>
      </c>
    </row>
    <row r="700" spans="1:68" thickBot="1" x14ac:dyDescent="0.3">
      <c r="A700" s="4">
        <v>350</v>
      </c>
      <c r="B700" s="4" t="s">
        <v>1282</v>
      </c>
      <c r="C700" s="4">
        <v>11</v>
      </c>
      <c r="D700" s="4" t="s">
        <v>1976</v>
      </c>
      <c r="E700" s="4">
        <v>6</v>
      </c>
      <c r="F700" s="4" t="str">
        <f ca="1">Master_List!$AW$1</f>
        <v>PERPUSTAKAAN PUSAT</v>
      </c>
      <c r="G700" s="4" t="str">
        <f ca="1">Master_List!$AW$2</f>
        <v>09:30 PM</v>
      </c>
      <c r="H700" s="4" t="str">
        <f ca="1">Master_List!$AW$3</f>
        <v>20/07/2026</v>
      </c>
      <c r="I700" s="4" t="str">
        <f ca="1">Master_List!$AW$4</f>
        <v>28.5</v>
      </c>
      <c r="J700" s="4" t="str">
        <f ca="1">Master_List!$AW$5</f>
        <v>65</v>
      </c>
      <c r="K700" s="4" t="s">
        <v>585</v>
      </c>
      <c r="BL700" s="4" t="s">
        <v>1744</v>
      </c>
      <c r="BM700" s="4" t="s">
        <v>2104</v>
      </c>
      <c r="BN700" s="4" t="s">
        <v>1746</v>
      </c>
      <c r="BO700" s="4" t="str">
        <f t="shared" si="10"/>
        <v>C:\Users\aremi\Desktop\REPORT CBM\PO TIANU JB\03. Raw Material\40. 10052026 SSU MEDINI SIGNATURE 33KV (VI)\IR</v>
      </c>
      <c r="BP700" t="s">
        <v>1293</v>
      </c>
    </row>
    <row r="701" spans="1:68" thickBot="1" x14ac:dyDescent="0.3">
      <c r="A701" s="4">
        <v>350</v>
      </c>
      <c r="B701" s="4" t="s">
        <v>1282</v>
      </c>
      <c r="C701" s="4">
        <v>11</v>
      </c>
      <c r="D701" s="4" t="s">
        <v>1976</v>
      </c>
      <c r="E701" s="4">
        <v>6</v>
      </c>
      <c r="F701" s="4" t="str">
        <f ca="1">Master_List!$AW$1</f>
        <v>PERPUSTAKAAN PUSAT</v>
      </c>
      <c r="G701" s="4" t="str">
        <f ca="1">Master_List!$AW$2</f>
        <v>09:30 PM</v>
      </c>
      <c r="H701" s="4" t="str">
        <f ca="1">Master_List!$AW$3</f>
        <v>20/07/2026</v>
      </c>
      <c r="I701" s="4" t="str">
        <f ca="1">Master_List!$AW$4</f>
        <v>28.5</v>
      </c>
      <c r="J701" s="4" t="str">
        <f ca="1">Master_List!$AW$5</f>
        <v>65</v>
      </c>
      <c r="K701" s="4" t="s">
        <v>585</v>
      </c>
      <c r="BL701" s="4" t="s">
        <v>1744</v>
      </c>
      <c r="BM701" s="4" t="s">
        <v>2104</v>
      </c>
      <c r="BN701" s="4" t="s">
        <v>1748</v>
      </c>
      <c r="BO701" s="4" t="str">
        <f t="shared" si="10"/>
        <v>C:\Users\aremi\Desktop\REPORT CBM\PO TIANU JB\03. Raw Material\40. 10052026 SSU MEDINI SIGNATURE 33KV (VI)\IR</v>
      </c>
      <c r="BP701" t="s">
        <v>1294</v>
      </c>
    </row>
    <row r="702" spans="1:68" thickBot="1" x14ac:dyDescent="0.3">
      <c r="A702" s="4">
        <v>351</v>
      </c>
      <c r="B702" s="4" t="s">
        <v>1282</v>
      </c>
      <c r="C702" s="4">
        <v>11</v>
      </c>
      <c r="D702" s="4" t="s">
        <v>1983</v>
      </c>
      <c r="E702" s="4">
        <v>7</v>
      </c>
      <c r="F702" s="4" t="str">
        <f ca="1">Master_List!$AW$1</f>
        <v>PERPUSTAKAAN PUSAT</v>
      </c>
      <c r="G702" s="4" t="str">
        <f ca="1">Master_List!$AW$2</f>
        <v>09:30 PM</v>
      </c>
      <c r="H702" s="4" t="str">
        <f ca="1">Master_List!$AW$3</f>
        <v>20/07/2026</v>
      </c>
      <c r="I702" s="4" t="str">
        <f ca="1">Master_List!$AW$4</f>
        <v>28.5</v>
      </c>
      <c r="J702" s="4" t="str">
        <f ca="1">Master_List!$AW$5</f>
        <v>65</v>
      </c>
      <c r="K702" s="4" t="s">
        <v>588</v>
      </c>
      <c r="BL702" s="4" t="s">
        <v>1744</v>
      </c>
      <c r="BM702" s="4" t="s">
        <v>2105</v>
      </c>
      <c r="BN702" s="4" t="s">
        <v>1746</v>
      </c>
      <c r="BO702" s="4" t="str">
        <f t="shared" si="10"/>
        <v>C:\Users\aremi\Desktop\REPORT CBM\PO TIANU JB\03. Raw Material\40. 10052026 SSU MEDINI SIGNATURE 33KV (VI)\IR</v>
      </c>
      <c r="BP702" t="s">
        <v>1295</v>
      </c>
    </row>
    <row r="703" spans="1:68" thickBot="1" x14ac:dyDescent="0.3">
      <c r="A703" s="4">
        <v>351</v>
      </c>
      <c r="B703" s="4" t="s">
        <v>1282</v>
      </c>
      <c r="C703" s="4">
        <v>11</v>
      </c>
      <c r="D703" s="4" t="s">
        <v>1983</v>
      </c>
      <c r="E703" s="4">
        <v>7</v>
      </c>
      <c r="F703" s="4" t="str">
        <f ca="1">Master_List!$AW$1</f>
        <v>PERPUSTAKAAN PUSAT</v>
      </c>
      <c r="G703" s="4" t="str">
        <f ca="1">Master_List!$AW$2</f>
        <v>09:30 PM</v>
      </c>
      <c r="H703" s="4" t="str">
        <f ca="1">Master_List!$AW$3</f>
        <v>20/07/2026</v>
      </c>
      <c r="I703" s="4" t="str">
        <f ca="1">Master_List!$AW$4</f>
        <v>28.5</v>
      </c>
      <c r="J703" s="4" t="str">
        <f ca="1">Master_List!$AW$5</f>
        <v>65</v>
      </c>
      <c r="K703" s="4" t="s">
        <v>588</v>
      </c>
      <c r="BL703" s="4" t="s">
        <v>1744</v>
      </c>
      <c r="BM703" s="4" t="s">
        <v>2105</v>
      </c>
      <c r="BN703" s="4" t="s">
        <v>1748</v>
      </c>
      <c r="BO703" s="4" t="str">
        <f t="shared" si="10"/>
        <v>C:\Users\aremi\Desktop\REPORT CBM\PO TIANU JB\03. Raw Material\40. 10052026 SSU MEDINI SIGNATURE 33KV (VI)\IR</v>
      </c>
      <c r="BP703" t="s">
        <v>1296</v>
      </c>
    </row>
    <row r="704" spans="1:68" thickBot="1" x14ac:dyDescent="0.3">
      <c r="A704" s="4">
        <v>352</v>
      </c>
      <c r="B704" s="4" t="s">
        <v>1282</v>
      </c>
      <c r="C704" s="4">
        <v>11</v>
      </c>
      <c r="D704" s="4" t="s">
        <v>1985</v>
      </c>
      <c r="E704" s="4">
        <v>8</v>
      </c>
      <c r="F704" s="4" t="str">
        <f ca="1">Master_List!$AW$1</f>
        <v>PERPUSTAKAAN PUSAT</v>
      </c>
      <c r="G704" s="4" t="str">
        <f ca="1">Master_List!$AW$2</f>
        <v>09:30 PM</v>
      </c>
      <c r="H704" s="4" t="str">
        <f ca="1">Master_List!$AW$3</f>
        <v>20/07/2026</v>
      </c>
      <c r="I704" s="4" t="str">
        <f ca="1">Master_List!$AW$4</f>
        <v>28.5</v>
      </c>
      <c r="J704" s="4" t="str">
        <f ca="1">Master_List!$AW$5</f>
        <v>65</v>
      </c>
      <c r="K704" s="4" t="s">
        <v>591</v>
      </c>
      <c r="BL704" s="4" t="s">
        <v>1744</v>
      </c>
      <c r="BM704" s="4" t="s">
        <v>2106</v>
      </c>
      <c r="BN704" s="4" t="s">
        <v>1746</v>
      </c>
      <c r="BO704" s="4" t="str">
        <f t="shared" si="10"/>
        <v>C:\Users\aremi\Desktop\REPORT CBM\PO TIANU JB\03. Raw Material\40. 10052026 SSU MEDINI SIGNATURE 33KV (VI)\IR</v>
      </c>
      <c r="BP704" t="s">
        <v>1297</v>
      </c>
    </row>
    <row r="705" spans="1:68" thickBot="1" x14ac:dyDescent="0.3">
      <c r="A705" s="4">
        <v>352</v>
      </c>
      <c r="B705" s="4" t="s">
        <v>1282</v>
      </c>
      <c r="C705" s="4">
        <v>11</v>
      </c>
      <c r="D705" s="4" t="s">
        <v>1985</v>
      </c>
      <c r="E705" s="4">
        <v>8</v>
      </c>
      <c r="F705" s="4" t="str">
        <f ca="1">Master_List!$AW$1</f>
        <v>PERPUSTAKAAN PUSAT</v>
      </c>
      <c r="G705" s="4" t="str">
        <f ca="1">Master_List!$AW$2</f>
        <v>09:30 PM</v>
      </c>
      <c r="H705" s="4" t="str">
        <f ca="1">Master_List!$AW$3</f>
        <v>20/07/2026</v>
      </c>
      <c r="I705" s="4" t="str">
        <f ca="1">Master_List!$AW$4</f>
        <v>28.5</v>
      </c>
      <c r="J705" s="4" t="str">
        <f ca="1">Master_List!$AW$5</f>
        <v>65</v>
      </c>
      <c r="K705" s="4" t="s">
        <v>591</v>
      </c>
      <c r="BL705" s="4" t="s">
        <v>1744</v>
      </c>
      <c r="BM705" s="4" t="s">
        <v>2106</v>
      </c>
      <c r="BN705" s="4" t="s">
        <v>1748</v>
      </c>
      <c r="BO705" s="4" t="str">
        <f t="shared" si="10"/>
        <v>C:\Users\aremi\Desktop\REPORT CBM\PO TIANU JB\03. Raw Material\40. 10052026 SSU MEDINI SIGNATURE 33KV (VI)\IR</v>
      </c>
      <c r="BP705" t="s">
        <v>1298</v>
      </c>
    </row>
    <row r="706" spans="1:68" thickBot="1" x14ac:dyDescent="0.3">
      <c r="A706" s="4">
        <v>353</v>
      </c>
      <c r="B706" s="4" t="s">
        <v>1299</v>
      </c>
      <c r="C706" s="4">
        <v>11</v>
      </c>
      <c r="D706" s="4" t="s">
        <v>1976</v>
      </c>
      <c r="E706" s="4">
        <v>1</v>
      </c>
      <c r="F706" s="4" t="str">
        <f ca="1">Master_List!$AW$1</f>
        <v>PERPUSTAKAAN PUSAT</v>
      </c>
      <c r="G706" s="4" t="str">
        <f ca="1">Master_List!$AW$2</f>
        <v>09:30 PM</v>
      </c>
      <c r="H706" s="4" t="str">
        <f ca="1">Master_List!$AW$3</f>
        <v>20/07/2026</v>
      </c>
      <c r="I706" s="4" t="str">
        <f ca="1">Master_List!$AW$4</f>
        <v>28.5</v>
      </c>
      <c r="J706" s="4" t="str">
        <f ca="1">Master_List!$AW$5</f>
        <v>65</v>
      </c>
      <c r="K706" s="4" t="s">
        <v>570</v>
      </c>
      <c r="BL706" s="4" t="s">
        <v>1744</v>
      </c>
      <c r="BM706" s="4" t="s">
        <v>2107</v>
      </c>
      <c r="BN706" s="4" t="s">
        <v>1746</v>
      </c>
      <c r="BO706" s="4" t="str">
        <f t="shared" si="10"/>
        <v>C:\Users\aremi\Desktop\REPORT CBM\PO TIANU JB\03. Raw Material\40. 10052026 SSU MEDINI SIGNATURE 33KV (VI)\IR</v>
      </c>
      <c r="BP706" t="s">
        <v>1300</v>
      </c>
    </row>
    <row r="707" spans="1:68" thickBot="1" x14ac:dyDescent="0.3">
      <c r="A707" s="4">
        <v>353</v>
      </c>
      <c r="B707" s="4" t="s">
        <v>1299</v>
      </c>
      <c r="C707" s="4">
        <v>11</v>
      </c>
      <c r="D707" s="4" t="s">
        <v>1976</v>
      </c>
      <c r="E707" s="4">
        <v>1</v>
      </c>
      <c r="F707" s="4" t="str">
        <f ca="1">Master_List!$AW$1</f>
        <v>PERPUSTAKAAN PUSAT</v>
      </c>
      <c r="G707" s="4" t="str">
        <f ca="1">Master_List!$AW$2</f>
        <v>09:30 PM</v>
      </c>
      <c r="H707" s="4" t="str">
        <f ca="1">Master_List!$AW$3</f>
        <v>20/07/2026</v>
      </c>
      <c r="I707" s="4" t="str">
        <f ca="1">Master_List!$AW$4</f>
        <v>28.5</v>
      </c>
      <c r="J707" s="4" t="str">
        <f ca="1">Master_List!$AW$5</f>
        <v>65</v>
      </c>
      <c r="K707" s="4" t="s">
        <v>570</v>
      </c>
      <c r="BL707" s="4" t="s">
        <v>1744</v>
      </c>
      <c r="BM707" s="4" t="s">
        <v>2107</v>
      </c>
      <c r="BN707" s="4" t="s">
        <v>1748</v>
      </c>
      <c r="BO707" s="4" t="str">
        <f t="shared" ref="BO707:BO770" si="11">BO706</f>
        <v>C:\Users\aremi\Desktop\REPORT CBM\PO TIANU JB\03. Raw Material\40. 10052026 SSU MEDINI SIGNATURE 33KV (VI)\IR</v>
      </c>
      <c r="BP707" t="s">
        <v>1301</v>
      </c>
    </row>
    <row r="708" spans="1:68" thickBot="1" x14ac:dyDescent="0.3">
      <c r="A708" s="4">
        <v>354</v>
      </c>
      <c r="B708" s="4" t="s">
        <v>1299</v>
      </c>
      <c r="C708" s="4">
        <v>11</v>
      </c>
      <c r="D708" s="4" t="s">
        <v>1976</v>
      </c>
      <c r="E708" s="4">
        <v>2</v>
      </c>
      <c r="F708" s="4" t="str">
        <f ca="1">Master_List!$AW$1</f>
        <v>PERPUSTAKAAN PUSAT</v>
      </c>
      <c r="G708" s="4" t="str">
        <f ca="1">Master_List!$AW$2</f>
        <v>09:30 PM</v>
      </c>
      <c r="H708" s="4" t="str">
        <f ca="1">Master_List!$AW$3</f>
        <v>20/07/2026</v>
      </c>
      <c r="I708" s="4" t="str">
        <f ca="1">Master_List!$AW$4</f>
        <v>28.5</v>
      </c>
      <c r="J708" s="4" t="str">
        <f ca="1">Master_List!$AW$5</f>
        <v>65</v>
      </c>
      <c r="K708" s="4" t="s">
        <v>573</v>
      </c>
      <c r="BL708" s="4" t="s">
        <v>1744</v>
      </c>
      <c r="BM708" s="4" t="s">
        <v>2108</v>
      </c>
      <c r="BN708" s="4" t="s">
        <v>1746</v>
      </c>
      <c r="BO708" s="4" t="str">
        <f t="shared" si="11"/>
        <v>C:\Users\aremi\Desktop\REPORT CBM\PO TIANU JB\03. Raw Material\40. 10052026 SSU MEDINI SIGNATURE 33KV (VI)\IR</v>
      </c>
      <c r="BP708" t="s">
        <v>1302</v>
      </c>
    </row>
    <row r="709" spans="1:68" thickBot="1" x14ac:dyDescent="0.3">
      <c r="A709" s="4">
        <v>354</v>
      </c>
      <c r="B709" s="4" t="s">
        <v>1299</v>
      </c>
      <c r="C709" s="4">
        <v>11</v>
      </c>
      <c r="D709" s="4" t="s">
        <v>1976</v>
      </c>
      <c r="E709" s="4">
        <v>2</v>
      </c>
      <c r="F709" s="4" t="str">
        <f ca="1">Master_List!$AW$1</f>
        <v>PERPUSTAKAAN PUSAT</v>
      </c>
      <c r="G709" s="4" t="str">
        <f ca="1">Master_List!$AW$2</f>
        <v>09:30 PM</v>
      </c>
      <c r="H709" s="4" t="str">
        <f ca="1">Master_List!$AW$3</f>
        <v>20/07/2026</v>
      </c>
      <c r="I709" s="4" t="str">
        <f ca="1">Master_List!$AW$4</f>
        <v>28.5</v>
      </c>
      <c r="J709" s="4" t="str">
        <f ca="1">Master_List!$AW$5</f>
        <v>65</v>
      </c>
      <c r="K709" s="4" t="s">
        <v>573</v>
      </c>
      <c r="BL709" s="4" t="s">
        <v>1744</v>
      </c>
      <c r="BM709" s="4" t="s">
        <v>2108</v>
      </c>
      <c r="BN709" s="4" t="s">
        <v>1748</v>
      </c>
      <c r="BO709" s="4" t="str">
        <f t="shared" si="11"/>
        <v>C:\Users\aremi\Desktop\REPORT CBM\PO TIANU JB\03. Raw Material\40. 10052026 SSU MEDINI SIGNATURE 33KV (VI)\IR</v>
      </c>
      <c r="BP709" t="s">
        <v>1303</v>
      </c>
    </row>
    <row r="710" spans="1:68" thickBot="1" x14ac:dyDescent="0.3">
      <c r="A710" s="4">
        <v>355</v>
      </c>
      <c r="B710" s="4" t="s">
        <v>1299</v>
      </c>
      <c r="C710" s="4">
        <v>11</v>
      </c>
      <c r="D710" s="4" t="s">
        <v>1976</v>
      </c>
      <c r="E710" s="4">
        <v>3</v>
      </c>
      <c r="F710" s="4" t="str">
        <f ca="1">Master_List!$AW$1</f>
        <v>PERPUSTAKAAN PUSAT</v>
      </c>
      <c r="G710" s="4" t="str">
        <f ca="1">Master_List!$AW$2</f>
        <v>09:30 PM</v>
      </c>
      <c r="H710" s="4" t="str">
        <f ca="1">Master_List!$AW$3</f>
        <v>20/07/2026</v>
      </c>
      <c r="I710" s="4" t="str">
        <f ca="1">Master_List!$AW$4</f>
        <v>28.5</v>
      </c>
      <c r="J710" s="4" t="str">
        <f ca="1">Master_List!$AW$5</f>
        <v>65</v>
      </c>
      <c r="K710" s="4" t="s">
        <v>576</v>
      </c>
      <c r="BL710" s="4" t="s">
        <v>1744</v>
      </c>
      <c r="BM710" s="4" t="s">
        <v>2109</v>
      </c>
      <c r="BN710" s="4" t="s">
        <v>1746</v>
      </c>
      <c r="BO710" s="4" t="str">
        <f t="shared" si="11"/>
        <v>C:\Users\aremi\Desktop\REPORT CBM\PO TIANU JB\03. Raw Material\40. 10052026 SSU MEDINI SIGNATURE 33KV (VI)\IR</v>
      </c>
      <c r="BP710" t="s">
        <v>1304</v>
      </c>
    </row>
    <row r="711" spans="1:68" thickBot="1" x14ac:dyDescent="0.3">
      <c r="A711" s="4">
        <v>355</v>
      </c>
      <c r="B711" s="4" t="s">
        <v>1299</v>
      </c>
      <c r="C711" s="4">
        <v>11</v>
      </c>
      <c r="D711" s="4" t="s">
        <v>1976</v>
      </c>
      <c r="E711" s="4">
        <v>3</v>
      </c>
      <c r="F711" s="4" t="str">
        <f ca="1">Master_List!$AW$1</f>
        <v>PERPUSTAKAAN PUSAT</v>
      </c>
      <c r="G711" s="4" t="str">
        <f ca="1">Master_List!$AW$2</f>
        <v>09:30 PM</v>
      </c>
      <c r="H711" s="4" t="str">
        <f ca="1">Master_List!$AW$3</f>
        <v>20/07/2026</v>
      </c>
      <c r="I711" s="4" t="str">
        <f ca="1">Master_List!$AW$4</f>
        <v>28.5</v>
      </c>
      <c r="J711" s="4" t="str">
        <f ca="1">Master_List!$AW$5</f>
        <v>65</v>
      </c>
      <c r="K711" s="4" t="s">
        <v>576</v>
      </c>
      <c r="BL711" s="4" t="s">
        <v>1744</v>
      </c>
      <c r="BM711" s="4" t="s">
        <v>2109</v>
      </c>
      <c r="BN711" s="4" t="s">
        <v>1748</v>
      </c>
      <c r="BO711" s="4" t="str">
        <f t="shared" si="11"/>
        <v>C:\Users\aremi\Desktop\REPORT CBM\PO TIANU JB\03. Raw Material\40. 10052026 SSU MEDINI SIGNATURE 33KV (VI)\IR</v>
      </c>
      <c r="BP711" t="s">
        <v>1305</v>
      </c>
    </row>
    <row r="712" spans="1:68" thickBot="1" x14ac:dyDescent="0.3">
      <c r="A712" s="4">
        <v>356</v>
      </c>
      <c r="B712" s="4" t="s">
        <v>1299</v>
      </c>
      <c r="C712" s="4">
        <v>11</v>
      </c>
      <c r="D712" s="4" t="s">
        <v>1976</v>
      </c>
      <c r="E712" s="4">
        <v>4</v>
      </c>
      <c r="F712" s="4" t="str">
        <f ca="1">Master_List!$AW$1</f>
        <v>PERPUSTAKAAN PUSAT</v>
      </c>
      <c r="G712" s="4" t="str">
        <f ca="1">Master_List!$AW$2</f>
        <v>09:30 PM</v>
      </c>
      <c r="H712" s="4" t="str">
        <f ca="1">Master_List!$AW$3</f>
        <v>20/07/2026</v>
      </c>
      <c r="I712" s="4" t="str">
        <f ca="1">Master_List!$AW$4</f>
        <v>28.5</v>
      </c>
      <c r="J712" s="4" t="str">
        <f ca="1">Master_List!$AW$5</f>
        <v>65</v>
      </c>
      <c r="K712" s="4" t="s">
        <v>579</v>
      </c>
      <c r="BL712" s="4" t="s">
        <v>1744</v>
      </c>
      <c r="BM712" s="4" t="s">
        <v>2110</v>
      </c>
      <c r="BN712" s="4" t="s">
        <v>1746</v>
      </c>
      <c r="BO712" s="4" t="str">
        <f t="shared" si="11"/>
        <v>C:\Users\aremi\Desktop\REPORT CBM\PO TIANU JB\03. Raw Material\40. 10052026 SSU MEDINI SIGNATURE 33KV (VI)\IR</v>
      </c>
      <c r="BP712" t="s">
        <v>1306</v>
      </c>
    </row>
    <row r="713" spans="1:68" thickBot="1" x14ac:dyDescent="0.3">
      <c r="A713" s="4">
        <v>356</v>
      </c>
      <c r="B713" s="4" t="s">
        <v>1299</v>
      </c>
      <c r="C713" s="4">
        <v>11</v>
      </c>
      <c r="D713" s="4" t="s">
        <v>1976</v>
      </c>
      <c r="E713" s="4">
        <v>4</v>
      </c>
      <c r="F713" s="4" t="str">
        <f ca="1">Master_List!$AW$1</f>
        <v>PERPUSTAKAAN PUSAT</v>
      </c>
      <c r="G713" s="4" t="str">
        <f ca="1">Master_List!$AW$2</f>
        <v>09:30 PM</v>
      </c>
      <c r="H713" s="4" t="str">
        <f ca="1">Master_List!$AW$3</f>
        <v>20/07/2026</v>
      </c>
      <c r="I713" s="4" t="str">
        <f ca="1">Master_List!$AW$4</f>
        <v>28.5</v>
      </c>
      <c r="J713" s="4" t="str">
        <f ca="1">Master_List!$AW$5</f>
        <v>65</v>
      </c>
      <c r="K713" s="4" t="s">
        <v>579</v>
      </c>
      <c r="BL713" s="4" t="s">
        <v>1744</v>
      </c>
      <c r="BM713" s="4" t="s">
        <v>2110</v>
      </c>
      <c r="BN713" s="4" t="s">
        <v>1748</v>
      </c>
      <c r="BO713" s="4" t="str">
        <f t="shared" si="11"/>
        <v>C:\Users\aremi\Desktop\REPORT CBM\PO TIANU JB\03. Raw Material\40. 10052026 SSU MEDINI SIGNATURE 33KV (VI)\IR</v>
      </c>
      <c r="BP713" t="s">
        <v>1307</v>
      </c>
    </row>
    <row r="714" spans="1:68" thickBot="1" x14ac:dyDescent="0.3">
      <c r="A714" s="4">
        <v>357</v>
      </c>
      <c r="B714" s="4" t="s">
        <v>1299</v>
      </c>
      <c r="C714" s="4">
        <v>11</v>
      </c>
      <c r="D714" s="4" t="s">
        <v>1976</v>
      </c>
      <c r="E714" s="4">
        <v>5</v>
      </c>
      <c r="F714" s="4" t="str">
        <f ca="1">Master_List!$AW$1</f>
        <v>PERPUSTAKAAN PUSAT</v>
      </c>
      <c r="G714" s="4" t="str">
        <f ca="1">Master_List!$AW$2</f>
        <v>09:30 PM</v>
      </c>
      <c r="H714" s="4" t="str">
        <f ca="1">Master_List!$AW$3</f>
        <v>20/07/2026</v>
      </c>
      <c r="I714" s="4" t="str">
        <f ca="1">Master_List!$AW$4</f>
        <v>28.5</v>
      </c>
      <c r="J714" s="4" t="str">
        <f ca="1">Master_List!$AW$5</f>
        <v>65</v>
      </c>
      <c r="K714" s="4" t="s">
        <v>582</v>
      </c>
      <c r="BL714" s="4" t="s">
        <v>1744</v>
      </c>
      <c r="BM714" s="4" t="s">
        <v>2111</v>
      </c>
      <c r="BN714" s="4" t="s">
        <v>1746</v>
      </c>
      <c r="BO714" s="4" t="str">
        <f t="shared" si="11"/>
        <v>C:\Users\aremi\Desktop\REPORT CBM\PO TIANU JB\03. Raw Material\40. 10052026 SSU MEDINI SIGNATURE 33KV (VI)\IR</v>
      </c>
      <c r="BP714" t="s">
        <v>1308</v>
      </c>
    </row>
    <row r="715" spans="1:68" thickBot="1" x14ac:dyDescent="0.3">
      <c r="A715" s="4">
        <v>357</v>
      </c>
      <c r="B715" s="4" t="s">
        <v>1299</v>
      </c>
      <c r="C715" s="4">
        <v>11</v>
      </c>
      <c r="D715" s="4" t="s">
        <v>1976</v>
      </c>
      <c r="E715" s="4">
        <v>5</v>
      </c>
      <c r="F715" s="4" t="str">
        <f ca="1">Master_List!$AW$1</f>
        <v>PERPUSTAKAAN PUSAT</v>
      </c>
      <c r="G715" s="4" t="str">
        <f ca="1">Master_List!$AW$2</f>
        <v>09:30 PM</v>
      </c>
      <c r="H715" s="4" t="str">
        <f ca="1">Master_List!$AW$3</f>
        <v>20/07/2026</v>
      </c>
      <c r="I715" s="4" t="str">
        <f ca="1">Master_List!$AW$4</f>
        <v>28.5</v>
      </c>
      <c r="J715" s="4" t="str">
        <f ca="1">Master_List!$AW$5</f>
        <v>65</v>
      </c>
      <c r="K715" s="4" t="s">
        <v>582</v>
      </c>
      <c r="BL715" s="4" t="s">
        <v>1744</v>
      </c>
      <c r="BM715" s="4" t="s">
        <v>2111</v>
      </c>
      <c r="BN715" s="4" t="s">
        <v>1748</v>
      </c>
      <c r="BO715" s="4" t="str">
        <f t="shared" si="11"/>
        <v>C:\Users\aremi\Desktop\REPORT CBM\PO TIANU JB\03. Raw Material\40. 10052026 SSU MEDINI SIGNATURE 33KV (VI)\IR</v>
      </c>
      <c r="BP715" t="s">
        <v>1309</v>
      </c>
    </row>
    <row r="716" spans="1:68" thickBot="1" x14ac:dyDescent="0.3">
      <c r="A716" s="4">
        <v>358</v>
      </c>
      <c r="B716" s="4" t="s">
        <v>1299</v>
      </c>
      <c r="C716" s="4">
        <v>11</v>
      </c>
      <c r="D716" s="4" t="s">
        <v>1976</v>
      </c>
      <c r="E716" s="4">
        <v>6</v>
      </c>
      <c r="F716" s="4" t="str">
        <f ca="1">Master_List!$AW$1</f>
        <v>PERPUSTAKAAN PUSAT</v>
      </c>
      <c r="G716" s="4" t="str">
        <f ca="1">Master_List!$AW$2</f>
        <v>09:30 PM</v>
      </c>
      <c r="H716" s="4" t="str">
        <f ca="1">Master_List!$AW$3</f>
        <v>20/07/2026</v>
      </c>
      <c r="I716" s="4" t="str">
        <f ca="1">Master_List!$AW$4</f>
        <v>28.5</v>
      </c>
      <c r="J716" s="4" t="str">
        <f ca="1">Master_List!$AW$5</f>
        <v>65</v>
      </c>
      <c r="K716" s="4" t="s">
        <v>585</v>
      </c>
      <c r="BL716" s="4" t="s">
        <v>1744</v>
      </c>
      <c r="BM716" s="4" t="s">
        <v>2112</v>
      </c>
      <c r="BN716" s="4" t="s">
        <v>1746</v>
      </c>
      <c r="BO716" s="4" t="str">
        <f t="shared" si="11"/>
        <v>C:\Users\aremi\Desktop\REPORT CBM\PO TIANU JB\03. Raw Material\40. 10052026 SSU MEDINI SIGNATURE 33KV (VI)\IR</v>
      </c>
      <c r="BP716" t="s">
        <v>1310</v>
      </c>
    </row>
    <row r="717" spans="1:68" thickBot="1" x14ac:dyDescent="0.3">
      <c r="A717" s="4">
        <v>358</v>
      </c>
      <c r="B717" s="4" t="s">
        <v>1299</v>
      </c>
      <c r="C717" s="4">
        <v>11</v>
      </c>
      <c r="D717" s="4" t="s">
        <v>1976</v>
      </c>
      <c r="E717" s="4">
        <v>6</v>
      </c>
      <c r="F717" s="4" t="str">
        <f ca="1">Master_List!$AW$1</f>
        <v>PERPUSTAKAAN PUSAT</v>
      </c>
      <c r="G717" s="4" t="str">
        <f ca="1">Master_List!$AW$2</f>
        <v>09:30 PM</v>
      </c>
      <c r="H717" s="4" t="str">
        <f ca="1">Master_List!$AW$3</f>
        <v>20/07/2026</v>
      </c>
      <c r="I717" s="4" t="str">
        <f ca="1">Master_List!$AW$4</f>
        <v>28.5</v>
      </c>
      <c r="J717" s="4" t="str">
        <f ca="1">Master_List!$AW$5</f>
        <v>65</v>
      </c>
      <c r="K717" s="4" t="s">
        <v>585</v>
      </c>
      <c r="BL717" s="4" t="s">
        <v>1744</v>
      </c>
      <c r="BM717" s="4" t="s">
        <v>2112</v>
      </c>
      <c r="BN717" s="4" t="s">
        <v>1748</v>
      </c>
      <c r="BO717" s="4" t="str">
        <f t="shared" si="11"/>
        <v>C:\Users\aremi\Desktop\REPORT CBM\PO TIANU JB\03. Raw Material\40. 10052026 SSU MEDINI SIGNATURE 33KV (VI)\IR</v>
      </c>
      <c r="BP717" t="s">
        <v>1311</v>
      </c>
    </row>
    <row r="718" spans="1:68" thickBot="1" x14ac:dyDescent="0.3">
      <c r="A718" s="4">
        <v>359</v>
      </c>
      <c r="B718" s="4" t="s">
        <v>1299</v>
      </c>
      <c r="C718" s="4">
        <v>11</v>
      </c>
      <c r="D718" s="4" t="s">
        <v>1983</v>
      </c>
      <c r="E718" s="4">
        <v>7</v>
      </c>
      <c r="F718" s="4" t="str">
        <f ca="1">Master_List!$AW$1</f>
        <v>PERPUSTAKAAN PUSAT</v>
      </c>
      <c r="G718" s="4" t="str">
        <f ca="1">Master_List!$AW$2</f>
        <v>09:30 PM</v>
      </c>
      <c r="H718" s="4" t="str">
        <f ca="1">Master_List!$AW$3</f>
        <v>20/07/2026</v>
      </c>
      <c r="I718" s="4" t="str">
        <f ca="1">Master_List!$AW$4</f>
        <v>28.5</v>
      </c>
      <c r="J718" s="4" t="str">
        <f ca="1">Master_List!$AW$5</f>
        <v>65</v>
      </c>
      <c r="K718" s="4" t="s">
        <v>588</v>
      </c>
      <c r="BL718" s="4" t="s">
        <v>1744</v>
      </c>
      <c r="BM718" s="4" t="s">
        <v>2113</v>
      </c>
      <c r="BN718" s="4" t="s">
        <v>1746</v>
      </c>
      <c r="BO718" s="4" t="str">
        <f t="shared" si="11"/>
        <v>C:\Users\aremi\Desktop\REPORT CBM\PO TIANU JB\03. Raw Material\40. 10052026 SSU MEDINI SIGNATURE 33KV (VI)\IR</v>
      </c>
      <c r="BP718" t="s">
        <v>1312</v>
      </c>
    </row>
    <row r="719" spans="1:68" thickBot="1" x14ac:dyDescent="0.3">
      <c r="A719" s="4">
        <v>359</v>
      </c>
      <c r="B719" s="4" t="s">
        <v>1299</v>
      </c>
      <c r="C719" s="4">
        <v>11</v>
      </c>
      <c r="D719" s="4" t="s">
        <v>1983</v>
      </c>
      <c r="E719" s="4">
        <v>7</v>
      </c>
      <c r="F719" s="4" t="str">
        <f ca="1">Master_List!$AW$1</f>
        <v>PERPUSTAKAAN PUSAT</v>
      </c>
      <c r="G719" s="4" t="str">
        <f ca="1">Master_List!$AW$2</f>
        <v>09:30 PM</v>
      </c>
      <c r="H719" s="4" t="str">
        <f ca="1">Master_List!$AW$3</f>
        <v>20/07/2026</v>
      </c>
      <c r="I719" s="4" t="str">
        <f ca="1">Master_List!$AW$4</f>
        <v>28.5</v>
      </c>
      <c r="J719" s="4" t="str">
        <f ca="1">Master_List!$AW$5</f>
        <v>65</v>
      </c>
      <c r="K719" s="4" t="s">
        <v>588</v>
      </c>
      <c r="BL719" s="4" t="s">
        <v>1744</v>
      </c>
      <c r="BM719" s="4" t="s">
        <v>2113</v>
      </c>
      <c r="BN719" s="4" t="s">
        <v>1748</v>
      </c>
      <c r="BO719" s="4" t="str">
        <f t="shared" si="11"/>
        <v>C:\Users\aremi\Desktop\REPORT CBM\PO TIANU JB\03. Raw Material\40. 10052026 SSU MEDINI SIGNATURE 33KV (VI)\IR</v>
      </c>
      <c r="BP719" t="s">
        <v>1313</v>
      </c>
    </row>
    <row r="720" spans="1:68" thickBot="1" x14ac:dyDescent="0.3">
      <c r="A720" s="4">
        <v>360</v>
      </c>
      <c r="B720" s="4" t="s">
        <v>1299</v>
      </c>
      <c r="C720" s="4">
        <v>11</v>
      </c>
      <c r="D720" s="4" t="s">
        <v>1985</v>
      </c>
      <c r="E720" s="4">
        <v>8</v>
      </c>
      <c r="F720" s="4" t="str">
        <f ca="1">Master_List!$AW$1</f>
        <v>PERPUSTAKAAN PUSAT</v>
      </c>
      <c r="G720" s="4" t="str">
        <f ca="1">Master_List!$AW$2</f>
        <v>09:30 PM</v>
      </c>
      <c r="H720" s="4" t="str">
        <f ca="1">Master_List!$AW$3</f>
        <v>20/07/2026</v>
      </c>
      <c r="I720" s="4" t="str">
        <f ca="1">Master_List!$AW$4</f>
        <v>28.5</v>
      </c>
      <c r="J720" s="4" t="str">
        <f ca="1">Master_List!$AW$5</f>
        <v>65</v>
      </c>
      <c r="K720" s="4" t="s">
        <v>591</v>
      </c>
      <c r="BL720" s="4" t="s">
        <v>1744</v>
      </c>
      <c r="BM720" s="4" t="s">
        <v>2114</v>
      </c>
      <c r="BN720" s="4" t="s">
        <v>1746</v>
      </c>
      <c r="BO720" s="4" t="str">
        <f t="shared" si="11"/>
        <v>C:\Users\aremi\Desktop\REPORT CBM\PO TIANU JB\03. Raw Material\40. 10052026 SSU MEDINI SIGNATURE 33KV (VI)\IR</v>
      </c>
      <c r="BP720" t="s">
        <v>1314</v>
      </c>
    </row>
    <row r="721" spans="1:68" thickBot="1" x14ac:dyDescent="0.3">
      <c r="A721" s="4">
        <v>360</v>
      </c>
      <c r="B721" s="4" t="s">
        <v>1299</v>
      </c>
      <c r="C721" s="4">
        <v>11</v>
      </c>
      <c r="D721" s="4" t="s">
        <v>1985</v>
      </c>
      <c r="E721" s="4">
        <v>8</v>
      </c>
      <c r="F721" s="4" t="str">
        <f ca="1">Master_List!$AW$1</f>
        <v>PERPUSTAKAAN PUSAT</v>
      </c>
      <c r="G721" s="4" t="str">
        <f ca="1">Master_List!$AW$2</f>
        <v>09:30 PM</v>
      </c>
      <c r="H721" s="4" t="str">
        <f ca="1">Master_List!$AW$3</f>
        <v>20/07/2026</v>
      </c>
      <c r="I721" s="4" t="str">
        <f ca="1">Master_List!$AW$4</f>
        <v>28.5</v>
      </c>
      <c r="J721" s="4" t="str">
        <f ca="1">Master_List!$AW$5</f>
        <v>65</v>
      </c>
      <c r="K721" s="4" t="s">
        <v>591</v>
      </c>
      <c r="BL721" s="4" t="s">
        <v>1744</v>
      </c>
      <c r="BM721" s="4" t="s">
        <v>2114</v>
      </c>
      <c r="BN721" s="4" t="s">
        <v>1748</v>
      </c>
      <c r="BO721" s="4" t="str">
        <f t="shared" si="11"/>
        <v>C:\Users\aremi\Desktop\REPORT CBM\PO TIANU JB\03. Raw Material\40. 10052026 SSU MEDINI SIGNATURE 33KV (VI)\IR</v>
      </c>
      <c r="BP721" t="s">
        <v>1315</v>
      </c>
    </row>
    <row r="722" spans="1:68" thickBot="1" x14ac:dyDescent="0.3">
      <c r="A722" s="4">
        <v>361</v>
      </c>
      <c r="B722" s="4" t="s">
        <v>1316</v>
      </c>
      <c r="C722" s="4">
        <v>11</v>
      </c>
      <c r="D722" s="4" t="s">
        <v>1976</v>
      </c>
      <c r="E722" s="4">
        <v>1</v>
      </c>
      <c r="F722" s="4" t="str">
        <f ca="1">Master_List!$AW$1</f>
        <v>PERPUSTAKAAN PUSAT</v>
      </c>
      <c r="G722" s="4" t="str">
        <f ca="1">Master_List!$AW$2</f>
        <v>09:30 PM</v>
      </c>
      <c r="H722" s="4" t="str">
        <f ca="1">Master_List!$AW$3</f>
        <v>20/07/2026</v>
      </c>
      <c r="I722" s="4" t="str">
        <f ca="1">Master_List!$AW$4</f>
        <v>28.5</v>
      </c>
      <c r="J722" s="4" t="str">
        <f ca="1">Master_List!$AW$5</f>
        <v>65</v>
      </c>
      <c r="K722" s="4" t="s">
        <v>570</v>
      </c>
      <c r="BL722" s="4" t="s">
        <v>1744</v>
      </c>
      <c r="BM722" s="4" t="s">
        <v>2115</v>
      </c>
      <c r="BN722" s="4" t="s">
        <v>1746</v>
      </c>
      <c r="BO722" s="4" t="str">
        <f t="shared" si="11"/>
        <v>C:\Users\aremi\Desktop\REPORT CBM\PO TIANU JB\03. Raw Material\40. 10052026 SSU MEDINI SIGNATURE 33KV (VI)\IR</v>
      </c>
      <c r="BP722" t="s">
        <v>1317</v>
      </c>
    </row>
    <row r="723" spans="1:68" thickBot="1" x14ac:dyDescent="0.3">
      <c r="A723" s="4">
        <v>361</v>
      </c>
      <c r="B723" s="4" t="s">
        <v>1316</v>
      </c>
      <c r="C723" s="4">
        <v>11</v>
      </c>
      <c r="D723" s="4" t="s">
        <v>1976</v>
      </c>
      <c r="E723" s="4">
        <v>1</v>
      </c>
      <c r="F723" s="4" t="str">
        <f ca="1">Master_List!$AW$1</f>
        <v>PERPUSTAKAAN PUSAT</v>
      </c>
      <c r="G723" s="4" t="str">
        <f ca="1">Master_List!$AW$2</f>
        <v>09:30 PM</v>
      </c>
      <c r="H723" s="4" t="str">
        <f ca="1">Master_List!$AW$3</f>
        <v>20/07/2026</v>
      </c>
      <c r="I723" s="4" t="str">
        <f ca="1">Master_List!$AW$4</f>
        <v>28.5</v>
      </c>
      <c r="J723" s="4" t="str">
        <f ca="1">Master_List!$AW$5</f>
        <v>65</v>
      </c>
      <c r="K723" s="4" t="s">
        <v>570</v>
      </c>
      <c r="BL723" s="4" t="s">
        <v>1744</v>
      </c>
      <c r="BM723" s="4" t="s">
        <v>2115</v>
      </c>
      <c r="BN723" s="4" t="s">
        <v>1748</v>
      </c>
      <c r="BO723" s="4" t="str">
        <f t="shared" si="11"/>
        <v>C:\Users\aremi\Desktop\REPORT CBM\PO TIANU JB\03. Raw Material\40. 10052026 SSU MEDINI SIGNATURE 33KV (VI)\IR</v>
      </c>
      <c r="BP723" t="s">
        <v>1318</v>
      </c>
    </row>
    <row r="724" spans="1:68" thickBot="1" x14ac:dyDescent="0.3">
      <c r="A724" s="4">
        <v>362</v>
      </c>
      <c r="B724" s="4" t="s">
        <v>1316</v>
      </c>
      <c r="C724" s="4">
        <v>11</v>
      </c>
      <c r="D724" s="4" t="s">
        <v>1976</v>
      </c>
      <c r="E724" s="4">
        <v>2</v>
      </c>
      <c r="F724" s="4" t="str">
        <f ca="1">Master_List!$AW$1</f>
        <v>PERPUSTAKAAN PUSAT</v>
      </c>
      <c r="G724" s="4" t="str">
        <f ca="1">Master_List!$AW$2</f>
        <v>09:30 PM</v>
      </c>
      <c r="H724" s="4" t="str">
        <f ca="1">Master_List!$AW$3</f>
        <v>20/07/2026</v>
      </c>
      <c r="I724" s="4" t="str">
        <f ca="1">Master_List!$AW$4</f>
        <v>28.5</v>
      </c>
      <c r="J724" s="4" t="str">
        <f ca="1">Master_List!$AW$5</f>
        <v>65</v>
      </c>
      <c r="K724" s="4" t="s">
        <v>573</v>
      </c>
      <c r="BL724" s="4" t="s">
        <v>1744</v>
      </c>
      <c r="BM724" s="4" t="s">
        <v>2116</v>
      </c>
      <c r="BN724" s="4" t="s">
        <v>1746</v>
      </c>
      <c r="BO724" s="4" t="str">
        <f t="shared" si="11"/>
        <v>C:\Users\aremi\Desktop\REPORT CBM\PO TIANU JB\03. Raw Material\40. 10052026 SSU MEDINI SIGNATURE 33KV (VI)\IR</v>
      </c>
      <c r="BP724" t="s">
        <v>1319</v>
      </c>
    </row>
    <row r="725" spans="1:68" thickBot="1" x14ac:dyDescent="0.3">
      <c r="A725" s="4">
        <v>362</v>
      </c>
      <c r="B725" s="4" t="s">
        <v>1316</v>
      </c>
      <c r="C725" s="4">
        <v>11</v>
      </c>
      <c r="D725" s="4" t="s">
        <v>1976</v>
      </c>
      <c r="E725" s="4">
        <v>2</v>
      </c>
      <c r="F725" s="4" t="str">
        <f ca="1">Master_List!$AW$1</f>
        <v>PERPUSTAKAAN PUSAT</v>
      </c>
      <c r="G725" s="4" t="str">
        <f ca="1">Master_List!$AW$2</f>
        <v>09:30 PM</v>
      </c>
      <c r="H725" s="4" t="str">
        <f ca="1">Master_List!$AW$3</f>
        <v>20/07/2026</v>
      </c>
      <c r="I725" s="4" t="str">
        <f ca="1">Master_List!$AW$4</f>
        <v>28.5</v>
      </c>
      <c r="J725" s="4" t="str">
        <f ca="1">Master_List!$AW$5</f>
        <v>65</v>
      </c>
      <c r="K725" s="4" t="s">
        <v>573</v>
      </c>
      <c r="BL725" s="4" t="s">
        <v>1744</v>
      </c>
      <c r="BM725" s="4" t="s">
        <v>2116</v>
      </c>
      <c r="BN725" s="4" t="s">
        <v>1748</v>
      </c>
      <c r="BO725" s="4" t="str">
        <f t="shared" si="11"/>
        <v>C:\Users\aremi\Desktop\REPORT CBM\PO TIANU JB\03. Raw Material\40. 10052026 SSU MEDINI SIGNATURE 33KV (VI)\IR</v>
      </c>
      <c r="BP725" t="s">
        <v>1320</v>
      </c>
    </row>
    <row r="726" spans="1:68" thickBot="1" x14ac:dyDescent="0.3">
      <c r="A726" s="4">
        <v>363</v>
      </c>
      <c r="B726" s="4" t="s">
        <v>1316</v>
      </c>
      <c r="C726" s="4">
        <v>11</v>
      </c>
      <c r="D726" s="4" t="s">
        <v>1976</v>
      </c>
      <c r="E726" s="4">
        <v>3</v>
      </c>
      <c r="F726" s="4" t="str">
        <f ca="1">Master_List!$AW$1</f>
        <v>PERPUSTAKAAN PUSAT</v>
      </c>
      <c r="G726" s="4" t="str">
        <f ca="1">Master_List!$AW$2</f>
        <v>09:30 PM</v>
      </c>
      <c r="H726" s="4" t="str">
        <f ca="1">Master_List!$AW$3</f>
        <v>20/07/2026</v>
      </c>
      <c r="I726" s="4" t="str">
        <f ca="1">Master_List!$AW$4</f>
        <v>28.5</v>
      </c>
      <c r="J726" s="4" t="str">
        <f ca="1">Master_List!$AW$5</f>
        <v>65</v>
      </c>
      <c r="K726" s="4" t="s">
        <v>576</v>
      </c>
      <c r="BL726" s="4" t="s">
        <v>1744</v>
      </c>
      <c r="BM726" s="4" t="s">
        <v>2117</v>
      </c>
      <c r="BN726" s="4" t="s">
        <v>1746</v>
      </c>
      <c r="BO726" s="4" t="str">
        <f t="shared" si="11"/>
        <v>C:\Users\aremi\Desktop\REPORT CBM\PO TIANU JB\03. Raw Material\40. 10052026 SSU MEDINI SIGNATURE 33KV (VI)\IR</v>
      </c>
      <c r="BP726" t="s">
        <v>1321</v>
      </c>
    </row>
    <row r="727" spans="1:68" thickBot="1" x14ac:dyDescent="0.3">
      <c r="A727" s="4">
        <v>363</v>
      </c>
      <c r="B727" s="4" t="s">
        <v>1316</v>
      </c>
      <c r="C727" s="4">
        <v>11</v>
      </c>
      <c r="D727" s="4" t="s">
        <v>1976</v>
      </c>
      <c r="E727" s="4">
        <v>3</v>
      </c>
      <c r="F727" s="4" t="str">
        <f ca="1">Master_List!$AW$1</f>
        <v>PERPUSTAKAAN PUSAT</v>
      </c>
      <c r="G727" s="4" t="str">
        <f ca="1">Master_List!$AW$2</f>
        <v>09:30 PM</v>
      </c>
      <c r="H727" s="4" t="str">
        <f ca="1">Master_List!$AW$3</f>
        <v>20/07/2026</v>
      </c>
      <c r="I727" s="4" t="str">
        <f ca="1">Master_List!$AW$4</f>
        <v>28.5</v>
      </c>
      <c r="J727" s="4" t="str">
        <f ca="1">Master_List!$AW$5</f>
        <v>65</v>
      </c>
      <c r="K727" s="4" t="s">
        <v>576</v>
      </c>
      <c r="BL727" s="4" t="s">
        <v>1744</v>
      </c>
      <c r="BM727" s="4" t="s">
        <v>2117</v>
      </c>
      <c r="BN727" s="4" t="s">
        <v>1748</v>
      </c>
      <c r="BO727" s="4" t="str">
        <f t="shared" si="11"/>
        <v>C:\Users\aremi\Desktop\REPORT CBM\PO TIANU JB\03. Raw Material\40. 10052026 SSU MEDINI SIGNATURE 33KV (VI)\IR</v>
      </c>
      <c r="BP727" t="s">
        <v>1322</v>
      </c>
    </row>
    <row r="728" spans="1:68" thickBot="1" x14ac:dyDescent="0.3">
      <c r="A728" s="4">
        <v>364</v>
      </c>
      <c r="B728" s="4" t="s">
        <v>1316</v>
      </c>
      <c r="C728" s="4">
        <v>11</v>
      </c>
      <c r="D728" s="4" t="s">
        <v>1976</v>
      </c>
      <c r="E728" s="4">
        <v>4</v>
      </c>
      <c r="F728" s="4" t="str">
        <f ca="1">Master_List!$AW$1</f>
        <v>PERPUSTAKAAN PUSAT</v>
      </c>
      <c r="G728" s="4" t="str">
        <f ca="1">Master_List!$AW$2</f>
        <v>09:30 PM</v>
      </c>
      <c r="H728" s="4" t="str">
        <f ca="1">Master_List!$AW$3</f>
        <v>20/07/2026</v>
      </c>
      <c r="I728" s="4" t="str">
        <f ca="1">Master_List!$AW$4</f>
        <v>28.5</v>
      </c>
      <c r="J728" s="4" t="str">
        <f ca="1">Master_List!$AW$5</f>
        <v>65</v>
      </c>
      <c r="K728" s="4" t="s">
        <v>579</v>
      </c>
      <c r="BL728" s="4" t="s">
        <v>1744</v>
      </c>
      <c r="BM728" s="4" t="s">
        <v>2118</v>
      </c>
      <c r="BN728" s="4" t="s">
        <v>1746</v>
      </c>
      <c r="BO728" s="4" t="str">
        <f t="shared" si="11"/>
        <v>C:\Users\aremi\Desktop\REPORT CBM\PO TIANU JB\03. Raw Material\40. 10052026 SSU MEDINI SIGNATURE 33KV (VI)\IR</v>
      </c>
      <c r="BP728" t="s">
        <v>1323</v>
      </c>
    </row>
    <row r="729" spans="1:68" thickBot="1" x14ac:dyDescent="0.3">
      <c r="A729" s="4">
        <v>364</v>
      </c>
      <c r="B729" s="4" t="s">
        <v>1316</v>
      </c>
      <c r="C729" s="4">
        <v>11</v>
      </c>
      <c r="D729" s="4" t="s">
        <v>1976</v>
      </c>
      <c r="E729" s="4">
        <v>4</v>
      </c>
      <c r="F729" s="4" t="str">
        <f ca="1">Master_List!$AW$1</f>
        <v>PERPUSTAKAAN PUSAT</v>
      </c>
      <c r="G729" s="4" t="str">
        <f ca="1">Master_List!$AW$2</f>
        <v>09:30 PM</v>
      </c>
      <c r="H729" s="4" t="str">
        <f ca="1">Master_List!$AW$3</f>
        <v>20/07/2026</v>
      </c>
      <c r="I729" s="4" t="str">
        <f ca="1">Master_List!$AW$4</f>
        <v>28.5</v>
      </c>
      <c r="J729" s="4" t="str">
        <f ca="1">Master_List!$AW$5</f>
        <v>65</v>
      </c>
      <c r="K729" s="4" t="s">
        <v>579</v>
      </c>
      <c r="BL729" s="4" t="s">
        <v>1744</v>
      </c>
      <c r="BM729" s="4" t="s">
        <v>2118</v>
      </c>
      <c r="BN729" s="4" t="s">
        <v>1748</v>
      </c>
      <c r="BO729" s="4" t="str">
        <f t="shared" si="11"/>
        <v>C:\Users\aremi\Desktop\REPORT CBM\PO TIANU JB\03. Raw Material\40. 10052026 SSU MEDINI SIGNATURE 33KV (VI)\IR</v>
      </c>
      <c r="BP729" t="s">
        <v>1324</v>
      </c>
    </row>
    <row r="730" spans="1:68" thickBot="1" x14ac:dyDescent="0.3">
      <c r="A730" s="4">
        <v>365</v>
      </c>
      <c r="B730" s="4" t="s">
        <v>1316</v>
      </c>
      <c r="C730" s="4">
        <v>11</v>
      </c>
      <c r="D730" s="4" t="s">
        <v>1976</v>
      </c>
      <c r="E730" s="4">
        <v>5</v>
      </c>
      <c r="F730" s="4" t="str">
        <f ca="1">Master_List!$AW$1</f>
        <v>PERPUSTAKAAN PUSAT</v>
      </c>
      <c r="G730" s="4" t="str">
        <f ca="1">Master_List!$AW$2</f>
        <v>09:30 PM</v>
      </c>
      <c r="H730" s="4" t="str">
        <f ca="1">Master_List!$AW$3</f>
        <v>20/07/2026</v>
      </c>
      <c r="I730" s="4" t="str">
        <f ca="1">Master_List!$AW$4</f>
        <v>28.5</v>
      </c>
      <c r="J730" s="4" t="str">
        <f ca="1">Master_List!$AW$5</f>
        <v>65</v>
      </c>
      <c r="K730" s="4" t="s">
        <v>582</v>
      </c>
      <c r="BL730" s="4" t="s">
        <v>1744</v>
      </c>
      <c r="BM730" s="4" t="s">
        <v>2119</v>
      </c>
      <c r="BN730" s="4" t="s">
        <v>1746</v>
      </c>
      <c r="BO730" s="4" t="str">
        <f t="shared" si="11"/>
        <v>C:\Users\aremi\Desktop\REPORT CBM\PO TIANU JB\03. Raw Material\40. 10052026 SSU MEDINI SIGNATURE 33KV (VI)\IR</v>
      </c>
      <c r="BP730" t="s">
        <v>1325</v>
      </c>
    </row>
    <row r="731" spans="1:68" thickBot="1" x14ac:dyDescent="0.3">
      <c r="A731" s="4">
        <v>365</v>
      </c>
      <c r="B731" s="4" t="s">
        <v>1316</v>
      </c>
      <c r="C731" s="4">
        <v>11</v>
      </c>
      <c r="D731" s="4" t="s">
        <v>1976</v>
      </c>
      <c r="E731" s="4">
        <v>5</v>
      </c>
      <c r="F731" s="4" t="str">
        <f ca="1">Master_List!$AW$1</f>
        <v>PERPUSTAKAAN PUSAT</v>
      </c>
      <c r="G731" s="4" t="str">
        <f ca="1">Master_List!$AW$2</f>
        <v>09:30 PM</v>
      </c>
      <c r="H731" s="4" t="str">
        <f ca="1">Master_List!$AW$3</f>
        <v>20/07/2026</v>
      </c>
      <c r="I731" s="4" t="str">
        <f ca="1">Master_List!$AW$4</f>
        <v>28.5</v>
      </c>
      <c r="J731" s="4" t="str">
        <f ca="1">Master_List!$AW$5</f>
        <v>65</v>
      </c>
      <c r="K731" s="4" t="s">
        <v>582</v>
      </c>
      <c r="BL731" s="4" t="s">
        <v>1744</v>
      </c>
      <c r="BM731" s="4" t="s">
        <v>2119</v>
      </c>
      <c r="BN731" s="4" t="s">
        <v>1748</v>
      </c>
      <c r="BO731" s="4" t="str">
        <f t="shared" si="11"/>
        <v>C:\Users\aremi\Desktop\REPORT CBM\PO TIANU JB\03. Raw Material\40. 10052026 SSU MEDINI SIGNATURE 33KV (VI)\IR</v>
      </c>
      <c r="BP731" t="s">
        <v>1326</v>
      </c>
    </row>
    <row r="732" spans="1:68" thickBot="1" x14ac:dyDescent="0.3">
      <c r="A732" s="4">
        <v>366</v>
      </c>
      <c r="B732" s="4" t="s">
        <v>1316</v>
      </c>
      <c r="C732" s="4">
        <v>11</v>
      </c>
      <c r="D732" s="4" t="s">
        <v>1976</v>
      </c>
      <c r="E732" s="4">
        <v>6</v>
      </c>
      <c r="F732" s="4" t="str">
        <f ca="1">Master_List!$AW$1</f>
        <v>PERPUSTAKAAN PUSAT</v>
      </c>
      <c r="G732" s="4" t="str">
        <f ca="1">Master_List!$AW$2</f>
        <v>09:30 PM</v>
      </c>
      <c r="H732" s="4" t="str">
        <f ca="1">Master_List!$AW$3</f>
        <v>20/07/2026</v>
      </c>
      <c r="I732" s="4" t="str">
        <f ca="1">Master_List!$AW$4</f>
        <v>28.5</v>
      </c>
      <c r="J732" s="4" t="str">
        <f ca="1">Master_List!$AW$5</f>
        <v>65</v>
      </c>
      <c r="K732" s="4" t="s">
        <v>585</v>
      </c>
      <c r="BL732" s="4" t="s">
        <v>1744</v>
      </c>
      <c r="BM732" s="4" t="s">
        <v>2120</v>
      </c>
      <c r="BN732" s="4" t="s">
        <v>1746</v>
      </c>
      <c r="BO732" s="4" t="str">
        <f t="shared" si="11"/>
        <v>C:\Users\aremi\Desktop\REPORT CBM\PO TIANU JB\03. Raw Material\40. 10052026 SSU MEDINI SIGNATURE 33KV (VI)\IR</v>
      </c>
      <c r="BP732" t="s">
        <v>1327</v>
      </c>
    </row>
    <row r="733" spans="1:68" thickBot="1" x14ac:dyDescent="0.3">
      <c r="A733" s="4">
        <v>366</v>
      </c>
      <c r="B733" s="4" t="s">
        <v>1316</v>
      </c>
      <c r="C733" s="4">
        <v>11</v>
      </c>
      <c r="D733" s="4" t="s">
        <v>1976</v>
      </c>
      <c r="E733" s="4">
        <v>6</v>
      </c>
      <c r="F733" s="4" t="str">
        <f ca="1">Master_List!$AW$1</f>
        <v>PERPUSTAKAAN PUSAT</v>
      </c>
      <c r="G733" s="4" t="str">
        <f ca="1">Master_List!$AW$2</f>
        <v>09:30 PM</v>
      </c>
      <c r="H733" s="4" t="str">
        <f ca="1">Master_List!$AW$3</f>
        <v>20/07/2026</v>
      </c>
      <c r="I733" s="4" t="str">
        <f ca="1">Master_List!$AW$4</f>
        <v>28.5</v>
      </c>
      <c r="J733" s="4" t="str">
        <f ca="1">Master_List!$AW$5</f>
        <v>65</v>
      </c>
      <c r="K733" s="4" t="s">
        <v>585</v>
      </c>
      <c r="BL733" s="4" t="s">
        <v>1744</v>
      </c>
      <c r="BM733" s="4" t="s">
        <v>2120</v>
      </c>
      <c r="BN733" s="4" t="s">
        <v>1748</v>
      </c>
      <c r="BO733" s="4" t="str">
        <f t="shared" si="11"/>
        <v>C:\Users\aremi\Desktop\REPORT CBM\PO TIANU JB\03. Raw Material\40. 10052026 SSU MEDINI SIGNATURE 33KV (VI)\IR</v>
      </c>
      <c r="BP733" t="s">
        <v>1328</v>
      </c>
    </row>
    <row r="734" spans="1:68" thickBot="1" x14ac:dyDescent="0.3">
      <c r="A734" s="4">
        <v>367</v>
      </c>
      <c r="B734" s="4" t="s">
        <v>1316</v>
      </c>
      <c r="C734" s="4">
        <v>11</v>
      </c>
      <c r="D734" s="4" t="s">
        <v>1983</v>
      </c>
      <c r="E734" s="4">
        <v>7</v>
      </c>
      <c r="F734" s="4" t="str">
        <f ca="1">Master_List!$AW$1</f>
        <v>PERPUSTAKAAN PUSAT</v>
      </c>
      <c r="G734" s="4" t="str">
        <f ca="1">Master_List!$AW$2</f>
        <v>09:30 PM</v>
      </c>
      <c r="H734" s="4" t="str">
        <f ca="1">Master_List!$AW$3</f>
        <v>20/07/2026</v>
      </c>
      <c r="I734" s="4" t="str">
        <f ca="1">Master_List!$AW$4</f>
        <v>28.5</v>
      </c>
      <c r="J734" s="4" t="str">
        <f ca="1">Master_List!$AW$5</f>
        <v>65</v>
      </c>
      <c r="K734" s="4" t="s">
        <v>588</v>
      </c>
      <c r="BL734" s="4" t="s">
        <v>1744</v>
      </c>
      <c r="BM734" s="4" t="s">
        <v>2121</v>
      </c>
      <c r="BN734" s="4" t="s">
        <v>1746</v>
      </c>
      <c r="BO734" s="4" t="str">
        <f t="shared" si="11"/>
        <v>C:\Users\aremi\Desktop\REPORT CBM\PO TIANU JB\03. Raw Material\40. 10052026 SSU MEDINI SIGNATURE 33KV (VI)\IR</v>
      </c>
      <c r="BP734" t="s">
        <v>1329</v>
      </c>
    </row>
    <row r="735" spans="1:68" thickBot="1" x14ac:dyDescent="0.3">
      <c r="A735" s="4">
        <v>367</v>
      </c>
      <c r="B735" s="4" t="s">
        <v>1316</v>
      </c>
      <c r="C735" s="4">
        <v>11</v>
      </c>
      <c r="D735" s="4" t="s">
        <v>1983</v>
      </c>
      <c r="E735" s="4">
        <v>7</v>
      </c>
      <c r="F735" s="4" t="str">
        <f ca="1">Master_List!$AW$1</f>
        <v>PERPUSTAKAAN PUSAT</v>
      </c>
      <c r="G735" s="4" t="str">
        <f ca="1">Master_List!$AW$2</f>
        <v>09:30 PM</v>
      </c>
      <c r="H735" s="4" t="str">
        <f ca="1">Master_List!$AW$3</f>
        <v>20/07/2026</v>
      </c>
      <c r="I735" s="4" t="str">
        <f ca="1">Master_List!$AW$4</f>
        <v>28.5</v>
      </c>
      <c r="J735" s="4" t="str">
        <f ca="1">Master_List!$AW$5</f>
        <v>65</v>
      </c>
      <c r="K735" s="4" t="s">
        <v>588</v>
      </c>
      <c r="BL735" s="4" t="s">
        <v>1744</v>
      </c>
      <c r="BM735" s="4" t="s">
        <v>2121</v>
      </c>
      <c r="BN735" s="4" t="s">
        <v>1748</v>
      </c>
      <c r="BO735" s="4" t="str">
        <f t="shared" si="11"/>
        <v>C:\Users\aremi\Desktop\REPORT CBM\PO TIANU JB\03. Raw Material\40. 10052026 SSU MEDINI SIGNATURE 33KV (VI)\IR</v>
      </c>
      <c r="BP735" t="s">
        <v>1330</v>
      </c>
    </row>
    <row r="736" spans="1:68" thickBot="1" x14ac:dyDescent="0.3">
      <c r="A736" s="4">
        <v>368</v>
      </c>
      <c r="B736" s="4" t="s">
        <v>1316</v>
      </c>
      <c r="C736" s="4">
        <v>11</v>
      </c>
      <c r="D736" s="4" t="s">
        <v>1985</v>
      </c>
      <c r="E736" s="4">
        <v>8</v>
      </c>
      <c r="F736" s="4" t="str">
        <f ca="1">Master_List!$AW$1</f>
        <v>PERPUSTAKAAN PUSAT</v>
      </c>
      <c r="G736" s="4" t="str">
        <f ca="1">Master_List!$AW$2</f>
        <v>09:30 PM</v>
      </c>
      <c r="H736" s="4" t="str">
        <f ca="1">Master_List!$AW$3</f>
        <v>20/07/2026</v>
      </c>
      <c r="I736" s="4" t="str">
        <f ca="1">Master_List!$AW$4</f>
        <v>28.5</v>
      </c>
      <c r="J736" s="4" t="str">
        <f ca="1">Master_List!$AW$5</f>
        <v>65</v>
      </c>
      <c r="K736" s="4" t="s">
        <v>591</v>
      </c>
      <c r="BL736" s="4" t="s">
        <v>1744</v>
      </c>
      <c r="BM736" s="4" t="s">
        <v>2122</v>
      </c>
      <c r="BN736" s="4" t="s">
        <v>1746</v>
      </c>
      <c r="BO736" s="4" t="str">
        <f t="shared" si="11"/>
        <v>C:\Users\aremi\Desktop\REPORT CBM\PO TIANU JB\03. Raw Material\40. 10052026 SSU MEDINI SIGNATURE 33KV (VI)\IR</v>
      </c>
      <c r="BP736" t="s">
        <v>1331</v>
      </c>
    </row>
    <row r="737" spans="1:68" thickBot="1" x14ac:dyDescent="0.3">
      <c r="A737" s="4">
        <v>368</v>
      </c>
      <c r="B737" s="4" t="s">
        <v>1316</v>
      </c>
      <c r="C737" s="4">
        <v>11</v>
      </c>
      <c r="D737" s="4" t="s">
        <v>1985</v>
      </c>
      <c r="E737" s="4">
        <v>8</v>
      </c>
      <c r="F737" s="4" t="str">
        <f ca="1">Master_List!$AW$1</f>
        <v>PERPUSTAKAAN PUSAT</v>
      </c>
      <c r="G737" s="4" t="str">
        <f ca="1">Master_List!$AW$2</f>
        <v>09:30 PM</v>
      </c>
      <c r="H737" s="4" t="str">
        <f ca="1">Master_List!$AW$3</f>
        <v>20/07/2026</v>
      </c>
      <c r="I737" s="4" t="str">
        <f ca="1">Master_List!$AW$4</f>
        <v>28.5</v>
      </c>
      <c r="J737" s="4" t="str">
        <f ca="1">Master_List!$AW$5</f>
        <v>65</v>
      </c>
      <c r="K737" s="4" t="s">
        <v>591</v>
      </c>
      <c r="BL737" s="4" t="s">
        <v>1744</v>
      </c>
      <c r="BM737" s="4" t="s">
        <v>2122</v>
      </c>
      <c r="BN737" s="4" t="s">
        <v>1748</v>
      </c>
      <c r="BO737" s="4" t="str">
        <f t="shared" si="11"/>
        <v>C:\Users\aremi\Desktop\REPORT CBM\PO TIANU JB\03. Raw Material\40. 10052026 SSU MEDINI SIGNATURE 33KV (VI)\IR</v>
      </c>
      <c r="BP737" t="s">
        <v>1332</v>
      </c>
    </row>
    <row r="738" spans="1:68" thickBot="1" x14ac:dyDescent="0.3">
      <c r="A738" s="4">
        <v>369</v>
      </c>
      <c r="B738" s="4" t="s">
        <v>1333</v>
      </c>
      <c r="C738" s="4">
        <v>11</v>
      </c>
      <c r="D738" s="4" t="s">
        <v>1976</v>
      </c>
      <c r="E738" s="4">
        <v>1</v>
      </c>
      <c r="F738" s="4" t="str">
        <f ca="1">Master_List!$AW$1</f>
        <v>PERPUSTAKAAN PUSAT</v>
      </c>
      <c r="G738" s="4" t="str">
        <f ca="1">Master_List!$AW$2</f>
        <v>09:30 PM</v>
      </c>
      <c r="H738" s="4" t="str">
        <f ca="1">Master_List!$AW$3</f>
        <v>20/07/2026</v>
      </c>
      <c r="I738" s="4" t="str">
        <f ca="1">Master_List!$AW$4</f>
        <v>28.5</v>
      </c>
      <c r="J738" s="4" t="str">
        <f ca="1">Master_List!$AW$5</f>
        <v>65</v>
      </c>
      <c r="K738" s="4" t="s">
        <v>570</v>
      </c>
      <c r="BL738" s="4" t="s">
        <v>1744</v>
      </c>
      <c r="BM738" s="4" t="s">
        <v>2123</v>
      </c>
      <c r="BN738" s="4" t="s">
        <v>1746</v>
      </c>
      <c r="BO738" s="4" t="str">
        <f t="shared" si="11"/>
        <v>C:\Users\aremi\Desktop\REPORT CBM\PO TIANU JB\03. Raw Material\40. 10052026 SSU MEDINI SIGNATURE 33KV (VI)\IR</v>
      </c>
      <c r="BP738" t="s">
        <v>1334</v>
      </c>
    </row>
    <row r="739" spans="1:68" thickBot="1" x14ac:dyDescent="0.3">
      <c r="A739" s="4">
        <v>369</v>
      </c>
      <c r="B739" s="4" t="s">
        <v>1333</v>
      </c>
      <c r="C739" s="4">
        <v>11</v>
      </c>
      <c r="D739" s="4" t="s">
        <v>1976</v>
      </c>
      <c r="E739" s="4">
        <v>1</v>
      </c>
      <c r="F739" s="4" t="str">
        <f ca="1">Master_List!$AW$1</f>
        <v>PERPUSTAKAAN PUSAT</v>
      </c>
      <c r="G739" s="4" t="str">
        <f ca="1">Master_List!$AW$2</f>
        <v>09:30 PM</v>
      </c>
      <c r="H739" s="4" t="str">
        <f ca="1">Master_List!$AW$3</f>
        <v>20/07/2026</v>
      </c>
      <c r="I739" s="4" t="str">
        <f ca="1">Master_List!$AW$4</f>
        <v>28.5</v>
      </c>
      <c r="J739" s="4" t="str">
        <f ca="1">Master_List!$AW$5</f>
        <v>65</v>
      </c>
      <c r="K739" s="4" t="s">
        <v>570</v>
      </c>
      <c r="BL739" s="4" t="s">
        <v>1744</v>
      </c>
      <c r="BM739" s="4" t="s">
        <v>2123</v>
      </c>
      <c r="BN739" s="4" t="s">
        <v>1748</v>
      </c>
      <c r="BO739" s="4" t="str">
        <f t="shared" si="11"/>
        <v>C:\Users\aremi\Desktop\REPORT CBM\PO TIANU JB\03. Raw Material\40. 10052026 SSU MEDINI SIGNATURE 33KV (VI)\IR</v>
      </c>
      <c r="BP739" t="s">
        <v>1335</v>
      </c>
    </row>
    <row r="740" spans="1:68" thickBot="1" x14ac:dyDescent="0.3">
      <c r="A740" s="4">
        <v>370</v>
      </c>
      <c r="B740" s="4" t="s">
        <v>1333</v>
      </c>
      <c r="C740" s="4">
        <v>11</v>
      </c>
      <c r="D740" s="4" t="s">
        <v>1976</v>
      </c>
      <c r="E740" s="4">
        <v>2</v>
      </c>
      <c r="F740" s="4" t="str">
        <f ca="1">Master_List!$AW$1</f>
        <v>PERPUSTAKAAN PUSAT</v>
      </c>
      <c r="G740" s="4" t="str">
        <f ca="1">Master_List!$AW$2</f>
        <v>09:30 PM</v>
      </c>
      <c r="H740" s="4" t="str">
        <f ca="1">Master_List!$AW$3</f>
        <v>20/07/2026</v>
      </c>
      <c r="I740" s="4" t="str">
        <f ca="1">Master_List!$AW$4</f>
        <v>28.5</v>
      </c>
      <c r="J740" s="4" t="str">
        <f ca="1">Master_List!$AW$5</f>
        <v>65</v>
      </c>
      <c r="K740" s="4" t="s">
        <v>573</v>
      </c>
      <c r="BL740" s="4" t="s">
        <v>1744</v>
      </c>
      <c r="BM740" s="4" t="s">
        <v>2124</v>
      </c>
      <c r="BN740" s="4" t="s">
        <v>1746</v>
      </c>
      <c r="BO740" s="4" t="str">
        <f t="shared" si="11"/>
        <v>C:\Users\aremi\Desktop\REPORT CBM\PO TIANU JB\03. Raw Material\40. 10052026 SSU MEDINI SIGNATURE 33KV (VI)\IR</v>
      </c>
      <c r="BP740" t="s">
        <v>1336</v>
      </c>
    </row>
    <row r="741" spans="1:68" thickBot="1" x14ac:dyDescent="0.3">
      <c r="A741" s="4">
        <v>370</v>
      </c>
      <c r="B741" s="4" t="s">
        <v>1333</v>
      </c>
      <c r="C741" s="4">
        <v>11</v>
      </c>
      <c r="D741" s="4" t="s">
        <v>1976</v>
      </c>
      <c r="E741" s="4">
        <v>2</v>
      </c>
      <c r="F741" s="4" t="str">
        <f ca="1">Master_List!$AW$1</f>
        <v>PERPUSTAKAAN PUSAT</v>
      </c>
      <c r="G741" s="4" t="str">
        <f ca="1">Master_List!$AW$2</f>
        <v>09:30 PM</v>
      </c>
      <c r="H741" s="4" t="str">
        <f ca="1">Master_List!$AW$3</f>
        <v>20/07/2026</v>
      </c>
      <c r="I741" s="4" t="str">
        <f ca="1">Master_List!$AW$4</f>
        <v>28.5</v>
      </c>
      <c r="J741" s="4" t="str">
        <f ca="1">Master_List!$AW$5</f>
        <v>65</v>
      </c>
      <c r="K741" s="4" t="s">
        <v>573</v>
      </c>
      <c r="BL741" s="4" t="s">
        <v>1744</v>
      </c>
      <c r="BM741" s="4" t="s">
        <v>2124</v>
      </c>
      <c r="BN741" s="4" t="s">
        <v>1748</v>
      </c>
      <c r="BO741" s="4" t="str">
        <f t="shared" si="11"/>
        <v>C:\Users\aremi\Desktop\REPORT CBM\PO TIANU JB\03. Raw Material\40. 10052026 SSU MEDINI SIGNATURE 33KV (VI)\IR</v>
      </c>
      <c r="BP741" t="s">
        <v>1337</v>
      </c>
    </row>
    <row r="742" spans="1:68" thickBot="1" x14ac:dyDescent="0.3">
      <c r="A742" s="4">
        <v>371</v>
      </c>
      <c r="B742" s="4" t="s">
        <v>1333</v>
      </c>
      <c r="C742" s="4">
        <v>11</v>
      </c>
      <c r="D742" s="4" t="s">
        <v>1976</v>
      </c>
      <c r="E742" s="4">
        <v>3</v>
      </c>
      <c r="F742" s="4" t="str">
        <f ca="1">Master_List!$AW$1</f>
        <v>PERPUSTAKAAN PUSAT</v>
      </c>
      <c r="G742" s="4" t="str">
        <f ca="1">Master_List!$AW$2</f>
        <v>09:30 PM</v>
      </c>
      <c r="H742" s="4" t="str">
        <f ca="1">Master_List!$AW$3</f>
        <v>20/07/2026</v>
      </c>
      <c r="I742" s="4" t="str">
        <f ca="1">Master_List!$AW$4</f>
        <v>28.5</v>
      </c>
      <c r="J742" s="4" t="str">
        <f ca="1">Master_List!$AW$5</f>
        <v>65</v>
      </c>
      <c r="K742" s="4" t="s">
        <v>576</v>
      </c>
      <c r="BL742" s="4" t="s">
        <v>1744</v>
      </c>
      <c r="BM742" s="4" t="s">
        <v>2125</v>
      </c>
      <c r="BN742" s="4" t="s">
        <v>1746</v>
      </c>
      <c r="BO742" s="4" t="str">
        <f t="shared" si="11"/>
        <v>C:\Users\aremi\Desktop\REPORT CBM\PO TIANU JB\03. Raw Material\40. 10052026 SSU MEDINI SIGNATURE 33KV (VI)\IR</v>
      </c>
      <c r="BP742" t="s">
        <v>1338</v>
      </c>
    </row>
    <row r="743" spans="1:68" thickBot="1" x14ac:dyDescent="0.3">
      <c r="A743" s="4">
        <v>371</v>
      </c>
      <c r="B743" s="4" t="s">
        <v>1333</v>
      </c>
      <c r="C743" s="4">
        <v>11</v>
      </c>
      <c r="D743" s="4" t="s">
        <v>1976</v>
      </c>
      <c r="E743" s="4">
        <v>3</v>
      </c>
      <c r="F743" s="4" t="str">
        <f ca="1">Master_List!$AW$1</f>
        <v>PERPUSTAKAAN PUSAT</v>
      </c>
      <c r="G743" s="4" t="str">
        <f ca="1">Master_List!$AW$2</f>
        <v>09:30 PM</v>
      </c>
      <c r="H743" s="4" t="str">
        <f ca="1">Master_List!$AW$3</f>
        <v>20/07/2026</v>
      </c>
      <c r="I743" s="4" t="str">
        <f ca="1">Master_List!$AW$4</f>
        <v>28.5</v>
      </c>
      <c r="J743" s="4" t="str">
        <f ca="1">Master_List!$AW$5</f>
        <v>65</v>
      </c>
      <c r="K743" s="4" t="s">
        <v>576</v>
      </c>
      <c r="BL743" s="4" t="s">
        <v>1744</v>
      </c>
      <c r="BM743" s="4" t="s">
        <v>2125</v>
      </c>
      <c r="BN743" s="4" t="s">
        <v>1748</v>
      </c>
      <c r="BO743" s="4" t="str">
        <f t="shared" si="11"/>
        <v>C:\Users\aremi\Desktop\REPORT CBM\PO TIANU JB\03. Raw Material\40. 10052026 SSU MEDINI SIGNATURE 33KV (VI)\IR</v>
      </c>
      <c r="BP743" t="s">
        <v>1339</v>
      </c>
    </row>
    <row r="744" spans="1:68" thickBot="1" x14ac:dyDescent="0.3">
      <c r="A744" s="4">
        <v>372</v>
      </c>
      <c r="B744" s="4" t="s">
        <v>1333</v>
      </c>
      <c r="C744" s="4">
        <v>11</v>
      </c>
      <c r="D744" s="4" t="s">
        <v>1976</v>
      </c>
      <c r="E744" s="4">
        <v>4</v>
      </c>
      <c r="F744" s="4" t="str">
        <f ca="1">Master_List!$AW$1</f>
        <v>PERPUSTAKAAN PUSAT</v>
      </c>
      <c r="G744" s="4" t="str">
        <f ca="1">Master_List!$AW$2</f>
        <v>09:30 PM</v>
      </c>
      <c r="H744" s="4" t="str">
        <f ca="1">Master_List!$AW$3</f>
        <v>20/07/2026</v>
      </c>
      <c r="I744" s="4" t="str">
        <f ca="1">Master_List!$AW$4</f>
        <v>28.5</v>
      </c>
      <c r="J744" s="4" t="str">
        <f ca="1">Master_List!$AW$5</f>
        <v>65</v>
      </c>
      <c r="K744" s="4" t="s">
        <v>579</v>
      </c>
      <c r="BL744" s="4" t="s">
        <v>1744</v>
      </c>
      <c r="BM744" s="4" t="s">
        <v>2126</v>
      </c>
      <c r="BN744" s="4" t="s">
        <v>1746</v>
      </c>
      <c r="BO744" s="4" t="str">
        <f t="shared" si="11"/>
        <v>C:\Users\aremi\Desktop\REPORT CBM\PO TIANU JB\03. Raw Material\40. 10052026 SSU MEDINI SIGNATURE 33KV (VI)\IR</v>
      </c>
      <c r="BP744" t="s">
        <v>1340</v>
      </c>
    </row>
    <row r="745" spans="1:68" thickBot="1" x14ac:dyDescent="0.3">
      <c r="A745" s="4">
        <v>372</v>
      </c>
      <c r="B745" s="4" t="s">
        <v>1333</v>
      </c>
      <c r="C745" s="4">
        <v>11</v>
      </c>
      <c r="D745" s="4" t="s">
        <v>1976</v>
      </c>
      <c r="E745" s="4">
        <v>4</v>
      </c>
      <c r="F745" s="4" t="str">
        <f ca="1">Master_List!$AW$1</f>
        <v>PERPUSTAKAAN PUSAT</v>
      </c>
      <c r="G745" s="4" t="str">
        <f ca="1">Master_List!$AW$2</f>
        <v>09:30 PM</v>
      </c>
      <c r="H745" s="4" t="str">
        <f ca="1">Master_List!$AW$3</f>
        <v>20/07/2026</v>
      </c>
      <c r="I745" s="4" t="str">
        <f ca="1">Master_List!$AW$4</f>
        <v>28.5</v>
      </c>
      <c r="J745" s="4" t="str">
        <f ca="1">Master_List!$AW$5</f>
        <v>65</v>
      </c>
      <c r="K745" s="4" t="s">
        <v>579</v>
      </c>
      <c r="BL745" s="4" t="s">
        <v>1744</v>
      </c>
      <c r="BM745" s="4" t="s">
        <v>2126</v>
      </c>
      <c r="BN745" s="4" t="s">
        <v>1748</v>
      </c>
      <c r="BO745" s="4" t="str">
        <f t="shared" si="11"/>
        <v>C:\Users\aremi\Desktop\REPORT CBM\PO TIANU JB\03. Raw Material\40. 10052026 SSU MEDINI SIGNATURE 33KV (VI)\IR</v>
      </c>
      <c r="BP745" t="s">
        <v>1341</v>
      </c>
    </row>
    <row r="746" spans="1:68" thickBot="1" x14ac:dyDescent="0.3">
      <c r="A746" s="4">
        <v>373</v>
      </c>
      <c r="B746" s="4" t="s">
        <v>1333</v>
      </c>
      <c r="C746" s="4">
        <v>11</v>
      </c>
      <c r="D746" s="4" t="s">
        <v>1976</v>
      </c>
      <c r="E746" s="4">
        <v>5</v>
      </c>
      <c r="F746" s="4" t="str">
        <f ca="1">Master_List!$AW$1</f>
        <v>PERPUSTAKAAN PUSAT</v>
      </c>
      <c r="G746" s="4" t="str">
        <f ca="1">Master_List!$AW$2</f>
        <v>09:30 PM</v>
      </c>
      <c r="H746" s="4" t="str">
        <f ca="1">Master_List!$AW$3</f>
        <v>20/07/2026</v>
      </c>
      <c r="I746" s="4" t="str">
        <f ca="1">Master_List!$AW$4</f>
        <v>28.5</v>
      </c>
      <c r="J746" s="4" t="str">
        <f ca="1">Master_List!$AW$5</f>
        <v>65</v>
      </c>
      <c r="K746" s="4" t="s">
        <v>582</v>
      </c>
      <c r="BL746" s="4" t="s">
        <v>1744</v>
      </c>
      <c r="BM746" s="4" t="s">
        <v>2127</v>
      </c>
      <c r="BN746" s="4" t="s">
        <v>1746</v>
      </c>
      <c r="BO746" s="4" t="str">
        <f t="shared" si="11"/>
        <v>C:\Users\aremi\Desktop\REPORT CBM\PO TIANU JB\03. Raw Material\40. 10052026 SSU MEDINI SIGNATURE 33KV (VI)\IR</v>
      </c>
      <c r="BP746" t="s">
        <v>1342</v>
      </c>
    </row>
    <row r="747" spans="1:68" thickBot="1" x14ac:dyDescent="0.3">
      <c r="A747" s="4">
        <v>373</v>
      </c>
      <c r="B747" s="4" t="s">
        <v>1333</v>
      </c>
      <c r="C747" s="4">
        <v>11</v>
      </c>
      <c r="D747" s="4" t="s">
        <v>1976</v>
      </c>
      <c r="E747" s="4">
        <v>5</v>
      </c>
      <c r="F747" s="4" t="str">
        <f ca="1">Master_List!$AW$1</f>
        <v>PERPUSTAKAAN PUSAT</v>
      </c>
      <c r="G747" s="4" t="str">
        <f ca="1">Master_List!$AW$2</f>
        <v>09:30 PM</v>
      </c>
      <c r="H747" s="4" t="str">
        <f ca="1">Master_List!$AW$3</f>
        <v>20/07/2026</v>
      </c>
      <c r="I747" s="4" t="str">
        <f ca="1">Master_List!$AW$4</f>
        <v>28.5</v>
      </c>
      <c r="J747" s="4" t="str">
        <f ca="1">Master_List!$AW$5</f>
        <v>65</v>
      </c>
      <c r="K747" s="4" t="s">
        <v>582</v>
      </c>
      <c r="BL747" s="4" t="s">
        <v>1744</v>
      </c>
      <c r="BM747" s="4" t="s">
        <v>2127</v>
      </c>
      <c r="BN747" s="4" t="s">
        <v>1748</v>
      </c>
      <c r="BO747" s="4" t="str">
        <f t="shared" si="11"/>
        <v>C:\Users\aremi\Desktop\REPORT CBM\PO TIANU JB\03. Raw Material\40. 10052026 SSU MEDINI SIGNATURE 33KV (VI)\IR</v>
      </c>
      <c r="BP747" t="s">
        <v>1343</v>
      </c>
    </row>
    <row r="748" spans="1:68" thickBot="1" x14ac:dyDescent="0.3">
      <c r="A748" s="4">
        <v>374</v>
      </c>
      <c r="B748" s="4" t="s">
        <v>1333</v>
      </c>
      <c r="C748" s="4">
        <v>11</v>
      </c>
      <c r="D748" s="4" t="s">
        <v>1976</v>
      </c>
      <c r="E748" s="4">
        <v>6</v>
      </c>
      <c r="F748" s="4" t="str">
        <f ca="1">Master_List!$AW$1</f>
        <v>PERPUSTAKAAN PUSAT</v>
      </c>
      <c r="G748" s="4" t="str">
        <f ca="1">Master_List!$AW$2</f>
        <v>09:30 PM</v>
      </c>
      <c r="H748" s="4" t="str">
        <f ca="1">Master_List!$AW$3</f>
        <v>20/07/2026</v>
      </c>
      <c r="I748" s="4" t="str">
        <f ca="1">Master_List!$AW$4</f>
        <v>28.5</v>
      </c>
      <c r="J748" s="4" t="str">
        <f ca="1">Master_List!$AW$5</f>
        <v>65</v>
      </c>
      <c r="K748" s="4" t="s">
        <v>585</v>
      </c>
      <c r="BL748" s="4" t="s">
        <v>1744</v>
      </c>
      <c r="BM748" s="4" t="s">
        <v>2128</v>
      </c>
      <c r="BN748" s="4" t="s">
        <v>1746</v>
      </c>
      <c r="BO748" s="4" t="str">
        <f t="shared" si="11"/>
        <v>C:\Users\aremi\Desktop\REPORT CBM\PO TIANU JB\03. Raw Material\40. 10052026 SSU MEDINI SIGNATURE 33KV (VI)\IR</v>
      </c>
      <c r="BP748" t="s">
        <v>1344</v>
      </c>
    </row>
    <row r="749" spans="1:68" thickBot="1" x14ac:dyDescent="0.3">
      <c r="A749" s="4">
        <v>374</v>
      </c>
      <c r="B749" s="4" t="s">
        <v>1333</v>
      </c>
      <c r="C749" s="4">
        <v>11</v>
      </c>
      <c r="D749" s="4" t="s">
        <v>1976</v>
      </c>
      <c r="E749" s="4">
        <v>6</v>
      </c>
      <c r="F749" s="4" t="str">
        <f ca="1">Master_List!$AW$1</f>
        <v>PERPUSTAKAAN PUSAT</v>
      </c>
      <c r="G749" s="4" t="str">
        <f ca="1">Master_List!$AW$2</f>
        <v>09:30 PM</v>
      </c>
      <c r="H749" s="4" t="str">
        <f ca="1">Master_List!$AW$3</f>
        <v>20/07/2026</v>
      </c>
      <c r="I749" s="4" t="str">
        <f ca="1">Master_List!$AW$4</f>
        <v>28.5</v>
      </c>
      <c r="J749" s="4" t="str">
        <f ca="1">Master_List!$AW$5</f>
        <v>65</v>
      </c>
      <c r="K749" s="4" t="s">
        <v>585</v>
      </c>
      <c r="BL749" s="4" t="s">
        <v>1744</v>
      </c>
      <c r="BM749" s="4" t="s">
        <v>2128</v>
      </c>
      <c r="BN749" s="4" t="s">
        <v>1748</v>
      </c>
      <c r="BO749" s="4" t="str">
        <f t="shared" si="11"/>
        <v>C:\Users\aremi\Desktop\REPORT CBM\PO TIANU JB\03. Raw Material\40. 10052026 SSU MEDINI SIGNATURE 33KV (VI)\IR</v>
      </c>
      <c r="BP749" t="s">
        <v>1345</v>
      </c>
    </row>
    <row r="750" spans="1:68" thickBot="1" x14ac:dyDescent="0.3">
      <c r="A750" s="4">
        <v>375</v>
      </c>
      <c r="B750" s="4" t="s">
        <v>1333</v>
      </c>
      <c r="C750" s="4">
        <v>11</v>
      </c>
      <c r="D750" s="4" t="s">
        <v>1983</v>
      </c>
      <c r="E750" s="4">
        <v>7</v>
      </c>
      <c r="F750" s="4" t="str">
        <f ca="1">Master_List!$AW$1</f>
        <v>PERPUSTAKAAN PUSAT</v>
      </c>
      <c r="G750" s="4" t="str">
        <f ca="1">Master_List!$AW$2</f>
        <v>09:30 PM</v>
      </c>
      <c r="H750" s="4" t="str">
        <f ca="1">Master_List!$AW$3</f>
        <v>20/07/2026</v>
      </c>
      <c r="I750" s="4" t="str">
        <f ca="1">Master_List!$AW$4</f>
        <v>28.5</v>
      </c>
      <c r="J750" s="4" t="str">
        <f ca="1">Master_List!$AW$5</f>
        <v>65</v>
      </c>
      <c r="K750" s="4" t="s">
        <v>588</v>
      </c>
      <c r="BL750" s="4" t="s">
        <v>1744</v>
      </c>
      <c r="BM750" s="4" t="s">
        <v>2129</v>
      </c>
      <c r="BN750" s="4" t="s">
        <v>1746</v>
      </c>
      <c r="BO750" s="4" t="str">
        <f t="shared" si="11"/>
        <v>C:\Users\aremi\Desktop\REPORT CBM\PO TIANU JB\03. Raw Material\40. 10052026 SSU MEDINI SIGNATURE 33KV (VI)\IR</v>
      </c>
      <c r="BP750" t="s">
        <v>1346</v>
      </c>
    </row>
    <row r="751" spans="1:68" thickBot="1" x14ac:dyDescent="0.3">
      <c r="A751" s="4">
        <v>375</v>
      </c>
      <c r="B751" s="4" t="s">
        <v>1333</v>
      </c>
      <c r="C751" s="4">
        <v>11</v>
      </c>
      <c r="D751" s="4" t="s">
        <v>1983</v>
      </c>
      <c r="E751" s="4">
        <v>7</v>
      </c>
      <c r="F751" s="4" t="str">
        <f ca="1">Master_List!$AW$1</f>
        <v>PERPUSTAKAAN PUSAT</v>
      </c>
      <c r="G751" s="4" t="str">
        <f ca="1">Master_List!$AW$2</f>
        <v>09:30 PM</v>
      </c>
      <c r="H751" s="4" t="str">
        <f ca="1">Master_List!$AW$3</f>
        <v>20/07/2026</v>
      </c>
      <c r="I751" s="4" t="str">
        <f ca="1">Master_List!$AW$4</f>
        <v>28.5</v>
      </c>
      <c r="J751" s="4" t="str">
        <f ca="1">Master_List!$AW$5</f>
        <v>65</v>
      </c>
      <c r="K751" s="4" t="s">
        <v>588</v>
      </c>
      <c r="BL751" s="4" t="s">
        <v>1744</v>
      </c>
      <c r="BM751" s="4" t="s">
        <v>2129</v>
      </c>
      <c r="BN751" s="4" t="s">
        <v>1748</v>
      </c>
      <c r="BO751" s="4" t="str">
        <f t="shared" si="11"/>
        <v>C:\Users\aremi\Desktop\REPORT CBM\PO TIANU JB\03. Raw Material\40. 10052026 SSU MEDINI SIGNATURE 33KV (VI)\IR</v>
      </c>
      <c r="BP751" t="s">
        <v>1347</v>
      </c>
    </row>
    <row r="752" spans="1:68" thickBot="1" x14ac:dyDescent="0.3">
      <c r="A752" s="4">
        <v>376</v>
      </c>
      <c r="B752" s="4" t="s">
        <v>1333</v>
      </c>
      <c r="C752" s="4">
        <v>11</v>
      </c>
      <c r="D752" s="4" t="s">
        <v>1985</v>
      </c>
      <c r="E752" s="4">
        <v>8</v>
      </c>
      <c r="F752" s="4" t="str">
        <f ca="1">Master_List!$AW$1</f>
        <v>PERPUSTAKAAN PUSAT</v>
      </c>
      <c r="G752" s="4" t="str">
        <f ca="1">Master_List!$AW$2</f>
        <v>09:30 PM</v>
      </c>
      <c r="H752" s="4" t="str">
        <f ca="1">Master_List!$AW$3</f>
        <v>20/07/2026</v>
      </c>
      <c r="I752" s="4" t="str">
        <f ca="1">Master_List!$AW$4</f>
        <v>28.5</v>
      </c>
      <c r="J752" s="4" t="str">
        <f ca="1">Master_List!$AW$5</f>
        <v>65</v>
      </c>
      <c r="K752" s="4" t="s">
        <v>591</v>
      </c>
      <c r="BL752" s="4" t="s">
        <v>1744</v>
      </c>
      <c r="BM752" s="4" t="s">
        <v>2130</v>
      </c>
      <c r="BN752" s="4" t="s">
        <v>1746</v>
      </c>
      <c r="BO752" s="4" t="str">
        <f t="shared" si="11"/>
        <v>C:\Users\aremi\Desktop\REPORT CBM\PO TIANU JB\03. Raw Material\40. 10052026 SSU MEDINI SIGNATURE 33KV (VI)\IR</v>
      </c>
      <c r="BP752" t="s">
        <v>1348</v>
      </c>
    </row>
    <row r="753" spans="1:68" thickBot="1" x14ac:dyDescent="0.3">
      <c r="A753" s="4">
        <v>376</v>
      </c>
      <c r="B753" s="4" t="s">
        <v>1333</v>
      </c>
      <c r="C753" s="4">
        <v>11</v>
      </c>
      <c r="D753" s="4" t="s">
        <v>1985</v>
      </c>
      <c r="E753" s="4">
        <v>8</v>
      </c>
      <c r="F753" s="4" t="str">
        <f ca="1">Master_List!$AW$1</f>
        <v>PERPUSTAKAAN PUSAT</v>
      </c>
      <c r="G753" s="4" t="str">
        <f ca="1">Master_List!$AW$2</f>
        <v>09:30 PM</v>
      </c>
      <c r="H753" s="4" t="str">
        <f ca="1">Master_List!$AW$3</f>
        <v>20/07/2026</v>
      </c>
      <c r="I753" s="4" t="str">
        <f ca="1">Master_List!$AW$4</f>
        <v>28.5</v>
      </c>
      <c r="J753" s="4" t="str">
        <f ca="1">Master_List!$AW$5</f>
        <v>65</v>
      </c>
      <c r="K753" s="4" t="s">
        <v>591</v>
      </c>
      <c r="BL753" s="4" t="s">
        <v>1744</v>
      </c>
      <c r="BM753" s="4" t="s">
        <v>2130</v>
      </c>
      <c r="BN753" s="4" t="s">
        <v>1748</v>
      </c>
      <c r="BO753" s="4" t="str">
        <f t="shared" si="11"/>
        <v>C:\Users\aremi\Desktop\REPORT CBM\PO TIANU JB\03. Raw Material\40. 10052026 SSU MEDINI SIGNATURE 33KV (VI)\IR</v>
      </c>
      <c r="BP753" t="s">
        <v>1349</v>
      </c>
    </row>
    <row r="754" spans="1:68" thickBot="1" x14ac:dyDescent="0.3">
      <c r="A754" s="4">
        <v>377</v>
      </c>
      <c r="B754" s="4" t="s">
        <v>1350</v>
      </c>
      <c r="C754" s="4">
        <v>11</v>
      </c>
      <c r="D754" s="4" t="s">
        <v>1976</v>
      </c>
      <c r="E754" s="4">
        <v>1</v>
      </c>
      <c r="F754" s="4" t="str">
        <f ca="1">Master_List!$AW$1</f>
        <v>PERPUSTAKAAN PUSAT</v>
      </c>
      <c r="G754" s="4" t="str">
        <f ca="1">Master_List!$AW$2</f>
        <v>09:30 PM</v>
      </c>
      <c r="H754" s="4" t="str">
        <f ca="1">Master_List!$AW$3</f>
        <v>20/07/2026</v>
      </c>
      <c r="I754" s="4" t="str">
        <f ca="1">Master_List!$AW$4</f>
        <v>28.5</v>
      </c>
      <c r="J754" s="4" t="str">
        <f ca="1">Master_List!$AW$5</f>
        <v>65</v>
      </c>
      <c r="K754" s="4" t="s">
        <v>570</v>
      </c>
      <c r="BL754" s="4" t="s">
        <v>1744</v>
      </c>
      <c r="BM754" s="4" t="s">
        <v>2131</v>
      </c>
      <c r="BN754" s="4" t="s">
        <v>1746</v>
      </c>
      <c r="BO754" s="4" t="str">
        <f t="shared" si="11"/>
        <v>C:\Users\aremi\Desktop\REPORT CBM\PO TIANU JB\03. Raw Material\40. 10052026 SSU MEDINI SIGNATURE 33KV (VI)\IR</v>
      </c>
      <c r="BP754" t="s">
        <v>1351</v>
      </c>
    </row>
    <row r="755" spans="1:68" thickBot="1" x14ac:dyDescent="0.3">
      <c r="A755" s="4">
        <v>377</v>
      </c>
      <c r="B755" s="4" t="s">
        <v>1350</v>
      </c>
      <c r="C755" s="4">
        <v>11</v>
      </c>
      <c r="D755" s="4" t="s">
        <v>1976</v>
      </c>
      <c r="E755" s="4">
        <v>1</v>
      </c>
      <c r="F755" s="4" t="str">
        <f ca="1">Master_List!$AW$1</f>
        <v>PERPUSTAKAAN PUSAT</v>
      </c>
      <c r="G755" s="4" t="str">
        <f ca="1">Master_List!$AW$2</f>
        <v>09:30 PM</v>
      </c>
      <c r="H755" s="4" t="str">
        <f ca="1">Master_List!$AW$3</f>
        <v>20/07/2026</v>
      </c>
      <c r="I755" s="4" t="str">
        <f ca="1">Master_List!$AW$4</f>
        <v>28.5</v>
      </c>
      <c r="J755" s="4" t="str">
        <f ca="1">Master_List!$AW$5</f>
        <v>65</v>
      </c>
      <c r="K755" s="4" t="s">
        <v>570</v>
      </c>
      <c r="BL755" s="4" t="s">
        <v>1744</v>
      </c>
      <c r="BM755" s="4" t="s">
        <v>2131</v>
      </c>
      <c r="BN755" s="4" t="s">
        <v>1748</v>
      </c>
      <c r="BO755" s="4" t="str">
        <f t="shared" si="11"/>
        <v>C:\Users\aremi\Desktop\REPORT CBM\PO TIANU JB\03. Raw Material\40. 10052026 SSU MEDINI SIGNATURE 33KV (VI)\IR</v>
      </c>
      <c r="BP755" t="s">
        <v>1352</v>
      </c>
    </row>
    <row r="756" spans="1:68" thickBot="1" x14ac:dyDescent="0.3">
      <c r="A756" s="4">
        <v>378</v>
      </c>
      <c r="B756" s="4" t="s">
        <v>1350</v>
      </c>
      <c r="C756" s="4">
        <v>11</v>
      </c>
      <c r="D756" s="4" t="s">
        <v>1976</v>
      </c>
      <c r="E756" s="4">
        <v>2</v>
      </c>
      <c r="F756" s="4" t="str">
        <f ca="1">Master_List!$AW$1</f>
        <v>PERPUSTAKAAN PUSAT</v>
      </c>
      <c r="G756" s="4" t="str">
        <f ca="1">Master_List!$AW$2</f>
        <v>09:30 PM</v>
      </c>
      <c r="H756" s="4" t="str">
        <f ca="1">Master_List!$AW$3</f>
        <v>20/07/2026</v>
      </c>
      <c r="I756" s="4" t="str">
        <f ca="1">Master_List!$AW$4</f>
        <v>28.5</v>
      </c>
      <c r="J756" s="4" t="str">
        <f ca="1">Master_List!$AW$5</f>
        <v>65</v>
      </c>
      <c r="K756" s="4" t="s">
        <v>573</v>
      </c>
      <c r="BL756" s="4" t="s">
        <v>1744</v>
      </c>
      <c r="BM756" s="4" t="s">
        <v>2132</v>
      </c>
      <c r="BN756" s="4" t="s">
        <v>1746</v>
      </c>
      <c r="BO756" s="4" t="str">
        <f t="shared" si="11"/>
        <v>C:\Users\aremi\Desktop\REPORT CBM\PO TIANU JB\03. Raw Material\40. 10052026 SSU MEDINI SIGNATURE 33KV (VI)\IR</v>
      </c>
      <c r="BP756" t="s">
        <v>1353</v>
      </c>
    </row>
    <row r="757" spans="1:68" thickBot="1" x14ac:dyDescent="0.3">
      <c r="A757" s="4">
        <v>378</v>
      </c>
      <c r="B757" s="4" t="s">
        <v>1350</v>
      </c>
      <c r="C757" s="4">
        <v>11</v>
      </c>
      <c r="D757" s="4" t="s">
        <v>1976</v>
      </c>
      <c r="E757" s="4">
        <v>2</v>
      </c>
      <c r="F757" s="4" t="str">
        <f ca="1">Master_List!$AW$1</f>
        <v>PERPUSTAKAAN PUSAT</v>
      </c>
      <c r="G757" s="4" t="str">
        <f ca="1">Master_List!$AW$2</f>
        <v>09:30 PM</v>
      </c>
      <c r="H757" s="4" t="str">
        <f ca="1">Master_List!$AW$3</f>
        <v>20/07/2026</v>
      </c>
      <c r="I757" s="4" t="str">
        <f ca="1">Master_List!$AW$4</f>
        <v>28.5</v>
      </c>
      <c r="J757" s="4" t="str">
        <f ca="1">Master_List!$AW$5</f>
        <v>65</v>
      </c>
      <c r="K757" s="4" t="s">
        <v>573</v>
      </c>
      <c r="BL757" s="4" t="s">
        <v>1744</v>
      </c>
      <c r="BM757" s="4" t="s">
        <v>2132</v>
      </c>
      <c r="BN757" s="4" t="s">
        <v>1748</v>
      </c>
      <c r="BO757" s="4" t="str">
        <f t="shared" si="11"/>
        <v>C:\Users\aremi\Desktop\REPORT CBM\PO TIANU JB\03. Raw Material\40. 10052026 SSU MEDINI SIGNATURE 33KV (VI)\IR</v>
      </c>
      <c r="BP757" t="s">
        <v>1354</v>
      </c>
    </row>
    <row r="758" spans="1:68" thickBot="1" x14ac:dyDescent="0.3">
      <c r="A758" s="4">
        <v>379</v>
      </c>
      <c r="B758" s="4" t="s">
        <v>1350</v>
      </c>
      <c r="C758" s="4">
        <v>11</v>
      </c>
      <c r="D758" s="4" t="s">
        <v>1976</v>
      </c>
      <c r="E758" s="4">
        <v>3</v>
      </c>
      <c r="F758" s="4" t="str">
        <f ca="1">Master_List!$AW$1</f>
        <v>PERPUSTAKAAN PUSAT</v>
      </c>
      <c r="G758" s="4" t="str">
        <f ca="1">Master_List!$AW$2</f>
        <v>09:30 PM</v>
      </c>
      <c r="H758" s="4" t="str">
        <f ca="1">Master_List!$AW$3</f>
        <v>20/07/2026</v>
      </c>
      <c r="I758" s="4" t="str">
        <f ca="1">Master_List!$AW$4</f>
        <v>28.5</v>
      </c>
      <c r="J758" s="4" t="str">
        <f ca="1">Master_List!$AW$5</f>
        <v>65</v>
      </c>
      <c r="K758" s="4" t="s">
        <v>576</v>
      </c>
      <c r="BL758" s="4" t="s">
        <v>1744</v>
      </c>
      <c r="BM758" s="4" t="s">
        <v>2133</v>
      </c>
      <c r="BN758" s="4" t="s">
        <v>1746</v>
      </c>
      <c r="BO758" s="4" t="str">
        <f t="shared" si="11"/>
        <v>C:\Users\aremi\Desktop\REPORT CBM\PO TIANU JB\03. Raw Material\40. 10052026 SSU MEDINI SIGNATURE 33KV (VI)\IR</v>
      </c>
      <c r="BP758" t="s">
        <v>1355</v>
      </c>
    </row>
    <row r="759" spans="1:68" thickBot="1" x14ac:dyDescent="0.3">
      <c r="A759" s="4">
        <v>379</v>
      </c>
      <c r="B759" s="4" t="s">
        <v>1350</v>
      </c>
      <c r="C759" s="4">
        <v>11</v>
      </c>
      <c r="D759" s="4" t="s">
        <v>1976</v>
      </c>
      <c r="E759" s="4">
        <v>3</v>
      </c>
      <c r="F759" s="4" t="str">
        <f ca="1">Master_List!$AW$1</f>
        <v>PERPUSTAKAAN PUSAT</v>
      </c>
      <c r="G759" s="4" t="str">
        <f ca="1">Master_List!$AW$2</f>
        <v>09:30 PM</v>
      </c>
      <c r="H759" s="4" t="str">
        <f ca="1">Master_List!$AW$3</f>
        <v>20/07/2026</v>
      </c>
      <c r="I759" s="4" t="str">
        <f ca="1">Master_List!$AW$4</f>
        <v>28.5</v>
      </c>
      <c r="J759" s="4" t="str">
        <f ca="1">Master_List!$AW$5</f>
        <v>65</v>
      </c>
      <c r="K759" s="4" t="s">
        <v>576</v>
      </c>
      <c r="BL759" s="4" t="s">
        <v>1744</v>
      </c>
      <c r="BM759" s="4" t="s">
        <v>2133</v>
      </c>
      <c r="BN759" s="4" t="s">
        <v>1748</v>
      </c>
      <c r="BO759" s="4" t="str">
        <f t="shared" si="11"/>
        <v>C:\Users\aremi\Desktop\REPORT CBM\PO TIANU JB\03. Raw Material\40. 10052026 SSU MEDINI SIGNATURE 33KV (VI)\IR</v>
      </c>
      <c r="BP759" t="s">
        <v>1356</v>
      </c>
    </row>
    <row r="760" spans="1:68" thickBot="1" x14ac:dyDescent="0.3">
      <c r="A760" s="4">
        <v>380</v>
      </c>
      <c r="B760" s="4" t="s">
        <v>1350</v>
      </c>
      <c r="C760" s="4">
        <v>11</v>
      </c>
      <c r="D760" s="4" t="s">
        <v>1976</v>
      </c>
      <c r="E760" s="4">
        <v>4</v>
      </c>
      <c r="F760" s="4" t="str">
        <f ca="1">Master_List!$AW$1</f>
        <v>PERPUSTAKAAN PUSAT</v>
      </c>
      <c r="G760" s="4" t="str">
        <f ca="1">Master_List!$AW$2</f>
        <v>09:30 PM</v>
      </c>
      <c r="H760" s="4" t="str">
        <f ca="1">Master_List!$AW$3</f>
        <v>20/07/2026</v>
      </c>
      <c r="I760" s="4" t="str">
        <f ca="1">Master_List!$AW$4</f>
        <v>28.5</v>
      </c>
      <c r="J760" s="4" t="str">
        <f ca="1">Master_List!$AW$5</f>
        <v>65</v>
      </c>
      <c r="K760" s="4" t="s">
        <v>579</v>
      </c>
      <c r="BL760" s="4" t="s">
        <v>1744</v>
      </c>
      <c r="BM760" s="4" t="s">
        <v>2134</v>
      </c>
      <c r="BN760" s="4" t="s">
        <v>1746</v>
      </c>
      <c r="BO760" s="4" t="str">
        <f t="shared" si="11"/>
        <v>C:\Users\aremi\Desktop\REPORT CBM\PO TIANU JB\03. Raw Material\40. 10052026 SSU MEDINI SIGNATURE 33KV (VI)\IR</v>
      </c>
      <c r="BP760" t="s">
        <v>1357</v>
      </c>
    </row>
    <row r="761" spans="1:68" thickBot="1" x14ac:dyDescent="0.3">
      <c r="A761" s="4">
        <v>380</v>
      </c>
      <c r="B761" s="4" t="s">
        <v>1350</v>
      </c>
      <c r="C761" s="4">
        <v>11</v>
      </c>
      <c r="D761" s="4" t="s">
        <v>1976</v>
      </c>
      <c r="E761" s="4">
        <v>4</v>
      </c>
      <c r="F761" s="4" t="str">
        <f ca="1">Master_List!$AW$1</f>
        <v>PERPUSTAKAAN PUSAT</v>
      </c>
      <c r="G761" s="4" t="str">
        <f ca="1">Master_List!$AW$2</f>
        <v>09:30 PM</v>
      </c>
      <c r="H761" s="4" t="str">
        <f ca="1">Master_List!$AW$3</f>
        <v>20/07/2026</v>
      </c>
      <c r="I761" s="4" t="str">
        <f ca="1">Master_List!$AW$4</f>
        <v>28.5</v>
      </c>
      <c r="J761" s="4" t="str">
        <f ca="1">Master_List!$AW$5</f>
        <v>65</v>
      </c>
      <c r="K761" s="4" t="s">
        <v>579</v>
      </c>
      <c r="BL761" s="4" t="s">
        <v>1744</v>
      </c>
      <c r="BM761" s="4" t="s">
        <v>2134</v>
      </c>
      <c r="BN761" s="4" t="s">
        <v>1748</v>
      </c>
      <c r="BO761" s="4" t="str">
        <f t="shared" si="11"/>
        <v>C:\Users\aremi\Desktop\REPORT CBM\PO TIANU JB\03. Raw Material\40. 10052026 SSU MEDINI SIGNATURE 33KV (VI)\IR</v>
      </c>
      <c r="BP761" t="s">
        <v>1358</v>
      </c>
    </row>
    <row r="762" spans="1:68" thickBot="1" x14ac:dyDescent="0.3">
      <c r="A762" s="4">
        <v>381</v>
      </c>
      <c r="B762" s="4" t="s">
        <v>1350</v>
      </c>
      <c r="C762" s="4">
        <v>11</v>
      </c>
      <c r="D762" s="4" t="s">
        <v>1976</v>
      </c>
      <c r="E762" s="4">
        <v>5</v>
      </c>
      <c r="F762" s="4" t="str">
        <f ca="1">Master_List!$AW$1</f>
        <v>PERPUSTAKAAN PUSAT</v>
      </c>
      <c r="G762" s="4" t="str">
        <f ca="1">Master_List!$AW$2</f>
        <v>09:30 PM</v>
      </c>
      <c r="H762" s="4" t="str">
        <f ca="1">Master_List!$AW$3</f>
        <v>20/07/2026</v>
      </c>
      <c r="I762" s="4" t="str">
        <f ca="1">Master_List!$AW$4</f>
        <v>28.5</v>
      </c>
      <c r="J762" s="4" t="str">
        <f ca="1">Master_List!$AW$5</f>
        <v>65</v>
      </c>
      <c r="K762" s="4" t="s">
        <v>582</v>
      </c>
      <c r="BL762" s="4" t="s">
        <v>1744</v>
      </c>
      <c r="BM762" s="4" t="s">
        <v>2135</v>
      </c>
      <c r="BN762" s="4" t="s">
        <v>1746</v>
      </c>
      <c r="BO762" s="4" t="str">
        <f t="shared" si="11"/>
        <v>C:\Users\aremi\Desktop\REPORT CBM\PO TIANU JB\03. Raw Material\40. 10052026 SSU MEDINI SIGNATURE 33KV (VI)\IR</v>
      </c>
      <c r="BP762" t="s">
        <v>1359</v>
      </c>
    </row>
    <row r="763" spans="1:68" thickBot="1" x14ac:dyDescent="0.3">
      <c r="A763" s="4">
        <v>381</v>
      </c>
      <c r="B763" s="4" t="s">
        <v>1350</v>
      </c>
      <c r="C763" s="4">
        <v>11</v>
      </c>
      <c r="D763" s="4" t="s">
        <v>1976</v>
      </c>
      <c r="E763" s="4">
        <v>5</v>
      </c>
      <c r="F763" s="4" t="str">
        <f ca="1">Master_List!$AW$1</f>
        <v>PERPUSTAKAAN PUSAT</v>
      </c>
      <c r="G763" s="4" t="str">
        <f ca="1">Master_List!$AW$2</f>
        <v>09:30 PM</v>
      </c>
      <c r="H763" s="4" t="str">
        <f ca="1">Master_List!$AW$3</f>
        <v>20/07/2026</v>
      </c>
      <c r="I763" s="4" t="str">
        <f ca="1">Master_List!$AW$4</f>
        <v>28.5</v>
      </c>
      <c r="J763" s="4" t="str">
        <f ca="1">Master_List!$AW$5</f>
        <v>65</v>
      </c>
      <c r="K763" s="4" t="s">
        <v>582</v>
      </c>
      <c r="BL763" s="4" t="s">
        <v>1744</v>
      </c>
      <c r="BM763" s="4" t="s">
        <v>2135</v>
      </c>
      <c r="BN763" s="4" t="s">
        <v>1748</v>
      </c>
      <c r="BO763" s="4" t="str">
        <f t="shared" si="11"/>
        <v>C:\Users\aremi\Desktop\REPORT CBM\PO TIANU JB\03. Raw Material\40. 10052026 SSU MEDINI SIGNATURE 33KV (VI)\IR</v>
      </c>
      <c r="BP763" t="s">
        <v>1360</v>
      </c>
    </row>
    <row r="764" spans="1:68" thickBot="1" x14ac:dyDescent="0.3">
      <c r="A764" s="4">
        <v>382</v>
      </c>
      <c r="B764" s="4" t="s">
        <v>1350</v>
      </c>
      <c r="C764" s="4">
        <v>11</v>
      </c>
      <c r="D764" s="4" t="s">
        <v>1976</v>
      </c>
      <c r="E764" s="4">
        <v>6</v>
      </c>
      <c r="F764" s="4" t="str">
        <f ca="1">Master_List!$AW$1</f>
        <v>PERPUSTAKAAN PUSAT</v>
      </c>
      <c r="G764" s="4" t="str">
        <f ca="1">Master_List!$AW$2</f>
        <v>09:30 PM</v>
      </c>
      <c r="H764" s="4" t="str">
        <f ca="1">Master_List!$AW$3</f>
        <v>20/07/2026</v>
      </c>
      <c r="I764" s="4" t="str">
        <f ca="1">Master_List!$AW$4</f>
        <v>28.5</v>
      </c>
      <c r="J764" s="4" t="str">
        <f ca="1">Master_List!$AW$5</f>
        <v>65</v>
      </c>
      <c r="K764" s="4" t="s">
        <v>585</v>
      </c>
      <c r="BL764" s="4" t="s">
        <v>1744</v>
      </c>
      <c r="BM764" s="4" t="s">
        <v>2136</v>
      </c>
      <c r="BN764" s="4" t="s">
        <v>1746</v>
      </c>
      <c r="BO764" s="4" t="str">
        <f t="shared" si="11"/>
        <v>C:\Users\aremi\Desktop\REPORT CBM\PO TIANU JB\03. Raw Material\40. 10052026 SSU MEDINI SIGNATURE 33KV (VI)\IR</v>
      </c>
      <c r="BP764" t="s">
        <v>1361</v>
      </c>
    </row>
    <row r="765" spans="1:68" thickBot="1" x14ac:dyDescent="0.3">
      <c r="A765" s="4">
        <v>382</v>
      </c>
      <c r="B765" s="4" t="s">
        <v>1350</v>
      </c>
      <c r="C765" s="4">
        <v>11</v>
      </c>
      <c r="D765" s="4" t="s">
        <v>1976</v>
      </c>
      <c r="E765" s="4">
        <v>6</v>
      </c>
      <c r="F765" s="4" t="str">
        <f ca="1">Master_List!$AW$1</f>
        <v>PERPUSTAKAAN PUSAT</v>
      </c>
      <c r="G765" s="4" t="str">
        <f ca="1">Master_List!$AW$2</f>
        <v>09:30 PM</v>
      </c>
      <c r="H765" s="4" t="str">
        <f ca="1">Master_List!$AW$3</f>
        <v>20/07/2026</v>
      </c>
      <c r="I765" s="4" t="str">
        <f ca="1">Master_List!$AW$4</f>
        <v>28.5</v>
      </c>
      <c r="J765" s="4" t="str">
        <f ca="1">Master_List!$AW$5</f>
        <v>65</v>
      </c>
      <c r="K765" s="4" t="s">
        <v>585</v>
      </c>
      <c r="BL765" s="4" t="s">
        <v>1744</v>
      </c>
      <c r="BM765" s="4" t="s">
        <v>2136</v>
      </c>
      <c r="BN765" s="4" t="s">
        <v>1748</v>
      </c>
      <c r="BO765" s="4" t="str">
        <f t="shared" si="11"/>
        <v>C:\Users\aremi\Desktop\REPORT CBM\PO TIANU JB\03. Raw Material\40. 10052026 SSU MEDINI SIGNATURE 33KV (VI)\IR</v>
      </c>
      <c r="BP765" t="s">
        <v>1362</v>
      </c>
    </row>
    <row r="766" spans="1:68" thickBot="1" x14ac:dyDescent="0.3">
      <c r="A766" s="4">
        <v>383</v>
      </c>
      <c r="B766" s="4" t="s">
        <v>1350</v>
      </c>
      <c r="C766" s="4">
        <v>11</v>
      </c>
      <c r="D766" s="4" t="s">
        <v>1983</v>
      </c>
      <c r="E766" s="4">
        <v>7</v>
      </c>
      <c r="F766" s="4" t="str">
        <f ca="1">Master_List!$AW$1</f>
        <v>PERPUSTAKAAN PUSAT</v>
      </c>
      <c r="G766" s="4" t="str">
        <f ca="1">Master_List!$AW$2</f>
        <v>09:30 PM</v>
      </c>
      <c r="H766" s="4" t="str">
        <f ca="1">Master_List!$AW$3</f>
        <v>20/07/2026</v>
      </c>
      <c r="I766" s="4" t="str">
        <f ca="1">Master_List!$AW$4</f>
        <v>28.5</v>
      </c>
      <c r="J766" s="4" t="str">
        <f ca="1">Master_List!$AW$5</f>
        <v>65</v>
      </c>
      <c r="K766" s="4" t="s">
        <v>588</v>
      </c>
      <c r="BL766" s="4" t="s">
        <v>1744</v>
      </c>
      <c r="BM766" s="4" t="s">
        <v>2137</v>
      </c>
      <c r="BN766" s="4" t="s">
        <v>1746</v>
      </c>
      <c r="BO766" s="4" t="str">
        <f t="shared" si="11"/>
        <v>C:\Users\aremi\Desktop\REPORT CBM\PO TIANU JB\03. Raw Material\40. 10052026 SSU MEDINI SIGNATURE 33KV (VI)\IR</v>
      </c>
      <c r="BP766" t="s">
        <v>1363</v>
      </c>
    </row>
    <row r="767" spans="1:68" thickBot="1" x14ac:dyDescent="0.3">
      <c r="A767" s="4">
        <v>383</v>
      </c>
      <c r="B767" s="4" t="s">
        <v>1350</v>
      </c>
      <c r="C767" s="4">
        <v>11</v>
      </c>
      <c r="D767" s="4" t="s">
        <v>1983</v>
      </c>
      <c r="E767" s="4">
        <v>7</v>
      </c>
      <c r="F767" s="4" t="str">
        <f ca="1">Master_List!$AW$1</f>
        <v>PERPUSTAKAAN PUSAT</v>
      </c>
      <c r="G767" s="4" t="str">
        <f ca="1">Master_List!$AW$2</f>
        <v>09:30 PM</v>
      </c>
      <c r="H767" s="4" t="str">
        <f ca="1">Master_List!$AW$3</f>
        <v>20/07/2026</v>
      </c>
      <c r="I767" s="4" t="str">
        <f ca="1">Master_List!$AW$4</f>
        <v>28.5</v>
      </c>
      <c r="J767" s="4" t="str">
        <f ca="1">Master_List!$AW$5</f>
        <v>65</v>
      </c>
      <c r="K767" s="4" t="s">
        <v>588</v>
      </c>
      <c r="BL767" s="4" t="s">
        <v>1744</v>
      </c>
      <c r="BM767" s="4" t="s">
        <v>2137</v>
      </c>
      <c r="BN767" s="4" t="s">
        <v>1748</v>
      </c>
      <c r="BO767" s="4" t="str">
        <f t="shared" si="11"/>
        <v>C:\Users\aremi\Desktop\REPORT CBM\PO TIANU JB\03. Raw Material\40. 10052026 SSU MEDINI SIGNATURE 33KV (VI)\IR</v>
      </c>
      <c r="BP767" t="s">
        <v>1364</v>
      </c>
    </row>
    <row r="768" spans="1:68" thickBot="1" x14ac:dyDescent="0.3">
      <c r="A768" s="4">
        <v>384</v>
      </c>
      <c r="B768" s="4" t="s">
        <v>1350</v>
      </c>
      <c r="C768" s="4">
        <v>11</v>
      </c>
      <c r="D768" s="4" t="s">
        <v>1985</v>
      </c>
      <c r="E768" s="4">
        <v>8</v>
      </c>
      <c r="F768" s="4" t="str">
        <f ca="1">Master_List!$AW$1</f>
        <v>PERPUSTAKAAN PUSAT</v>
      </c>
      <c r="G768" s="4" t="str">
        <f ca="1">Master_List!$AW$2</f>
        <v>09:30 PM</v>
      </c>
      <c r="H768" s="4" t="str">
        <f ca="1">Master_List!$AW$3</f>
        <v>20/07/2026</v>
      </c>
      <c r="I768" s="4" t="str">
        <f ca="1">Master_List!$AW$4</f>
        <v>28.5</v>
      </c>
      <c r="J768" s="4" t="str">
        <f ca="1">Master_List!$AW$5</f>
        <v>65</v>
      </c>
      <c r="K768" s="4" t="s">
        <v>591</v>
      </c>
      <c r="BL768" s="4" t="s">
        <v>1744</v>
      </c>
      <c r="BM768" s="4" t="s">
        <v>2138</v>
      </c>
      <c r="BN768" s="4" t="s">
        <v>1746</v>
      </c>
      <c r="BO768" s="4" t="str">
        <f t="shared" si="11"/>
        <v>C:\Users\aremi\Desktop\REPORT CBM\PO TIANU JB\03. Raw Material\40. 10052026 SSU MEDINI SIGNATURE 33KV (VI)\IR</v>
      </c>
      <c r="BP768" t="s">
        <v>1365</v>
      </c>
    </row>
    <row r="769" spans="1:68" thickBot="1" x14ac:dyDescent="0.3">
      <c r="A769" s="4">
        <v>384</v>
      </c>
      <c r="B769" s="4" t="s">
        <v>1350</v>
      </c>
      <c r="C769" s="4">
        <v>11</v>
      </c>
      <c r="D769" s="4" t="s">
        <v>1985</v>
      </c>
      <c r="E769" s="4">
        <v>8</v>
      </c>
      <c r="F769" s="4" t="str">
        <f ca="1">Master_List!$AW$1</f>
        <v>PERPUSTAKAAN PUSAT</v>
      </c>
      <c r="G769" s="4" t="str">
        <f ca="1">Master_List!$AW$2</f>
        <v>09:30 PM</v>
      </c>
      <c r="H769" s="4" t="str">
        <f ca="1">Master_List!$AW$3</f>
        <v>20/07/2026</v>
      </c>
      <c r="I769" s="4" t="str">
        <f ca="1">Master_List!$AW$4</f>
        <v>28.5</v>
      </c>
      <c r="J769" s="4" t="str">
        <f ca="1">Master_List!$AW$5</f>
        <v>65</v>
      </c>
      <c r="K769" s="4" t="s">
        <v>591</v>
      </c>
      <c r="BL769" s="4" t="s">
        <v>1744</v>
      </c>
      <c r="BM769" s="4" t="s">
        <v>2138</v>
      </c>
      <c r="BN769" s="4" t="s">
        <v>1748</v>
      </c>
      <c r="BO769" s="4" t="str">
        <f t="shared" si="11"/>
        <v>C:\Users\aremi\Desktop\REPORT CBM\PO TIANU JB\03. Raw Material\40. 10052026 SSU MEDINI SIGNATURE 33KV (VI)\IR</v>
      </c>
      <c r="BP769" t="s">
        <v>1366</v>
      </c>
    </row>
    <row r="770" spans="1:68" thickBot="1" x14ac:dyDescent="0.3">
      <c r="A770" s="4">
        <v>385</v>
      </c>
      <c r="B770" s="4" t="s">
        <v>1367</v>
      </c>
      <c r="C770" s="4">
        <v>12</v>
      </c>
      <c r="D770" s="4" t="s">
        <v>1976</v>
      </c>
      <c r="E770" s="4">
        <v>1</v>
      </c>
      <c r="F770" s="4" t="str">
        <f ca="1">Master_List!$AW$1</f>
        <v>PERPUSTAKAAN PUSAT</v>
      </c>
      <c r="G770" s="4" t="str">
        <f ca="1">Master_List!$AW$2</f>
        <v>09:30 PM</v>
      </c>
      <c r="H770" s="4" t="str">
        <f ca="1">Master_List!$AW$3</f>
        <v>20/07/2026</v>
      </c>
      <c r="I770" s="4" t="str">
        <f ca="1">Master_List!$AW$4</f>
        <v>28.5</v>
      </c>
      <c r="J770" s="4" t="str">
        <f ca="1">Master_List!$AW$5</f>
        <v>65</v>
      </c>
      <c r="K770" s="4" t="s">
        <v>570</v>
      </c>
      <c r="BL770" s="4" t="s">
        <v>1744</v>
      </c>
      <c r="BM770" s="4" t="s">
        <v>2139</v>
      </c>
      <c r="BN770" s="4" t="s">
        <v>1746</v>
      </c>
      <c r="BO770" s="4" t="str">
        <f t="shared" si="11"/>
        <v>C:\Users\aremi\Desktop\REPORT CBM\PO TIANU JB\03. Raw Material\40. 10052026 SSU MEDINI SIGNATURE 33KV (VI)\IR</v>
      </c>
      <c r="BP770" t="s">
        <v>1368</v>
      </c>
    </row>
    <row r="771" spans="1:68" thickBot="1" x14ac:dyDescent="0.3">
      <c r="A771" s="4">
        <v>385</v>
      </c>
      <c r="B771" s="4" t="s">
        <v>1367</v>
      </c>
      <c r="C771" s="4">
        <v>12</v>
      </c>
      <c r="D771" s="4" t="s">
        <v>1976</v>
      </c>
      <c r="E771" s="4">
        <v>1</v>
      </c>
      <c r="F771" s="4" t="str">
        <f ca="1">Master_List!$AW$1</f>
        <v>PERPUSTAKAAN PUSAT</v>
      </c>
      <c r="G771" s="4" t="str">
        <f ca="1">Master_List!$AW$2</f>
        <v>09:30 PM</v>
      </c>
      <c r="H771" s="4" t="str">
        <f ca="1">Master_List!$AW$3</f>
        <v>20/07/2026</v>
      </c>
      <c r="I771" s="4" t="str">
        <f ca="1">Master_List!$AW$4</f>
        <v>28.5</v>
      </c>
      <c r="J771" s="4" t="str">
        <f ca="1">Master_List!$AW$5</f>
        <v>65</v>
      </c>
      <c r="K771" s="4" t="s">
        <v>570</v>
      </c>
      <c r="BL771" s="4" t="s">
        <v>1744</v>
      </c>
      <c r="BM771" s="4" t="s">
        <v>2139</v>
      </c>
      <c r="BN771" s="4" t="s">
        <v>1748</v>
      </c>
      <c r="BO771" s="4" t="str">
        <f t="shared" ref="BO771:BO834" si="12">BO770</f>
        <v>C:\Users\aremi\Desktop\REPORT CBM\PO TIANU JB\03. Raw Material\40. 10052026 SSU MEDINI SIGNATURE 33KV (VI)\IR</v>
      </c>
      <c r="BP771" t="s">
        <v>1369</v>
      </c>
    </row>
    <row r="772" spans="1:68" thickBot="1" x14ac:dyDescent="0.3">
      <c r="A772" s="4">
        <v>386</v>
      </c>
      <c r="B772" s="4" t="s">
        <v>1367</v>
      </c>
      <c r="C772" s="4">
        <v>12</v>
      </c>
      <c r="D772" s="4" t="s">
        <v>1976</v>
      </c>
      <c r="E772" s="4">
        <v>2</v>
      </c>
      <c r="F772" s="4" t="str">
        <f ca="1">Master_List!$AW$1</f>
        <v>PERPUSTAKAAN PUSAT</v>
      </c>
      <c r="G772" s="4" t="str">
        <f ca="1">Master_List!$AW$2</f>
        <v>09:30 PM</v>
      </c>
      <c r="H772" s="4" t="str">
        <f ca="1">Master_List!$AW$3</f>
        <v>20/07/2026</v>
      </c>
      <c r="I772" s="4" t="str">
        <f ca="1">Master_List!$AW$4</f>
        <v>28.5</v>
      </c>
      <c r="J772" s="4" t="str">
        <f ca="1">Master_List!$AW$5</f>
        <v>65</v>
      </c>
      <c r="K772" s="4" t="s">
        <v>573</v>
      </c>
      <c r="BL772" s="4" t="s">
        <v>1744</v>
      </c>
      <c r="BM772" s="4" t="s">
        <v>2140</v>
      </c>
      <c r="BN772" s="4" t="s">
        <v>1746</v>
      </c>
      <c r="BO772" s="4" t="str">
        <f t="shared" si="12"/>
        <v>C:\Users\aremi\Desktop\REPORT CBM\PO TIANU JB\03. Raw Material\40. 10052026 SSU MEDINI SIGNATURE 33KV (VI)\IR</v>
      </c>
      <c r="BP772" t="s">
        <v>1370</v>
      </c>
    </row>
    <row r="773" spans="1:68" thickBot="1" x14ac:dyDescent="0.3">
      <c r="A773" s="4">
        <v>386</v>
      </c>
      <c r="B773" s="4" t="s">
        <v>1367</v>
      </c>
      <c r="C773" s="4">
        <v>12</v>
      </c>
      <c r="D773" s="4" t="s">
        <v>1976</v>
      </c>
      <c r="E773" s="4">
        <v>2</v>
      </c>
      <c r="F773" s="4" t="str">
        <f ca="1">Master_List!$AW$1</f>
        <v>PERPUSTAKAAN PUSAT</v>
      </c>
      <c r="G773" s="4" t="str">
        <f ca="1">Master_List!$AW$2</f>
        <v>09:30 PM</v>
      </c>
      <c r="H773" s="4" t="str">
        <f ca="1">Master_List!$AW$3</f>
        <v>20/07/2026</v>
      </c>
      <c r="I773" s="4" t="str">
        <f ca="1">Master_List!$AW$4</f>
        <v>28.5</v>
      </c>
      <c r="J773" s="4" t="str">
        <f ca="1">Master_List!$AW$5</f>
        <v>65</v>
      </c>
      <c r="K773" s="4" t="s">
        <v>573</v>
      </c>
      <c r="BL773" s="4" t="s">
        <v>1744</v>
      </c>
      <c r="BM773" s="4" t="s">
        <v>2140</v>
      </c>
      <c r="BN773" s="4" t="s">
        <v>1748</v>
      </c>
      <c r="BO773" s="4" t="str">
        <f t="shared" si="12"/>
        <v>C:\Users\aremi\Desktop\REPORT CBM\PO TIANU JB\03. Raw Material\40. 10052026 SSU MEDINI SIGNATURE 33KV (VI)\IR</v>
      </c>
      <c r="BP773" t="s">
        <v>1371</v>
      </c>
    </row>
    <row r="774" spans="1:68" thickBot="1" x14ac:dyDescent="0.3">
      <c r="A774" s="4">
        <v>387</v>
      </c>
      <c r="B774" s="4" t="s">
        <v>1367</v>
      </c>
      <c r="C774" s="4">
        <v>12</v>
      </c>
      <c r="D774" s="4" t="s">
        <v>1976</v>
      </c>
      <c r="E774" s="4">
        <v>3</v>
      </c>
      <c r="F774" s="4" t="str">
        <f ca="1">Master_List!$AW$1</f>
        <v>PERPUSTAKAAN PUSAT</v>
      </c>
      <c r="G774" s="4" t="str">
        <f ca="1">Master_List!$AW$2</f>
        <v>09:30 PM</v>
      </c>
      <c r="H774" s="4" t="str">
        <f ca="1">Master_List!$AW$3</f>
        <v>20/07/2026</v>
      </c>
      <c r="I774" s="4" t="str">
        <f ca="1">Master_List!$AW$4</f>
        <v>28.5</v>
      </c>
      <c r="J774" s="4" t="str">
        <f ca="1">Master_List!$AW$5</f>
        <v>65</v>
      </c>
      <c r="K774" s="4" t="s">
        <v>576</v>
      </c>
      <c r="BL774" s="4" t="s">
        <v>1744</v>
      </c>
      <c r="BM774" s="4" t="s">
        <v>2141</v>
      </c>
      <c r="BN774" s="4" t="s">
        <v>1746</v>
      </c>
      <c r="BO774" s="4" t="str">
        <f t="shared" si="12"/>
        <v>C:\Users\aremi\Desktop\REPORT CBM\PO TIANU JB\03. Raw Material\40. 10052026 SSU MEDINI SIGNATURE 33KV (VI)\IR</v>
      </c>
      <c r="BP774" t="s">
        <v>1372</v>
      </c>
    </row>
    <row r="775" spans="1:68" thickBot="1" x14ac:dyDescent="0.3">
      <c r="A775" s="4">
        <v>387</v>
      </c>
      <c r="B775" s="4" t="s">
        <v>1367</v>
      </c>
      <c r="C775" s="4">
        <v>12</v>
      </c>
      <c r="D775" s="4" t="s">
        <v>1976</v>
      </c>
      <c r="E775" s="4">
        <v>3</v>
      </c>
      <c r="F775" s="4" t="str">
        <f ca="1">Master_List!$AW$1</f>
        <v>PERPUSTAKAAN PUSAT</v>
      </c>
      <c r="G775" s="4" t="str">
        <f ca="1">Master_List!$AW$2</f>
        <v>09:30 PM</v>
      </c>
      <c r="H775" s="4" t="str">
        <f ca="1">Master_List!$AW$3</f>
        <v>20/07/2026</v>
      </c>
      <c r="I775" s="4" t="str">
        <f ca="1">Master_List!$AW$4</f>
        <v>28.5</v>
      </c>
      <c r="J775" s="4" t="str">
        <f ca="1">Master_List!$AW$5</f>
        <v>65</v>
      </c>
      <c r="K775" s="4" t="s">
        <v>576</v>
      </c>
      <c r="BL775" s="4" t="s">
        <v>1744</v>
      </c>
      <c r="BM775" s="4" t="s">
        <v>2141</v>
      </c>
      <c r="BN775" s="4" t="s">
        <v>1748</v>
      </c>
      <c r="BO775" s="4" t="str">
        <f t="shared" si="12"/>
        <v>C:\Users\aremi\Desktop\REPORT CBM\PO TIANU JB\03. Raw Material\40. 10052026 SSU MEDINI SIGNATURE 33KV (VI)\IR</v>
      </c>
      <c r="BP775" t="s">
        <v>1373</v>
      </c>
    </row>
    <row r="776" spans="1:68" thickBot="1" x14ac:dyDescent="0.3">
      <c r="A776" s="4">
        <v>388</v>
      </c>
      <c r="B776" s="4" t="s">
        <v>1367</v>
      </c>
      <c r="C776" s="4">
        <v>12</v>
      </c>
      <c r="D776" s="4" t="s">
        <v>1976</v>
      </c>
      <c r="E776" s="4">
        <v>4</v>
      </c>
      <c r="F776" s="4" t="str">
        <f ca="1">Master_List!$AW$1</f>
        <v>PERPUSTAKAAN PUSAT</v>
      </c>
      <c r="G776" s="4" t="str">
        <f ca="1">Master_List!$AW$2</f>
        <v>09:30 PM</v>
      </c>
      <c r="H776" s="4" t="str">
        <f ca="1">Master_List!$AW$3</f>
        <v>20/07/2026</v>
      </c>
      <c r="I776" s="4" t="str">
        <f ca="1">Master_List!$AW$4</f>
        <v>28.5</v>
      </c>
      <c r="J776" s="4" t="str">
        <f ca="1">Master_List!$AW$5</f>
        <v>65</v>
      </c>
      <c r="K776" s="4" t="s">
        <v>579</v>
      </c>
      <c r="BL776" s="4" t="s">
        <v>1744</v>
      </c>
      <c r="BM776" s="4" t="s">
        <v>2142</v>
      </c>
      <c r="BN776" s="4" t="s">
        <v>1746</v>
      </c>
      <c r="BO776" s="4" t="str">
        <f t="shared" si="12"/>
        <v>C:\Users\aremi\Desktop\REPORT CBM\PO TIANU JB\03. Raw Material\40. 10052026 SSU MEDINI SIGNATURE 33KV (VI)\IR</v>
      </c>
      <c r="BP776" t="s">
        <v>1374</v>
      </c>
    </row>
    <row r="777" spans="1:68" thickBot="1" x14ac:dyDescent="0.3">
      <c r="A777" s="4">
        <v>388</v>
      </c>
      <c r="B777" s="4" t="s">
        <v>1367</v>
      </c>
      <c r="C777" s="4">
        <v>12</v>
      </c>
      <c r="D777" s="4" t="s">
        <v>1976</v>
      </c>
      <c r="E777" s="4">
        <v>4</v>
      </c>
      <c r="F777" s="4" t="str">
        <f ca="1">Master_List!$AW$1</f>
        <v>PERPUSTAKAAN PUSAT</v>
      </c>
      <c r="G777" s="4" t="str">
        <f ca="1">Master_List!$AW$2</f>
        <v>09:30 PM</v>
      </c>
      <c r="H777" s="4" t="str">
        <f ca="1">Master_List!$AW$3</f>
        <v>20/07/2026</v>
      </c>
      <c r="I777" s="4" t="str">
        <f ca="1">Master_List!$AW$4</f>
        <v>28.5</v>
      </c>
      <c r="J777" s="4" t="str">
        <f ca="1">Master_List!$AW$5</f>
        <v>65</v>
      </c>
      <c r="K777" s="4" t="s">
        <v>579</v>
      </c>
      <c r="BL777" s="4" t="s">
        <v>1744</v>
      </c>
      <c r="BM777" s="4" t="s">
        <v>2142</v>
      </c>
      <c r="BN777" s="4" t="s">
        <v>1748</v>
      </c>
      <c r="BO777" s="4" t="str">
        <f t="shared" si="12"/>
        <v>C:\Users\aremi\Desktop\REPORT CBM\PO TIANU JB\03. Raw Material\40. 10052026 SSU MEDINI SIGNATURE 33KV (VI)\IR</v>
      </c>
      <c r="BP777" t="s">
        <v>1375</v>
      </c>
    </row>
    <row r="778" spans="1:68" thickBot="1" x14ac:dyDescent="0.3">
      <c r="A778" s="4">
        <v>389</v>
      </c>
      <c r="B778" s="4" t="s">
        <v>1367</v>
      </c>
      <c r="C778" s="4">
        <v>12</v>
      </c>
      <c r="D778" s="4" t="s">
        <v>1976</v>
      </c>
      <c r="E778" s="4">
        <v>5</v>
      </c>
      <c r="F778" s="4" t="str">
        <f ca="1">Master_List!$AW$1</f>
        <v>PERPUSTAKAAN PUSAT</v>
      </c>
      <c r="G778" s="4" t="str">
        <f ca="1">Master_List!$AW$2</f>
        <v>09:30 PM</v>
      </c>
      <c r="H778" s="4" t="str">
        <f ca="1">Master_List!$AW$3</f>
        <v>20/07/2026</v>
      </c>
      <c r="I778" s="4" t="str">
        <f ca="1">Master_List!$AW$4</f>
        <v>28.5</v>
      </c>
      <c r="J778" s="4" t="str">
        <f ca="1">Master_List!$AW$5</f>
        <v>65</v>
      </c>
      <c r="K778" s="4" t="s">
        <v>582</v>
      </c>
      <c r="BL778" s="4" t="s">
        <v>1744</v>
      </c>
      <c r="BM778" s="4" t="s">
        <v>2143</v>
      </c>
      <c r="BN778" s="4" t="s">
        <v>1746</v>
      </c>
      <c r="BO778" s="4" t="str">
        <f t="shared" si="12"/>
        <v>C:\Users\aremi\Desktop\REPORT CBM\PO TIANU JB\03. Raw Material\40. 10052026 SSU MEDINI SIGNATURE 33KV (VI)\IR</v>
      </c>
      <c r="BP778" t="s">
        <v>1376</v>
      </c>
    </row>
    <row r="779" spans="1:68" thickBot="1" x14ac:dyDescent="0.3">
      <c r="A779" s="4">
        <v>389</v>
      </c>
      <c r="B779" s="4" t="s">
        <v>1367</v>
      </c>
      <c r="C779" s="4">
        <v>12</v>
      </c>
      <c r="D779" s="4" t="s">
        <v>1976</v>
      </c>
      <c r="E779" s="4">
        <v>5</v>
      </c>
      <c r="F779" s="4" t="str">
        <f ca="1">Master_List!$AW$1</f>
        <v>PERPUSTAKAAN PUSAT</v>
      </c>
      <c r="G779" s="4" t="str">
        <f ca="1">Master_List!$AW$2</f>
        <v>09:30 PM</v>
      </c>
      <c r="H779" s="4" t="str">
        <f ca="1">Master_List!$AW$3</f>
        <v>20/07/2026</v>
      </c>
      <c r="I779" s="4" t="str">
        <f ca="1">Master_List!$AW$4</f>
        <v>28.5</v>
      </c>
      <c r="J779" s="4" t="str">
        <f ca="1">Master_List!$AW$5</f>
        <v>65</v>
      </c>
      <c r="K779" s="4" t="s">
        <v>582</v>
      </c>
      <c r="BL779" s="4" t="s">
        <v>1744</v>
      </c>
      <c r="BM779" s="4" t="s">
        <v>2143</v>
      </c>
      <c r="BN779" s="4" t="s">
        <v>1748</v>
      </c>
      <c r="BO779" s="4" t="str">
        <f t="shared" si="12"/>
        <v>C:\Users\aremi\Desktop\REPORT CBM\PO TIANU JB\03. Raw Material\40. 10052026 SSU MEDINI SIGNATURE 33KV (VI)\IR</v>
      </c>
      <c r="BP779" t="s">
        <v>1377</v>
      </c>
    </row>
    <row r="780" spans="1:68" thickBot="1" x14ac:dyDescent="0.3">
      <c r="A780" s="4">
        <v>390</v>
      </c>
      <c r="B780" s="4" t="s">
        <v>1367</v>
      </c>
      <c r="C780" s="4">
        <v>12</v>
      </c>
      <c r="D780" s="4" t="s">
        <v>1976</v>
      </c>
      <c r="E780" s="4">
        <v>6</v>
      </c>
      <c r="F780" s="4" t="str">
        <f ca="1">Master_List!$AW$1</f>
        <v>PERPUSTAKAAN PUSAT</v>
      </c>
      <c r="G780" s="4" t="str">
        <f ca="1">Master_List!$AW$2</f>
        <v>09:30 PM</v>
      </c>
      <c r="H780" s="4" t="str">
        <f ca="1">Master_List!$AW$3</f>
        <v>20/07/2026</v>
      </c>
      <c r="I780" s="4" t="str">
        <f ca="1">Master_List!$AW$4</f>
        <v>28.5</v>
      </c>
      <c r="J780" s="4" t="str">
        <f ca="1">Master_List!$AW$5</f>
        <v>65</v>
      </c>
      <c r="K780" s="4" t="s">
        <v>585</v>
      </c>
      <c r="BL780" s="4" t="s">
        <v>1744</v>
      </c>
      <c r="BM780" s="4" t="s">
        <v>2144</v>
      </c>
      <c r="BN780" s="4" t="s">
        <v>1746</v>
      </c>
      <c r="BO780" s="4" t="str">
        <f t="shared" si="12"/>
        <v>C:\Users\aremi\Desktop\REPORT CBM\PO TIANU JB\03. Raw Material\40. 10052026 SSU MEDINI SIGNATURE 33KV (VI)\IR</v>
      </c>
      <c r="BP780" t="s">
        <v>1378</v>
      </c>
    </row>
    <row r="781" spans="1:68" thickBot="1" x14ac:dyDescent="0.3">
      <c r="A781" s="4">
        <v>390</v>
      </c>
      <c r="B781" s="4" t="s">
        <v>1367</v>
      </c>
      <c r="C781" s="4">
        <v>12</v>
      </c>
      <c r="D781" s="4" t="s">
        <v>1976</v>
      </c>
      <c r="E781" s="4">
        <v>6</v>
      </c>
      <c r="F781" s="4" t="str">
        <f ca="1">Master_List!$AW$1</f>
        <v>PERPUSTAKAAN PUSAT</v>
      </c>
      <c r="G781" s="4" t="str">
        <f ca="1">Master_List!$AW$2</f>
        <v>09:30 PM</v>
      </c>
      <c r="H781" s="4" t="str">
        <f ca="1">Master_List!$AW$3</f>
        <v>20/07/2026</v>
      </c>
      <c r="I781" s="4" t="str">
        <f ca="1">Master_List!$AW$4</f>
        <v>28.5</v>
      </c>
      <c r="J781" s="4" t="str">
        <f ca="1">Master_List!$AW$5</f>
        <v>65</v>
      </c>
      <c r="K781" s="4" t="s">
        <v>585</v>
      </c>
      <c r="BL781" s="4" t="s">
        <v>1744</v>
      </c>
      <c r="BM781" s="4" t="s">
        <v>2144</v>
      </c>
      <c r="BN781" s="4" t="s">
        <v>1748</v>
      </c>
      <c r="BO781" s="4" t="str">
        <f t="shared" si="12"/>
        <v>C:\Users\aremi\Desktop\REPORT CBM\PO TIANU JB\03. Raw Material\40. 10052026 SSU MEDINI SIGNATURE 33KV (VI)\IR</v>
      </c>
      <c r="BP781" t="s">
        <v>1379</v>
      </c>
    </row>
    <row r="782" spans="1:68" thickBot="1" x14ac:dyDescent="0.3">
      <c r="A782" s="4">
        <v>391</v>
      </c>
      <c r="B782" s="4" t="s">
        <v>1367</v>
      </c>
      <c r="C782" s="4">
        <v>12</v>
      </c>
      <c r="D782" s="4" t="s">
        <v>1983</v>
      </c>
      <c r="E782" s="4">
        <v>7</v>
      </c>
      <c r="F782" s="4" t="str">
        <f ca="1">Master_List!$AW$1</f>
        <v>PERPUSTAKAAN PUSAT</v>
      </c>
      <c r="G782" s="4" t="str">
        <f ca="1">Master_List!$AW$2</f>
        <v>09:30 PM</v>
      </c>
      <c r="H782" s="4" t="str">
        <f ca="1">Master_List!$AW$3</f>
        <v>20/07/2026</v>
      </c>
      <c r="I782" s="4" t="str">
        <f ca="1">Master_List!$AW$4</f>
        <v>28.5</v>
      </c>
      <c r="J782" s="4" t="str">
        <f ca="1">Master_List!$AW$5</f>
        <v>65</v>
      </c>
      <c r="K782" s="4" t="s">
        <v>588</v>
      </c>
      <c r="BL782" s="4" t="s">
        <v>1744</v>
      </c>
      <c r="BM782" s="4" t="s">
        <v>2145</v>
      </c>
      <c r="BN782" s="4" t="s">
        <v>1746</v>
      </c>
      <c r="BO782" s="4" t="str">
        <f t="shared" si="12"/>
        <v>C:\Users\aremi\Desktop\REPORT CBM\PO TIANU JB\03. Raw Material\40. 10052026 SSU MEDINI SIGNATURE 33KV (VI)\IR</v>
      </c>
      <c r="BP782" t="s">
        <v>1380</v>
      </c>
    </row>
    <row r="783" spans="1:68" thickBot="1" x14ac:dyDescent="0.3">
      <c r="A783" s="4">
        <v>391</v>
      </c>
      <c r="B783" s="4" t="s">
        <v>1367</v>
      </c>
      <c r="C783" s="4">
        <v>12</v>
      </c>
      <c r="D783" s="4" t="s">
        <v>1983</v>
      </c>
      <c r="E783" s="4">
        <v>7</v>
      </c>
      <c r="F783" s="4" t="str">
        <f ca="1">Master_List!$AW$1</f>
        <v>PERPUSTAKAAN PUSAT</v>
      </c>
      <c r="G783" s="4" t="str">
        <f ca="1">Master_List!$AW$2</f>
        <v>09:30 PM</v>
      </c>
      <c r="H783" s="4" t="str">
        <f ca="1">Master_List!$AW$3</f>
        <v>20/07/2026</v>
      </c>
      <c r="I783" s="4" t="str">
        <f ca="1">Master_List!$AW$4</f>
        <v>28.5</v>
      </c>
      <c r="J783" s="4" t="str">
        <f ca="1">Master_List!$AW$5</f>
        <v>65</v>
      </c>
      <c r="K783" s="4" t="s">
        <v>588</v>
      </c>
      <c r="BL783" s="4" t="s">
        <v>1744</v>
      </c>
      <c r="BM783" s="4" t="s">
        <v>2145</v>
      </c>
      <c r="BN783" s="4" t="s">
        <v>1748</v>
      </c>
      <c r="BO783" s="4" t="str">
        <f t="shared" si="12"/>
        <v>C:\Users\aremi\Desktop\REPORT CBM\PO TIANU JB\03. Raw Material\40. 10052026 SSU MEDINI SIGNATURE 33KV (VI)\IR</v>
      </c>
      <c r="BP783" t="s">
        <v>1381</v>
      </c>
    </row>
    <row r="784" spans="1:68" thickBot="1" x14ac:dyDescent="0.3">
      <c r="A784" s="4">
        <v>392</v>
      </c>
      <c r="B784" s="4" t="s">
        <v>1367</v>
      </c>
      <c r="C784" s="4">
        <v>12</v>
      </c>
      <c r="D784" s="4" t="s">
        <v>1985</v>
      </c>
      <c r="E784" s="4">
        <v>8</v>
      </c>
      <c r="F784" s="4" t="str">
        <f ca="1">Master_List!$AW$1</f>
        <v>PERPUSTAKAAN PUSAT</v>
      </c>
      <c r="G784" s="4" t="str">
        <f ca="1">Master_List!$AW$2</f>
        <v>09:30 PM</v>
      </c>
      <c r="H784" s="4" t="str">
        <f ca="1">Master_List!$AW$3</f>
        <v>20/07/2026</v>
      </c>
      <c r="I784" s="4" t="str">
        <f ca="1">Master_List!$AW$4</f>
        <v>28.5</v>
      </c>
      <c r="J784" s="4" t="str">
        <f ca="1">Master_List!$AW$5</f>
        <v>65</v>
      </c>
      <c r="K784" s="4" t="s">
        <v>591</v>
      </c>
      <c r="BL784" s="4" t="s">
        <v>1744</v>
      </c>
      <c r="BM784" s="4" t="s">
        <v>2146</v>
      </c>
      <c r="BN784" s="4" t="s">
        <v>1746</v>
      </c>
      <c r="BO784" s="4" t="str">
        <f t="shared" si="12"/>
        <v>C:\Users\aremi\Desktop\REPORT CBM\PO TIANU JB\03. Raw Material\40. 10052026 SSU MEDINI SIGNATURE 33KV (VI)\IR</v>
      </c>
      <c r="BP784" t="s">
        <v>1382</v>
      </c>
    </row>
    <row r="785" spans="1:68" thickBot="1" x14ac:dyDescent="0.3">
      <c r="A785" s="4">
        <v>392</v>
      </c>
      <c r="B785" s="4" t="s">
        <v>1367</v>
      </c>
      <c r="C785" s="4">
        <v>12</v>
      </c>
      <c r="D785" s="4" t="s">
        <v>1985</v>
      </c>
      <c r="E785" s="4">
        <v>8</v>
      </c>
      <c r="F785" s="4" t="str">
        <f ca="1">Master_List!$AW$1</f>
        <v>PERPUSTAKAAN PUSAT</v>
      </c>
      <c r="G785" s="4" t="str">
        <f ca="1">Master_List!$AW$2</f>
        <v>09:30 PM</v>
      </c>
      <c r="H785" s="4" t="str">
        <f ca="1">Master_List!$AW$3</f>
        <v>20/07/2026</v>
      </c>
      <c r="I785" s="4" t="str">
        <f ca="1">Master_List!$AW$4</f>
        <v>28.5</v>
      </c>
      <c r="J785" s="4" t="str">
        <f ca="1">Master_List!$AW$5</f>
        <v>65</v>
      </c>
      <c r="K785" s="4" t="s">
        <v>591</v>
      </c>
      <c r="BL785" s="4" t="s">
        <v>1744</v>
      </c>
      <c r="BM785" s="4" t="s">
        <v>2146</v>
      </c>
      <c r="BN785" s="4" t="s">
        <v>1748</v>
      </c>
      <c r="BO785" s="4" t="str">
        <f t="shared" si="12"/>
        <v>C:\Users\aremi\Desktop\REPORT CBM\PO TIANU JB\03. Raw Material\40. 10052026 SSU MEDINI SIGNATURE 33KV (VI)\IR</v>
      </c>
      <c r="BP785" t="s">
        <v>1383</v>
      </c>
    </row>
    <row r="786" spans="1:68" thickBot="1" x14ac:dyDescent="0.3">
      <c r="A786" s="4">
        <v>393</v>
      </c>
      <c r="B786" s="4" t="s">
        <v>1384</v>
      </c>
      <c r="C786" s="4">
        <v>12</v>
      </c>
      <c r="D786" s="4" t="s">
        <v>1976</v>
      </c>
      <c r="E786" s="4">
        <v>1</v>
      </c>
      <c r="F786" s="4" t="str">
        <f ca="1">Master_List!$AW$1</f>
        <v>PERPUSTAKAAN PUSAT</v>
      </c>
      <c r="G786" s="4" t="str">
        <f ca="1">Master_List!$AW$2</f>
        <v>09:30 PM</v>
      </c>
      <c r="H786" s="4" t="str">
        <f ca="1">Master_List!$AW$3</f>
        <v>20/07/2026</v>
      </c>
      <c r="I786" s="4" t="str">
        <f ca="1">Master_List!$AW$4</f>
        <v>28.5</v>
      </c>
      <c r="J786" s="4" t="str">
        <f ca="1">Master_List!$AW$5</f>
        <v>65</v>
      </c>
      <c r="K786" s="4" t="s">
        <v>570</v>
      </c>
      <c r="BL786" s="4" t="s">
        <v>1744</v>
      </c>
      <c r="BM786" s="4" t="s">
        <v>2147</v>
      </c>
      <c r="BN786" s="4" t="s">
        <v>1746</v>
      </c>
      <c r="BO786" s="4" t="str">
        <f t="shared" si="12"/>
        <v>C:\Users\aremi\Desktop\REPORT CBM\PO TIANU JB\03. Raw Material\40. 10052026 SSU MEDINI SIGNATURE 33KV (VI)\IR</v>
      </c>
      <c r="BP786" t="s">
        <v>1385</v>
      </c>
    </row>
    <row r="787" spans="1:68" thickBot="1" x14ac:dyDescent="0.3">
      <c r="A787" s="4">
        <v>393</v>
      </c>
      <c r="B787" s="4" t="s">
        <v>1384</v>
      </c>
      <c r="C787" s="4">
        <v>12</v>
      </c>
      <c r="D787" s="4" t="s">
        <v>1976</v>
      </c>
      <c r="E787" s="4">
        <v>1</v>
      </c>
      <c r="F787" s="4" t="str">
        <f ca="1">Master_List!$AW$1</f>
        <v>PERPUSTAKAAN PUSAT</v>
      </c>
      <c r="G787" s="4" t="str">
        <f ca="1">Master_List!$AW$2</f>
        <v>09:30 PM</v>
      </c>
      <c r="H787" s="4" t="str">
        <f ca="1">Master_List!$AW$3</f>
        <v>20/07/2026</v>
      </c>
      <c r="I787" s="4" t="str">
        <f ca="1">Master_List!$AW$4</f>
        <v>28.5</v>
      </c>
      <c r="J787" s="4" t="str">
        <f ca="1">Master_List!$AW$5</f>
        <v>65</v>
      </c>
      <c r="K787" s="4" t="s">
        <v>570</v>
      </c>
      <c r="BL787" s="4" t="s">
        <v>1744</v>
      </c>
      <c r="BM787" s="4" t="s">
        <v>2147</v>
      </c>
      <c r="BN787" s="4" t="s">
        <v>1748</v>
      </c>
      <c r="BO787" s="4" t="str">
        <f t="shared" si="12"/>
        <v>C:\Users\aremi\Desktop\REPORT CBM\PO TIANU JB\03. Raw Material\40. 10052026 SSU MEDINI SIGNATURE 33KV (VI)\IR</v>
      </c>
      <c r="BP787" t="s">
        <v>1386</v>
      </c>
    </row>
    <row r="788" spans="1:68" thickBot="1" x14ac:dyDescent="0.3">
      <c r="A788" s="4">
        <v>394</v>
      </c>
      <c r="B788" s="4" t="s">
        <v>1384</v>
      </c>
      <c r="C788" s="4">
        <v>12</v>
      </c>
      <c r="D788" s="4" t="s">
        <v>1976</v>
      </c>
      <c r="E788" s="4">
        <v>2</v>
      </c>
      <c r="F788" s="4" t="str">
        <f ca="1">Master_List!$AW$1</f>
        <v>PERPUSTAKAAN PUSAT</v>
      </c>
      <c r="G788" s="4" t="str">
        <f ca="1">Master_List!$AW$2</f>
        <v>09:30 PM</v>
      </c>
      <c r="H788" s="4" t="str">
        <f ca="1">Master_List!$AW$3</f>
        <v>20/07/2026</v>
      </c>
      <c r="I788" s="4" t="str">
        <f ca="1">Master_List!$AW$4</f>
        <v>28.5</v>
      </c>
      <c r="J788" s="4" t="str">
        <f ca="1">Master_List!$AW$5</f>
        <v>65</v>
      </c>
      <c r="K788" s="4" t="s">
        <v>573</v>
      </c>
      <c r="BL788" s="4" t="s">
        <v>1744</v>
      </c>
      <c r="BM788" s="4" t="s">
        <v>2148</v>
      </c>
      <c r="BN788" s="4" t="s">
        <v>1746</v>
      </c>
      <c r="BO788" s="4" t="str">
        <f t="shared" si="12"/>
        <v>C:\Users\aremi\Desktop\REPORT CBM\PO TIANU JB\03. Raw Material\40. 10052026 SSU MEDINI SIGNATURE 33KV (VI)\IR</v>
      </c>
      <c r="BP788" t="s">
        <v>1387</v>
      </c>
    </row>
    <row r="789" spans="1:68" thickBot="1" x14ac:dyDescent="0.3">
      <c r="A789" s="4">
        <v>394</v>
      </c>
      <c r="B789" s="4" t="s">
        <v>1384</v>
      </c>
      <c r="C789" s="4">
        <v>12</v>
      </c>
      <c r="D789" s="4" t="s">
        <v>1976</v>
      </c>
      <c r="E789" s="4">
        <v>2</v>
      </c>
      <c r="F789" s="4" t="str">
        <f ca="1">Master_List!$AW$1</f>
        <v>PERPUSTAKAAN PUSAT</v>
      </c>
      <c r="G789" s="4" t="str">
        <f ca="1">Master_List!$AW$2</f>
        <v>09:30 PM</v>
      </c>
      <c r="H789" s="4" t="str">
        <f ca="1">Master_List!$AW$3</f>
        <v>20/07/2026</v>
      </c>
      <c r="I789" s="4" t="str">
        <f ca="1">Master_List!$AW$4</f>
        <v>28.5</v>
      </c>
      <c r="J789" s="4" t="str">
        <f ca="1">Master_List!$AW$5</f>
        <v>65</v>
      </c>
      <c r="K789" s="4" t="s">
        <v>573</v>
      </c>
      <c r="BL789" s="4" t="s">
        <v>1744</v>
      </c>
      <c r="BM789" s="4" t="s">
        <v>2148</v>
      </c>
      <c r="BN789" s="4" t="s">
        <v>1748</v>
      </c>
      <c r="BO789" s="4" t="str">
        <f t="shared" si="12"/>
        <v>C:\Users\aremi\Desktop\REPORT CBM\PO TIANU JB\03. Raw Material\40. 10052026 SSU MEDINI SIGNATURE 33KV (VI)\IR</v>
      </c>
      <c r="BP789" t="s">
        <v>1388</v>
      </c>
    </row>
    <row r="790" spans="1:68" thickBot="1" x14ac:dyDescent="0.3">
      <c r="A790" s="4">
        <v>395</v>
      </c>
      <c r="B790" s="4" t="s">
        <v>1384</v>
      </c>
      <c r="C790" s="4">
        <v>12</v>
      </c>
      <c r="D790" s="4" t="s">
        <v>1976</v>
      </c>
      <c r="E790" s="4">
        <v>3</v>
      </c>
      <c r="F790" s="4" t="str">
        <f ca="1">Master_List!$AW$1</f>
        <v>PERPUSTAKAAN PUSAT</v>
      </c>
      <c r="G790" s="4" t="str">
        <f ca="1">Master_List!$AW$2</f>
        <v>09:30 PM</v>
      </c>
      <c r="H790" s="4" t="str">
        <f ca="1">Master_List!$AW$3</f>
        <v>20/07/2026</v>
      </c>
      <c r="I790" s="4" t="str">
        <f ca="1">Master_List!$AW$4</f>
        <v>28.5</v>
      </c>
      <c r="J790" s="4" t="str">
        <f ca="1">Master_List!$AW$5</f>
        <v>65</v>
      </c>
      <c r="K790" s="4" t="s">
        <v>576</v>
      </c>
      <c r="BL790" s="4" t="s">
        <v>1744</v>
      </c>
      <c r="BM790" s="4" t="s">
        <v>2149</v>
      </c>
      <c r="BN790" s="4" t="s">
        <v>1746</v>
      </c>
      <c r="BO790" s="4" t="str">
        <f t="shared" si="12"/>
        <v>C:\Users\aremi\Desktop\REPORT CBM\PO TIANU JB\03. Raw Material\40. 10052026 SSU MEDINI SIGNATURE 33KV (VI)\IR</v>
      </c>
      <c r="BP790" t="s">
        <v>1389</v>
      </c>
    </row>
    <row r="791" spans="1:68" thickBot="1" x14ac:dyDescent="0.3">
      <c r="A791" s="4">
        <v>395</v>
      </c>
      <c r="B791" s="4" t="s">
        <v>1384</v>
      </c>
      <c r="C791" s="4">
        <v>12</v>
      </c>
      <c r="D791" s="4" t="s">
        <v>1976</v>
      </c>
      <c r="E791" s="4">
        <v>3</v>
      </c>
      <c r="F791" s="4" t="str">
        <f ca="1">Master_List!$AW$1</f>
        <v>PERPUSTAKAAN PUSAT</v>
      </c>
      <c r="G791" s="4" t="str">
        <f ca="1">Master_List!$AW$2</f>
        <v>09:30 PM</v>
      </c>
      <c r="H791" s="4" t="str">
        <f ca="1">Master_List!$AW$3</f>
        <v>20/07/2026</v>
      </c>
      <c r="I791" s="4" t="str">
        <f ca="1">Master_List!$AW$4</f>
        <v>28.5</v>
      </c>
      <c r="J791" s="4" t="str">
        <f ca="1">Master_List!$AW$5</f>
        <v>65</v>
      </c>
      <c r="K791" s="4" t="s">
        <v>576</v>
      </c>
      <c r="BL791" s="4" t="s">
        <v>1744</v>
      </c>
      <c r="BM791" s="4" t="s">
        <v>2149</v>
      </c>
      <c r="BN791" s="4" t="s">
        <v>1748</v>
      </c>
      <c r="BO791" s="4" t="str">
        <f t="shared" si="12"/>
        <v>C:\Users\aremi\Desktop\REPORT CBM\PO TIANU JB\03. Raw Material\40. 10052026 SSU MEDINI SIGNATURE 33KV (VI)\IR</v>
      </c>
      <c r="BP791" t="s">
        <v>1390</v>
      </c>
    </row>
    <row r="792" spans="1:68" thickBot="1" x14ac:dyDescent="0.3">
      <c r="A792" s="4">
        <v>396</v>
      </c>
      <c r="B792" s="4" t="s">
        <v>1384</v>
      </c>
      <c r="C792" s="4">
        <v>12</v>
      </c>
      <c r="D792" s="4" t="s">
        <v>1976</v>
      </c>
      <c r="E792" s="4">
        <v>4</v>
      </c>
      <c r="F792" s="4" t="str">
        <f ca="1">Master_List!$AW$1</f>
        <v>PERPUSTAKAAN PUSAT</v>
      </c>
      <c r="G792" s="4" t="str">
        <f ca="1">Master_List!$AW$2</f>
        <v>09:30 PM</v>
      </c>
      <c r="H792" s="4" t="str">
        <f ca="1">Master_List!$AW$3</f>
        <v>20/07/2026</v>
      </c>
      <c r="I792" s="4" t="str">
        <f ca="1">Master_List!$AW$4</f>
        <v>28.5</v>
      </c>
      <c r="J792" s="4" t="str">
        <f ca="1">Master_List!$AW$5</f>
        <v>65</v>
      </c>
      <c r="K792" s="4" t="s">
        <v>579</v>
      </c>
      <c r="BL792" s="4" t="s">
        <v>1744</v>
      </c>
      <c r="BM792" s="4" t="s">
        <v>2150</v>
      </c>
      <c r="BN792" s="4" t="s">
        <v>1746</v>
      </c>
      <c r="BO792" s="4" t="str">
        <f t="shared" si="12"/>
        <v>C:\Users\aremi\Desktop\REPORT CBM\PO TIANU JB\03. Raw Material\40. 10052026 SSU MEDINI SIGNATURE 33KV (VI)\IR</v>
      </c>
      <c r="BP792" t="s">
        <v>1391</v>
      </c>
    </row>
    <row r="793" spans="1:68" thickBot="1" x14ac:dyDescent="0.3">
      <c r="A793" s="4">
        <v>396</v>
      </c>
      <c r="B793" s="4" t="s">
        <v>1384</v>
      </c>
      <c r="C793" s="4">
        <v>12</v>
      </c>
      <c r="D793" s="4" t="s">
        <v>1976</v>
      </c>
      <c r="E793" s="4">
        <v>4</v>
      </c>
      <c r="F793" s="4" t="str">
        <f ca="1">Master_List!$AW$1</f>
        <v>PERPUSTAKAAN PUSAT</v>
      </c>
      <c r="G793" s="4" t="str">
        <f ca="1">Master_List!$AW$2</f>
        <v>09:30 PM</v>
      </c>
      <c r="H793" s="4" t="str">
        <f ca="1">Master_List!$AW$3</f>
        <v>20/07/2026</v>
      </c>
      <c r="I793" s="4" t="str">
        <f ca="1">Master_List!$AW$4</f>
        <v>28.5</v>
      </c>
      <c r="J793" s="4" t="str">
        <f ca="1">Master_List!$AW$5</f>
        <v>65</v>
      </c>
      <c r="K793" s="4" t="s">
        <v>579</v>
      </c>
      <c r="BL793" s="4" t="s">
        <v>1744</v>
      </c>
      <c r="BM793" s="4" t="s">
        <v>2150</v>
      </c>
      <c r="BN793" s="4" t="s">
        <v>1748</v>
      </c>
      <c r="BO793" s="4" t="str">
        <f t="shared" si="12"/>
        <v>C:\Users\aremi\Desktop\REPORT CBM\PO TIANU JB\03. Raw Material\40. 10052026 SSU MEDINI SIGNATURE 33KV (VI)\IR</v>
      </c>
      <c r="BP793" t="s">
        <v>1392</v>
      </c>
    </row>
    <row r="794" spans="1:68" thickBot="1" x14ac:dyDescent="0.3">
      <c r="A794" s="4">
        <v>397</v>
      </c>
      <c r="B794" s="4" t="s">
        <v>1384</v>
      </c>
      <c r="C794" s="4">
        <v>12</v>
      </c>
      <c r="D794" s="4" t="s">
        <v>1976</v>
      </c>
      <c r="E794" s="4">
        <v>5</v>
      </c>
      <c r="F794" s="4" t="str">
        <f ca="1">Master_List!$AW$1</f>
        <v>PERPUSTAKAAN PUSAT</v>
      </c>
      <c r="G794" s="4" t="str">
        <f ca="1">Master_List!$AW$2</f>
        <v>09:30 PM</v>
      </c>
      <c r="H794" s="4" t="str">
        <f ca="1">Master_List!$AW$3</f>
        <v>20/07/2026</v>
      </c>
      <c r="I794" s="4" t="str">
        <f ca="1">Master_List!$AW$4</f>
        <v>28.5</v>
      </c>
      <c r="J794" s="4" t="str">
        <f ca="1">Master_List!$AW$5</f>
        <v>65</v>
      </c>
      <c r="K794" s="4" t="s">
        <v>582</v>
      </c>
      <c r="BL794" s="4" t="s">
        <v>1744</v>
      </c>
      <c r="BM794" s="4" t="s">
        <v>2151</v>
      </c>
      <c r="BN794" s="4" t="s">
        <v>1746</v>
      </c>
      <c r="BO794" s="4" t="str">
        <f t="shared" si="12"/>
        <v>C:\Users\aremi\Desktop\REPORT CBM\PO TIANU JB\03. Raw Material\40. 10052026 SSU MEDINI SIGNATURE 33KV (VI)\IR</v>
      </c>
      <c r="BP794" t="s">
        <v>1393</v>
      </c>
    </row>
    <row r="795" spans="1:68" thickBot="1" x14ac:dyDescent="0.3">
      <c r="A795" s="4">
        <v>397</v>
      </c>
      <c r="B795" s="4" t="s">
        <v>1384</v>
      </c>
      <c r="C795" s="4">
        <v>12</v>
      </c>
      <c r="D795" s="4" t="s">
        <v>1976</v>
      </c>
      <c r="E795" s="4">
        <v>5</v>
      </c>
      <c r="F795" s="4" t="str">
        <f ca="1">Master_List!$AW$1</f>
        <v>PERPUSTAKAAN PUSAT</v>
      </c>
      <c r="G795" s="4" t="str">
        <f ca="1">Master_List!$AW$2</f>
        <v>09:30 PM</v>
      </c>
      <c r="H795" s="4" t="str">
        <f ca="1">Master_List!$AW$3</f>
        <v>20/07/2026</v>
      </c>
      <c r="I795" s="4" t="str">
        <f ca="1">Master_List!$AW$4</f>
        <v>28.5</v>
      </c>
      <c r="J795" s="4" t="str">
        <f ca="1">Master_List!$AW$5</f>
        <v>65</v>
      </c>
      <c r="K795" s="4" t="s">
        <v>582</v>
      </c>
      <c r="BL795" s="4" t="s">
        <v>1744</v>
      </c>
      <c r="BM795" s="4" t="s">
        <v>2151</v>
      </c>
      <c r="BN795" s="4" t="s">
        <v>1748</v>
      </c>
      <c r="BO795" s="4" t="str">
        <f t="shared" si="12"/>
        <v>C:\Users\aremi\Desktop\REPORT CBM\PO TIANU JB\03. Raw Material\40. 10052026 SSU MEDINI SIGNATURE 33KV (VI)\IR</v>
      </c>
      <c r="BP795" t="s">
        <v>1394</v>
      </c>
    </row>
    <row r="796" spans="1:68" thickBot="1" x14ac:dyDescent="0.3">
      <c r="A796" s="4">
        <v>398</v>
      </c>
      <c r="B796" s="4" t="s">
        <v>1384</v>
      </c>
      <c r="C796" s="4">
        <v>12</v>
      </c>
      <c r="D796" s="4" t="s">
        <v>1976</v>
      </c>
      <c r="E796" s="4">
        <v>6</v>
      </c>
      <c r="F796" s="4" t="str">
        <f ca="1">Master_List!$AW$1</f>
        <v>PERPUSTAKAAN PUSAT</v>
      </c>
      <c r="G796" s="4" t="str">
        <f ca="1">Master_List!$AW$2</f>
        <v>09:30 PM</v>
      </c>
      <c r="H796" s="4" t="str">
        <f ca="1">Master_List!$AW$3</f>
        <v>20/07/2026</v>
      </c>
      <c r="I796" s="4" t="str">
        <f ca="1">Master_List!$AW$4</f>
        <v>28.5</v>
      </c>
      <c r="J796" s="4" t="str">
        <f ca="1">Master_List!$AW$5</f>
        <v>65</v>
      </c>
      <c r="K796" s="4" t="s">
        <v>585</v>
      </c>
      <c r="BL796" s="4" t="s">
        <v>1744</v>
      </c>
      <c r="BM796" s="4" t="s">
        <v>2152</v>
      </c>
      <c r="BN796" s="4" t="s">
        <v>1746</v>
      </c>
      <c r="BO796" s="4" t="str">
        <f t="shared" si="12"/>
        <v>C:\Users\aremi\Desktop\REPORT CBM\PO TIANU JB\03. Raw Material\40. 10052026 SSU MEDINI SIGNATURE 33KV (VI)\IR</v>
      </c>
      <c r="BP796" t="s">
        <v>1395</v>
      </c>
    </row>
    <row r="797" spans="1:68" thickBot="1" x14ac:dyDescent="0.3">
      <c r="A797" s="4">
        <v>398</v>
      </c>
      <c r="B797" s="4" t="s">
        <v>1384</v>
      </c>
      <c r="C797" s="4">
        <v>12</v>
      </c>
      <c r="D797" s="4" t="s">
        <v>1976</v>
      </c>
      <c r="E797" s="4">
        <v>6</v>
      </c>
      <c r="F797" s="4" t="str">
        <f ca="1">Master_List!$AW$1</f>
        <v>PERPUSTAKAAN PUSAT</v>
      </c>
      <c r="G797" s="4" t="str">
        <f ca="1">Master_List!$AW$2</f>
        <v>09:30 PM</v>
      </c>
      <c r="H797" s="4" t="str">
        <f ca="1">Master_List!$AW$3</f>
        <v>20/07/2026</v>
      </c>
      <c r="I797" s="4" t="str">
        <f ca="1">Master_List!$AW$4</f>
        <v>28.5</v>
      </c>
      <c r="J797" s="4" t="str">
        <f ca="1">Master_List!$AW$5</f>
        <v>65</v>
      </c>
      <c r="K797" s="4" t="s">
        <v>585</v>
      </c>
      <c r="BL797" s="4" t="s">
        <v>1744</v>
      </c>
      <c r="BM797" s="4" t="s">
        <v>2152</v>
      </c>
      <c r="BN797" s="4" t="s">
        <v>1748</v>
      </c>
      <c r="BO797" s="4" t="str">
        <f t="shared" si="12"/>
        <v>C:\Users\aremi\Desktop\REPORT CBM\PO TIANU JB\03. Raw Material\40. 10052026 SSU MEDINI SIGNATURE 33KV (VI)\IR</v>
      </c>
      <c r="BP797" t="s">
        <v>1396</v>
      </c>
    </row>
    <row r="798" spans="1:68" thickBot="1" x14ac:dyDescent="0.3">
      <c r="A798" s="4">
        <v>399</v>
      </c>
      <c r="B798" s="4" t="s">
        <v>1384</v>
      </c>
      <c r="C798" s="4">
        <v>12</v>
      </c>
      <c r="D798" s="4" t="s">
        <v>1983</v>
      </c>
      <c r="E798" s="4">
        <v>7</v>
      </c>
      <c r="F798" s="4" t="str">
        <f ca="1">Master_List!$AW$1</f>
        <v>PERPUSTAKAAN PUSAT</v>
      </c>
      <c r="G798" s="4" t="str">
        <f ca="1">Master_List!$AW$2</f>
        <v>09:30 PM</v>
      </c>
      <c r="H798" s="4" t="str">
        <f ca="1">Master_List!$AW$3</f>
        <v>20/07/2026</v>
      </c>
      <c r="I798" s="4" t="str">
        <f ca="1">Master_List!$AW$4</f>
        <v>28.5</v>
      </c>
      <c r="J798" s="4" t="str">
        <f ca="1">Master_List!$AW$5</f>
        <v>65</v>
      </c>
      <c r="K798" s="4" t="s">
        <v>588</v>
      </c>
      <c r="BL798" s="4" t="s">
        <v>1744</v>
      </c>
      <c r="BM798" s="4" t="s">
        <v>2153</v>
      </c>
      <c r="BN798" s="4" t="s">
        <v>1746</v>
      </c>
      <c r="BO798" s="4" t="str">
        <f t="shared" si="12"/>
        <v>C:\Users\aremi\Desktop\REPORT CBM\PO TIANU JB\03. Raw Material\40. 10052026 SSU MEDINI SIGNATURE 33KV (VI)\IR</v>
      </c>
      <c r="BP798" t="s">
        <v>1397</v>
      </c>
    </row>
    <row r="799" spans="1:68" thickBot="1" x14ac:dyDescent="0.3">
      <c r="A799" s="4">
        <v>399</v>
      </c>
      <c r="B799" s="4" t="s">
        <v>1384</v>
      </c>
      <c r="C799" s="4">
        <v>12</v>
      </c>
      <c r="D799" s="4" t="s">
        <v>1983</v>
      </c>
      <c r="E799" s="4">
        <v>7</v>
      </c>
      <c r="F799" s="4" t="str">
        <f ca="1">Master_List!$AW$1</f>
        <v>PERPUSTAKAAN PUSAT</v>
      </c>
      <c r="G799" s="4" t="str">
        <f ca="1">Master_List!$AW$2</f>
        <v>09:30 PM</v>
      </c>
      <c r="H799" s="4" t="str">
        <f ca="1">Master_List!$AW$3</f>
        <v>20/07/2026</v>
      </c>
      <c r="I799" s="4" t="str">
        <f ca="1">Master_List!$AW$4</f>
        <v>28.5</v>
      </c>
      <c r="J799" s="4" t="str">
        <f ca="1">Master_List!$AW$5</f>
        <v>65</v>
      </c>
      <c r="K799" s="4" t="s">
        <v>588</v>
      </c>
      <c r="BL799" s="4" t="s">
        <v>1744</v>
      </c>
      <c r="BM799" s="4" t="s">
        <v>2153</v>
      </c>
      <c r="BN799" s="4" t="s">
        <v>1748</v>
      </c>
      <c r="BO799" s="4" t="str">
        <f t="shared" si="12"/>
        <v>C:\Users\aremi\Desktop\REPORT CBM\PO TIANU JB\03. Raw Material\40. 10052026 SSU MEDINI SIGNATURE 33KV (VI)\IR</v>
      </c>
      <c r="BP799" t="s">
        <v>1398</v>
      </c>
    </row>
    <row r="800" spans="1:68" thickBot="1" x14ac:dyDescent="0.3">
      <c r="A800" s="4">
        <v>400</v>
      </c>
      <c r="B800" s="4" t="s">
        <v>1384</v>
      </c>
      <c r="C800" s="4">
        <v>12</v>
      </c>
      <c r="D800" s="4" t="s">
        <v>1985</v>
      </c>
      <c r="E800" s="4">
        <v>8</v>
      </c>
      <c r="F800" s="4" t="str">
        <f ca="1">Master_List!$AW$1</f>
        <v>PERPUSTAKAAN PUSAT</v>
      </c>
      <c r="G800" s="4" t="str">
        <f ca="1">Master_List!$AW$2</f>
        <v>09:30 PM</v>
      </c>
      <c r="H800" s="4" t="str">
        <f ca="1">Master_List!$AW$3</f>
        <v>20/07/2026</v>
      </c>
      <c r="I800" s="4" t="str">
        <f ca="1">Master_List!$AW$4</f>
        <v>28.5</v>
      </c>
      <c r="J800" s="4" t="str">
        <f ca="1">Master_List!$AW$5</f>
        <v>65</v>
      </c>
      <c r="K800" s="4" t="s">
        <v>591</v>
      </c>
      <c r="BL800" s="4" t="s">
        <v>1744</v>
      </c>
      <c r="BM800" s="4" t="s">
        <v>2154</v>
      </c>
      <c r="BN800" s="4" t="s">
        <v>1746</v>
      </c>
      <c r="BO800" s="4" t="str">
        <f t="shared" si="12"/>
        <v>C:\Users\aremi\Desktop\REPORT CBM\PO TIANU JB\03. Raw Material\40. 10052026 SSU MEDINI SIGNATURE 33KV (VI)\IR</v>
      </c>
      <c r="BP800" t="s">
        <v>1399</v>
      </c>
    </row>
    <row r="801" spans="1:68" thickBot="1" x14ac:dyDescent="0.3">
      <c r="A801" s="4">
        <v>400</v>
      </c>
      <c r="B801" s="4" t="s">
        <v>1384</v>
      </c>
      <c r="C801" s="4">
        <v>12</v>
      </c>
      <c r="D801" s="4" t="s">
        <v>1985</v>
      </c>
      <c r="E801" s="4">
        <v>8</v>
      </c>
      <c r="F801" s="4" t="str">
        <f ca="1">Master_List!$AW$1</f>
        <v>PERPUSTAKAAN PUSAT</v>
      </c>
      <c r="G801" s="4" t="str">
        <f ca="1">Master_List!$AW$2</f>
        <v>09:30 PM</v>
      </c>
      <c r="H801" s="4" t="str">
        <f ca="1">Master_List!$AW$3</f>
        <v>20/07/2026</v>
      </c>
      <c r="I801" s="4" t="str">
        <f ca="1">Master_List!$AW$4</f>
        <v>28.5</v>
      </c>
      <c r="J801" s="4" t="str">
        <f ca="1">Master_List!$AW$5</f>
        <v>65</v>
      </c>
      <c r="K801" s="4" t="s">
        <v>591</v>
      </c>
      <c r="BL801" s="4" t="s">
        <v>1744</v>
      </c>
      <c r="BM801" s="4" t="s">
        <v>2154</v>
      </c>
      <c r="BN801" s="4" t="s">
        <v>1748</v>
      </c>
      <c r="BO801" s="4" t="str">
        <f t="shared" si="12"/>
        <v>C:\Users\aremi\Desktop\REPORT CBM\PO TIANU JB\03. Raw Material\40. 10052026 SSU MEDINI SIGNATURE 33KV (VI)\IR</v>
      </c>
      <c r="BP801" t="s">
        <v>1400</v>
      </c>
    </row>
    <row r="802" spans="1:68" thickBot="1" x14ac:dyDescent="0.3">
      <c r="A802" s="4">
        <v>401</v>
      </c>
      <c r="B802" s="4" t="s">
        <v>1401</v>
      </c>
      <c r="C802" s="4">
        <v>12</v>
      </c>
      <c r="D802" s="4" t="s">
        <v>1976</v>
      </c>
      <c r="E802" s="4">
        <v>1</v>
      </c>
      <c r="F802" s="4" t="str">
        <f ca="1">Master_List!$AW$1</f>
        <v>PERPUSTAKAAN PUSAT</v>
      </c>
      <c r="G802" s="4" t="str">
        <f ca="1">Master_List!$AW$2</f>
        <v>09:30 PM</v>
      </c>
      <c r="H802" s="4" t="str">
        <f ca="1">Master_List!$AW$3</f>
        <v>20/07/2026</v>
      </c>
      <c r="I802" s="4" t="str">
        <f ca="1">Master_List!$AW$4</f>
        <v>28.5</v>
      </c>
      <c r="J802" s="4" t="str">
        <f ca="1">Master_List!$AW$5</f>
        <v>65</v>
      </c>
      <c r="K802" s="4" t="s">
        <v>570</v>
      </c>
      <c r="BL802" s="4" t="s">
        <v>1744</v>
      </c>
      <c r="BM802" s="4" t="s">
        <v>2155</v>
      </c>
      <c r="BN802" s="4" t="s">
        <v>1746</v>
      </c>
      <c r="BO802" s="4" t="str">
        <f t="shared" si="12"/>
        <v>C:\Users\aremi\Desktop\REPORT CBM\PO TIANU JB\03. Raw Material\40. 10052026 SSU MEDINI SIGNATURE 33KV (VI)\IR</v>
      </c>
      <c r="BP802" t="s">
        <v>1402</v>
      </c>
    </row>
    <row r="803" spans="1:68" thickBot="1" x14ac:dyDescent="0.3">
      <c r="A803" s="4">
        <v>401</v>
      </c>
      <c r="B803" s="4" t="s">
        <v>1401</v>
      </c>
      <c r="C803" s="4">
        <v>12</v>
      </c>
      <c r="D803" s="4" t="s">
        <v>1976</v>
      </c>
      <c r="E803" s="4">
        <v>1</v>
      </c>
      <c r="F803" s="4" t="str">
        <f ca="1">Master_List!$AW$1</f>
        <v>PERPUSTAKAAN PUSAT</v>
      </c>
      <c r="G803" s="4" t="str">
        <f ca="1">Master_List!$AW$2</f>
        <v>09:30 PM</v>
      </c>
      <c r="H803" s="4" t="str">
        <f ca="1">Master_List!$AW$3</f>
        <v>20/07/2026</v>
      </c>
      <c r="I803" s="4" t="str">
        <f ca="1">Master_List!$AW$4</f>
        <v>28.5</v>
      </c>
      <c r="J803" s="4" t="str">
        <f ca="1">Master_List!$AW$5</f>
        <v>65</v>
      </c>
      <c r="K803" s="4" t="s">
        <v>570</v>
      </c>
      <c r="BL803" s="4" t="s">
        <v>1744</v>
      </c>
      <c r="BM803" s="4" t="s">
        <v>2155</v>
      </c>
      <c r="BN803" s="4" t="s">
        <v>1748</v>
      </c>
      <c r="BO803" s="4" t="str">
        <f t="shared" si="12"/>
        <v>C:\Users\aremi\Desktop\REPORT CBM\PO TIANU JB\03. Raw Material\40. 10052026 SSU MEDINI SIGNATURE 33KV (VI)\IR</v>
      </c>
      <c r="BP803" t="s">
        <v>1403</v>
      </c>
    </row>
    <row r="804" spans="1:68" thickBot="1" x14ac:dyDescent="0.3">
      <c r="A804" s="4">
        <v>402</v>
      </c>
      <c r="B804" s="4" t="s">
        <v>1401</v>
      </c>
      <c r="C804" s="4">
        <v>12</v>
      </c>
      <c r="D804" s="4" t="s">
        <v>1976</v>
      </c>
      <c r="E804" s="4">
        <v>2</v>
      </c>
      <c r="F804" s="4" t="str">
        <f ca="1">Master_List!$AW$1</f>
        <v>PERPUSTAKAAN PUSAT</v>
      </c>
      <c r="G804" s="4" t="str">
        <f ca="1">Master_List!$AW$2</f>
        <v>09:30 PM</v>
      </c>
      <c r="H804" s="4" t="str">
        <f ca="1">Master_List!$AW$3</f>
        <v>20/07/2026</v>
      </c>
      <c r="I804" s="4" t="str">
        <f ca="1">Master_List!$AW$4</f>
        <v>28.5</v>
      </c>
      <c r="J804" s="4" t="str">
        <f ca="1">Master_List!$AW$5</f>
        <v>65</v>
      </c>
      <c r="K804" s="4" t="s">
        <v>573</v>
      </c>
      <c r="BL804" s="4" t="s">
        <v>1744</v>
      </c>
      <c r="BM804" s="4" t="s">
        <v>2156</v>
      </c>
      <c r="BN804" s="4" t="s">
        <v>1746</v>
      </c>
      <c r="BO804" s="4" t="str">
        <f t="shared" si="12"/>
        <v>C:\Users\aremi\Desktop\REPORT CBM\PO TIANU JB\03. Raw Material\40. 10052026 SSU MEDINI SIGNATURE 33KV (VI)\IR</v>
      </c>
      <c r="BP804" t="s">
        <v>1404</v>
      </c>
    </row>
    <row r="805" spans="1:68" thickBot="1" x14ac:dyDescent="0.3">
      <c r="A805" s="4">
        <v>402</v>
      </c>
      <c r="B805" s="4" t="s">
        <v>1401</v>
      </c>
      <c r="C805" s="4">
        <v>12</v>
      </c>
      <c r="D805" s="4" t="s">
        <v>1976</v>
      </c>
      <c r="E805" s="4">
        <v>2</v>
      </c>
      <c r="F805" s="4" t="str">
        <f ca="1">Master_List!$AW$1</f>
        <v>PERPUSTAKAAN PUSAT</v>
      </c>
      <c r="G805" s="4" t="str">
        <f ca="1">Master_List!$AW$2</f>
        <v>09:30 PM</v>
      </c>
      <c r="H805" s="4" t="str">
        <f ca="1">Master_List!$AW$3</f>
        <v>20/07/2026</v>
      </c>
      <c r="I805" s="4" t="str">
        <f ca="1">Master_List!$AW$4</f>
        <v>28.5</v>
      </c>
      <c r="J805" s="4" t="str">
        <f ca="1">Master_List!$AW$5</f>
        <v>65</v>
      </c>
      <c r="K805" s="4" t="s">
        <v>573</v>
      </c>
      <c r="BL805" s="4" t="s">
        <v>1744</v>
      </c>
      <c r="BM805" s="4" t="s">
        <v>2156</v>
      </c>
      <c r="BN805" s="4" t="s">
        <v>1748</v>
      </c>
      <c r="BO805" s="4" t="str">
        <f t="shared" si="12"/>
        <v>C:\Users\aremi\Desktop\REPORT CBM\PO TIANU JB\03. Raw Material\40. 10052026 SSU MEDINI SIGNATURE 33KV (VI)\IR</v>
      </c>
      <c r="BP805" t="s">
        <v>1405</v>
      </c>
    </row>
    <row r="806" spans="1:68" thickBot="1" x14ac:dyDescent="0.3">
      <c r="A806" s="4">
        <v>403</v>
      </c>
      <c r="B806" s="4" t="s">
        <v>1401</v>
      </c>
      <c r="C806" s="4">
        <v>12</v>
      </c>
      <c r="D806" s="4" t="s">
        <v>1976</v>
      </c>
      <c r="E806" s="4">
        <v>3</v>
      </c>
      <c r="F806" s="4" t="str">
        <f ca="1">Master_List!$AW$1</f>
        <v>PERPUSTAKAAN PUSAT</v>
      </c>
      <c r="G806" s="4" t="str">
        <f ca="1">Master_List!$AW$2</f>
        <v>09:30 PM</v>
      </c>
      <c r="H806" s="4" t="str">
        <f ca="1">Master_List!$AW$3</f>
        <v>20/07/2026</v>
      </c>
      <c r="I806" s="4" t="str">
        <f ca="1">Master_List!$AW$4</f>
        <v>28.5</v>
      </c>
      <c r="J806" s="4" t="str">
        <f ca="1">Master_List!$AW$5</f>
        <v>65</v>
      </c>
      <c r="K806" s="4" t="s">
        <v>576</v>
      </c>
      <c r="BL806" s="4" t="s">
        <v>1744</v>
      </c>
      <c r="BM806" s="4" t="s">
        <v>2157</v>
      </c>
      <c r="BN806" s="4" t="s">
        <v>1746</v>
      </c>
      <c r="BO806" s="4" t="str">
        <f t="shared" si="12"/>
        <v>C:\Users\aremi\Desktop\REPORT CBM\PO TIANU JB\03. Raw Material\40. 10052026 SSU MEDINI SIGNATURE 33KV (VI)\IR</v>
      </c>
      <c r="BP806" t="s">
        <v>1406</v>
      </c>
    </row>
    <row r="807" spans="1:68" thickBot="1" x14ac:dyDescent="0.3">
      <c r="A807" s="4">
        <v>403</v>
      </c>
      <c r="B807" s="4" t="s">
        <v>1401</v>
      </c>
      <c r="C807" s="4">
        <v>12</v>
      </c>
      <c r="D807" s="4" t="s">
        <v>1976</v>
      </c>
      <c r="E807" s="4">
        <v>3</v>
      </c>
      <c r="F807" s="4" t="str">
        <f ca="1">Master_List!$AW$1</f>
        <v>PERPUSTAKAAN PUSAT</v>
      </c>
      <c r="G807" s="4" t="str">
        <f ca="1">Master_List!$AW$2</f>
        <v>09:30 PM</v>
      </c>
      <c r="H807" s="4" t="str">
        <f ca="1">Master_List!$AW$3</f>
        <v>20/07/2026</v>
      </c>
      <c r="I807" s="4" t="str">
        <f ca="1">Master_List!$AW$4</f>
        <v>28.5</v>
      </c>
      <c r="J807" s="4" t="str">
        <f ca="1">Master_List!$AW$5</f>
        <v>65</v>
      </c>
      <c r="K807" s="4" t="s">
        <v>576</v>
      </c>
      <c r="BL807" s="4" t="s">
        <v>1744</v>
      </c>
      <c r="BM807" s="4" t="s">
        <v>2157</v>
      </c>
      <c r="BN807" s="4" t="s">
        <v>1748</v>
      </c>
      <c r="BO807" s="4" t="str">
        <f t="shared" si="12"/>
        <v>C:\Users\aremi\Desktop\REPORT CBM\PO TIANU JB\03. Raw Material\40. 10052026 SSU MEDINI SIGNATURE 33KV (VI)\IR</v>
      </c>
      <c r="BP807" t="s">
        <v>1407</v>
      </c>
    </row>
    <row r="808" spans="1:68" thickBot="1" x14ac:dyDescent="0.3">
      <c r="A808" s="4">
        <v>404</v>
      </c>
      <c r="B808" s="4" t="s">
        <v>1401</v>
      </c>
      <c r="C808" s="4">
        <v>12</v>
      </c>
      <c r="D808" s="4" t="s">
        <v>1976</v>
      </c>
      <c r="E808" s="4">
        <v>4</v>
      </c>
      <c r="F808" s="4" t="str">
        <f ca="1">Master_List!$AW$1</f>
        <v>PERPUSTAKAAN PUSAT</v>
      </c>
      <c r="G808" s="4" t="str">
        <f ca="1">Master_List!$AW$2</f>
        <v>09:30 PM</v>
      </c>
      <c r="H808" s="4" t="str">
        <f ca="1">Master_List!$AW$3</f>
        <v>20/07/2026</v>
      </c>
      <c r="I808" s="4" t="str">
        <f ca="1">Master_List!$AW$4</f>
        <v>28.5</v>
      </c>
      <c r="J808" s="4" t="str">
        <f ca="1">Master_List!$AW$5</f>
        <v>65</v>
      </c>
      <c r="K808" s="4" t="s">
        <v>579</v>
      </c>
      <c r="BL808" s="4" t="s">
        <v>1744</v>
      </c>
      <c r="BM808" s="4" t="s">
        <v>2158</v>
      </c>
      <c r="BN808" s="4" t="s">
        <v>1746</v>
      </c>
      <c r="BO808" s="4" t="str">
        <f t="shared" si="12"/>
        <v>C:\Users\aremi\Desktop\REPORT CBM\PO TIANU JB\03. Raw Material\40. 10052026 SSU MEDINI SIGNATURE 33KV (VI)\IR</v>
      </c>
      <c r="BP808" t="s">
        <v>1408</v>
      </c>
    </row>
    <row r="809" spans="1:68" thickBot="1" x14ac:dyDescent="0.3">
      <c r="A809" s="4">
        <v>404</v>
      </c>
      <c r="B809" s="4" t="s">
        <v>1401</v>
      </c>
      <c r="C809" s="4">
        <v>12</v>
      </c>
      <c r="D809" s="4" t="s">
        <v>1976</v>
      </c>
      <c r="E809" s="4">
        <v>4</v>
      </c>
      <c r="F809" s="4" t="str">
        <f ca="1">Master_List!$AW$1</f>
        <v>PERPUSTAKAAN PUSAT</v>
      </c>
      <c r="G809" s="4" t="str">
        <f ca="1">Master_List!$AW$2</f>
        <v>09:30 PM</v>
      </c>
      <c r="H809" s="4" t="str">
        <f ca="1">Master_List!$AW$3</f>
        <v>20/07/2026</v>
      </c>
      <c r="I809" s="4" t="str">
        <f ca="1">Master_List!$AW$4</f>
        <v>28.5</v>
      </c>
      <c r="J809" s="4" t="str">
        <f ca="1">Master_List!$AW$5</f>
        <v>65</v>
      </c>
      <c r="K809" s="4" t="s">
        <v>579</v>
      </c>
      <c r="BL809" s="4" t="s">
        <v>1744</v>
      </c>
      <c r="BM809" s="4" t="s">
        <v>2158</v>
      </c>
      <c r="BN809" s="4" t="s">
        <v>1748</v>
      </c>
      <c r="BO809" s="4" t="str">
        <f t="shared" si="12"/>
        <v>C:\Users\aremi\Desktop\REPORT CBM\PO TIANU JB\03. Raw Material\40. 10052026 SSU MEDINI SIGNATURE 33KV (VI)\IR</v>
      </c>
      <c r="BP809" t="s">
        <v>1409</v>
      </c>
    </row>
    <row r="810" spans="1:68" thickBot="1" x14ac:dyDescent="0.3">
      <c r="A810" s="4">
        <v>405</v>
      </c>
      <c r="B810" s="4" t="s">
        <v>1401</v>
      </c>
      <c r="C810" s="4">
        <v>12</v>
      </c>
      <c r="D810" s="4" t="s">
        <v>1976</v>
      </c>
      <c r="E810" s="4">
        <v>5</v>
      </c>
      <c r="F810" s="4" t="str">
        <f ca="1">Master_List!$AW$1</f>
        <v>PERPUSTAKAAN PUSAT</v>
      </c>
      <c r="G810" s="4" t="str">
        <f ca="1">Master_List!$AW$2</f>
        <v>09:30 PM</v>
      </c>
      <c r="H810" s="4" t="str">
        <f ca="1">Master_List!$AW$3</f>
        <v>20/07/2026</v>
      </c>
      <c r="I810" s="4" t="str">
        <f ca="1">Master_List!$AW$4</f>
        <v>28.5</v>
      </c>
      <c r="J810" s="4" t="str">
        <f ca="1">Master_List!$AW$5</f>
        <v>65</v>
      </c>
      <c r="K810" s="4" t="s">
        <v>582</v>
      </c>
      <c r="BL810" s="4" t="s">
        <v>1744</v>
      </c>
      <c r="BM810" s="4" t="s">
        <v>2159</v>
      </c>
      <c r="BN810" s="4" t="s">
        <v>1746</v>
      </c>
      <c r="BO810" s="4" t="str">
        <f t="shared" si="12"/>
        <v>C:\Users\aremi\Desktop\REPORT CBM\PO TIANU JB\03. Raw Material\40. 10052026 SSU MEDINI SIGNATURE 33KV (VI)\IR</v>
      </c>
      <c r="BP810" t="s">
        <v>1410</v>
      </c>
    </row>
    <row r="811" spans="1:68" thickBot="1" x14ac:dyDescent="0.3">
      <c r="A811" s="4">
        <v>405</v>
      </c>
      <c r="B811" s="4" t="s">
        <v>1401</v>
      </c>
      <c r="C811" s="4">
        <v>12</v>
      </c>
      <c r="D811" s="4" t="s">
        <v>1976</v>
      </c>
      <c r="E811" s="4">
        <v>5</v>
      </c>
      <c r="F811" s="4" t="str">
        <f ca="1">Master_List!$AW$1</f>
        <v>PERPUSTAKAAN PUSAT</v>
      </c>
      <c r="G811" s="4" t="str">
        <f ca="1">Master_List!$AW$2</f>
        <v>09:30 PM</v>
      </c>
      <c r="H811" s="4" t="str">
        <f ca="1">Master_List!$AW$3</f>
        <v>20/07/2026</v>
      </c>
      <c r="I811" s="4" t="str">
        <f ca="1">Master_List!$AW$4</f>
        <v>28.5</v>
      </c>
      <c r="J811" s="4" t="str">
        <f ca="1">Master_List!$AW$5</f>
        <v>65</v>
      </c>
      <c r="K811" s="4" t="s">
        <v>582</v>
      </c>
      <c r="BL811" s="4" t="s">
        <v>1744</v>
      </c>
      <c r="BM811" s="4" t="s">
        <v>2159</v>
      </c>
      <c r="BN811" s="4" t="s">
        <v>1748</v>
      </c>
      <c r="BO811" s="4" t="str">
        <f t="shared" si="12"/>
        <v>C:\Users\aremi\Desktop\REPORT CBM\PO TIANU JB\03. Raw Material\40. 10052026 SSU MEDINI SIGNATURE 33KV (VI)\IR</v>
      </c>
      <c r="BP811" t="s">
        <v>1411</v>
      </c>
    </row>
    <row r="812" spans="1:68" thickBot="1" x14ac:dyDescent="0.3">
      <c r="A812" s="4">
        <v>406</v>
      </c>
      <c r="B812" s="4" t="s">
        <v>1401</v>
      </c>
      <c r="C812" s="4">
        <v>12</v>
      </c>
      <c r="D812" s="4" t="s">
        <v>1976</v>
      </c>
      <c r="E812" s="4">
        <v>6</v>
      </c>
      <c r="F812" s="4" t="str">
        <f ca="1">Master_List!$AW$1</f>
        <v>PERPUSTAKAAN PUSAT</v>
      </c>
      <c r="G812" s="4" t="str">
        <f ca="1">Master_List!$AW$2</f>
        <v>09:30 PM</v>
      </c>
      <c r="H812" s="4" t="str">
        <f ca="1">Master_List!$AW$3</f>
        <v>20/07/2026</v>
      </c>
      <c r="I812" s="4" t="str">
        <f ca="1">Master_List!$AW$4</f>
        <v>28.5</v>
      </c>
      <c r="J812" s="4" t="str">
        <f ca="1">Master_List!$AW$5</f>
        <v>65</v>
      </c>
      <c r="K812" s="4" t="s">
        <v>585</v>
      </c>
      <c r="BL812" s="4" t="s">
        <v>1744</v>
      </c>
      <c r="BM812" s="4" t="s">
        <v>2160</v>
      </c>
      <c r="BN812" s="4" t="s">
        <v>1746</v>
      </c>
      <c r="BO812" s="4" t="str">
        <f t="shared" si="12"/>
        <v>C:\Users\aremi\Desktop\REPORT CBM\PO TIANU JB\03. Raw Material\40. 10052026 SSU MEDINI SIGNATURE 33KV (VI)\IR</v>
      </c>
      <c r="BP812" t="s">
        <v>1412</v>
      </c>
    </row>
    <row r="813" spans="1:68" thickBot="1" x14ac:dyDescent="0.3">
      <c r="A813" s="4">
        <v>406</v>
      </c>
      <c r="B813" s="4" t="s">
        <v>1401</v>
      </c>
      <c r="C813" s="4">
        <v>12</v>
      </c>
      <c r="D813" s="4" t="s">
        <v>1976</v>
      </c>
      <c r="E813" s="4">
        <v>6</v>
      </c>
      <c r="F813" s="4" t="str">
        <f ca="1">Master_List!$AW$1</f>
        <v>PERPUSTAKAAN PUSAT</v>
      </c>
      <c r="G813" s="4" t="str">
        <f ca="1">Master_List!$AW$2</f>
        <v>09:30 PM</v>
      </c>
      <c r="H813" s="4" t="str">
        <f ca="1">Master_List!$AW$3</f>
        <v>20/07/2026</v>
      </c>
      <c r="I813" s="4" t="str">
        <f ca="1">Master_List!$AW$4</f>
        <v>28.5</v>
      </c>
      <c r="J813" s="4" t="str">
        <f ca="1">Master_List!$AW$5</f>
        <v>65</v>
      </c>
      <c r="K813" s="4" t="s">
        <v>585</v>
      </c>
      <c r="BL813" s="4" t="s">
        <v>1744</v>
      </c>
      <c r="BM813" s="4" t="s">
        <v>2160</v>
      </c>
      <c r="BN813" s="4" t="s">
        <v>1748</v>
      </c>
      <c r="BO813" s="4" t="str">
        <f t="shared" si="12"/>
        <v>C:\Users\aremi\Desktop\REPORT CBM\PO TIANU JB\03. Raw Material\40. 10052026 SSU MEDINI SIGNATURE 33KV (VI)\IR</v>
      </c>
      <c r="BP813" t="s">
        <v>1413</v>
      </c>
    </row>
    <row r="814" spans="1:68" thickBot="1" x14ac:dyDescent="0.3">
      <c r="A814" s="4">
        <v>407</v>
      </c>
      <c r="B814" s="4" t="s">
        <v>1401</v>
      </c>
      <c r="C814" s="4">
        <v>12</v>
      </c>
      <c r="D814" s="4" t="s">
        <v>1983</v>
      </c>
      <c r="E814" s="4">
        <v>7</v>
      </c>
      <c r="F814" s="4" t="str">
        <f ca="1">Master_List!$AW$1</f>
        <v>PERPUSTAKAAN PUSAT</v>
      </c>
      <c r="G814" s="4" t="str">
        <f ca="1">Master_List!$AW$2</f>
        <v>09:30 PM</v>
      </c>
      <c r="H814" s="4" t="str">
        <f ca="1">Master_List!$AW$3</f>
        <v>20/07/2026</v>
      </c>
      <c r="I814" s="4" t="str">
        <f ca="1">Master_List!$AW$4</f>
        <v>28.5</v>
      </c>
      <c r="J814" s="4" t="str">
        <f ca="1">Master_List!$AW$5</f>
        <v>65</v>
      </c>
      <c r="K814" s="4" t="s">
        <v>588</v>
      </c>
      <c r="BL814" s="4" t="s">
        <v>1744</v>
      </c>
      <c r="BM814" s="4" t="s">
        <v>2161</v>
      </c>
      <c r="BN814" s="4" t="s">
        <v>1746</v>
      </c>
      <c r="BO814" s="4" t="str">
        <f t="shared" si="12"/>
        <v>C:\Users\aremi\Desktop\REPORT CBM\PO TIANU JB\03. Raw Material\40. 10052026 SSU MEDINI SIGNATURE 33KV (VI)\IR</v>
      </c>
      <c r="BP814" t="s">
        <v>1414</v>
      </c>
    </row>
    <row r="815" spans="1:68" thickBot="1" x14ac:dyDescent="0.3">
      <c r="A815" s="4">
        <v>407</v>
      </c>
      <c r="B815" s="4" t="s">
        <v>1401</v>
      </c>
      <c r="C815" s="4">
        <v>12</v>
      </c>
      <c r="D815" s="4" t="s">
        <v>1983</v>
      </c>
      <c r="E815" s="4">
        <v>7</v>
      </c>
      <c r="F815" s="4" t="str">
        <f ca="1">Master_List!$AW$1</f>
        <v>PERPUSTAKAAN PUSAT</v>
      </c>
      <c r="G815" s="4" t="str">
        <f ca="1">Master_List!$AW$2</f>
        <v>09:30 PM</v>
      </c>
      <c r="H815" s="4" t="str">
        <f ca="1">Master_List!$AW$3</f>
        <v>20/07/2026</v>
      </c>
      <c r="I815" s="4" t="str">
        <f ca="1">Master_List!$AW$4</f>
        <v>28.5</v>
      </c>
      <c r="J815" s="4" t="str">
        <f ca="1">Master_List!$AW$5</f>
        <v>65</v>
      </c>
      <c r="K815" s="4" t="s">
        <v>588</v>
      </c>
      <c r="BL815" s="4" t="s">
        <v>1744</v>
      </c>
      <c r="BM815" s="4" t="s">
        <v>2161</v>
      </c>
      <c r="BN815" s="4" t="s">
        <v>1748</v>
      </c>
      <c r="BO815" s="4" t="str">
        <f t="shared" si="12"/>
        <v>C:\Users\aremi\Desktop\REPORT CBM\PO TIANU JB\03. Raw Material\40. 10052026 SSU MEDINI SIGNATURE 33KV (VI)\IR</v>
      </c>
      <c r="BP815" t="s">
        <v>1415</v>
      </c>
    </row>
    <row r="816" spans="1:68" thickBot="1" x14ac:dyDescent="0.3">
      <c r="A816" s="4">
        <v>408</v>
      </c>
      <c r="B816" s="4" t="s">
        <v>1401</v>
      </c>
      <c r="C816" s="4">
        <v>12</v>
      </c>
      <c r="D816" s="4" t="s">
        <v>1985</v>
      </c>
      <c r="E816" s="4">
        <v>8</v>
      </c>
      <c r="F816" s="4" t="str">
        <f ca="1">Master_List!$AW$1</f>
        <v>PERPUSTAKAAN PUSAT</v>
      </c>
      <c r="G816" s="4" t="str">
        <f ca="1">Master_List!$AW$2</f>
        <v>09:30 PM</v>
      </c>
      <c r="H816" s="4" t="str">
        <f ca="1">Master_List!$AW$3</f>
        <v>20/07/2026</v>
      </c>
      <c r="I816" s="4" t="str">
        <f ca="1">Master_List!$AW$4</f>
        <v>28.5</v>
      </c>
      <c r="J816" s="4" t="str">
        <f ca="1">Master_List!$AW$5</f>
        <v>65</v>
      </c>
      <c r="K816" s="4" t="s">
        <v>591</v>
      </c>
      <c r="BL816" s="4" t="s">
        <v>1744</v>
      </c>
      <c r="BM816" s="4" t="s">
        <v>2162</v>
      </c>
      <c r="BN816" s="4" t="s">
        <v>1746</v>
      </c>
      <c r="BO816" s="4" t="str">
        <f t="shared" si="12"/>
        <v>C:\Users\aremi\Desktop\REPORT CBM\PO TIANU JB\03. Raw Material\40. 10052026 SSU MEDINI SIGNATURE 33KV (VI)\IR</v>
      </c>
      <c r="BP816" t="s">
        <v>1416</v>
      </c>
    </row>
    <row r="817" spans="1:68" thickBot="1" x14ac:dyDescent="0.3">
      <c r="A817" s="4">
        <v>408</v>
      </c>
      <c r="B817" s="4" t="s">
        <v>1401</v>
      </c>
      <c r="C817" s="4">
        <v>12</v>
      </c>
      <c r="D817" s="4" t="s">
        <v>1985</v>
      </c>
      <c r="E817" s="4">
        <v>8</v>
      </c>
      <c r="F817" s="4" t="str">
        <f ca="1">Master_List!$AW$1</f>
        <v>PERPUSTAKAAN PUSAT</v>
      </c>
      <c r="G817" s="4" t="str">
        <f ca="1">Master_List!$AW$2</f>
        <v>09:30 PM</v>
      </c>
      <c r="H817" s="4" t="str">
        <f ca="1">Master_List!$AW$3</f>
        <v>20/07/2026</v>
      </c>
      <c r="I817" s="4" t="str">
        <f ca="1">Master_List!$AW$4</f>
        <v>28.5</v>
      </c>
      <c r="J817" s="4" t="str">
        <f ca="1">Master_List!$AW$5</f>
        <v>65</v>
      </c>
      <c r="K817" s="4" t="s">
        <v>591</v>
      </c>
      <c r="BL817" s="4" t="s">
        <v>1744</v>
      </c>
      <c r="BM817" s="4" t="s">
        <v>2162</v>
      </c>
      <c r="BN817" s="4" t="s">
        <v>1748</v>
      </c>
      <c r="BO817" s="4" t="str">
        <f t="shared" si="12"/>
        <v>C:\Users\aremi\Desktop\REPORT CBM\PO TIANU JB\03. Raw Material\40. 10052026 SSU MEDINI SIGNATURE 33KV (VI)\IR</v>
      </c>
      <c r="BP817" t="s">
        <v>1417</v>
      </c>
    </row>
    <row r="818" spans="1:68" thickBot="1" x14ac:dyDescent="0.3">
      <c r="A818" s="4">
        <v>409</v>
      </c>
      <c r="B818" s="4" t="s">
        <v>1418</v>
      </c>
      <c r="C818" s="4">
        <v>12</v>
      </c>
      <c r="D818" s="4" t="s">
        <v>1976</v>
      </c>
      <c r="E818" s="4">
        <v>1</v>
      </c>
      <c r="F818" s="4" t="str">
        <f ca="1">Master_List!$AW$1</f>
        <v>PERPUSTAKAAN PUSAT</v>
      </c>
      <c r="G818" s="4" t="str">
        <f ca="1">Master_List!$AW$2</f>
        <v>09:30 PM</v>
      </c>
      <c r="H818" s="4" t="str">
        <f ca="1">Master_List!$AW$3</f>
        <v>20/07/2026</v>
      </c>
      <c r="I818" s="4" t="str">
        <f ca="1">Master_List!$AW$4</f>
        <v>28.5</v>
      </c>
      <c r="J818" s="4" t="str">
        <f ca="1">Master_List!$AW$5</f>
        <v>65</v>
      </c>
      <c r="K818" s="4" t="s">
        <v>570</v>
      </c>
      <c r="BL818" s="4" t="s">
        <v>1744</v>
      </c>
      <c r="BM818" s="4" t="s">
        <v>2163</v>
      </c>
      <c r="BN818" s="4" t="s">
        <v>1746</v>
      </c>
      <c r="BO818" s="4" t="str">
        <f t="shared" si="12"/>
        <v>C:\Users\aremi\Desktop\REPORT CBM\PO TIANU JB\03. Raw Material\40. 10052026 SSU MEDINI SIGNATURE 33KV (VI)\IR</v>
      </c>
      <c r="BP818" t="s">
        <v>1419</v>
      </c>
    </row>
    <row r="819" spans="1:68" thickBot="1" x14ac:dyDescent="0.3">
      <c r="A819" s="4">
        <v>409</v>
      </c>
      <c r="B819" s="4" t="s">
        <v>1418</v>
      </c>
      <c r="C819" s="4">
        <v>12</v>
      </c>
      <c r="D819" s="4" t="s">
        <v>1976</v>
      </c>
      <c r="E819" s="4">
        <v>1</v>
      </c>
      <c r="F819" s="4" t="str">
        <f ca="1">Master_List!$AW$1</f>
        <v>PERPUSTAKAAN PUSAT</v>
      </c>
      <c r="G819" s="4" t="str">
        <f ca="1">Master_List!$AW$2</f>
        <v>09:30 PM</v>
      </c>
      <c r="H819" s="4" t="str">
        <f ca="1">Master_List!$AW$3</f>
        <v>20/07/2026</v>
      </c>
      <c r="I819" s="4" t="str">
        <f ca="1">Master_List!$AW$4</f>
        <v>28.5</v>
      </c>
      <c r="J819" s="4" t="str">
        <f ca="1">Master_List!$AW$5</f>
        <v>65</v>
      </c>
      <c r="K819" s="4" t="s">
        <v>570</v>
      </c>
      <c r="BL819" s="4" t="s">
        <v>1744</v>
      </c>
      <c r="BM819" s="4" t="s">
        <v>2163</v>
      </c>
      <c r="BN819" s="4" t="s">
        <v>1748</v>
      </c>
      <c r="BO819" s="4" t="str">
        <f t="shared" si="12"/>
        <v>C:\Users\aremi\Desktop\REPORT CBM\PO TIANU JB\03. Raw Material\40. 10052026 SSU MEDINI SIGNATURE 33KV (VI)\IR</v>
      </c>
      <c r="BP819" t="s">
        <v>1420</v>
      </c>
    </row>
    <row r="820" spans="1:68" thickBot="1" x14ac:dyDescent="0.3">
      <c r="A820" s="4">
        <v>410</v>
      </c>
      <c r="B820" s="4" t="s">
        <v>1418</v>
      </c>
      <c r="C820" s="4">
        <v>12</v>
      </c>
      <c r="D820" s="4" t="s">
        <v>1976</v>
      </c>
      <c r="E820" s="4">
        <v>2</v>
      </c>
      <c r="F820" s="4" t="str">
        <f ca="1">Master_List!$AW$1</f>
        <v>PERPUSTAKAAN PUSAT</v>
      </c>
      <c r="G820" s="4" t="str">
        <f ca="1">Master_List!$AW$2</f>
        <v>09:30 PM</v>
      </c>
      <c r="H820" s="4" t="str">
        <f ca="1">Master_List!$AW$3</f>
        <v>20/07/2026</v>
      </c>
      <c r="I820" s="4" t="str">
        <f ca="1">Master_List!$AW$4</f>
        <v>28.5</v>
      </c>
      <c r="J820" s="4" t="str">
        <f ca="1">Master_List!$AW$5</f>
        <v>65</v>
      </c>
      <c r="K820" s="4" t="s">
        <v>573</v>
      </c>
      <c r="BL820" s="4" t="s">
        <v>1744</v>
      </c>
      <c r="BM820" s="4" t="s">
        <v>2164</v>
      </c>
      <c r="BN820" s="4" t="s">
        <v>1746</v>
      </c>
      <c r="BO820" s="4" t="str">
        <f t="shared" si="12"/>
        <v>C:\Users\aremi\Desktop\REPORT CBM\PO TIANU JB\03. Raw Material\40. 10052026 SSU MEDINI SIGNATURE 33KV (VI)\IR</v>
      </c>
      <c r="BP820" t="s">
        <v>1421</v>
      </c>
    </row>
    <row r="821" spans="1:68" thickBot="1" x14ac:dyDescent="0.3">
      <c r="A821" s="4">
        <v>410</v>
      </c>
      <c r="B821" s="4" t="s">
        <v>1418</v>
      </c>
      <c r="C821" s="4">
        <v>12</v>
      </c>
      <c r="D821" s="4" t="s">
        <v>1976</v>
      </c>
      <c r="E821" s="4">
        <v>2</v>
      </c>
      <c r="F821" s="4" t="str">
        <f ca="1">Master_List!$AW$1</f>
        <v>PERPUSTAKAAN PUSAT</v>
      </c>
      <c r="G821" s="4" t="str">
        <f ca="1">Master_List!$AW$2</f>
        <v>09:30 PM</v>
      </c>
      <c r="H821" s="4" t="str">
        <f ca="1">Master_List!$AW$3</f>
        <v>20/07/2026</v>
      </c>
      <c r="I821" s="4" t="str">
        <f ca="1">Master_List!$AW$4</f>
        <v>28.5</v>
      </c>
      <c r="J821" s="4" t="str">
        <f ca="1">Master_List!$AW$5</f>
        <v>65</v>
      </c>
      <c r="K821" s="4" t="s">
        <v>573</v>
      </c>
      <c r="BL821" s="4" t="s">
        <v>1744</v>
      </c>
      <c r="BM821" s="4" t="s">
        <v>2164</v>
      </c>
      <c r="BN821" s="4" t="s">
        <v>1748</v>
      </c>
      <c r="BO821" s="4" t="str">
        <f t="shared" si="12"/>
        <v>C:\Users\aremi\Desktop\REPORT CBM\PO TIANU JB\03. Raw Material\40. 10052026 SSU MEDINI SIGNATURE 33KV (VI)\IR</v>
      </c>
      <c r="BP821" t="s">
        <v>1422</v>
      </c>
    </row>
    <row r="822" spans="1:68" thickBot="1" x14ac:dyDescent="0.3">
      <c r="A822" s="4">
        <v>411</v>
      </c>
      <c r="B822" s="4" t="s">
        <v>1418</v>
      </c>
      <c r="C822" s="4">
        <v>12</v>
      </c>
      <c r="D822" s="4" t="s">
        <v>1976</v>
      </c>
      <c r="E822" s="4">
        <v>3</v>
      </c>
      <c r="F822" s="4" t="str">
        <f ca="1">Master_List!$AW$1</f>
        <v>PERPUSTAKAAN PUSAT</v>
      </c>
      <c r="G822" s="4" t="str">
        <f ca="1">Master_List!$AW$2</f>
        <v>09:30 PM</v>
      </c>
      <c r="H822" s="4" t="str">
        <f ca="1">Master_List!$AW$3</f>
        <v>20/07/2026</v>
      </c>
      <c r="I822" s="4" t="str">
        <f ca="1">Master_List!$AW$4</f>
        <v>28.5</v>
      </c>
      <c r="J822" s="4" t="str">
        <f ca="1">Master_List!$AW$5</f>
        <v>65</v>
      </c>
      <c r="K822" s="4" t="s">
        <v>576</v>
      </c>
      <c r="BL822" s="4" t="s">
        <v>1744</v>
      </c>
      <c r="BM822" s="4" t="s">
        <v>2165</v>
      </c>
      <c r="BN822" s="4" t="s">
        <v>1746</v>
      </c>
      <c r="BO822" s="4" t="str">
        <f t="shared" si="12"/>
        <v>C:\Users\aremi\Desktop\REPORT CBM\PO TIANU JB\03. Raw Material\40. 10052026 SSU MEDINI SIGNATURE 33KV (VI)\IR</v>
      </c>
      <c r="BP822" t="s">
        <v>1423</v>
      </c>
    </row>
    <row r="823" spans="1:68" thickBot="1" x14ac:dyDescent="0.3">
      <c r="A823" s="4">
        <v>411</v>
      </c>
      <c r="B823" s="4" t="s">
        <v>1418</v>
      </c>
      <c r="C823" s="4">
        <v>12</v>
      </c>
      <c r="D823" s="4" t="s">
        <v>1976</v>
      </c>
      <c r="E823" s="4">
        <v>3</v>
      </c>
      <c r="F823" s="4" t="str">
        <f ca="1">Master_List!$AW$1</f>
        <v>PERPUSTAKAAN PUSAT</v>
      </c>
      <c r="G823" s="4" t="str">
        <f ca="1">Master_List!$AW$2</f>
        <v>09:30 PM</v>
      </c>
      <c r="H823" s="4" t="str">
        <f ca="1">Master_List!$AW$3</f>
        <v>20/07/2026</v>
      </c>
      <c r="I823" s="4" t="str">
        <f ca="1">Master_List!$AW$4</f>
        <v>28.5</v>
      </c>
      <c r="J823" s="4" t="str">
        <f ca="1">Master_List!$AW$5</f>
        <v>65</v>
      </c>
      <c r="K823" s="4" t="s">
        <v>576</v>
      </c>
      <c r="BL823" s="4" t="s">
        <v>1744</v>
      </c>
      <c r="BM823" s="4" t="s">
        <v>2165</v>
      </c>
      <c r="BN823" s="4" t="s">
        <v>1748</v>
      </c>
      <c r="BO823" s="4" t="str">
        <f t="shared" si="12"/>
        <v>C:\Users\aremi\Desktop\REPORT CBM\PO TIANU JB\03. Raw Material\40. 10052026 SSU MEDINI SIGNATURE 33KV (VI)\IR</v>
      </c>
      <c r="BP823" t="s">
        <v>1424</v>
      </c>
    </row>
    <row r="824" spans="1:68" thickBot="1" x14ac:dyDescent="0.3">
      <c r="A824" s="4">
        <v>412</v>
      </c>
      <c r="B824" s="4" t="s">
        <v>1418</v>
      </c>
      <c r="C824" s="4">
        <v>12</v>
      </c>
      <c r="D824" s="4" t="s">
        <v>1976</v>
      </c>
      <c r="E824" s="4">
        <v>4</v>
      </c>
      <c r="F824" s="4" t="str">
        <f ca="1">Master_List!$AW$1</f>
        <v>PERPUSTAKAAN PUSAT</v>
      </c>
      <c r="G824" s="4" t="str">
        <f ca="1">Master_List!$AW$2</f>
        <v>09:30 PM</v>
      </c>
      <c r="H824" s="4" t="str">
        <f ca="1">Master_List!$AW$3</f>
        <v>20/07/2026</v>
      </c>
      <c r="I824" s="4" t="str">
        <f ca="1">Master_List!$AW$4</f>
        <v>28.5</v>
      </c>
      <c r="J824" s="4" t="str">
        <f ca="1">Master_List!$AW$5</f>
        <v>65</v>
      </c>
      <c r="K824" s="4" t="s">
        <v>579</v>
      </c>
      <c r="BL824" s="4" t="s">
        <v>1744</v>
      </c>
      <c r="BM824" s="4" t="s">
        <v>2166</v>
      </c>
      <c r="BN824" s="4" t="s">
        <v>1746</v>
      </c>
      <c r="BO824" s="4" t="str">
        <f t="shared" si="12"/>
        <v>C:\Users\aremi\Desktop\REPORT CBM\PO TIANU JB\03. Raw Material\40. 10052026 SSU MEDINI SIGNATURE 33KV (VI)\IR</v>
      </c>
      <c r="BP824" t="s">
        <v>1425</v>
      </c>
    </row>
    <row r="825" spans="1:68" thickBot="1" x14ac:dyDescent="0.3">
      <c r="A825" s="4">
        <v>412</v>
      </c>
      <c r="B825" s="4" t="s">
        <v>1418</v>
      </c>
      <c r="C825" s="4">
        <v>12</v>
      </c>
      <c r="D825" s="4" t="s">
        <v>1976</v>
      </c>
      <c r="E825" s="4">
        <v>4</v>
      </c>
      <c r="F825" s="4" t="str">
        <f ca="1">Master_List!$AW$1</f>
        <v>PERPUSTAKAAN PUSAT</v>
      </c>
      <c r="G825" s="4" t="str">
        <f ca="1">Master_List!$AW$2</f>
        <v>09:30 PM</v>
      </c>
      <c r="H825" s="4" t="str">
        <f ca="1">Master_List!$AW$3</f>
        <v>20/07/2026</v>
      </c>
      <c r="I825" s="4" t="str">
        <f ca="1">Master_List!$AW$4</f>
        <v>28.5</v>
      </c>
      <c r="J825" s="4" t="str">
        <f ca="1">Master_List!$AW$5</f>
        <v>65</v>
      </c>
      <c r="K825" s="4" t="s">
        <v>579</v>
      </c>
      <c r="BL825" s="4" t="s">
        <v>1744</v>
      </c>
      <c r="BM825" s="4" t="s">
        <v>2166</v>
      </c>
      <c r="BN825" s="4" t="s">
        <v>1748</v>
      </c>
      <c r="BO825" s="4" t="str">
        <f t="shared" si="12"/>
        <v>C:\Users\aremi\Desktop\REPORT CBM\PO TIANU JB\03. Raw Material\40. 10052026 SSU MEDINI SIGNATURE 33KV (VI)\IR</v>
      </c>
      <c r="BP825" t="s">
        <v>1426</v>
      </c>
    </row>
    <row r="826" spans="1:68" thickBot="1" x14ac:dyDescent="0.3">
      <c r="A826" s="4">
        <v>413</v>
      </c>
      <c r="B826" s="4" t="s">
        <v>1418</v>
      </c>
      <c r="C826" s="4">
        <v>12</v>
      </c>
      <c r="D826" s="4" t="s">
        <v>1976</v>
      </c>
      <c r="E826" s="4">
        <v>5</v>
      </c>
      <c r="F826" s="4" t="str">
        <f ca="1">Master_List!$AW$1</f>
        <v>PERPUSTAKAAN PUSAT</v>
      </c>
      <c r="G826" s="4" t="str">
        <f ca="1">Master_List!$AW$2</f>
        <v>09:30 PM</v>
      </c>
      <c r="H826" s="4" t="str">
        <f ca="1">Master_List!$AW$3</f>
        <v>20/07/2026</v>
      </c>
      <c r="I826" s="4" t="str">
        <f ca="1">Master_List!$AW$4</f>
        <v>28.5</v>
      </c>
      <c r="J826" s="4" t="str">
        <f ca="1">Master_List!$AW$5</f>
        <v>65</v>
      </c>
      <c r="K826" s="4" t="s">
        <v>582</v>
      </c>
      <c r="BL826" s="4" t="s">
        <v>1744</v>
      </c>
      <c r="BM826" s="4" t="s">
        <v>2167</v>
      </c>
      <c r="BN826" s="4" t="s">
        <v>1746</v>
      </c>
      <c r="BO826" s="4" t="str">
        <f t="shared" si="12"/>
        <v>C:\Users\aremi\Desktop\REPORT CBM\PO TIANU JB\03. Raw Material\40. 10052026 SSU MEDINI SIGNATURE 33KV (VI)\IR</v>
      </c>
      <c r="BP826" t="s">
        <v>1427</v>
      </c>
    </row>
    <row r="827" spans="1:68" thickBot="1" x14ac:dyDescent="0.3">
      <c r="A827" s="4">
        <v>413</v>
      </c>
      <c r="B827" s="4" t="s">
        <v>1418</v>
      </c>
      <c r="C827" s="4">
        <v>12</v>
      </c>
      <c r="D827" s="4" t="s">
        <v>1976</v>
      </c>
      <c r="E827" s="4">
        <v>5</v>
      </c>
      <c r="F827" s="4" t="str">
        <f ca="1">Master_List!$AW$1</f>
        <v>PERPUSTAKAAN PUSAT</v>
      </c>
      <c r="G827" s="4" t="str">
        <f ca="1">Master_List!$AW$2</f>
        <v>09:30 PM</v>
      </c>
      <c r="H827" s="4" t="str">
        <f ca="1">Master_List!$AW$3</f>
        <v>20/07/2026</v>
      </c>
      <c r="I827" s="4" t="str">
        <f ca="1">Master_List!$AW$4</f>
        <v>28.5</v>
      </c>
      <c r="J827" s="4" t="str">
        <f ca="1">Master_List!$AW$5</f>
        <v>65</v>
      </c>
      <c r="K827" s="4" t="s">
        <v>582</v>
      </c>
      <c r="BL827" s="4" t="s">
        <v>1744</v>
      </c>
      <c r="BM827" s="4" t="s">
        <v>2167</v>
      </c>
      <c r="BN827" s="4" t="s">
        <v>1748</v>
      </c>
      <c r="BO827" s="4" t="str">
        <f t="shared" si="12"/>
        <v>C:\Users\aremi\Desktop\REPORT CBM\PO TIANU JB\03. Raw Material\40. 10052026 SSU MEDINI SIGNATURE 33KV (VI)\IR</v>
      </c>
      <c r="BP827" t="s">
        <v>1428</v>
      </c>
    </row>
    <row r="828" spans="1:68" thickBot="1" x14ac:dyDescent="0.3">
      <c r="A828" s="4">
        <v>414</v>
      </c>
      <c r="B828" s="4" t="s">
        <v>1418</v>
      </c>
      <c r="C828" s="4">
        <v>12</v>
      </c>
      <c r="D828" s="4" t="s">
        <v>1976</v>
      </c>
      <c r="E828" s="4">
        <v>6</v>
      </c>
      <c r="F828" s="4" t="str">
        <f ca="1">Master_List!$AW$1</f>
        <v>PERPUSTAKAAN PUSAT</v>
      </c>
      <c r="G828" s="4" t="str">
        <f ca="1">Master_List!$AW$2</f>
        <v>09:30 PM</v>
      </c>
      <c r="H828" s="4" t="str">
        <f ca="1">Master_List!$AW$3</f>
        <v>20/07/2026</v>
      </c>
      <c r="I828" s="4" t="str">
        <f ca="1">Master_List!$AW$4</f>
        <v>28.5</v>
      </c>
      <c r="J828" s="4" t="str">
        <f ca="1">Master_List!$AW$5</f>
        <v>65</v>
      </c>
      <c r="K828" s="4" t="s">
        <v>585</v>
      </c>
      <c r="BL828" s="4" t="s">
        <v>1744</v>
      </c>
      <c r="BM828" s="4" t="s">
        <v>2168</v>
      </c>
      <c r="BN828" s="4" t="s">
        <v>1746</v>
      </c>
      <c r="BO828" s="4" t="str">
        <f t="shared" si="12"/>
        <v>C:\Users\aremi\Desktop\REPORT CBM\PO TIANU JB\03. Raw Material\40. 10052026 SSU MEDINI SIGNATURE 33KV (VI)\IR</v>
      </c>
      <c r="BP828" t="s">
        <v>1429</v>
      </c>
    </row>
    <row r="829" spans="1:68" thickBot="1" x14ac:dyDescent="0.3">
      <c r="A829" s="4">
        <v>414</v>
      </c>
      <c r="B829" s="4" t="s">
        <v>1418</v>
      </c>
      <c r="C829" s="4">
        <v>12</v>
      </c>
      <c r="D829" s="4" t="s">
        <v>1976</v>
      </c>
      <c r="E829" s="4">
        <v>6</v>
      </c>
      <c r="F829" s="4" t="str">
        <f ca="1">Master_List!$AW$1</f>
        <v>PERPUSTAKAAN PUSAT</v>
      </c>
      <c r="G829" s="4" t="str">
        <f ca="1">Master_List!$AW$2</f>
        <v>09:30 PM</v>
      </c>
      <c r="H829" s="4" t="str">
        <f ca="1">Master_List!$AW$3</f>
        <v>20/07/2026</v>
      </c>
      <c r="I829" s="4" t="str">
        <f ca="1">Master_List!$AW$4</f>
        <v>28.5</v>
      </c>
      <c r="J829" s="4" t="str">
        <f ca="1">Master_List!$AW$5</f>
        <v>65</v>
      </c>
      <c r="K829" s="4" t="s">
        <v>585</v>
      </c>
      <c r="BL829" s="4" t="s">
        <v>1744</v>
      </c>
      <c r="BM829" s="4" t="s">
        <v>2168</v>
      </c>
      <c r="BN829" s="4" t="s">
        <v>1748</v>
      </c>
      <c r="BO829" s="4" t="str">
        <f t="shared" si="12"/>
        <v>C:\Users\aremi\Desktop\REPORT CBM\PO TIANU JB\03. Raw Material\40. 10052026 SSU MEDINI SIGNATURE 33KV (VI)\IR</v>
      </c>
      <c r="BP829" t="s">
        <v>1430</v>
      </c>
    </row>
    <row r="830" spans="1:68" thickBot="1" x14ac:dyDescent="0.3">
      <c r="A830" s="4">
        <v>415</v>
      </c>
      <c r="B830" s="4" t="s">
        <v>1418</v>
      </c>
      <c r="C830" s="4">
        <v>12</v>
      </c>
      <c r="D830" s="4" t="s">
        <v>1983</v>
      </c>
      <c r="E830" s="4">
        <v>7</v>
      </c>
      <c r="F830" s="4" t="str">
        <f ca="1">Master_List!$AW$1</f>
        <v>PERPUSTAKAAN PUSAT</v>
      </c>
      <c r="G830" s="4" t="str">
        <f ca="1">Master_List!$AW$2</f>
        <v>09:30 PM</v>
      </c>
      <c r="H830" s="4" t="str">
        <f ca="1">Master_List!$AW$3</f>
        <v>20/07/2026</v>
      </c>
      <c r="I830" s="4" t="str">
        <f ca="1">Master_List!$AW$4</f>
        <v>28.5</v>
      </c>
      <c r="J830" s="4" t="str">
        <f ca="1">Master_List!$AW$5</f>
        <v>65</v>
      </c>
      <c r="K830" s="4" t="s">
        <v>588</v>
      </c>
      <c r="BL830" s="4" t="s">
        <v>1744</v>
      </c>
      <c r="BM830" s="4" t="s">
        <v>2169</v>
      </c>
      <c r="BN830" s="4" t="s">
        <v>1746</v>
      </c>
      <c r="BO830" s="4" t="str">
        <f t="shared" si="12"/>
        <v>C:\Users\aremi\Desktop\REPORT CBM\PO TIANU JB\03. Raw Material\40. 10052026 SSU MEDINI SIGNATURE 33KV (VI)\IR</v>
      </c>
      <c r="BP830" t="s">
        <v>1431</v>
      </c>
    </row>
    <row r="831" spans="1:68" thickBot="1" x14ac:dyDescent="0.3">
      <c r="A831" s="4">
        <v>415</v>
      </c>
      <c r="B831" s="4" t="s">
        <v>1418</v>
      </c>
      <c r="C831" s="4">
        <v>12</v>
      </c>
      <c r="D831" s="4" t="s">
        <v>1983</v>
      </c>
      <c r="E831" s="4">
        <v>7</v>
      </c>
      <c r="F831" s="4" t="str">
        <f ca="1">Master_List!$AW$1</f>
        <v>PERPUSTAKAAN PUSAT</v>
      </c>
      <c r="G831" s="4" t="str">
        <f ca="1">Master_List!$AW$2</f>
        <v>09:30 PM</v>
      </c>
      <c r="H831" s="4" t="str">
        <f ca="1">Master_List!$AW$3</f>
        <v>20/07/2026</v>
      </c>
      <c r="I831" s="4" t="str">
        <f ca="1">Master_List!$AW$4</f>
        <v>28.5</v>
      </c>
      <c r="J831" s="4" t="str">
        <f ca="1">Master_List!$AW$5</f>
        <v>65</v>
      </c>
      <c r="K831" s="4" t="s">
        <v>588</v>
      </c>
      <c r="BL831" s="4" t="s">
        <v>1744</v>
      </c>
      <c r="BM831" s="4" t="s">
        <v>2169</v>
      </c>
      <c r="BN831" s="4" t="s">
        <v>1748</v>
      </c>
      <c r="BO831" s="4" t="str">
        <f t="shared" si="12"/>
        <v>C:\Users\aremi\Desktop\REPORT CBM\PO TIANU JB\03. Raw Material\40. 10052026 SSU MEDINI SIGNATURE 33KV (VI)\IR</v>
      </c>
      <c r="BP831" t="s">
        <v>1432</v>
      </c>
    </row>
    <row r="832" spans="1:68" thickBot="1" x14ac:dyDescent="0.3">
      <c r="A832" s="4">
        <v>416</v>
      </c>
      <c r="B832" s="4" t="s">
        <v>1418</v>
      </c>
      <c r="C832" s="4">
        <v>12</v>
      </c>
      <c r="D832" s="4" t="s">
        <v>1985</v>
      </c>
      <c r="E832" s="4">
        <v>8</v>
      </c>
      <c r="F832" s="4" t="str">
        <f ca="1">Master_List!$AW$1</f>
        <v>PERPUSTAKAAN PUSAT</v>
      </c>
      <c r="G832" s="4" t="str">
        <f ca="1">Master_List!$AW$2</f>
        <v>09:30 PM</v>
      </c>
      <c r="H832" s="4" t="str">
        <f ca="1">Master_List!$AW$3</f>
        <v>20/07/2026</v>
      </c>
      <c r="I832" s="4" t="str">
        <f ca="1">Master_List!$AW$4</f>
        <v>28.5</v>
      </c>
      <c r="J832" s="4" t="str">
        <f ca="1">Master_List!$AW$5</f>
        <v>65</v>
      </c>
      <c r="K832" s="4" t="s">
        <v>591</v>
      </c>
      <c r="BL832" s="4" t="s">
        <v>1744</v>
      </c>
      <c r="BM832" s="4" t="s">
        <v>2170</v>
      </c>
      <c r="BN832" s="4" t="s">
        <v>1746</v>
      </c>
      <c r="BO832" s="4" t="str">
        <f t="shared" si="12"/>
        <v>C:\Users\aremi\Desktop\REPORT CBM\PO TIANU JB\03. Raw Material\40. 10052026 SSU MEDINI SIGNATURE 33KV (VI)\IR</v>
      </c>
      <c r="BP832" t="s">
        <v>1433</v>
      </c>
    </row>
    <row r="833" spans="1:68" thickBot="1" x14ac:dyDescent="0.3">
      <c r="A833" s="4">
        <v>416</v>
      </c>
      <c r="B833" s="4" t="s">
        <v>1418</v>
      </c>
      <c r="C833" s="4">
        <v>12</v>
      </c>
      <c r="D833" s="4" t="s">
        <v>1985</v>
      </c>
      <c r="E833" s="4">
        <v>8</v>
      </c>
      <c r="F833" s="4" t="str">
        <f ca="1">Master_List!$AW$1</f>
        <v>PERPUSTAKAAN PUSAT</v>
      </c>
      <c r="G833" s="4" t="str">
        <f ca="1">Master_List!$AW$2</f>
        <v>09:30 PM</v>
      </c>
      <c r="H833" s="4" t="str">
        <f ca="1">Master_List!$AW$3</f>
        <v>20/07/2026</v>
      </c>
      <c r="I833" s="4" t="str">
        <f ca="1">Master_List!$AW$4</f>
        <v>28.5</v>
      </c>
      <c r="J833" s="4" t="str">
        <f ca="1">Master_List!$AW$5</f>
        <v>65</v>
      </c>
      <c r="K833" s="4" t="s">
        <v>591</v>
      </c>
      <c r="BL833" s="4" t="s">
        <v>1744</v>
      </c>
      <c r="BM833" s="4" t="s">
        <v>2170</v>
      </c>
      <c r="BN833" s="4" t="s">
        <v>1748</v>
      </c>
      <c r="BO833" s="4" t="str">
        <f t="shared" si="12"/>
        <v>C:\Users\aremi\Desktop\REPORT CBM\PO TIANU JB\03. Raw Material\40. 10052026 SSU MEDINI SIGNATURE 33KV (VI)\IR</v>
      </c>
      <c r="BP833" t="s">
        <v>1434</v>
      </c>
    </row>
    <row r="834" spans="1:68" thickBot="1" x14ac:dyDescent="0.3">
      <c r="A834" s="4">
        <v>417</v>
      </c>
      <c r="B834" s="4" t="s">
        <v>1435</v>
      </c>
      <c r="C834" s="4">
        <v>12</v>
      </c>
      <c r="D834" s="4" t="s">
        <v>1976</v>
      </c>
      <c r="E834" s="4">
        <v>1</v>
      </c>
      <c r="F834" s="4" t="str">
        <f ca="1">Master_List!$AW$1</f>
        <v>PERPUSTAKAAN PUSAT</v>
      </c>
      <c r="G834" s="4" t="str">
        <f ca="1">Master_List!$AW$2</f>
        <v>09:30 PM</v>
      </c>
      <c r="H834" s="4" t="str">
        <f ca="1">Master_List!$AW$3</f>
        <v>20/07/2026</v>
      </c>
      <c r="I834" s="4" t="str">
        <f ca="1">Master_List!$AW$4</f>
        <v>28.5</v>
      </c>
      <c r="J834" s="4" t="str">
        <f ca="1">Master_List!$AW$5</f>
        <v>65</v>
      </c>
      <c r="K834" s="4" t="s">
        <v>570</v>
      </c>
      <c r="BL834" s="4" t="s">
        <v>1744</v>
      </c>
      <c r="BM834" s="4" t="s">
        <v>2171</v>
      </c>
      <c r="BN834" s="4" t="s">
        <v>1746</v>
      </c>
      <c r="BO834" s="4" t="str">
        <f t="shared" si="12"/>
        <v>C:\Users\aremi\Desktop\REPORT CBM\PO TIANU JB\03. Raw Material\40. 10052026 SSU MEDINI SIGNATURE 33KV (VI)\IR</v>
      </c>
      <c r="BP834" t="s">
        <v>1436</v>
      </c>
    </row>
    <row r="835" spans="1:68" thickBot="1" x14ac:dyDescent="0.3">
      <c r="A835" s="4">
        <v>417</v>
      </c>
      <c r="B835" s="4" t="s">
        <v>1435</v>
      </c>
      <c r="C835" s="4">
        <v>12</v>
      </c>
      <c r="D835" s="4" t="s">
        <v>1976</v>
      </c>
      <c r="E835" s="4">
        <v>1</v>
      </c>
      <c r="F835" s="4" t="str">
        <f ca="1">Master_List!$AW$1</f>
        <v>PERPUSTAKAAN PUSAT</v>
      </c>
      <c r="G835" s="4" t="str">
        <f ca="1">Master_List!$AW$2</f>
        <v>09:30 PM</v>
      </c>
      <c r="H835" s="4" t="str">
        <f ca="1">Master_List!$AW$3</f>
        <v>20/07/2026</v>
      </c>
      <c r="I835" s="4" t="str">
        <f ca="1">Master_List!$AW$4</f>
        <v>28.5</v>
      </c>
      <c r="J835" s="4" t="str">
        <f ca="1">Master_List!$AW$5</f>
        <v>65</v>
      </c>
      <c r="K835" s="4" t="s">
        <v>570</v>
      </c>
      <c r="BL835" s="4" t="s">
        <v>1744</v>
      </c>
      <c r="BM835" s="4" t="s">
        <v>2171</v>
      </c>
      <c r="BN835" s="4" t="s">
        <v>1748</v>
      </c>
      <c r="BO835" s="4" t="str">
        <f t="shared" ref="BO835:BO898" si="13">BO834</f>
        <v>C:\Users\aremi\Desktop\REPORT CBM\PO TIANU JB\03. Raw Material\40. 10052026 SSU MEDINI SIGNATURE 33KV (VI)\IR</v>
      </c>
      <c r="BP835" t="s">
        <v>1437</v>
      </c>
    </row>
    <row r="836" spans="1:68" thickBot="1" x14ac:dyDescent="0.3">
      <c r="A836" s="4">
        <v>418</v>
      </c>
      <c r="B836" s="4" t="s">
        <v>1435</v>
      </c>
      <c r="C836" s="4">
        <v>12</v>
      </c>
      <c r="D836" s="4" t="s">
        <v>1976</v>
      </c>
      <c r="E836" s="4">
        <v>2</v>
      </c>
      <c r="F836" s="4" t="str">
        <f ca="1">Master_List!$AW$1</f>
        <v>PERPUSTAKAAN PUSAT</v>
      </c>
      <c r="G836" s="4" t="str">
        <f ca="1">Master_List!$AW$2</f>
        <v>09:30 PM</v>
      </c>
      <c r="H836" s="4" t="str">
        <f ca="1">Master_List!$AW$3</f>
        <v>20/07/2026</v>
      </c>
      <c r="I836" s="4" t="str">
        <f ca="1">Master_List!$AW$4</f>
        <v>28.5</v>
      </c>
      <c r="J836" s="4" t="str">
        <f ca="1">Master_List!$AW$5</f>
        <v>65</v>
      </c>
      <c r="K836" s="4" t="s">
        <v>573</v>
      </c>
      <c r="BL836" s="4" t="s">
        <v>1744</v>
      </c>
      <c r="BM836" s="10" t="s">
        <v>2172</v>
      </c>
      <c r="BN836" s="4" t="s">
        <v>1746</v>
      </c>
      <c r="BO836" s="4" t="str">
        <f t="shared" si="13"/>
        <v>C:\Users\aremi\Desktop\REPORT CBM\PO TIANU JB\03. Raw Material\40. 10052026 SSU MEDINI SIGNATURE 33KV (VI)\IR</v>
      </c>
      <c r="BP836" t="s">
        <v>1438</v>
      </c>
    </row>
    <row r="837" spans="1:68" thickBot="1" x14ac:dyDescent="0.3">
      <c r="A837" s="4">
        <v>418</v>
      </c>
      <c r="B837" s="4" t="s">
        <v>1435</v>
      </c>
      <c r="C837" s="4">
        <v>12</v>
      </c>
      <c r="D837" s="4" t="s">
        <v>1976</v>
      </c>
      <c r="E837" s="4">
        <v>2</v>
      </c>
      <c r="F837" s="4" t="str">
        <f ca="1">Master_List!$AW$1</f>
        <v>PERPUSTAKAAN PUSAT</v>
      </c>
      <c r="G837" s="4" t="str">
        <f ca="1">Master_List!$AW$2</f>
        <v>09:30 PM</v>
      </c>
      <c r="H837" s="4" t="str">
        <f ca="1">Master_List!$AW$3</f>
        <v>20/07/2026</v>
      </c>
      <c r="I837" s="4" t="str">
        <f ca="1">Master_List!$AW$4</f>
        <v>28.5</v>
      </c>
      <c r="J837" s="4" t="str">
        <f ca="1">Master_List!$AW$5</f>
        <v>65</v>
      </c>
      <c r="K837" s="4" t="s">
        <v>573</v>
      </c>
      <c r="BL837" s="4" t="s">
        <v>1744</v>
      </c>
      <c r="BM837" s="10" t="s">
        <v>2172</v>
      </c>
      <c r="BN837" s="4" t="s">
        <v>1748</v>
      </c>
      <c r="BO837" s="4" t="str">
        <f t="shared" si="13"/>
        <v>C:\Users\aremi\Desktop\REPORT CBM\PO TIANU JB\03. Raw Material\40. 10052026 SSU MEDINI SIGNATURE 33KV (VI)\IR</v>
      </c>
      <c r="BP837" t="s">
        <v>1439</v>
      </c>
    </row>
    <row r="838" spans="1:68" thickBot="1" x14ac:dyDescent="0.3">
      <c r="A838" s="4">
        <v>419</v>
      </c>
      <c r="B838" s="4" t="s">
        <v>1435</v>
      </c>
      <c r="C838" s="4">
        <v>12</v>
      </c>
      <c r="D838" s="4" t="s">
        <v>1976</v>
      </c>
      <c r="E838" s="4">
        <v>3</v>
      </c>
      <c r="F838" s="4" t="str">
        <f ca="1">Master_List!$AW$1</f>
        <v>PERPUSTAKAAN PUSAT</v>
      </c>
      <c r="G838" s="4" t="str">
        <f ca="1">Master_List!$AW$2</f>
        <v>09:30 PM</v>
      </c>
      <c r="H838" s="4" t="str">
        <f ca="1">Master_List!$AW$3</f>
        <v>20/07/2026</v>
      </c>
      <c r="I838" s="4" t="str">
        <f ca="1">Master_List!$AW$4</f>
        <v>28.5</v>
      </c>
      <c r="J838" s="4" t="str">
        <f ca="1">Master_List!$AW$5</f>
        <v>65</v>
      </c>
      <c r="K838" s="4" t="s">
        <v>576</v>
      </c>
      <c r="BL838" s="4" t="s">
        <v>1744</v>
      </c>
      <c r="BM838" s="10" t="s">
        <v>2173</v>
      </c>
      <c r="BN838" s="4" t="s">
        <v>1746</v>
      </c>
      <c r="BO838" s="4" t="str">
        <f t="shared" si="13"/>
        <v>C:\Users\aremi\Desktop\REPORT CBM\PO TIANU JB\03. Raw Material\40. 10052026 SSU MEDINI SIGNATURE 33KV (VI)\IR</v>
      </c>
      <c r="BP838" t="s">
        <v>1440</v>
      </c>
    </row>
    <row r="839" spans="1:68" thickBot="1" x14ac:dyDescent="0.3">
      <c r="A839" s="4">
        <v>419</v>
      </c>
      <c r="B839" s="4" t="s">
        <v>1435</v>
      </c>
      <c r="C839" s="4">
        <v>12</v>
      </c>
      <c r="D839" s="4" t="s">
        <v>1976</v>
      </c>
      <c r="E839" s="4">
        <v>3</v>
      </c>
      <c r="F839" s="4" t="str">
        <f ca="1">Master_List!$AW$1</f>
        <v>PERPUSTAKAAN PUSAT</v>
      </c>
      <c r="G839" s="4" t="str">
        <f ca="1">Master_List!$AW$2</f>
        <v>09:30 PM</v>
      </c>
      <c r="H839" s="4" t="str">
        <f ca="1">Master_List!$AW$3</f>
        <v>20/07/2026</v>
      </c>
      <c r="I839" s="4" t="str">
        <f ca="1">Master_List!$AW$4</f>
        <v>28.5</v>
      </c>
      <c r="J839" s="4" t="str">
        <f ca="1">Master_List!$AW$5</f>
        <v>65</v>
      </c>
      <c r="K839" s="4" t="s">
        <v>576</v>
      </c>
      <c r="BL839" s="4" t="s">
        <v>1744</v>
      </c>
      <c r="BM839" s="10" t="s">
        <v>2173</v>
      </c>
      <c r="BN839" s="4" t="s">
        <v>1748</v>
      </c>
      <c r="BO839" s="4" t="str">
        <f t="shared" si="13"/>
        <v>C:\Users\aremi\Desktop\REPORT CBM\PO TIANU JB\03. Raw Material\40. 10052026 SSU MEDINI SIGNATURE 33KV (VI)\IR</v>
      </c>
      <c r="BP839" t="s">
        <v>1441</v>
      </c>
    </row>
    <row r="840" spans="1:68" thickBot="1" x14ac:dyDescent="0.3">
      <c r="A840" s="4">
        <v>420</v>
      </c>
      <c r="B840" s="4" t="s">
        <v>1435</v>
      </c>
      <c r="C840" s="4">
        <v>12</v>
      </c>
      <c r="D840" s="4" t="s">
        <v>1976</v>
      </c>
      <c r="E840" s="4">
        <v>4</v>
      </c>
      <c r="F840" s="4" t="str">
        <f ca="1">Master_List!$AW$1</f>
        <v>PERPUSTAKAAN PUSAT</v>
      </c>
      <c r="G840" s="4" t="str">
        <f ca="1">Master_List!$AW$2</f>
        <v>09:30 PM</v>
      </c>
      <c r="H840" s="4" t="str">
        <f ca="1">Master_List!$AW$3</f>
        <v>20/07/2026</v>
      </c>
      <c r="I840" s="4" t="str">
        <f ca="1">Master_List!$AW$4</f>
        <v>28.5</v>
      </c>
      <c r="J840" s="4" t="str">
        <f ca="1">Master_List!$AW$5</f>
        <v>65</v>
      </c>
      <c r="K840" s="4" t="s">
        <v>579</v>
      </c>
      <c r="BL840" s="4" t="s">
        <v>1744</v>
      </c>
      <c r="BM840" s="10" t="s">
        <v>2174</v>
      </c>
      <c r="BN840" s="4" t="s">
        <v>1746</v>
      </c>
      <c r="BO840" s="4" t="str">
        <f t="shared" si="13"/>
        <v>C:\Users\aremi\Desktop\REPORT CBM\PO TIANU JB\03. Raw Material\40. 10052026 SSU MEDINI SIGNATURE 33KV (VI)\IR</v>
      </c>
      <c r="BP840" t="s">
        <v>1442</v>
      </c>
    </row>
    <row r="841" spans="1:68" thickBot="1" x14ac:dyDescent="0.3">
      <c r="A841" s="4">
        <v>420</v>
      </c>
      <c r="B841" s="4" t="s">
        <v>1435</v>
      </c>
      <c r="C841" s="4">
        <v>12</v>
      </c>
      <c r="D841" s="4" t="s">
        <v>1976</v>
      </c>
      <c r="E841" s="4">
        <v>4</v>
      </c>
      <c r="F841" s="4" t="str">
        <f ca="1">Master_List!$AW$1</f>
        <v>PERPUSTAKAAN PUSAT</v>
      </c>
      <c r="G841" s="4" t="str">
        <f ca="1">Master_List!$AW$2</f>
        <v>09:30 PM</v>
      </c>
      <c r="H841" s="4" t="str">
        <f ca="1">Master_List!$AW$3</f>
        <v>20/07/2026</v>
      </c>
      <c r="I841" s="4" t="str">
        <f ca="1">Master_List!$AW$4</f>
        <v>28.5</v>
      </c>
      <c r="J841" s="4" t="str">
        <f ca="1">Master_List!$AW$5</f>
        <v>65</v>
      </c>
      <c r="K841" s="4" t="s">
        <v>579</v>
      </c>
      <c r="BL841" s="4" t="s">
        <v>1744</v>
      </c>
      <c r="BM841" s="10" t="s">
        <v>2174</v>
      </c>
      <c r="BN841" s="4" t="s">
        <v>1748</v>
      </c>
      <c r="BO841" s="4" t="str">
        <f t="shared" si="13"/>
        <v>C:\Users\aremi\Desktop\REPORT CBM\PO TIANU JB\03. Raw Material\40. 10052026 SSU MEDINI SIGNATURE 33KV (VI)\IR</v>
      </c>
      <c r="BP841" t="s">
        <v>1443</v>
      </c>
    </row>
    <row r="842" spans="1:68" thickBot="1" x14ac:dyDescent="0.3">
      <c r="A842" s="4">
        <v>421</v>
      </c>
      <c r="B842" s="4" t="s">
        <v>1435</v>
      </c>
      <c r="C842" s="4">
        <v>12</v>
      </c>
      <c r="D842" s="4" t="s">
        <v>1976</v>
      </c>
      <c r="E842" s="4">
        <v>5</v>
      </c>
      <c r="F842" s="4" t="str">
        <f ca="1">Master_List!$AW$1</f>
        <v>PERPUSTAKAAN PUSAT</v>
      </c>
      <c r="G842" s="4" t="str">
        <f ca="1">Master_List!$AW$2</f>
        <v>09:30 PM</v>
      </c>
      <c r="H842" s="4" t="str">
        <f ca="1">Master_List!$AW$3</f>
        <v>20/07/2026</v>
      </c>
      <c r="I842" s="4" t="str">
        <f ca="1">Master_List!$AW$4</f>
        <v>28.5</v>
      </c>
      <c r="J842" s="4" t="str">
        <f ca="1">Master_List!$AW$5</f>
        <v>65</v>
      </c>
      <c r="K842" s="4" t="s">
        <v>582</v>
      </c>
      <c r="BL842" s="4" t="s">
        <v>1744</v>
      </c>
      <c r="BM842" s="10" t="s">
        <v>2175</v>
      </c>
      <c r="BN842" s="4" t="s">
        <v>1746</v>
      </c>
      <c r="BO842" s="4" t="str">
        <f t="shared" si="13"/>
        <v>C:\Users\aremi\Desktop\REPORT CBM\PO TIANU JB\03. Raw Material\40. 10052026 SSU MEDINI SIGNATURE 33KV (VI)\IR</v>
      </c>
      <c r="BP842" t="s">
        <v>1444</v>
      </c>
    </row>
    <row r="843" spans="1:68" thickBot="1" x14ac:dyDescent="0.3">
      <c r="A843" s="4">
        <v>421</v>
      </c>
      <c r="B843" s="4" t="s">
        <v>1435</v>
      </c>
      <c r="C843" s="4">
        <v>12</v>
      </c>
      <c r="D843" s="4" t="s">
        <v>1976</v>
      </c>
      <c r="E843" s="4">
        <v>5</v>
      </c>
      <c r="F843" s="4" t="str">
        <f ca="1">Master_List!$AW$1</f>
        <v>PERPUSTAKAAN PUSAT</v>
      </c>
      <c r="G843" s="4" t="str">
        <f ca="1">Master_List!$AW$2</f>
        <v>09:30 PM</v>
      </c>
      <c r="H843" s="4" t="str">
        <f ca="1">Master_List!$AW$3</f>
        <v>20/07/2026</v>
      </c>
      <c r="I843" s="4" t="str">
        <f ca="1">Master_List!$AW$4</f>
        <v>28.5</v>
      </c>
      <c r="J843" s="4" t="str">
        <f ca="1">Master_List!$AW$5</f>
        <v>65</v>
      </c>
      <c r="K843" s="4" t="s">
        <v>582</v>
      </c>
      <c r="BL843" s="4" t="s">
        <v>1744</v>
      </c>
      <c r="BM843" s="10" t="s">
        <v>2175</v>
      </c>
      <c r="BN843" s="4" t="s">
        <v>1748</v>
      </c>
      <c r="BO843" s="4" t="str">
        <f t="shared" si="13"/>
        <v>C:\Users\aremi\Desktop\REPORT CBM\PO TIANU JB\03. Raw Material\40. 10052026 SSU MEDINI SIGNATURE 33KV (VI)\IR</v>
      </c>
      <c r="BP843" t="s">
        <v>1445</v>
      </c>
    </row>
    <row r="844" spans="1:68" thickBot="1" x14ac:dyDescent="0.3">
      <c r="A844" s="4">
        <v>422</v>
      </c>
      <c r="B844" s="4" t="s">
        <v>1435</v>
      </c>
      <c r="C844" s="4">
        <v>12</v>
      </c>
      <c r="D844" s="4" t="s">
        <v>1976</v>
      </c>
      <c r="E844" s="4">
        <v>6</v>
      </c>
      <c r="F844" s="4" t="str">
        <f ca="1">Master_List!$AW$1</f>
        <v>PERPUSTAKAAN PUSAT</v>
      </c>
      <c r="G844" s="4" t="str">
        <f ca="1">Master_List!$AW$2</f>
        <v>09:30 PM</v>
      </c>
      <c r="H844" s="4" t="str">
        <f ca="1">Master_List!$AW$3</f>
        <v>20/07/2026</v>
      </c>
      <c r="I844" s="4" t="str">
        <f ca="1">Master_List!$AW$4</f>
        <v>28.5</v>
      </c>
      <c r="J844" s="4" t="str">
        <f ca="1">Master_List!$AW$5</f>
        <v>65</v>
      </c>
      <c r="K844" s="4" t="s">
        <v>585</v>
      </c>
      <c r="BL844" s="4" t="s">
        <v>1744</v>
      </c>
      <c r="BM844" s="10" t="s">
        <v>2176</v>
      </c>
      <c r="BN844" s="4" t="s">
        <v>1746</v>
      </c>
      <c r="BO844" s="4" t="str">
        <f t="shared" si="13"/>
        <v>C:\Users\aremi\Desktop\REPORT CBM\PO TIANU JB\03. Raw Material\40. 10052026 SSU MEDINI SIGNATURE 33KV (VI)\IR</v>
      </c>
      <c r="BP844" t="s">
        <v>1446</v>
      </c>
    </row>
    <row r="845" spans="1:68" thickBot="1" x14ac:dyDescent="0.3">
      <c r="A845" s="4">
        <v>422</v>
      </c>
      <c r="B845" s="4" t="s">
        <v>1435</v>
      </c>
      <c r="C845" s="4">
        <v>12</v>
      </c>
      <c r="D845" s="4" t="s">
        <v>1976</v>
      </c>
      <c r="E845" s="4">
        <v>6</v>
      </c>
      <c r="F845" s="4" t="str">
        <f ca="1">Master_List!$AW$1</f>
        <v>PERPUSTAKAAN PUSAT</v>
      </c>
      <c r="G845" s="4" t="str">
        <f ca="1">Master_List!$AW$2</f>
        <v>09:30 PM</v>
      </c>
      <c r="H845" s="4" t="str">
        <f ca="1">Master_List!$AW$3</f>
        <v>20/07/2026</v>
      </c>
      <c r="I845" s="4" t="str">
        <f ca="1">Master_List!$AW$4</f>
        <v>28.5</v>
      </c>
      <c r="J845" s="4" t="str">
        <f ca="1">Master_List!$AW$5</f>
        <v>65</v>
      </c>
      <c r="K845" s="4" t="s">
        <v>585</v>
      </c>
      <c r="BL845" s="4" t="s">
        <v>1744</v>
      </c>
      <c r="BM845" s="10" t="s">
        <v>2176</v>
      </c>
      <c r="BN845" s="4" t="s">
        <v>1748</v>
      </c>
      <c r="BO845" s="4" t="str">
        <f t="shared" si="13"/>
        <v>C:\Users\aremi\Desktop\REPORT CBM\PO TIANU JB\03. Raw Material\40. 10052026 SSU MEDINI SIGNATURE 33KV (VI)\IR</v>
      </c>
      <c r="BP845" t="s">
        <v>1447</v>
      </c>
    </row>
    <row r="846" spans="1:68" thickBot="1" x14ac:dyDescent="0.3">
      <c r="A846" s="4">
        <v>423</v>
      </c>
      <c r="B846" s="4" t="s">
        <v>1435</v>
      </c>
      <c r="C846" s="4">
        <v>12</v>
      </c>
      <c r="D846" s="4" t="s">
        <v>1983</v>
      </c>
      <c r="E846" s="4">
        <v>7</v>
      </c>
      <c r="F846" s="4" t="str">
        <f ca="1">Master_List!$AW$1</f>
        <v>PERPUSTAKAAN PUSAT</v>
      </c>
      <c r="G846" s="4" t="str">
        <f ca="1">Master_List!$AW$2</f>
        <v>09:30 PM</v>
      </c>
      <c r="H846" s="4" t="str">
        <f ca="1">Master_List!$AW$3</f>
        <v>20/07/2026</v>
      </c>
      <c r="I846" s="4" t="str">
        <f ca="1">Master_List!$AW$4</f>
        <v>28.5</v>
      </c>
      <c r="J846" s="4" t="str">
        <f ca="1">Master_List!$AW$5</f>
        <v>65</v>
      </c>
      <c r="K846" s="4" t="s">
        <v>588</v>
      </c>
      <c r="BL846" s="4" t="s">
        <v>1744</v>
      </c>
      <c r="BM846" s="10" t="s">
        <v>2177</v>
      </c>
      <c r="BN846" s="4" t="s">
        <v>1746</v>
      </c>
      <c r="BO846" s="4" t="str">
        <f t="shared" si="13"/>
        <v>C:\Users\aremi\Desktop\REPORT CBM\PO TIANU JB\03. Raw Material\40. 10052026 SSU MEDINI SIGNATURE 33KV (VI)\IR</v>
      </c>
      <c r="BP846" t="s">
        <v>1448</v>
      </c>
    </row>
    <row r="847" spans="1:68" thickBot="1" x14ac:dyDescent="0.3">
      <c r="A847" s="4">
        <v>423</v>
      </c>
      <c r="B847" s="4" t="s">
        <v>1435</v>
      </c>
      <c r="C847" s="4">
        <v>12</v>
      </c>
      <c r="D847" s="4" t="s">
        <v>1983</v>
      </c>
      <c r="E847" s="4">
        <v>7</v>
      </c>
      <c r="F847" s="4" t="str">
        <f ca="1">Master_List!$AW$1</f>
        <v>PERPUSTAKAAN PUSAT</v>
      </c>
      <c r="G847" s="4" t="str">
        <f ca="1">Master_List!$AW$2</f>
        <v>09:30 PM</v>
      </c>
      <c r="H847" s="4" t="str">
        <f ca="1">Master_List!$AW$3</f>
        <v>20/07/2026</v>
      </c>
      <c r="I847" s="4" t="str">
        <f ca="1">Master_List!$AW$4</f>
        <v>28.5</v>
      </c>
      <c r="J847" s="4" t="str">
        <f ca="1">Master_List!$AW$5</f>
        <v>65</v>
      </c>
      <c r="K847" s="4" t="s">
        <v>588</v>
      </c>
      <c r="BL847" s="4" t="s">
        <v>1744</v>
      </c>
      <c r="BM847" s="10" t="s">
        <v>2177</v>
      </c>
      <c r="BN847" s="4" t="s">
        <v>1748</v>
      </c>
      <c r="BO847" s="4" t="str">
        <f t="shared" si="13"/>
        <v>C:\Users\aremi\Desktop\REPORT CBM\PO TIANU JB\03. Raw Material\40. 10052026 SSU MEDINI SIGNATURE 33KV (VI)\IR</v>
      </c>
      <c r="BP847" t="s">
        <v>1449</v>
      </c>
    </row>
    <row r="848" spans="1:68" thickBot="1" x14ac:dyDescent="0.3">
      <c r="A848" s="4">
        <v>424</v>
      </c>
      <c r="B848" s="4" t="s">
        <v>1435</v>
      </c>
      <c r="C848" s="4">
        <v>12</v>
      </c>
      <c r="D848" s="4" t="s">
        <v>1985</v>
      </c>
      <c r="E848" s="4">
        <v>8</v>
      </c>
      <c r="F848" s="4" t="str">
        <f ca="1">Master_List!$AW$1</f>
        <v>PERPUSTAKAAN PUSAT</v>
      </c>
      <c r="G848" s="4" t="str">
        <f ca="1">Master_List!$AW$2</f>
        <v>09:30 PM</v>
      </c>
      <c r="H848" s="4" t="str">
        <f ca="1">Master_List!$AW$3</f>
        <v>20/07/2026</v>
      </c>
      <c r="I848" s="4" t="str">
        <f ca="1">Master_List!$AW$4</f>
        <v>28.5</v>
      </c>
      <c r="J848" s="4" t="str">
        <f ca="1">Master_List!$AW$5</f>
        <v>65</v>
      </c>
      <c r="K848" s="4" t="s">
        <v>591</v>
      </c>
      <c r="BL848" s="4" t="s">
        <v>1744</v>
      </c>
      <c r="BM848" s="10" t="s">
        <v>2178</v>
      </c>
      <c r="BN848" s="4" t="s">
        <v>1746</v>
      </c>
      <c r="BO848" s="4" t="str">
        <f t="shared" si="13"/>
        <v>C:\Users\aremi\Desktop\REPORT CBM\PO TIANU JB\03. Raw Material\40. 10052026 SSU MEDINI SIGNATURE 33KV (VI)\IR</v>
      </c>
      <c r="BP848" t="s">
        <v>1450</v>
      </c>
    </row>
    <row r="849" spans="1:68" thickBot="1" x14ac:dyDescent="0.3">
      <c r="A849" s="4">
        <v>424</v>
      </c>
      <c r="B849" s="4" t="s">
        <v>1435</v>
      </c>
      <c r="C849" s="4">
        <v>12</v>
      </c>
      <c r="D849" s="4" t="s">
        <v>1985</v>
      </c>
      <c r="E849" s="4">
        <v>8</v>
      </c>
      <c r="F849" s="4" t="str">
        <f ca="1">Master_List!$AW$1</f>
        <v>PERPUSTAKAAN PUSAT</v>
      </c>
      <c r="G849" s="4" t="str">
        <f ca="1">Master_List!$AW$2</f>
        <v>09:30 PM</v>
      </c>
      <c r="H849" s="4" t="str">
        <f ca="1">Master_List!$AW$3</f>
        <v>20/07/2026</v>
      </c>
      <c r="I849" s="4" t="str">
        <f ca="1">Master_List!$AW$4</f>
        <v>28.5</v>
      </c>
      <c r="J849" s="4" t="str">
        <f ca="1">Master_List!$AW$5</f>
        <v>65</v>
      </c>
      <c r="K849" s="4" t="s">
        <v>591</v>
      </c>
      <c r="BL849" s="4" t="s">
        <v>1744</v>
      </c>
      <c r="BM849" s="10" t="s">
        <v>2178</v>
      </c>
      <c r="BN849" s="4" t="s">
        <v>1748</v>
      </c>
      <c r="BO849" s="4" t="str">
        <f t="shared" si="13"/>
        <v>C:\Users\aremi\Desktop\REPORT CBM\PO TIANU JB\03. Raw Material\40. 10052026 SSU MEDINI SIGNATURE 33KV (VI)\IR</v>
      </c>
      <c r="BP849" t="s">
        <v>1451</v>
      </c>
    </row>
    <row r="850" spans="1:68" thickBot="1" x14ac:dyDescent="0.3">
      <c r="A850" s="4">
        <v>425</v>
      </c>
      <c r="B850" s="4" t="s">
        <v>1452</v>
      </c>
      <c r="C850" s="4">
        <v>13</v>
      </c>
      <c r="D850" s="4" t="s">
        <v>2179</v>
      </c>
      <c r="E850" s="4">
        <v>1</v>
      </c>
      <c r="F850" s="4" t="str">
        <f ca="1">Master_List!$AW$1</f>
        <v>PERPUSTAKAAN PUSAT</v>
      </c>
      <c r="G850" s="4" t="str">
        <f ca="1">Master_List!$AW$2</f>
        <v>09:30 PM</v>
      </c>
      <c r="H850" s="4" t="str">
        <f ca="1">Master_List!$AW$3</f>
        <v>20/07/2026</v>
      </c>
      <c r="I850" s="4" t="str">
        <f ca="1">Master_List!$AW$4</f>
        <v>28.5</v>
      </c>
      <c r="J850" s="4" t="str">
        <f ca="1">Master_List!$AW$5</f>
        <v>65</v>
      </c>
      <c r="K850" s="4" t="s">
        <v>1453</v>
      </c>
      <c r="BL850" s="4" t="s">
        <v>1744</v>
      </c>
      <c r="BM850" s="10" t="s">
        <v>2180</v>
      </c>
      <c r="BN850" s="4" t="s">
        <v>1746</v>
      </c>
      <c r="BO850" s="4" t="str">
        <f t="shared" si="13"/>
        <v>C:\Users\aremi\Desktop\REPORT CBM\PO TIANU JB\03. Raw Material\40. 10052026 SSU MEDINI SIGNATURE 33KV (VI)\IR</v>
      </c>
      <c r="BP850" t="s">
        <v>1454</v>
      </c>
    </row>
    <row r="851" spans="1:68" thickBot="1" x14ac:dyDescent="0.3">
      <c r="A851" s="4">
        <v>425</v>
      </c>
      <c r="B851" s="4" t="s">
        <v>1452</v>
      </c>
      <c r="C851" s="4">
        <v>13</v>
      </c>
      <c r="D851" s="4" t="s">
        <v>2179</v>
      </c>
      <c r="E851" s="4">
        <v>1</v>
      </c>
      <c r="F851" s="4" t="str">
        <f ca="1">Master_List!$AW$1</f>
        <v>PERPUSTAKAAN PUSAT</v>
      </c>
      <c r="G851" s="4" t="str">
        <f ca="1">Master_List!$AW$2</f>
        <v>09:30 PM</v>
      </c>
      <c r="H851" s="4" t="str">
        <f ca="1">Master_List!$AW$3</f>
        <v>20/07/2026</v>
      </c>
      <c r="I851" s="4" t="str">
        <f ca="1">Master_List!$AW$4</f>
        <v>28.5</v>
      </c>
      <c r="J851" s="4" t="str">
        <f ca="1">Master_List!$AW$5</f>
        <v>65</v>
      </c>
      <c r="K851" s="4" t="s">
        <v>1453</v>
      </c>
      <c r="BL851" s="4" t="s">
        <v>1744</v>
      </c>
      <c r="BM851" s="10" t="s">
        <v>2180</v>
      </c>
      <c r="BN851" s="4" t="s">
        <v>1748</v>
      </c>
      <c r="BO851" s="4" t="str">
        <f t="shared" si="13"/>
        <v>C:\Users\aremi\Desktop\REPORT CBM\PO TIANU JB\03. Raw Material\40. 10052026 SSU MEDINI SIGNATURE 33KV (VI)\IR</v>
      </c>
      <c r="BP851" t="s">
        <v>1455</v>
      </c>
    </row>
    <row r="852" spans="1:68" thickBot="1" x14ac:dyDescent="0.3">
      <c r="A852" s="4">
        <v>426</v>
      </c>
      <c r="B852" s="4" t="s">
        <v>1452</v>
      </c>
      <c r="C852" s="4">
        <v>13</v>
      </c>
      <c r="D852" s="4" t="s">
        <v>2181</v>
      </c>
      <c r="E852" s="4">
        <v>2</v>
      </c>
      <c r="F852" s="4" t="str">
        <f ca="1">Master_List!$AW$1</f>
        <v>PERPUSTAKAAN PUSAT</v>
      </c>
      <c r="G852" s="4" t="str">
        <f ca="1">Master_List!$AW$2</f>
        <v>09:30 PM</v>
      </c>
      <c r="H852" s="4" t="str">
        <f ca="1">Master_List!$AW$3</f>
        <v>20/07/2026</v>
      </c>
      <c r="I852" s="4" t="str">
        <f ca="1">Master_List!$AW$4</f>
        <v>28.5</v>
      </c>
      <c r="J852" s="4" t="str">
        <f ca="1">Master_List!$AW$5</f>
        <v>65</v>
      </c>
      <c r="K852" s="4" t="s">
        <v>1456</v>
      </c>
      <c r="BL852" s="4" t="s">
        <v>1744</v>
      </c>
      <c r="BM852" s="10" t="s">
        <v>2182</v>
      </c>
      <c r="BN852" s="4" t="s">
        <v>1746</v>
      </c>
      <c r="BO852" s="4" t="str">
        <f t="shared" si="13"/>
        <v>C:\Users\aremi\Desktop\REPORT CBM\PO TIANU JB\03. Raw Material\40. 10052026 SSU MEDINI SIGNATURE 33KV (VI)\IR</v>
      </c>
      <c r="BP852" t="s">
        <v>1457</v>
      </c>
    </row>
    <row r="853" spans="1:68" thickBot="1" x14ac:dyDescent="0.3">
      <c r="A853" s="4">
        <v>426</v>
      </c>
      <c r="B853" s="4" t="s">
        <v>1452</v>
      </c>
      <c r="C853" s="4">
        <v>13</v>
      </c>
      <c r="D853" s="4" t="s">
        <v>2181</v>
      </c>
      <c r="E853" s="4">
        <v>2</v>
      </c>
      <c r="F853" s="4" t="str">
        <f ca="1">Master_List!$AW$1</f>
        <v>PERPUSTAKAAN PUSAT</v>
      </c>
      <c r="G853" s="4" t="str">
        <f ca="1">Master_List!$AW$2</f>
        <v>09:30 PM</v>
      </c>
      <c r="H853" s="4" t="str">
        <f ca="1">Master_List!$AW$3</f>
        <v>20/07/2026</v>
      </c>
      <c r="I853" s="4" t="str">
        <f ca="1">Master_List!$AW$4</f>
        <v>28.5</v>
      </c>
      <c r="J853" s="4" t="str">
        <f ca="1">Master_List!$AW$5</f>
        <v>65</v>
      </c>
      <c r="K853" s="4" t="s">
        <v>1456</v>
      </c>
      <c r="BL853" s="4" t="s">
        <v>1744</v>
      </c>
      <c r="BM853" s="10" t="s">
        <v>2182</v>
      </c>
      <c r="BN853" s="4" t="s">
        <v>1748</v>
      </c>
      <c r="BO853" s="4" t="str">
        <f t="shared" si="13"/>
        <v>C:\Users\aremi\Desktop\REPORT CBM\PO TIANU JB\03. Raw Material\40. 10052026 SSU MEDINI SIGNATURE 33KV (VI)\IR</v>
      </c>
      <c r="BP853" t="s">
        <v>1458</v>
      </c>
    </row>
    <row r="854" spans="1:68" thickBot="1" x14ac:dyDescent="0.3">
      <c r="A854" s="4">
        <v>427</v>
      </c>
      <c r="B854" s="4" t="s">
        <v>1452</v>
      </c>
      <c r="C854" s="4">
        <v>13</v>
      </c>
      <c r="D854" s="4" t="s">
        <v>2183</v>
      </c>
      <c r="E854" s="4">
        <v>3</v>
      </c>
      <c r="F854" s="4" t="str">
        <f ca="1">Master_List!$AW$1</f>
        <v>PERPUSTAKAAN PUSAT</v>
      </c>
      <c r="G854" s="4" t="str">
        <f ca="1">Master_List!$AW$2</f>
        <v>09:30 PM</v>
      </c>
      <c r="H854" s="4" t="str">
        <f ca="1">Master_List!$AW$3</f>
        <v>20/07/2026</v>
      </c>
      <c r="I854" s="4" t="str">
        <f ca="1">Master_List!$AW$4</f>
        <v>28.5</v>
      </c>
      <c r="J854" s="4" t="str">
        <f ca="1">Master_List!$AW$5</f>
        <v>65</v>
      </c>
      <c r="K854" s="4" t="s">
        <v>1459</v>
      </c>
      <c r="BL854" s="4" t="s">
        <v>1744</v>
      </c>
      <c r="BM854" s="10" t="s">
        <v>2184</v>
      </c>
      <c r="BN854" s="4" t="s">
        <v>1746</v>
      </c>
      <c r="BO854" s="4" t="str">
        <f t="shared" si="13"/>
        <v>C:\Users\aremi\Desktop\REPORT CBM\PO TIANU JB\03. Raw Material\40. 10052026 SSU MEDINI SIGNATURE 33KV (VI)\IR</v>
      </c>
      <c r="BP854" t="s">
        <v>1460</v>
      </c>
    </row>
    <row r="855" spans="1:68" thickBot="1" x14ac:dyDescent="0.3">
      <c r="A855" s="4">
        <v>427</v>
      </c>
      <c r="B855" s="4" t="s">
        <v>1452</v>
      </c>
      <c r="C855" s="4">
        <v>13</v>
      </c>
      <c r="D855" s="4" t="s">
        <v>2183</v>
      </c>
      <c r="E855" s="4">
        <v>3</v>
      </c>
      <c r="F855" s="4" t="str">
        <f ca="1">Master_List!$AW$1</f>
        <v>PERPUSTAKAAN PUSAT</v>
      </c>
      <c r="G855" s="4" t="str">
        <f ca="1">Master_List!$AW$2</f>
        <v>09:30 PM</v>
      </c>
      <c r="H855" s="4" t="str">
        <f ca="1">Master_List!$AW$3</f>
        <v>20/07/2026</v>
      </c>
      <c r="I855" s="4" t="str">
        <f ca="1">Master_List!$AW$4</f>
        <v>28.5</v>
      </c>
      <c r="J855" s="4" t="str">
        <f ca="1">Master_List!$AW$5</f>
        <v>65</v>
      </c>
      <c r="K855" s="4" t="s">
        <v>1459</v>
      </c>
      <c r="BL855" s="4" t="s">
        <v>1744</v>
      </c>
      <c r="BM855" s="10" t="s">
        <v>2184</v>
      </c>
      <c r="BN855" s="4" t="s">
        <v>1748</v>
      </c>
      <c r="BO855" s="4" t="str">
        <f t="shared" si="13"/>
        <v>C:\Users\aremi\Desktop\REPORT CBM\PO TIANU JB\03. Raw Material\40. 10052026 SSU MEDINI SIGNATURE 33KV (VI)\IR</v>
      </c>
      <c r="BP855" t="s">
        <v>1461</v>
      </c>
    </row>
    <row r="856" spans="1:68" thickBot="1" x14ac:dyDescent="0.3">
      <c r="A856" s="4">
        <v>428</v>
      </c>
      <c r="B856" s="4" t="s">
        <v>1452</v>
      </c>
      <c r="C856" s="4">
        <v>13</v>
      </c>
      <c r="D856" s="7" t="s">
        <v>2185</v>
      </c>
      <c r="E856" s="4">
        <v>4</v>
      </c>
      <c r="F856" s="4" t="str">
        <f ca="1">Master_List!$AW$1</f>
        <v>PERPUSTAKAAN PUSAT</v>
      </c>
      <c r="G856" s="4" t="str">
        <f ca="1">Master_List!$AW$2</f>
        <v>09:30 PM</v>
      </c>
      <c r="H856" s="4" t="str">
        <f ca="1">Master_List!$AW$3</f>
        <v>20/07/2026</v>
      </c>
      <c r="I856" s="4" t="str">
        <f ca="1">Master_List!$AW$4</f>
        <v>28.5</v>
      </c>
      <c r="J856" s="4" t="str">
        <f ca="1">Master_List!$AW$5</f>
        <v>65</v>
      </c>
      <c r="K856" s="4" t="s">
        <v>1462</v>
      </c>
      <c r="BL856" s="4" t="s">
        <v>1744</v>
      </c>
      <c r="BM856" s="10" t="s">
        <v>2186</v>
      </c>
      <c r="BN856" s="4" t="s">
        <v>1746</v>
      </c>
      <c r="BO856" s="4" t="str">
        <f t="shared" si="13"/>
        <v>C:\Users\aremi\Desktop\REPORT CBM\PO TIANU JB\03. Raw Material\40. 10052026 SSU MEDINI SIGNATURE 33KV (VI)\IR</v>
      </c>
      <c r="BP856" t="s">
        <v>1463</v>
      </c>
    </row>
    <row r="857" spans="1:68" thickBot="1" x14ac:dyDescent="0.3">
      <c r="A857" s="4">
        <v>428</v>
      </c>
      <c r="B857" s="4" t="s">
        <v>1452</v>
      </c>
      <c r="C857" s="4">
        <v>13</v>
      </c>
      <c r="D857" s="7" t="s">
        <v>2185</v>
      </c>
      <c r="E857" s="4">
        <v>4</v>
      </c>
      <c r="F857" s="4" t="str">
        <f ca="1">Master_List!$AW$1</f>
        <v>PERPUSTAKAAN PUSAT</v>
      </c>
      <c r="G857" s="4" t="str">
        <f ca="1">Master_List!$AW$2</f>
        <v>09:30 PM</v>
      </c>
      <c r="H857" s="4" t="str">
        <f ca="1">Master_List!$AW$3</f>
        <v>20/07/2026</v>
      </c>
      <c r="I857" s="4" t="str">
        <f ca="1">Master_List!$AW$4</f>
        <v>28.5</v>
      </c>
      <c r="J857" s="4" t="str">
        <f ca="1">Master_List!$AW$5</f>
        <v>65</v>
      </c>
      <c r="K857" s="4" t="s">
        <v>1462</v>
      </c>
      <c r="BL857" s="4" t="s">
        <v>1744</v>
      </c>
      <c r="BM857" s="10" t="s">
        <v>2186</v>
      </c>
      <c r="BN857" s="4" t="s">
        <v>1748</v>
      </c>
      <c r="BO857" s="4" t="str">
        <f t="shared" si="13"/>
        <v>C:\Users\aremi\Desktop\REPORT CBM\PO TIANU JB\03. Raw Material\40. 10052026 SSU MEDINI SIGNATURE 33KV (VI)\IR</v>
      </c>
      <c r="BP857" t="s">
        <v>1464</v>
      </c>
    </row>
    <row r="858" spans="1:68" thickBot="1" x14ac:dyDescent="0.3">
      <c r="A858" s="4">
        <v>429</v>
      </c>
      <c r="B858" s="4" t="s">
        <v>1452</v>
      </c>
      <c r="C858" s="4">
        <v>13</v>
      </c>
      <c r="D858" s="7" t="s">
        <v>2187</v>
      </c>
      <c r="E858" s="4">
        <v>5</v>
      </c>
      <c r="F858" s="4" t="str">
        <f ca="1">Master_List!$AW$1</f>
        <v>PERPUSTAKAAN PUSAT</v>
      </c>
      <c r="G858" s="4" t="str">
        <f ca="1">Master_List!$AW$2</f>
        <v>09:30 PM</v>
      </c>
      <c r="H858" s="4" t="str">
        <f ca="1">Master_List!$AW$3</f>
        <v>20/07/2026</v>
      </c>
      <c r="I858" s="4" t="str">
        <f ca="1">Master_List!$AW$4</f>
        <v>28.5</v>
      </c>
      <c r="J858" s="4" t="str">
        <f ca="1">Master_List!$AW$5</f>
        <v>65</v>
      </c>
      <c r="K858" s="4" t="s">
        <v>1465</v>
      </c>
      <c r="BL858" s="4" t="s">
        <v>1744</v>
      </c>
      <c r="BM858" s="10" t="s">
        <v>2188</v>
      </c>
      <c r="BN858" s="4" t="s">
        <v>1746</v>
      </c>
      <c r="BO858" s="4" t="str">
        <f t="shared" si="13"/>
        <v>C:\Users\aremi\Desktop\REPORT CBM\PO TIANU JB\03. Raw Material\40. 10052026 SSU MEDINI SIGNATURE 33KV (VI)\IR</v>
      </c>
      <c r="BP858" t="s">
        <v>1466</v>
      </c>
    </row>
    <row r="859" spans="1:68" thickBot="1" x14ac:dyDescent="0.3">
      <c r="A859" s="4">
        <v>429</v>
      </c>
      <c r="B859" s="4" t="s">
        <v>1452</v>
      </c>
      <c r="C859" s="4">
        <v>13</v>
      </c>
      <c r="D859" s="7" t="s">
        <v>2187</v>
      </c>
      <c r="E859" s="4">
        <v>5</v>
      </c>
      <c r="F859" s="4" t="str">
        <f ca="1">Master_List!$AW$1</f>
        <v>PERPUSTAKAAN PUSAT</v>
      </c>
      <c r="G859" s="4" t="str">
        <f ca="1">Master_List!$AW$2</f>
        <v>09:30 PM</v>
      </c>
      <c r="H859" s="4" t="str">
        <f ca="1">Master_List!$AW$3</f>
        <v>20/07/2026</v>
      </c>
      <c r="I859" s="4" t="str">
        <f ca="1">Master_List!$AW$4</f>
        <v>28.5</v>
      </c>
      <c r="J859" s="4" t="str">
        <f ca="1">Master_List!$AW$5</f>
        <v>65</v>
      </c>
      <c r="K859" s="4" t="s">
        <v>1465</v>
      </c>
      <c r="BL859" s="4" t="s">
        <v>1744</v>
      </c>
      <c r="BM859" s="10" t="s">
        <v>2188</v>
      </c>
      <c r="BN859" s="4" t="s">
        <v>1748</v>
      </c>
      <c r="BO859" s="4" t="str">
        <f t="shared" si="13"/>
        <v>C:\Users\aremi\Desktop\REPORT CBM\PO TIANU JB\03. Raw Material\40. 10052026 SSU MEDINI SIGNATURE 33KV (VI)\IR</v>
      </c>
      <c r="BP859" t="s">
        <v>1467</v>
      </c>
    </row>
    <row r="860" spans="1:68" thickBot="1" x14ac:dyDescent="0.3">
      <c r="A860" s="4">
        <v>430</v>
      </c>
      <c r="B860" s="4" t="s">
        <v>1452</v>
      </c>
      <c r="C860" s="4">
        <v>13</v>
      </c>
      <c r="D860" s="7" t="s">
        <v>2189</v>
      </c>
      <c r="E860" s="4">
        <v>6</v>
      </c>
      <c r="F860" s="4" t="str">
        <f ca="1">Master_List!$AW$1</f>
        <v>PERPUSTAKAAN PUSAT</v>
      </c>
      <c r="G860" s="4" t="str">
        <f ca="1">Master_List!$AW$2</f>
        <v>09:30 PM</v>
      </c>
      <c r="H860" s="4" t="str">
        <f ca="1">Master_List!$AW$3</f>
        <v>20/07/2026</v>
      </c>
      <c r="I860" s="4" t="str">
        <f ca="1">Master_List!$AW$4</f>
        <v>28.5</v>
      </c>
      <c r="J860" s="4" t="str">
        <f ca="1">Master_List!$AW$5</f>
        <v>65</v>
      </c>
      <c r="K860" s="4" t="s">
        <v>1468</v>
      </c>
      <c r="BL860" s="4" t="s">
        <v>1744</v>
      </c>
      <c r="BM860" s="10" t="s">
        <v>2190</v>
      </c>
      <c r="BN860" s="4" t="s">
        <v>1746</v>
      </c>
      <c r="BO860" s="4" t="str">
        <f t="shared" si="13"/>
        <v>C:\Users\aremi\Desktop\REPORT CBM\PO TIANU JB\03. Raw Material\40. 10052026 SSU MEDINI SIGNATURE 33KV (VI)\IR</v>
      </c>
      <c r="BP860" t="s">
        <v>1469</v>
      </c>
    </row>
    <row r="861" spans="1:68" thickBot="1" x14ac:dyDescent="0.3">
      <c r="A861" s="4">
        <v>430</v>
      </c>
      <c r="B861" s="4" t="s">
        <v>1452</v>
      </c>
      <c r="C861" s="4">
        <v>13</v>
      </c>
      <c r="D861" s="7" t="s">
        <v>2189</v>
      </c>
      <c r="E861" s="4">
        <v>6</v>
      </c>
      <c r="F861" s="4" t="str">
        <f ca="1">Master_List!$AW$1</f>
        <v>PERPUSTAKAAN PUSAT</v>
      </c>
      <c r="G861" s="4" t="str">
        <f ca="1">Master_List!$AW$2</f>
        <v>09:30 PM</v>
      </c>
      <c r="H861" s="4" t="str">
        <f ca="1">Master_List!$AW$3</f>
        <v>20/07/2026</v>
      </c>
      <c r="I861" s="4" t="str">
        <f ca="1">Master_List!$AW$4</f>
        <v>28.5</v>
      </c>
      <c r="J861" s="4" t="str">
        <f ca="1">Master_List!$AW$5</f>
        <v>65</v>
      </c>
      <c r="K861" s="4" t="s">
        <v>1468</v>
      </c>
      <c r="BL861" s="4" t="s">
        <v>1744</v>
      </c>
      <c r="BM861" s="10" t="s">
        <v>2190</v>
      </c>
      <c r="BN861" s="4" t="s">
        <v>1748</v>
      </c>
      <c r="BO861" s="4" t="str">
        <f t="shared" si="13"/>
        <v>C:\Users\aremi\Desktop\REPORT CBM\PO TIANU JB\03. Raw Material\40. 10052026 SSU MEDINI SIGNATURE 33KV (VI)\IR</v>
      </c>
      <c r="BP861" t="s">
        <v>1470</v>
      </c>
    </row>
    <row r="862" spans="1:68" thickBot="1" x14ac:dyDescent="0.3">
      <c r="A862" s="4">
        <v>431</v>
      </c>
      <c r="B862" s="4" t="s">
        <v>1452</v>
      </c>
      <c r="C862" s="4">
        <v>13</v>
      </c>
      <c r="D862" s="7" t="s">
        <v>2191</v>
      </c>
      <c r="E862" s="4">
        <v>7</v>
      </c>
      <c r="F862" s="4" t="str">
        <f ca="1">Master_List!$AW$1</f>
        <v>PERPUSTAKAAN PUSAT</v>
      </c>
      <c r="G862" s="4" t="str">
        <f ca="1">Master_List!$AW$2</f>
        <v>09:30 PM</v>
      </c>
      <c r="H862" s="4" t="str">
        <f ca="1">Master_List!$AW$3</f>
        <v>20/07/2026</v>
      </c>
      <c r="I862" s="4" t="str">
        <f ca="1">Master_List!$AW$4</f>
        <v>28.5</v>
      </c>
      <c r="J862" s="4" t="str">
        <f ca="1">Master_List!$AW$5</f>
        <v>65</v>
      </c>
      <c r="K862" s="4" t="s">
        <v>1471</v>
      </c>
      <c r="BL862" s="4" t="s">
        <v>1744</v>
      </c>
      <c r="BM862" s="10" t="s">
        <v>2192</v>
      </c>
      <c r="BN862" s="4" t="s">
        <v>1746</v>
      </c>
      <c r="BO862" s="4" t="str">
        <f t="shared" si="13"/>
        <v>C:\Users\aremi\Desktop\REPORT CBM\PO TIANU JB\03. Raw Material\40. 10052026 SSU MEDINI SIGNATURE 33KV (VI)\IR</v>
      </c>
      <c r="BP862" t="s">
        <v>1472</v>
      </c>
    </row>
    <row r="863" spans="1:68" thickBot="1" x14ac:dyDescent="0.3">
      <c r="A863" s="4">
        <v>431</v>
      </c>
      <c r="B863" s="4" t="s">
        <v>1452</v>
      </c>
      <c r="C863" s="4">
        <v>13</v>
      </c>
      <c r="D863" s="7" t="s">
        <v>2191</v>
      </c>
      <c r="E863" s="4">
        <v>7</v>
      </c>
      <c r="F863" s="4" t="str">
        <f ca="1">Master_List!$AW$1</f>
        <v>PERPUSTAKAAN PUSAT</v>
      </c>
      <c r="G863" s="4" t="str">
        <f ca="1">Master_List!$AW$2</f>
        <v>09:30 PM</v>
      </c>
      <c r="H863" s="4" t="str">
        <f ca="1">Master_List!$AW$3</f>
        <v>20/07/2026</v>
      </c>
      <c r="I863" s="4" t="str">
        <f ca="1">Master_List!$AW$4</f>
        <v>28.5</v>
      </c>
      <c r="J863" s="4" t="str">
        <f ca="1">Master_List!$AW$5</f>
        <v>65</v>
      </c>
      <c r="K863" s="4" t="s">
        <v>1471</v>
      </c>
      <c r="BL863" s="4" t="s">
        <v>1744</v>
      </c>
      <c r="BM863" s="10" t="s">
        <v>2192</v>
      </c>
      <c r="BN863" s="4" t="s">
        <v>1748</v>
      </c>
      <c r="BO863" s="4" t="str">
        <f t="shared" si="13"/>
        <v>C:\Users\aremi\Desktop\REPORT CBM\PO TIANU JB\03. Raw Material\40. 10052026 SSU MEDINI SIGNATURE 33KV (VI)\IR</v>
      </c>
      <c r="BP863" t="s">
        <v>1473</v>
      </c>
    </row>
    <row r="864" spans="1:68" thickBot="1" x14ac:dyDescent="0.3">
      <c r="A864" s="4">
        <v>432</v>
      </c>
      <c r="B864" s="4" t="s">
        <v>1452</v>
      </c>
      <c r="C864" s="4">
        <v>13</v>
      </c>
      <c r="D864" s="7" t="s">
        <v>2193</v>
      </c>
      <c r="E864" s="4">
        <v>8</v>
      </c>
      <c r="F864" s="4" t="str">
        <f ca="1">Master_List!$AW$1</f>
        <v>PERPUSTAKAAN PUSAT</v>
      </c>
      <c r="G864" s="4" t="str">
        <f ca="1">Master_List!$AW$2</f>
        <v>09:30 PM</v>
      </c>
      <c r="H864" s="4" t="str">
        <f ca="1">Master_List!$AW$3</f>
        <v>20/07/2026</v>
      </c>
      <c r="I864" s="4" t="str">
        <f ca="1">Master_List!$AW$4</f>
        <v>28.5</v>
      </c>
      <c r="J864" s="4" t="str">
        <f ca="1">Master_List!$AW$5</f>
        <v>65</v>
      </c>
      <c r="K864" s="4" t="s">
        <v>1474</v>
      </c>
      <c r="BL864" s="4" t="s">
        <v>1744</v>
      </c>
      <c r="BM864" s="10" t="s">
        <v>2194</v>
      </c>
      <c r="BN864" s="4" t="s">
        <v>1746</v>
      </c>
      <c r="BO864" s="4" t="str">
        <f t="shared" si="13"/>
        <v>C:\Users\aremi\Desktop\REPORT CBM\PO TIANU JB\03. Raw Material\40. 10052026 SSU MEDINI SIGNATURE 33KV (VI)\IR</v>
      </c>
      <c r="BP864" t="s">
        <v>1475</v>
      </c>
    </row>
    <row r="865" spans="1:68" thickBot="1" x14ac:dyDescent="0.3">
      <c r="A865" s="4">
        <v>432</v>
      </c>
      <c r="B865" s="4" t="s">
        <v>1452</v>
      </c>
      <c r="C865" s="4">
        <v>13</v>
      </c>
      <c r="D865" s="7" t="s">
        <v>2193</v>
      </c>
      <c r="E865" s="4">
        <v>8</v>
      </c>
      <c r="F865" s="4" t="str">
        <f ca="1">Master_List!$AW$1</f>
        <v>PERPUSTAKAAN PUSAT</v>
      </c>
      <c r="G865" s="4" t="str">
        <f ca="1">Master_List!$AW$2</f>
        <v>09:30 PM</v>
      </c>
      <c r="H865" s="4" t="str">
        <f ca="1">Master_List!$AW$3</f>
        <v>20/07/2026</v>
      </c>
      <c r="I865" s="4" t="str">
        <f ca="1">Master_List!$AW$4</f>
        <v>28.5</v>
      </c>
      <c r="J865" s="4" t="str">
        <f ca="1">Master_List!$AW$5</f>
        <v>65</v>
      </c>
      <c r="K865" s="4" t="s">
        <v>1474</v>
      </c>
      <c r="BL865" s="4" t="s">
        <v>1744</v>
      </c>
      <c r="BM865" s="10" t="s">
        <v>2194</v>
      </c>
      <c r="BN865" s="4" t="s">
        <v>1748</v>
      </c>
      <c r="BO865" s="4" t="str">
        <f t="shared" si="13"/>
        <v>C:\Users\aremi\Desktop\REPORT CBM\PO TIANU JB\03. Raw Material\40. 10052026 SSU MEDINI SIGNATURE 33KV (VI)\IR</v>
      </c>
      <c r="BP865" t="s">
        <v>1476</v>
      </c>
    </row>
    <row r="866" spans="1:68" thickBot="1" x14ac:dyDescent="0.3">
      <c r="A866" s="4">
        <v>433</v>
      </c>
      <c r="B866" s="4" t="s">
        <v>1477</v>
      </c>
      <c r="C866" s="4">
        <v>13</v>
      </c>
      <c r="D866" s="7" t="s">
        <v>2195</v>
      </c>
      <c r="E866" s="4">
        <v>1</v>
      </c>
      <c r="F866" s="4" t="str">
        <f ca="1">Master_List!$AW$1</f>
        <v>PERPUSTAKAAN PUSAT</v>
      </c>
      <c r="G866" s="4" t="str">
        <f ca="1">Master_List!$AW$2</f>
        <v>09:30 PM</v>
      </c>
      <c r="H866" s="4" t="str">
        <f ca="1">Master_List!$AW$3</f>
        <v>20/07/2026</v>
      </c>
      <c r="I866" s="4" t="str">
        <f ca="1">Master_List!$AW$4</f>
        <v>28.5</v>
      </c>
      <c r="J866" s="4" t="str">
        <f ca="1">Master_List!$AW$5</f>
        <v>65</v>
      </c>
      <c r="K866" s="4" t="s">
        <v>1453</v>
      </c>
      <c r="BL866" s="4" t="s">
        <v>1744</v>
      </c>
      <c r="BM866" s="10" t="s">
        <v>2196</v>
      </c>
      <c r="BN866" s="4" t="s">
        <v>1746</v>
      </c>
      <c r="BO866" s="4" t="str">
        <f t="shared" si="13"/>
        <v>C:\Users\aremi\Desktop\REPORT CBM\PO TIANU JB\03. Raw Material\40. 10052026 SSU MEDINI SIGNATURE 33KV (VI)\IR</v>
      </c>
      <c r="BP866" t="s">
        <v>1478</v>
      </c>
    </row>
    <row r="867" spans="1:68" thickBot="1" x14ac:dyDescent="0.3">
      <c r="A867" s="4">
        <v>433</v>
      </c>
      <c r="B867" s="4" t="s">
        <v>1477</v>
      </c>
      <c r="C867" s="4">
        <v>13</v>
      </c>
      <c r="D867" s="7" t="s">
        <v>2195</v>
      </c>
      <c r="E867" s="4">
        <v>1</v>
      </c>
      <c r="F867" s="4" t="str">
        <f ca="1">Master_List!$AW$1</f>
        <v>PERPUSTAKAAN PUSAT</v>
      </c>
      <c r="G867" s="4" t="str">
        <f ca="1">Master_List!$AW$2</f>
        <v>09:30 PM</v>
      </c>
      <c r="H867" s="4" t="str">
        <f ca="1">Master_List!$AW$3</f>
        <v>20/07/2026</v>
      </c>
      <c r="I867" s="4" t="str">
        <f ca="1">Master_List!$AW$4</f>
        <v>28.5</v>
      </c>
      <c r="J867" s="4" t="str">
        <f ca="1">Master_List!$AW$5</f>
        <v>65</v>
      </c>
      <c r="K867" s="4" t="s">
        <v>1453</v>
      </c>
      <c r="BL867" s="4" t="s">
        <v>1744</v>
      </c>
      <c r="BM867" s="10" t="s">
        <v>2196</v>
      </c>
      <c r="BN867" s="4" t="s">
        <v>1748</v>
      </c>
      <c r="BO867" s="4" t="str">
        <f t="shared" si="13"/>
        <v>C:\Users\aremi\Desktop\REPORT CBM\PO TIANU JB\03. Raw Material\40. 10052026 SSU MEDINI SIGNATURE 33KV (VI)\IR</v>
      </c>
      <c r="BP867" t="s">
        <v>1479</v>
      </c>
    </row>
    <row r="868" spans="1:68" thickBot="1" x14ac:dyDescent="0.3">
      <c r="A868" s="4">
        <v>434</v>
      </c>
      <c r="B868" s="4" t="s">
        <v>1477</v>
      </c>
      <c r="C868" s="4">
        <v>13</v>
      </c>
      <c r="D868" s="7" t="s">
        <v>2197</v>
      </c>
      <c r="E868" s="4">
        <v>2</v>
      </c>
      <c r="F868" s="4" t="str">
        <f ca="1">Master_List!$AW$1</f>
        <v>PERPUSTAKAAN PUSAT</v>
      </c>
      <c r="G868" s="4" t="str">
        <f ca="1">Master_List!$AW$2</f>
        <v>09:30 PM</v>
      </c>
      <c r="H868" s="4" t="str">
        <f ca="1">Master_List!$AW$3</f>
        <v>20/07/2026</v>
      </c>
      <c r="I868" s="4" t="str">
        <f ca="1">Master_List!$AW$4</f>
        <v>28.5</v>
      </c>
      <c r="J868" s="4" t="str">
        <f ca="1">Master_List!$AW$5</f>
        <v>65</v>
      </c>
      <c r="K868" s="4" t="s">
        <v>1456</v>
      </c>
      <c r="BL868" s="4" t="s">
        <v>1744</v>
      </c>
      <c r="BM868" s="10" t="s">
        <v>2198</v>
      </c>
      <c r="BN868" s="4" t="s">
        <v>1746</v>
      </c>
      <c r="BO868" s="4" t="str">
        <f t="shared" si="13"/>
        <v>C:\Users\aremi\Desktop\REPORT CBM\PO TIANU JB\03. Raw Material\40. 10052026 SSU MEDINI SIGNATURE 33KV (VI)\IR</v>
      </c>
      <c r="BP868" t="s">
        <v>1480</v>
      </c>
    </row>
    <row r="869" spans="1:68" thickBot="1" x14ac:dyDescent="0.3">
      <c r="A869" s="4">
        <v>434</v>
      </c>
      <c r="B869" s="4" t="s">
        <v>1477</v>
      </c>
      <c r="C869" s="4">
        <v>13</v>
      </c>
      <c r="D869" s="7" t="s">
        <v>2197</v>
      </c>
      <c r="E869" s="4">
        <v>2</v>
      </c>
      <c r="F869" s="4" t="str">
        <f ca="1">Master_List!$AW$1</f>
        <v>PERPUSTAKAAN PUSAT</v>
      </c>
      <c r="G869" s="4" t="str">
        <f ca="1">Master_List!$AW$2</f>
        <v>09:30 PM</v>
      </c>
      <c r="H869" s="4" t="str">
        <f ca="1">Master_List!$AW$3</f>
        <v>20/07/2026</v>
      </c>
      <c r="I869" s="4" t="str">
        <f ca="1">Master_List!$AW$4</f>
        <v>28.5</v>
      </c>
      <c r="J869" s="4" t="str">
        <f ca="1">Master_List!$AW$5</f>
        <v>65</v>
      </c>
      <c r="K869" s="4" t="s">
        <v>1456</v>
      </c>
      <c r="BL869" s="4" t="s">
        <v>1744</v>
      </c>
      <c r="BM869" s="10" t="s">
        <v>2198</v>
      </c>
      <c r="BN869" s="4" t="s">
        <v>1748</v>
      </c>
      <c r="BO869" s="4" t="str">
        <f t="shared" si="13"/>
        <v>C:\Users\aremi\Desktop\REPORT CBM\PO TIANU JB\03. Raw Material\40. 10052026 SSU MEDINI SIGNATURE 33KV (VI)\IR</v>
      </c>
      <c r="BP869" t="s">
        <v>1481</v>
      </c>
    </row>
    <row r="870" spans="1:68" thickBot="1" x14ac:dyDescent="0.3">
      <c r="A870" s="4">
        <v>435</v>
      </c>
      <c r="B870" s="4" t="s">
        <v>1477</v>
      </c>
      <c r="C870" s="4">
        <v>13</v>
      </c>
      <c r="D870" s="7" t="s">
        <v>2199</v>
      </c>
      <c r="E870" s="4">
        <v>3</v>
      </c>
      <c r="F870" s="4" t="str">
        <f ca="1">Master_List!$AW$1</f>
        <v>PERPUSTAKAAN PUSAT</v>
      </c>
      <c r="G870" s="4" t="str">
        <f ca="1">Master_List!$AW$2</f>
        <v>09:30 PM</v>
      </c>
      <c r="H870" s="4" t="str">
        <f ca="1">Master_List!$AW$3</f>
        <v>20/07/2026</v>
      </c>
      <c r="I870" s="4" t="str">
        <f ca="1">Master_List!$AW$4</f>
        <v>28.5</v>
      </c>
      <c r="J870" s="4" t="str">
        <f ca="1">Master_List!$AW$5</f>
        <v>65</v>
      </c>
      <c r="K870" s="4" t="s">
        <v>1459</v>
      </c>
      <c r="BL870" s="4" t="s">
        <v>1744</v>
      </c>
      <c r="BM870" s="10" t="s">
        <v>2200</v>
      </c>
      <c r="BN870" s="4" t="s">
        <v>1746</v>
      </c>
      <c r="BO870" s="4" t="str">
        <f t="shared" si="13"/>
        <v>C:\Users\aremi\Desktop\REPORT CBM\PO TIANU JB\03. Raw Material\40. 10052026 SSU MEDINI SIGNATURE 33KV (VI)\IR</v>
      </c>
      <c r="BP870" t="s">
        <v>1482</v>
      </c>
    </row>
    <row r="871" spans="1:68" thickBot="1" x14ac:dyDescent="0.3">
      <c r="A871" s="4">
        <v>435</v>
      </c>
      <c r="B871" s="4" t="s">
        <v>1477</v>
      </c>
      <c r="C871" s="4">
        <v>13</v>
      </c>
      <c r="D871" s="7" t="s">
        <v>2199</v>
      </c>
      <c r="E871" s="4">
        <v>3</v>
      </c>
      <c r="F871" s="4" t="str">
        <f ca="1">Master_List!$AW$1</f>
        <v>PERPUSTAKAAN PUSAT</v>
      </c>
      <c r="G871" s="4" t="str">
        <f ca="1">Master_List!$AW$2</f>
        <v>09:30 PM</v>
      </c>
      <c r="H871" s="4" t="str">
        <f ca="1">Master_List!$AW$3</f>
        <v>20/07/2026</v>
      </c>
      <c r="I871" s="4" t="str">
        <f ca="1">Master_List!$AW$4</f>
        <v>28.5</v>
      </c>
      <c r="J871" s="4" t="str">
        <f ca="1">Master_List!$AW$5</f>
        <v>65</v>
      </c>
      <c r="K871" s="4" t="s">
        <v>1459</v>
      </c>
      <c r="BL871" s="4" t="s">
        <v>1744</v>
      </c>
      <c r="BM871" s="10" t="s">
        <v>2200</v>
      </c>
      <c r="BN871" s="4" t="s">
        <v>1748</v>
      </c>
      <c r="BO871" s="4" t="str">
        <f t="shared" si="13"/>
        <v>C:\Users\aremi\Desktop\REPORT CBM\PO TIANU JB\03. Raw Material\40. 10052026 SSU MEDINI SIGNATURE 33KV (VI)\IR</v>
      </c>
      <c r="BP871" t="s">
        <v>1483</v>
      </c>
    </row>
    <row r="872" spans="1:68" thickBot="1" x14ac:dyDescent="0.3">
      <c r="A872" s="4">
        <v>436</v>
      </c>
      <c r="B872" s="4" t="s">
        <v>1477</v>
      </c>
      <c r="C872" s="4">
        <v>13</v>
      </c>
      <c r="D872" s="7" t="s">
        <v>2201</v>
      </c>
      <c r="E872" s="4">
        <v>4</v>
      </c>
      <c r="F872" s="4" t="str">
        <f ca="1">Master_List!$AW$1</f>
        <v>PERPUSTAKAAN PUSAT</v>
      </c>
      <c r="G872" s="4" t="str">
        <f ca="1">Master_List!$AW$2</f>
        <v>09:30 PM</v>
      </c>
      <c r="H872" s="4" t="str">
        <f ca="1">Master_List!$AW$3</f>
        <v>20/07/2026</v>
      </c>
      <c r="I872" s="4" t="str">
        <f ca="1">Master_List!$AW$4</f>
        <v>28.5</v>
      </c>
      <c r="J872" s="4" t="str">
        <f ca="1">Master_List!$AW$5</f>
        <v>65</v>
      </c>
      <c r="K872" s="4" t="s">
        <v>1462</v>
      </c>
      <c r="BL872" s="4" t="s">
        <v>1744</v>
      </c>
      <c r="BM872" s="10" t="s">
        <v>2202</v>
      </c>
      <c r="BN872" s="4" t="s">
        <v>1746</v>
      </c>
      <c r="BO872" s="4" t="str">
        <f t="shared" si="13"/>
        <v>C:\Users\aremi\Desktop\REPORT CBM\PO TIANU JB\03. Raw Material\40. 10052026 SSU MEDINI SIGNATURE 33KV (VI)\IR</v>
      </c>
      <c r="BP872" t="s">
        <v>1484</v>
      </c>
    </row>
    <row r="873" spans="1:68" thickBot="1" x14ac:dyDescent="0.3">
      <c r="A873" s="4">
        <v>436</v>
      </c>
      <c r="B873" s="4" t="s">
        <v>1477</v>
      </c>
      <c r="C873" s="4">
        <v>13</v>
      </c>
      <c r="D873" s="7" t="s">
        <v>2201</v>
      </c>
      <c r="E873" s="4">
        <v>4</v>
      </c>
      <c r="F873" s="4" t="str">
        <f ca="1">Master_List!$AW$1</f>
        <v>PERPUSTAKAAN PUSAT</v>
      </c>
      <c r="G873" s="4" t="str">
        <f ca="1">Master_List!$AW$2</f>
        <v>09:30 PM</v>
      </c>
      <c r="H873" s="4" t="str">
        <f ca="1">Master_List!$AW$3</f>
        <v>20/07/2026</v>
      </c>
      <c r="I873" s="4" t="str">
        <f ca="1">Master_List!$AW$4</f>
        <v>28.5</v>
      </c>
      <c r="J873" s="4" t="str">
        <f ca="1">Master_List!$AW$5</f>
        <v>65</v>
      </c>
      <c r="K873" s="4" t="s">
        <v>1462</v>
      </c>
      <c r="BL873" s="4" t="s">
        <v>1744</v>
      </c>
      <c r="BM873" s="10" t="s">
        <v>2202</v>
      </c>
      <c r="BN873" s="4" t="s">
        <v>1748</v>
      </c>
      <c r="BO873" s="4" t="str">
        <f t="shared" si="13"/>
        <v>C:\Users\aremi\Desktop\REPORT CBM\PO TIANU JB\03. Raw Material\40. 10052026 SSU MEDINI SIGNATURE 33KV (VI)\IR</v>
      </c>
      <c r="BP873" t="s">
        <v>1485</v>
      </c>
    </row>
    <row r="874" spans="1:68" thickBot="1" x14ac:dyDescent="0.3">
      <c r="A874" s="4">
        <v>437</v>
      </c>
      <c r="B874" s="4" t="s">
        <v>1477</v>
      </c>
      <c r="C874" s="4">
        <v>13</v>
      </c>
      <c r="D874" s="7" t="s">
        <v>2203</v>
      </c>
      <c r="E874" s="4">
        <v>5</v>
      </c>
      <c r="F874" s="4" t="str">
        <f ca="1">Master_List!$AW$1</f>
        <v>PERPUSTAKAAN PUSAT</v>
      </c>
      <c r="G874" s="4" t="str">
        <f ca="1">Master_List!$AW$2</f>
        <v>09:30 PM</v>
      </c>
      <c r="H874" s="4" t="str">
        <f ca="1">Master_List!$AW$3</f>
        <v>20/07/2026</v>
      </c>
      <c r="I874" s="4" t="str">
        <f ca="1">Master_List!$AW$4</f>
        <v>28.5</v>
      </c>
      <c r="J874" s="4" t="str">
        <f ca="1">Master_List!$AW$5</f>
        <v>65</v>
      </c>
      <c r="K874" s="4" t="s">
        <v>1465</v>
      </c>
      <c r="BL874" s="4" t="s">
        <v>1744</v>
      </c>
      <c r="BM874" s="10" t="s">
        <v>2204</v>
      </c>
      <c r="BN874" s="4" t="s">
        <v>1746</v>
      </c>
      <c r="BO874" s="4" t="str">
        <f t="shared" si="13"/>
        <v>C:\Users\aremi\Desktop\REPORT CBM\PO TIANU JB\03. Raw Material\40. 10052026 SSU MEDINI SIGNATURE 33KV (VI)\IR</v>
      </c>
      <c r="BP874" t="s">
        <v>1486</v>
      </c>
    </row>
    <row r="875" spans="1:68" thickBot="1" x14ac:dyDescent="0.3">
      <c r="A875" s="4">
        <v>437</v>
      </c>
      <c r="B875" s="4" t="s">
        <v>1477</v>
      </c>
      <c r="C875" s="4">
        <v>13</v>
      </c>
      <c r="D875" s="7" t="s">
        <v>2203</v>
      </c>
      <c r="E875" s="4">
        <v>5</v>
      </c>
      <c r="F875" s="4" t="str">
        <f ca="1">Master_List!$AW$1</f>
        <v>PERPUSTAKAAN PUSAT</v>
      </c>
      <c r="G875" s="4" t="str">
        <f ca="1">Master_List!$AW$2</f>
        <v>09:30 PM</v>
      </c>
      <c r="H875" s="4" t="str">
        <f ca="1">Master_List!$AW$3</f>
        <v>20/07/2026</v>
      </c>
      <c r="I875" s="4" t="str">
        <f ca="1">Master_List!$AW$4</f>
        <v>28.5</v>
      </c>
      <c r="J875" s="4" t="str">
        <f ca="1">Master_List!$AW$5</f>
        <v>65</v>
      </c>
      <c r="K875" s="4" t="s">
        <v>1465</v>
      </c>
      <c r="BL875" s="4" t="s">
        <v>1744</v>
      </c>
      <c r="BM875" s="10" t="s">
        <v>2204</v>
      </c>
      <c r="BN875" s="4" t="s">
        <v>1748</v>
      </c>
      <c r="BO875" s="4" t="str">
        <f t="shared" si="13"/>
        <v>C:\Users\aremi\Desktop\REPORT CBM\PO TIANU JB\03. Raw Material\40. 10052026 SSU MEDINI SIGNATURE 33KV (VI)\IR</v>
      </c>
      <c r="BP875" t="s">
        <v>1487</v>
      </c>
    </row>
    <row r="876" spans="1:68" thickBot="1" x14ac:dyDescent="0.3">
      <c r="A876" s="4">
        <v>438</v>
      </c>
      <c r="B876" s="4" t="s">
        <v>1477</v>
      </c>
      <c r="C876" s="4">
        <v>13</v>
      </c>
      <c r="D876" s="7" t="s">
        <v>2205</v>
      </c>
      <c r="E876" s="4">
        <v>6</v>
      </c>
      <c r="F876" s="4" t="str">
        <f ca="1">Master_List!$AW$1</f>
        <v>PERPUSTAKAAN PUSAT</v>
      </c>
      <c r="G876" s="4" t="str">
        <f ca="1">Master_List!$AW$2</f>
        <v>09:30 PM</v>
      </c>
      <c r="H876" s="4" t="str">
        <f ca="1">Master_List!$AW$3</f>
        <v>20/07/2026</v>
      </c>
      <c r="I876" s="4" t="str">
        <f ca="1">Master_List!$AW$4</f>
        <v>28.5</v>
      </c>
      <c r="J876" s="4" t="str">
        <f ca="1">Master_List!$AW$5</f>
        <v>65</v>
      </c>
      <c r="K876" s="4" t="s">
        <v>1468</v>
      </c>
      <c r="BL876" s="4" t="s">
        <v>1744</v>
      </c>
      <c r="BM876" s="10" t="s">
        <v>2206</v>
      </c>
      <c r="BN876" s="4" t="s">
        <v>1746</v>
      </c>
      <c r="BO876" s="4" t="str">
        <f t="shared" si="13"/>
        <v>C:\Users\aremi\Desktop\REPORT CBM\PO TIANU JB\03. Raw Material\40. 10052026 SSU MEDINI SIGNATURE 33KV (VI)\IR</v>
      </c>
      <c r="BP876" t="s">
        <v>1488</v>
      </c>
    </row>
    <row r="877" spans="1:68" thickBot="1" x14ac:dyDescent="0.3">
      <c r="A877" s="4">
        <v>438</v>
      </c>
      <c r="B877" s="4" t="s">
        <v>1477</v>
      </c>
      <c r="C877" s="4">
        <v>13</v>
      </c>
      <c r="D877" s="7" t="s">
        <v>2205</v>
      </c>
      <c r="E877" s="4">
        <v>6</v>
      </c>
      <c r="F877" s="4" t="str">
        <f ca="1">Master_List!$AW$1</f>
        <v>PERPUSTAKAAN PUSAT</v>
      </c>
      <c r="G877" s="4" t="str">
        <f ca="1">Master_List!$AW$2</f>
        <v>09:30 PM</v>
      </c>
      <c r="H877" s="4" t="str">
        <f ca="1">Master_List!$AW$3</f>
        <v>20/07/2026</v>
      </c>
      <c r="I877" s="4" t="str">
        <f ca="1">Master_List!$AW$4</f>
        <v>28.5</v>
      </c>
      <c r="J877" s="4" t="str">
        <f ca="1">Master_List!$AW$5</f>
        <v>65</v>
      </c>
      <c r="K877" s="4" t="s">
        <v>1468</v>
      </c>
      <c r="BL877" s="4" t="s">
        <v>1744</v>
      </c>
      <c r="BM877" s="10" t="s">
        <v>2206</v>
      </c>
      <c r="BN877" s="4" t="s">
        <v>1748</v>
      </c>
      <c r="BO877" s="4" t="str">
        <f t="shared" si="13"/>
        <v>C:\Users\aremi\Desktop\REPORT CBM\PO TIANU JB\03. Raw Material\40. 10052026 SSU MEDINI SIGNATURE 33KV (VI)\IR</v>
      </c>
      <c r="BP877" t="s">
        <v>1489</v>
      </c>
    </row>
    <row r="878" spans="1:68" thickBot="1" x14ac:dyDescent="0.3">
      <c r="A878" s="4">
        <v>439</v>
      </c>
      <c r="B878" s="4" t="s">
        <v>1477</v>
      </c>
      <c r="C878" s="4">
        <v>13</v>
      </c>
      <c r="D878" s="7" t="s">
        <v>2207</v>
      </c>
      <c r="E878" s="4">
        <v>7</v>
      </c>
      <c r="F878" s="4" t="str">
        <f ca="1">Master_List!$AW$1</f>
        <v>PERPUSTAKAAN PUSAT</v>
      </c>
      <c r="G878" s="4" t="str">
        <f ca="1">Master_List!$AW$2</f>
        <v>09:30 PM</v>
      </c>
      <c r="H878" s="4" t="str">
        <f ca="1">Master_List!$AW$3</f>
        <v>20/07/2026</v>
      </c>
      <c r="I878" s="4" t="str">
        <f ca="1">Master_List!$AW$4</f>
        <v>28.5</v>
      </c>
      <c r="J878" s="4" t="str">
        <f ca="1">Master_List!$AW$5</f>
        <v>65</v>
      </c>
      <c r="K878" s="4" t="s">
        <v>1471</v>
      </c>
      <c r="BL878" s="4" t="s">
        <v>1744</v>
      </c>
      <c r="BM878" s="10" t="s">
        <v>2208</v>
      </c>
      <c r="BN878" s="4" t="s">
        <v>1746</v>
      </c>
      <c r="BO878" s="4" t="str">
        <f t="shared" si="13"/>
        <v>C:\Users\aremi\Desktop\REPORT CBM\PO TIANU JB\03. Raw Material\40. 10052026 SSU MEDINI SIGNATURE 33KV (VI)\IR</v>
      </c>
      <c r="BP878" t="s">
        <v>1490</v>
      </c>
    </row>
    <row r="879" spans="1:68" thickBot="1" x14ac:dyDescent="0.3">
      <c r="A879" s="4">
        <v>439</v>
      </c>
      <c r="B879" s="4" t="s">
        <v>1477</v>
      </c>
      <c r="C879" s="4">
        <v>13</v>
      </c>
      <c r="D879" s="7" t="s">
        <v>2207</v>
      </c>
      <c r="E879" s="4">
        <v>7</v>
      </c>
      <c r="F879" s="4" t="str">
        <f ca="1">Master_List!$AW$1</f>
        <v>PERPUSTAKAAN PUSAT</v>
      </c>
      <c r="G879" s="4" t="str">
        <f ca="1">Master_List!$AW$2</f>
        <v>09:30 PM</v>
      </c>
      <c r="H879" s="4" t="str">
        <f ca="1">Master_List!$AW$3</f>
        <v>20/07/2026</v>
      </c>
      <c r="I879" s="4" t="str">
        <f ca="1">Master_List!$AW$4</f>
        <v>28.5</v>
      </c>
      <c r="J879" s="4" t="str">
        <f ca="1">Master_List!$AW$5</f>
        <v>65</v>
      </c>
      <c r="K879" s="4" t="s">
        <v>1471</v>
      </c>
      <c r="BL879" s="4" t="s">
        <v>1744</v>
      </c>
      <c r="BM879" s="10" t="s">
        <v>2208</v>
      </c>
      <c r="BN879" s="4" t="s">
        <v>1748</v>
      </c>
      <c r="BO879" s="4" t="str">
        <f t="shared" si="13"/>
        <v>C:\Users\aremi\Desktop\REPORT CBM\PO TIANU JB\03. Raw Material\40. 10052026 SSU MEDINI SIGNATURE 33KV (VI)\IR</v>
      </c>
      <c r="BP879" t="s">
        <v>1491</v>
      </c>
    </row>
    <row r="880" spans="1:68" thickBot="1" x14ac:dyDescent="0.3">
      <c r="A880" s="4">
        <v>440</v>
      </c>
      <c r="B880" s="4" t="s">
        <v>1477</v>
      </c>
      <c r="C880" s="4">
        <v>13</v>
      </c>
      <c r="D880" s="7" t="s">
        <v>2209</v>
      </c>
      <c r="E880" s="4">
        <v>8</v>
      </c>
      <c r="F880" s="4" t="str">
        <f ca="1">Master_List!$AW$1</f>
        <v>PERPUSTAKAAN PUSAT</v>
      </c>
      <c r="G880" s="4" t="str">
        <f ca="1">Master_List!$AW$2</f>
        <v>09:30 PM</v>
      </c>
      <c r="H880" s="4" t="str">
        <f ca="1">Master_List!$AW$3</f>
        <v>20/07/2026</v>
      </c>
      <c r="I880" s="4" t="str">
        <f ca="1">Master_List!$AW$4</f>
        <v>28.5</v>
      </c>
      <c r="J880" s="4" t="str">
        <f ca="1">Master_List!$AW$5</f>
        <v>65</v>
      </c>
      <c r="K880" s="4" t="s">
        <v>1474</v>
      </c>
      <c r="BL880" s="4" t="s">
        <v>1744</v>
      </c>
      <c r="BM880" s="10" t="s">
        <v>2210</v>
      </c>
      <c r="BN880" s="4" t="s">
        <v>1746</v>
      </c>
      <c r="BO880" s="4" t="str">
        <f t="shared" si="13"/>
        <v>C:\Users\aremi\Desktop\REPORT CBM\PO TIANU JB\03. Raw Material\40. 10052026 SSU MEDINI SIGNATURE 33KV (VI)\IR</v>
      </c>
      <c r="BP880" t="s">
        <v>1492</v>
      </c>
    </row>
    <row r="881" spans="1:68" thickBot="1" x14ac:dyDescent="0.3">
      <c r="A881" s="4">
        <v>440</v>
      </c>
      <c r="B881" s="4" t="s">
        <v>1477</v>
      </c>
      <c r="C881" s="4">
        <v>13</v>
      </c>
      <c r="D881" s="7" t="s">
        <v>2209</v>
      </c>
      <c r="E881" s="4">
        <v>8</v>
      </c>
      <c r="F881" s="4" t="str">
        <f ca="1">Master_List!$AW$1</f>
        <v>PERPUSTAKAAN PUSAT</v>
      </c>
      <c r="G881" s="4" t="str">
        <f ca="1">Master_List!$AW$2</f>
        <v>09:30 PM</v>
      </c>
      <c r="H881" s="4" t="str">
        <f ca="1">Master_List!$AW$3</f>
        <v>20/07/2026</v>
      </c>
      <c r="I881" s="4" t="str">
        <f ca="1">Master_List!$AW$4</f>
        <v>28.5</v>
      </c>
      <c r="J881" s="4" t="str">
        <f ca="1">Master_List!$AW$5</f>
        <v>65</v>
      </c>
      <c r="K881" s="4" t="s">
        <v>1474</v>
      </c>
      <c r="BL881" s="4" t="s">
        <v>1744</v>
      </c>
      <c r="BM881" s="10" t="s">
        <v>2210</v>
      </c>
      <c r="BN881" s="4" t="s">
        <v>1748</v>
      </c>
      <c r="BO881" s="4" t="str">
        <f t="shared" si="13"/>
        <v>C:\Users\aremi\Desktop\REPORT CBM\PO TIANU JB\03. Raw Material\40. 10052026 SSU MEDINI SIGNATURE 33KV (VI)\IR</v>
      </c>
      <c r="BP881" t="s">
        <v>1493</v>
      </c>
    </row>
    <row r="882" spans="1:68" thickBot="1" x14ac:dyDescent="0.3">
      <c r="A882" s="4">
        <v>441</v>
      </c>
      <c r="B882" s="4" t="s">
        <v>1494</v>
      </c>
      <c r="C882" s="4">
        <v>13</v>
      </c>
      <c r="D882" s="7" t="s">
        <v>2211</v>
      </c>
      <c r="E882" s="4">
        <v>1</v>
      </c>
      <c r="F882" s="4" t="str">
        <f ca="1">Master_List!$AW$1</f>
        <v>PERPUSTAKAAN PUSAT</v>
      </c>
      <c r="G882" s="4" t="str">
        <f ca="1">Master_List!$AW$2</f>
        <v>09:30 PM</v>
      </c>
      <c r="H882" s="4" t="str">
        <f ca="1">Master_List!$AW$3</f>
        <v>20/07/2026</v>
      </c>
      <c r="I882" s="4" t="str">
        <f ca="1">Master_List!$AW$4</f>
        <v>28.5</v>
      </c>
      <c r="J882" s="4" t="str">
        <f ca="1">Master_List!$AW$5</f>
        <v>65</v>
      </c>
      <c r="K882" s="4" t="s">
        <v>1453</v>
      </c>
      <c r="BL882" s="4" t="s">
        <v>1744</v>
      </c>
      <c r="BM882" s="10" t="s">
        <v>2212</v>
      </c>
      <c r="BN882" s="4" t="s">
        <v>1746</v>
      </c>
      <c r="BO882" s="4" t="str">
        <f t="shared" si="13"/>
        <v>C:\Users\aremi\Desktop\REPORT CBM\PO TIANU JB\03. Raw Material\40. 10052026 SSU MEDINI SIGNATURE 33KV (VI)\IR</v>
      </c>
      <c r="BP882" t="s">
        <v>1495</v>
      </c>
    </row>
    <row r="883" spans="1:68" thickBot="1" x14ac:dyDescent="0.3">
      <c r="A883" s="4">
        <v>441</v>
      </c>
      <c r="B883" s="4" t="s">
        <v>1494</v>
      </c>
      <c r="C883" s="4">
        <v>13</v>
      </c>
      <c r="D883" s="7" t="s">
        <v>2211</v>
      </c>
      <c r="E883" s="4">
        <v>1</v>
      </c>
      <c r="F883" s="4" t="str">
        <f ca="1">Master_List!$AW$1</f>
        <v>PERPUSTAKAAN PUSAT</v>
      </c>
      <c r="G883" s="4" t="str">
        <f ca="1">Master_List!$AW$2</f>
        <v>09:30 PM</v>
      </c>
      <c r="H883" s="4" t="str">
        <f ca="1">Master_List!$AW$3</f>
        <v>20/07/2026</v>
      </c>
      <c r="I883" s="4" t="str">
        <f ca="1">Master_List!$AW$4</f>
        <v>28.5</v>
      </c>
      <c r="J883" s="4" t="str">
        <f ca="1">Master_List!$AW$5</f>
        <v>65</v>
      </c>
      <c r="K883" s="4" t="s">
        <v>1453</v>
      </c>
      <c r="BL883" s="4" t="s">
        <v>1744</v>
      </c>
      <c r="BM883" s="10" t="s">
        <v>2212</v>
      </c>
      <c r="BN883" s="4" t="s">
        <v>1748</v>
      </c>
      <c r="BO883" s="4" t="str">
        <f t="shared" si="13"/>
        <v>C:\Users\aremi\Desktop\REPORT CBM\PO TIANU JB\03. Raw Material\40. 10052026 SSU MEDINI SIGNATURE 33KV (VI)\IR</v>
      </c>
      <c r="BP883" t="s">
        <v>1496</v>
      </c>
    </row>
    <row r="884" spans="1:68" thickBot="1" x14ac:dyDescent="0.3">
      <c r="A884" s="4">
        <v>442</v>
      </c>
      <c r="B884" s="4" t="s">
        <v>1494</v>
      </c>
      <c r="C884" s="4">
        <v>13</v>
      </c>
      <c r="D884" s="7" t="s">
        <v>2213</v>
      </c>
      <c r="E884" s="4">
        <v>2</v>
      </c>
      <c r="F884" s="4" t="str">
        <f ca="1">Master_List!$AW$1</f>
        <v>PERPUSTAKAAN PUSAT</v>
      </c>
      <c r="G884" s="4" t="str">
        <f ca="1">Master_List!$AW$2</f>
        <v>09:30 PM</v>
      </c>
      <c r="H884" s="4" t="str">
        <f ca="1">Master_List!$AW$3</f>
        <v>20/07/2026</v>
      </c>
      <c r="I884" s="4" t="str">
        <f ca="1">Master_List!$AW$4</f>
        <v>28.5</v>
      </c>
      <c r="J884" s="4" t="str">
        <f ca="1">Master_List!$AW$5</f>
        <v>65</v>
      </c>
      <c r="K884" s="4" t="s">
        <v>1497</v>
      </c>
      <c r="BL884" s="4" t="s">
        <v>1744</v>
      </c>
      <c r="BM884" s="10" t="s">
        <v>2214</v>
      </c>
      <c r="BN884" s="4" t="s">
        <v>1746</v>
      </c>
      <c r="BO884" s="4" t="str">
        <f t="shared" si="13"/>
        <v>C:\Users\aremi\Desktop\REPORT CBM\PO TIANU JB\03. Raw Material\40. 10052026 SSU MEDINI SIGNATURE 33KV (VI)\IR</v>
      </c>
      <c r="BP884" t="s">
        <v>1498</v>
      </c>
    </row>
    <row r="885" spans="1:68" thickBot="1" x14ac:dyDescent="0.3">
      <c r="A885" s="4">
        <v>442</v>
      </c>
      <c r="B885" s="4" t="s">
        <v>1494</v>
      </c>
      <c r="C885" s="4">
        <v>13</v>
      </c>
      <c r="D885" s="7" t="s">
        <v>2213</v>
      </c>
      <c r="E885" s="4">
        <v>2</v>
      </c>
      <c r="F885" s="4" t="str">
        <f ca="1">Master_List!$AW$1</f>
        <v>PERPUSTAKAAN PUSAT</v>
      </c>
      <c r="G885" s="4" t="str">
        <f ca="1">Master_List!$AW$2</f>
        <v>09:30 PM</v>
      </c>
      <c r="H885" s="4" t="str">
        <f ca="1">Master_List!$AW$3</f>
        <v>20/07/2026</v>
      </c>
      <c r="I885" s="4" t="str">
        <f ca="1">Master_List!$AW$4</f>
        <v>28.5</v>
      </c>
      <c r="J885" s="4" t="str">
        <f ca="1">Master_List!$AW$5</f>
        <v>65</v>
      </c>
      <c r="K885" s="4" t="s">
        <v>1497</v>
      </c>
      <c r="BL885" s="4" t="s">
        <v>1744</v>
      </c>
      <c r="BM885" s="10" t="s">
        <v>2214</v>
      </c>
      <c r="BN885" s="4" t="s">
        <v>1748</v>
      </c>
      <c r="BO885" s="4" t="str">
        <f t="shared" si="13"/>
        <v>C:\Users\aremi\Desktop\REPORT CBM\PO TIANU JB\03. Raw Material\40. 10052026 SSU MEDINI SIGNATURE 33KV (VI)\IR</v>
      </c>
      <c r="BP885" t="s">
        <v>1499</v>
      </c>
    </row>
    <row r="886" spans="1:68" thickBot="1" x14ac:dyDescent="0.3">
      <c r="A886" s="4">
        <v>443</v>
      </c>
      <c r="B886" s="4" t="s">
        <v>1494</v>
      </c>
      <c r="C886" s="4">
        <v>13</v>
      </c>
      <c r="D886" s="7" t="s">
        <v>2215</v>
      </c>
      <c r="E886" s="4">
        <v>3</v>
      </c>
      <c r="F886" s="4" t="str">
        <f ca="1">Master_List!$AW$1</f>
        <v>PERPUSTAKAAN PUSAT</v>
      </c>
      <c r="G886" s="4" t="str">
        <f ca="1">Master_List!$AW$2</f>
        <v>09:30 PM</v>
      </c>
      <c r="H886" s="4" t="str">
        <f ca="1">Master_List!$AW$3</f>
        <v>20/07/2026</v>
      </c>
      <c r="I886" s="4" t="str">
        <f ca="1">Master_List!$AW$4</f>
        <v>28.5</v>
      </c>
      <c r="J886" s="4" t="str">
        <f ca="1">Master_List!$AW$5</f>
        <v>65</v>
      </c>
      <c r="K886" s="4" t="s">
        <v>1500</v>
      </c>
      <c r="BL886" s="4" t="s">
        <v>1744</v>
      </c>
      <c r="BM886" s="10" t="s">
        <v>2216</v>
      </c>
      <c r="BN886" s="4" t="s">
        <v>1746</v>
      </c>
      <c r="BO886" s="4" t="str">
        <f t="shared" si="13"/>
        <v>C:\Users\aremi\Desktop\REPORT CBM\PO TIANU JB\03. Raw Material\40. 10052026 SSU MEDINI SIGNATURE 33KV (VI)\IR</v>
      </c>
      <c r="BP886" t="s">
        <v>1501</v>
      </c>
    </row>
    <row r="887" spans="1:68" thickBot="1" x14ac:dyDescent="0.3">
      <c r="A887" s="4">
        <v>443</v>
      </c>
      <c r="B887" s="4" t="s">
        <v>1494</v>
      </c>
      <c r="C887" s="4">
        <v>13</v>
      </c>
      <c r="D887" s="7" t="s">
        <v>2215</v>
      </c>
      <c r="E887" s="4">
        <v>3</v>
      </c>
      <c r="F887" s="4" t="str">
        <f ca="1">Master_List!$AW$1</f>
        <v>PERPUSTAKAAN PUSAT</v>
      </c>
      <c r="G887" s="4" t="str">
        <f ca="1">Master_List!$AW$2</f>
        <v>09:30 PM</v>
      </c>
      <c r="H887" s="4" t="str">
        <f ca="1">Master_List!$AW$3</f>
        <v>20/07/2026</v>
      </c>
      <c r="I887" s="4" t="str">
        <f ca="1">Master_List!$AW$4</f>
        <v>28.5</v>
      </c>
      <c r="J887" s="4" t="str">
        <f ca="1">Master_List!$AW$5</f>
        <v>65</v>
      </c>
      <c r="K887" s="4" t="s">
        <v>2217</v>
      </c>
      <c r="BL887" s="4" t="s">
        <v>1744</v>
      </c>
      <c r="BM887" s="10" t="s">
        <v>2216</v>
      </c>
      <c r="BN887" s="4" t="s">
        <v>1748</v>
      </c>
      <c r="BO887" s="4" t="str">
        <f t="shared" si="13"/>
        <v>C:\Users\aremi\Desktop\REPORT CBM\PO TIANU JB\03. Raw Material\40. 10052026 SSU MEDINI SIGNATURE 33KV (VI)\IR</v>
      </c>
      <c r="BP887" t="s">
        <v>1502</v>
      </c>
    </row>
    <row r="888" spans="1:68" thickBot="1" x14ac:dyDescent="0.3">
      <c r="A888" s="4">
        <v>444</v>
      </c>
      <c r="B888" s="4" t="s">
        <v>1494</v>
      </c>
      <c r="C888" s="4">
        <v>13</v>
      </c>
      <c r="D888" s="7" t="s">
        <v>2218</v>
      </c>
      <c r="E888" s="4">
        <v>4</v>
      </c>
      <c r="F888" s="4" t="str">
        <f ca="1">Master_List!$AW$1</f>
        <v>PERPUSTAKAAN PUSAT</v>
      </c>
      <c r="G888" s="4" t="str">
        <f ca="1">Master_List!$AW$2</f>
        <v>09:30 PM</v>
      </c>
      <c r="H888" s="4" t="str">
        <f ca="1">Master_List!$AW$3</f>
        <v>20/07/2026</v>
      </c>
      <c r="I888" s="4" t="str">
        <f ca="1">Master_List!$AW$4</f>
        <v>28.5</v>
      </c>
      <c r="J888" s="4" t="str">
        <f ca="1">Master_List!$AW$5</f>
        <v>65</v>
      </c>
      <c r="K888" s="4" t="s">
        <v>1468</v>
      </c>
      <c r="BL888" s="4" t="s">
        <v>1744</v>
      </c>
      <c r="BM888" s="10" t="s">
        <v>2219</v>
      </c>
      <c r="BN888" s="4" t="s">
        <v>1746</v>
      </c>
      <c r="BO888" s="4" t="str">
        <f t="shared" si="13"/>
        <v>C:\Users\aremi\Desktop\REPORT CBM\PO TIANU JB\03. Raw Material\40. 10052026 SSU MEDINI SIGNATURE 33KV (VI)\IR</v>
      </c>
      <c r="BP888" t="s">
        <v>1503</v>
      </c>
    </row>
    <row r="889" spans="1:68" thickBot="1" x14ac:dyDescent="0.3">
      <c r="A889" s="4">
        <v>444</v>
      </c>
      <c r="B889" s="4" t="s">
        <v>1494</v>
      </c>
      <c r="C889" s="4">
        <v>13</v>
      </c>
      <c r="D889" s="7" t="s">
        <v>2218</v>
      </c>
      <c r="E889" s="4">
        <v>4</v>
      </c>
      <c r="F889" s="4" t="str">
        <f ca="1">Master_List!$AW$1</f>
        <v>PERPUSTAKAAN PUSAT</v>
      </c>
      <c r="G889" s="4" t="str">
        <f ca="1">Master_List!$AW$2</f>
        <v>09:30 PM</v>
      </c>
      <c r="H889" s="4" t="str">
        <f ca="1">Master_List!$AW$3</f>
        <v>20/07/2026</v>
      </c>
      <c r="I889" s="4" t="str">
        <f ca="1">Master_List!$AW$4</f>
        <v>28.5</v>
      </c>
      <c r="J889" s="4" t="str">
        <f ca="1">Master_List!$AW$5</f>
        <v>65</v>
      </c>
      <c r="K889" s="4" t="s">
        <v>1468</v>
      </c>
      <c r="BL889" s="4" t="s">
        <v>1744</v>
      </c>
      <c r="BM889" s="10" t="s">
        <v>2219</v>
      </c>
      <c r="BN889" s="4" t="s">
        <v>1748</v>
      </c>
      <c r="BO889" s="4" t="str">
        <f t="shared" si="13"/>
        <v>C:\Users\aremi\Desktop\REPORT CBM\PO TIANU JB\03. Raw Material\40. 10052026 SSU MEDINI SIGNATURE 33KV (VI)\IR</v>
      </c>
      <c r="BP889" t="s">
        <v>1504</v>
      </c>
    </row>
    <row r="890" spans="1:68" thickBot="1" x14ac:dyDescent="0.3">
      <c r="A890" s="4">
        <v>445</v>
      </c>
      <c r="B890" s="4" t="s">
        <v>1494</v>
      </c>
      <c r="C890" s="4">
        <v>13</v>
      </c>
      <c r="D890" s="7" t="s">
        <v>2220</v>
      </c>
      <c r="E890" s="4">
        <v>5</v>
      </c>
      <c r="F890" s="4" t="str">
        <f ca="1">Master_List!$AW$1</f>
        <v>PERPUSTAKAAN PUSAT</v>
      </c>
      <c r="G890" s="4" t="str">
        <f ca="1">Master_List!$AW$2</f>
        <v>09:30 PM</v>
      </c>
      <c r="H890" s="4" t="str">
        <f ca="1">Master_List!$AW$3</f>
        <v>20/07/2026</v>
      </c>
      <c r="I890" s="4" t="str">
        <f ca="1">Master_List!$AW$4</f>
        <v>28.5</v>
      </c>
      <c r="J890" s="4" t="str">
        <f ca="1">Master_List!$AW$5</f>
        <v>65</v>
      </c>
      <c r="K890" s="4" t="s">
        <v>1505</v>
      </c>
      <c r="BL890" s="4" t="s">
        <v>1744</v>
      </c>
      <c r="BM890" s="10" t="s">
        <v>2221</v>
      </c>
      <c r="BN890" s="4" t="s">
        <v>1746</v>
      </c>
      <c r="BO890" s="4" t="str">
        <f t="shared" si="13"/>
        <v>C:\Users\aremi\Desktop\REPORT CBM\PO TIANU JB\03. Raw Material\40. 10052026 SSU MEDINI SIGNATURE 33KV (VI)\IR</v>
      </c>
      <c r="BP890" t="s">
        <v>1506</v>
      </c>
    </row>
    <row r="891" spans="1:68" thickBot="1" x14ac:dyDescent="0.3">
      <c r="A891" s="4">
        <v>445</v>
      </c>
      <c r="B891" s="4" t="s">
        <v>1494</v>
      </c>
      <c r="C891" s="4">
        <v>13</v>
      </c>
      <c r="D891" s="7" t="s">
        <v>2220</v>
      </c>
      <c r="E891" s="4">
        <v>5</v>
      </c>
      <c r="F891" s="4" t="str">
        <f ca="1">Master_List!$AW$1</f>
        <v>PERPUSTAKAAN PUSAT</v>
      </c>
      <c r="G891" s="4" t="str">
        <f ca="1">Master_List!$AW$2</f>
        <v>09:30 PM</v>
      </c>
      <c r="H891" s="4" t="str">
        <f ca="1">Master_List!$AW$3</f>
        <v>20/07/2026</v>
      </c>
      <c r="I891" s="4" t="str">
        <f ca="1">Master_List!$AW$4</f>
        <v>28.5</v>
      </c>
      <c r="J891" s="4" t="str">
        <f ca="1">Master_List!$AW$5</f>
        <v>65</v>
      </c>
      <c r="K891" s="4" t="s">
        <v>1505</v>
      </c>
      <c r="BL891" s="4" t="s">
        <v>1744</v>
      </c>
      <c r="BM891" s="10" t="s">
        <v>2221</v>
      </c>
      <c r="BN891" s="4" t="s">
        <v>1748</v>
      </c>
      <c r="BO891" s="4" t="str">
        <f t="shared" si="13"/>
        <v>C:\Users\aremi\Desktop\REPORT CBM\PO TIANU JB\03. Raw Material\40. 10052026 SSU MEDINI SIGNATURE 33KV (VI)\IR</v>
      </c>
      <c r="BP891" t="s">
        <v>1507</v>
      </c>
    </row>
    <row r="892" spans="1:68" thickBot="1" x14ac:dyDescent="0.3">
      <c r="A892" s="4">
        <v>446</v>
      </c>
      <c r="B892" s="4" t="s">
        <v>1494</v>
      </c>
      <c r="C892" s="4">
        <v>13</v>
      </c>
      <c r="D892" s="7" t="s">
        <v>2222</v>
      </c>
      <c r="E892" s="4">
        <v>6</v>
      </c>
      <c r="F892" s="4" t="str">
        <f ca="1">Master_List!$AW$1</f>
        <v>PERPUSTAKAAN PUSAT</v>
      </c>
      <c r="G892" s="4" t="str">
        <f ca="1">Master_List!$AW$2</f>
        <v>09:30 PM</v>
      </c>
      <c r="H892" s="4" t="str">
        <f ca="1">Master_List!$AW$3</f>
        <v>20/07/2026</v>
      </c>
      <c r="I892" s="4" t="str">
        <f ca="1">Master_List!$AW$4</f>
        <v>28.5</v>
      </c>
      <c r="J892" s="4" t="str">
        <f ca="1">Master_List!$AW$5</f>
        <v>65</v>
      </c>
      <c r="K892" s="4" t="s">
        <v>1508</v>
      </c>
      <c r="BL892" s="4" t="s">
        <v>1744</v>
      </c>
      <c r="BM892" s="10" t="s">
        <v>2223</v>
      </c>
      <c r="BN892" s="4" t="s">
        <v>1746</v>
      </c>
      <c r="BO892" s="4" t="str">
        <f t="shared" si="13"/>
        <v>C:\Users\aremi\Desktop\REPORT CBM\PO TIANU JB\03. Raw Material\40. 10052026 SSU MEDINI SIGNATURE 33KV (VI)\IR</v>
      </c>
      <c r="BP892" t="s">
        <v>1509</v>
      </c>
    </row>
    <row r="893" spans="1:68" thickBot="1" x14ac:dyDescent="0.3">
      <c r="A893" s="4">
        <v>446</v>
      </c>
      <c r="B893" s="4" t="s">
        <v>1494</v>
      </c>
      <c r="C893" s="4">
        <v>13</v>
      </c>
      <c r="D893" s="7" t="s">
        <v>2222</v>
      </c>
      <c r="E893" s="4">
        <v>6</v>
      </c>
      <c r="F893" s="4" t="str">
        <f ca="1">Master_List!$AW$1</f>
        <v>PERPUSTAKAAN PUSAT</v>
      </c>
      <c r="G893" s="4" t="str">
        <f ca="1">Master_List!$AW$2</f>
        <v>09:30 PM</v>
      </c>
      <c r="H893" s="4" t="str">
        <f ca="1">Master_List!$AW$3</f>
        <v>20/07/2026</v>
      </c>
      <c r="I893" s="4" t="str">
        <f ca="1">Master_List!$AW$4</f>
        <v>28.5</v>
      </c>
      <c r="J893" s="4" t="str">
        <f ca="1">Master_List!$AW$5</f>
        <v>65</v>
      </c>
      <c r="K893" s="4" t="s">
        <v>1508</v>
      </c>
      <c r="BL893" s="4" t="s">
        <v>1744</v>
      </c>
      <c r="BM893" s="10" t="s">
        <v>2223</v>
      </c>
      <c r="BN893" s="4" t="s">
        <v>1748</v>
      </c>
      <c r="BO893" s="4" t="str">
        <f t="shared" si="13"/>
        <v>C:\Users\aremi\Desktop\REPORT CBM\PO TIANU JB\03. Raw Material\40. 10052026 SSU MEDINI SIGNATURE 33KV (VI)\IR</v>
      </c>
      <c r="BP893" t="s">
        <v>1510</v>
      </c>
    </row>
    <row r="894" spans="1:68" thickBot="1" x14ac:dyDescent="0.3">
      <c r="A894" s="4">
        <v>447</v>
      </c>
      <c r="B894" s="4" t="s">
        <v>1494</v>
      </c>
      <c r="C894" s="4">
        <v>13</v>
      </c>
      <c r="D894" s="7" t="s">
        <v>2224</v>
      </c>
      <c r="E894" s="4">
        <v>7</v>
      </c>
      <c r="F894" s="4" t="str">
        <f ca="1">Master_List!$AW$1</f>
        <v>PERPUSTAKAAN PUSAT</v>
      </c>
      <c r="G894" s="4" t="str">
        <f ca="1">Master_List!$AW$2</f>
        <v>09:30 PM</v>
      </c>
      <c r="H894" s="4" t="str">
        <f ca="1">Master_List!$AW$3</f>
        <v>20/07/2026</v>
      </c>
      <c r="I894" s="4" t="str">
        <f ca="1">Master_List!$AW$4</f>
        <v>28.5</v>
      </c>
      <c r="J894" s="4" t="str">
        <f ca="1">Master_List!$AW$5</f>
        <v>65</v>
      </c>
      <c r="K894" s="4" t="s">
        <v>1474</v>
      </c>
      <c r="BL894" s="4" t="s">
        <v>1744</v>
      </c>
      <c r="BM894" s="10" t="s">
        <v>2225</v>
      </c>
      <c r="BN894" s="4" t="s">
        <v>1746</v>
      </c>
      <c r="BO894" s="4" t="str">
        <f t="shared" si="13"/>
        <v>C:\Users\aremi\Desktop\REPORT CBM\PO TIANU JB\03. Raw Material\40. 10052026 SSU MEDINI SIGNATURE 33KV (VI)\IR</v>
      </c>
      <c r="BP894" t="s">
        <v>1511</v>
      </c>
    </row>
    <row r="895" spans="1:68" thickBot="1" x14ac:dyDescent="0.3">
      <c r="A895" s="4">
        <v>447</v>
      </c>
      <c r="B895" s="4" t="s">
        <v>1494</v>
      </c>
      <c r="C895" s="4">
        <v>13</v>
      </c>
      <c r="D895" s="7" t="s">
        <v>2224</v>
      </c>
      <c r="E895" s="4">
        <v>7</v>
      </c>
      <c r="F895" s="4" t="str">
        <f ca="1">Master_List!$AW$1</f>
        <v>PERPUSTAKAAN PUSAT</v>
      </c>
      <c r="G895" s="4" t="str">
        <f ca="1">Master_List!$AW$2</f>
        <v>09:30 PM</v>
      </c>
      <c r="H895" s="4" t="str">
        <f ca="1">Master_List!$AW$3</f>
        <v>20/07/2026</v>
      </c>
      <c r="I895" s="4" t="str">
        <f ca="1">Master_List!$AW$4</f>
        <v>28.5</v>
      </c>
      <c r="J895" s="4" t="str">
        <f ca="1">Master_List!$AW$5</f>
        <v>65</v>
      </c>
      <c r="K895" s="4" t="s">
        <v>1474</v>
      </c>
      <c r="BL895" s="4" t="s">
        <v>1744</v>
      </c>
      <c r="BM895" s="10" t="s">
        <v>2225</v>
      </c>
      <c r="BN895" s="4" t="s">
        <v>1748</v>
      </c>
      <c r="BO895" s="4" t="str">
        <f t="shared" si="13"/>
        <v>C:\Users\aremi\Desktop\REPORT CBM\PO TIANU JB\03. Raw Material\40. 10052026 SSU MEDINI SIGNATURE 33KV (VI)\IR</v>
      </c>
      <c r="BP895" t="s">
        <v>1512</v>
      </c>
    </row>
    <row r="896" spans="1:68" thickBot="1" x14ac:dyDescent="0.3">
      <c r="A896" s="4">
        <v>448</v>
      </c>
      <c r="B896" s="4" t="s">
        <v>1494</v>
      </c>
      <c r="C896" s="4">
        <v>13</v>
      </c>
      <c r="D896" s="7" t="s">
        <v>2226</v>
      </c>
      <c r="E896" s="4">
        <v>8</v>
      </c>
      <c r="F896" s="4" t="str">
        <f ca="1">Master_List!$AW$1</f>
        <v>PERPUSTAKAAN PUSAT</v>
      </c>
      <c r="G896" s="4" t="str">
        <f ca="1">Master_List!$AW$2</f>
        <v>09:30 PM</v>
      </c>
      <c r="H896" s="4" t="str">
        <f ca="1">Master_List!$AW$3</f>
        <v>20/07/2026</v>
      </c>
      <c r="I896" s="4" t="str">
        <f ca="1">Master_List!$AW$4</f>
        <v>28.5</v>
      </c>
      <c r="J896" s="4" t="str">
        <f ca="1">Master_List!$AW$5</f>
        <v>65</v>
      </c>
      <c r="K896" s="4" t="s">
        <v>1513</v>
      </c>
      <c r="BL896" s="4" t="s">
        <v>1744</v>
      </c>
      <c r="BM896" s="10" t="s">
        <v>2227</v>
      </c>
      <c r="BN896" s="4" t="s">
        <v>1746</v>
      </c>
      <c r="BO896" s="4" t="str">
        <f t="shared" si="13"/>
        <v>C:\Users\aremi\Desktop\REPORT CBM\PO TIANU JB\03. Raw Material\40. 10052026 SSU MEDINI SIGNATURE 33KV (VI)\IR</v>
      </c>
      <c r="BP896" t="s">
        <v>1514</v>
      </c>
    </row>
    <row r="897" spans="1:68" thickBot="1" x14ac:dyDescent="0.3">
      <c r="A897" s="4">
        <v>448</v>
      </c>
      <c r="B897" s="4" t="s">
        <v>1494</v>
      </c>
      <c r="C897" s="4">
        <v>13</v>
      </c>
      <c r="D897" s="7" t="s">
        <v>2226</v>
      </c>
      <c r="E897" s="4">
        <v>8</v>
      </c>
      <c r="F897" s="4" t="str">
        <f ca="1">Master_List!$AW$1</f>
        <v>PERPUSTAKAAN PUSAT</v>
      </c>
      <c r="G897" s="4" t="str">
        <f ca="1">Master_List!$AW$2</f>
        <v>09:30 PM</v>
      </c>
      <c r="H897" s="4" t="str">
        <f ca="1">Master_List!$AW$3</f>
        <v>20/07/2026</v>
      </c>
      <c r="I897" s="4" t="str">
        <f ca="1">Master_List!$AW$4</f>
        <v>28.5</v>
      </c>
      <c r="J897" s="4" t="str">
        <f ca="1">Master_List!$AW$5</f>
        <v>65</v>
      </c>
      <c r="K897" s="4" t="s">
        <v>1513</v>
      </c>
      <c r="BL897" s="4" t="s">
        <v>1744</v>
      </c>
      <c r="BM897" s="10" t="s">
        <v>2227</v>
      </c>
      <c r="BN897" s="4" t="s">
        <v>1748</v>
      </c>
      <c r="BO897" s="4" t="str">
        <f t="shared" si="13"/>
        <v>C:\Users\aremi\Desktop\REPORT CBM\PO TIANU JB\03. Raw Material\40. 10052026 SSU MEDINI SIGNATURE 33KV (VI)\IR</v>
      </c>
      <c r="BP897" t="s">
        <v>1515</v>
      </c>
    </row>
    <row r="898" spans="1:68" thickBot="1" x14ac:dyDescent="0.3">
      <c r="A898" s="4">
        <v>449</v>
      </c>
      <c r="B898" s="4" t="s">
        <v>1516</v>
      </c>
      <c r="C898" s="4">
        <v>13</v>
      </c>
      <c r="D898" s="7" t="s">
        <v>2228</v>
      </c>
      <c r="E898" s="4">
        <v>1</v>
      </c>
      <c r="F898" s="4" t="str">
        <f ca="1">Master_List!$AW$1</f>
        <v>PERPUSTAKAAN PUSAT</v>
      </c>
      <c r="G898" s="4" t="str">
        <f ca="1">Master_List!$AW$2</f>
        <v>09:30 PM</v>
      </c>
      <c r="H898" s="4" t="str">
        <f ca="1">Master_List!$AW$3</f>
        <v>20/07/2026</v>
      </c>
      <c r="I898" s="4" t="str">
        <f ca="1">Master_List!$AW$4</f>
        <v>28.5</v>
      </c>
      <c r="J898" s="4" t="str">
        <f ca="1">Master_List!$AW$5</f>
        <v>65</v>
      </c>
      <c r="K898" s="4" t="s">
        <v>1453</v>
      </c>
      <c r="BL898" s="4" t="s">
        <v>1744</v>
      </c>
      <c r="BM898" s="10" t="s">
        <v>2229</v>
      </c>
      <c r="BN898" s="4" t="s">
        <v>1746</v>
      </c>
      <c r="BO898" s="4" t="str">
        <f t="shared" si="13"/>
        <v>C:\Users\aremi\Desktop\REPORT CBM\PO TIANU JB\03. Raw Material\40. 10052026 SSU MEDINI SIGNATURE 33KV (VI)\IR</v>
      </c>
      <c r="BP898" t="s">
        <v>1517</v>
      </c>
    </row>
    <row r="899" spans="1:68" thickBot="1" x14ac:dyDescent="0.3">
      <c r="A899" s="4">
        <v>449</v>
      </c>
      <c r="B899" s="4" t="s">
        <v>1516</v>
      </c>
      <c r="C899" s="4">
        <v>13</v>
      </c>
      <c r="D899" s="7" t="s">
        <v>2228</v>
      </c>
      <c r="E899" s="4">
        <v>1</v>
      </c>
      <c r="F899" s="4" t="str">
        <f ca="1">Master_List!$AW$1</f>
        <v>PERPUSTAKAAN PUSAT</v>
      </c>
      <c r="G899" s="4" t="str">
        <f ca="1">Master_List!$AW$2</f>
        <v>09:30 PM</v>
      </c>
      <c r="H899" s="4" t="str">
        <f ca="1">Master_List!$AW$3</f>
        <v>20/07/2026</v>
      </c>
      <c r="I899" s="4" t="str">
        <f ca="1">Master_List!$AW$4</f>
        <v>28.5</v>
      </c>
      <c r="J899" s="4" t="str">
        <f ca="1">Master_List!$AW$5</f>
        <v>65</v>
      </c>
      <c r="K899" s="4" t="s">
        <v>1453</v>
      </c>
      <c r="BL899" s="4" t="s">
        <v>1744</v>
      </c>
      <c r="BM899" s="10" t="s">
        <v>2229</v>
      </c>
      <c r="BN899" s="4" t="s">
        <v>1748</v>
      </c>
      <c r="BO899" s="4" t="str">
        <f t="shared" ref="BO899:BO905" si="14">BO898</f>
        <v>C:\Users\aremi\Desktop\REPORT CBM\PO TIANU JB\03. Raw Material\40. 10052026 SSU MEDINI SIGNATURE 33KV (VI)\IR</v>
      </c>
      <c r="BP899" t="s">
        <v>1518</v>
      </c>
    </row>
    <row r="900" spans="1:68" thickBot="1" x14ac:dyDescent="0.3">
      <c r="A900" s="4">
        <v>450</v>
      </c>
      <c r="B900" s="4" t="s">
        <v>1519</v>
      </c>
      <c r="C900" s="4">
        <v>13</v>
      </c>
      <c r="D900" s="7" t="s">
        <v>2230</v>
      </c>
      <c r="E900" s="4">
        <v>1</v>
      </c>
      <c r="F900" s="4" t="str">
        <f ca="1">Master_List!$AW$1</f>
        <v>PERPUSTAKAAN PUSAT</v>
      </c>
      <c r="G900" s="4" t="str">
        <f ca="1">Master_List!$AW$2</f>
        <v>09:30 PM</v>
      </c>
      <c r="H900" s="4" t="str">
        <f ca="1">Master_List!$AW$3</f>
        <v>20/07/2026</v>
      </c>
      <c r="I900" s="4" t="str">
        <f ca="1">Master_List!$AW$4</f>
        <v>28.5</v>
      </c>
      <c r="J900" s="4" t="str">
        <f ca="1">Master_List!$AW$5</f>
        <v>65</v>
      </c>
      <c r="K900" s="4" t="s">
        <v>1453</v>
      </c>
      <c r="BL900" s="4" t="s">
        <v>1744</v>
      </c>
      <c r="BM900" s="10" t="s">
        <v>2231</v>
      </c>
      <c r="BN900" s="4" t="s">
        <v>1746</v>
      </c>
      <c r="BO900" s="4" t="str">
        <f t="shared" si="14"/>
        <v>C:\Users\aremi\Desktop\REPORT CBM\PO TIANU JB\03. Raw Material\40. 10052026 SSU MEDINI SIGNATURE 33KV (VI)\IR</v>
      </c>
      <c r="BP900" t="s">
        <v>1520</v>
      </c>
    </row>
    <row r="901" spans="1:68" thickBot="1" x14ac:dyDescent="0.3">
      <c r="A901" s="4">
        <v>450</v>
      </c>
      <c r="B901" s="4" t="s">
        <v>1519</v>
      </c>
      <c r="C901" s="4">
        <v>13</v>
      </c>
      <c r="D901" s="7" t="s">
        <v>2230</v>
      </c>
      <c r="E901" s="4">
        <v>1</v>
      </c>
      <c r="F901" s="4" t="str">
        <f ca="1">Master_List!$AW$1</f>
        <v>PERPUSTAKAAN PUSAT</v>
      </c>
      <c r="G901" s="4" t="str">
        <f ca="1">Master_List!$AW$2</f>
        <v>09:30 PM</v>
      </c>
      <c r="H901" s="4" t="str">
        <f ca="1">Master_List!$AW$3</f>
        <v>20/07/2026</v>
      </c>
      <c r="I901" s="4" t="str">
        <f ca="1">Master_List!$AW$4</f>
        <v>28.5</v>
      </c>
      <c r="J901" s="4" t="str">
        <f ca="1">Master_List!$AW$5</f>
        <v>65</v>
      </c>
      <c r="K901" s="4" t="s">
        <v>1453</v>
      </c>
      <c r="BL901" s="4" t="s">
        <v>1744</v>
      </c>
      <c r="BM901" s="10" t="s">
        <v>2231</v>
      </c>
      <c r="BN901" s="4" t="s">
        <v>1748</v>
      </c>
      <c r="BO901" s="4" t="str">
        <f t="shared" si="14"/>
        <v>C:\Users\aremi\Desktop\REPORT CBM\PO TIANU JB\03. Raw Material\40. 10052026 SSU MEDINI SIGNATURE 33KV (VI)\IR</v>
      </c>
      <c r="BP901" t="s">
        <v>1521</v>
      </c>
    </row>
    <row r="902" spans="1:68" thickBot="1" x14ac:dyDescent="0.3">
      <c r="A902" s="4">
        <v>451</v>
      </c>
      <c r="B902" s="4" t="s">
        <v>1522</v>
      </c>
      <c r="C902" s="4">
        <v>13</v>
      </c>
      <c r="D902" s="7" t="s">
        <v>2232</v>
      </c>
      <c r="E902" s="4">
        <v>1</v>
      </c>
      <c r="F902" s="4" t="str">
        <f ca="1">Master_List!$AW$1</f>
        <v>PERPUSTAKAAN PUSAT</v>
      </c>
      <c r="G902" s="4" t="str">
        <f ca="1">Master_List!$AW$2</f>
        <v>09:30 PM</v>
      </c>
      <c r="H902" s="4" t="str">
        <f ca="1">Master_List!$AW$3</f>
        <v>20/07/2026</v>
      </c>
      <c r="I902" s="4" t="str">
        <f ca="1">Master_List!$AW$4</f>
        <v>28.5</v>
      </c>
      <c r="J902" s="4" t="str">
        <f ca="1">Master_List!$AW$5</f>
        <v>65</v>
      </c>
      <c r="K902" s="4" t="s">
        <v>1453</v>
      </c>
      <c r="BL902" s="4" t="s">
        <v>1744</v>
      </c>
      <c r="BM902" s="10" t="s">
        <v>2233</v>
      </c>
      <c r="BN902" s="4" t="s">
        <v>1746</v>
      </c>
      <c r="BO902" s="4" t="str">
        <f t="shared" si="14"/>
        <v>C:\Users\aremi\Desktop\REPORT CBM\PO TIANU JB\03. Raw Material\40. 10052026 SSU MEDINI SIGNATURE 33KV (VI)\IR</v>
      </c>
      <c r="BP902" t="s">
        <v>1523</v>
      </c>
    </row>
    <row r="903" spans="1:68" thickBot="1" x14ac:dyDescent="0.3">
      <c r="A903" s="4">
        <v>451</v>
      </c>
      <c r="B903" s="4" t="s">
        <v>1522</v>
      </c>
      <c r="C903" s="4">
        <v>13</v>
      </c>
      <c r="D903" s="7" t="s">
        <v>2232</v>
      </c>
      <c r="E903" s="4">
        <v>1</v>
      </c>
      <c r="F903" s="4" t="str">
        <f ca="1">Master_List!$AW$1</f>
        <v>PERPUSTAKAAN PUSAT</v>
      </c>
      <c r="G903" s="4" t="str">
        <f ca="1">Master_List!$AW$2</f>
        <v>09:30 PM</v>
      </c>
      <c r="H903" s="4" t="str">
        <f ca="1">Master_List!$AW$3</f>
        <v>20/07/2026</v>
      </c>
      <c r="I903" s="4" t="str">
        <f ca="1">Master_List!$AW$4</f>
        <v>28.5</v>
      </c>
      <c r="J903" s="4" t="str">
        <f ca="1">Master_List!$AW$5</f>
        <v>65</v>
      </c>
      <c r="K903" s="4" t="s">
        <v>1453</v>
      </c>
      <c r="BL903" s="4" t="s">
        <v>1744</v>
      </c>
      <c r="BM903" s="10" t="s">
        <v>2233</v>
      </c>
      <c r="BN903" s="4" t="s">
        <v>1748</v>
      </c>
      <c r="BO903" s="4" t="str">
        <f t="shared" si="14"/>
        <v>C:\Users\aremi\Desktop\REPORT CBM\PO TIANU JB\03. Raw Material\40. 10052026 SSU MEDINI SIGNATURE 33KV (VI)\IR</v>
      </c>
      <c r="BP903" t="s">
        <v>1524</v>
      </c>
    </row>
    <row r="904" spans="1:68" thickBot="1" x14ac:dyDescent="0.3">
      <c r="A904" s="4">
        <v>452</v>
      </c>
      <c r="B904" s="4" t="s">
        <v>1525</v>
      </c>
      <c r="C904" s="4">
        <v>13</v>
      </c>
      <c r="D904" s="7" t="s">
        <v>2234</v>
      </c>
      <c r="E904" s="4">
        <v>1</v>
      </c>
      <c r="F904" s="4" t="str">
        <f ca="1">Master_List!$AW$1</f>
        <v>PERPUSTAKAAN PUSAT</v>
      </c>
      <c r="G904" s="4" t="str">
        <f ca="1">Master_List!$AW$2</f>
        <v>09:30 PM</v>
      </c>
      <c r="H904" s="4" t="str">
        <f ca="1">Master_List!$AW$3</f>
        <v>20/07/2026</v>
      </c>
      <c r="I904" s="4" t="str">
        <f ca="1">Master_List!$AW$4</f>
        <v>28.5</v>
      </c>
      <c r="J904" s="4" t="str">
        <f ca="1">Master_List!$AW$5</f>
        <v>65</v>
      </c>
      <c r="K904" s="4" t="s">
        <v>1453</v>
      </c>
      <c r="BL904" s="4" t="s">
        <v>1744</v>
      </c>
      <c r="BM904" s="10" t="s">
        <v>2235</v>
      </c>
      <c r="BN904" s="4" t="s">
        <v>1746</v>
      </c>
      <c r="BO904" s="4" t="str">
        <f t="shared" si="14"/>
        <v>C:\Users\aremi\Desktop\REPORT CBM\PO TIANU JB\03. Raw Material\40. 10052026 SSU MEDINI SIGNATURE 33KV (VI)\IR</v>
      </c>
      <c r="BP904" t="s">
        <v>1527</v>
      </c>
    </row>
    <row r="905" spans="1:68" thickBot="1" x14ac:dyDescent="0.3">
      <c r="A905" s="4">
        <v>452</v>
      </c>
      <c r="B905" s="4" t="s">
        <v>1525</v>
      </c>
      <c r="C905" s="4">
        <v>13</v>
      </c>
      <c r="D905" s="7" t="s">
        <v>2234</v>
      </c>
      <c r="E905" s="4">
        <v>1</v>
      </c>
      <c r="F905" s="4" t="str">
        <f ca="1">Master_List!$AW$1</f>
        <v>PERPUSTAKAAN PUSAT</v>
      </c>
      <c r="G905" s="4" t="str">
        <f ca="1">Master_List!$AW$2</f>
        <v>09:30 PM</v>
      </c>
      <c r="H905" s="4" t="str">
        <f ca="1">Master_List!$AW$3</f>
        <v>20/07/2026</v>
      </c>
      <c r="I905" s="4" t="str">
        <f ca="1">Master_List!$AW$4</f>
        <v>28.5</v>
      </c>
      <c r="J905" s="4" t="str">
        <f ca="1">Master_List!$AW$5</f>
        <v>65</v>
      </c>
      <c r="K905" s="4" t="s">
        <v>1453</v>
      </c>
      <c r="BL905" s="4" t="s">
        <v>1744</v>
      </c>
      <c r="BM905" s="10" t="s">
        <v>2235</v>
      </c>
      <c r="BN905" s="4" t="s">
        <v>1748</v>
      </c>
      <c r="BO905" s="4" t="str">
        <f t="shared" si="14"/>
        <v>C:\Users\aremi\Desktop\REPORT CBM\PO TIANU JB\03. Raw Material\40. 10052026 SSU MEDINI SIGNATURE 33KV (VI)\IR</v>
      </c>
      <c r="BP905" t="s">
        <v>1528</v>
      </c>
    </row>
    <row r="906" spans="1:68" thickBot="1" x14ac:dyDescent="0.25">
      <c r="BM906" s="10"/>
    </row>
    <row r="907" spans="1:68" thickBot="1" x14ac:dyDescent="0.25">
      <c r="BM907" s="10"/>
    </row>
    <row r="908" spans="1:68" thickBot="1" x14ac:dyDescent="0.25">
      <c r="BM908" s="10"/>
    </row>
    <row r="909" spans="1:68" thickBot="1" x14ac:dyDescent="0.25">
      <c r="BM909" s="10"/>
    </row>
    <row r="910" spans="1:68" thickBot="1" x14ac:dyDescent="0.25">
      <c r="BM910" s="10"/>
    </row>
    <row r="911" spans="1:68" thickBot="1" x14ac:dyDescent="0.25">
      <c r="BM911" s="10"/>
    </row>
    <row r="912" spans="1:68" thickBot="1" x14ac:dyDescent="0.25">
      <c r="BM912" s="10"/>
    </row>
    <row r="913" spans="65:65" thickBot="1" x14ac:dyDescent="0.25">
      <c r="BM913" s="10"/>
    </row>
    <row r="914" spans="65:65" thickBot="1" x14ac:dyDescent="0.25">
      <c r="BM914" s="10"/>
    </row>
    <row r="915" spans="65:65" thickBot="1" x14ac:dyDescent="0.25">
      <c r="BM915" s="10"/>
    </row>
    <row r="916" spans="65:65" thickBot="1" x14ac:dyDescent="0.25">
      <c r="BM916" s="10"/>
    </row>
    <row r="917" spans="65:65" thickBot="1" x14ac:dyDescent="0.25">
      <c r="BM917" s="10"/>
    </row>
    <row r="918" spans="65:65" thickBot="1" x14ac:dyDescent="0.25">
      <c r="BM918" s="10"/>
    </row>
    <row r="919" spans="65:65" thickBot="1" x14ac:dyDescent="0.25">
      <c r="BM919" s="10"/>
    </row>
    <row r="920" spans="65:65" thickBot="1" x14ac:dyDescent="0.25">
      <c r="BM920" s="10"/>
    </row>
    <row r="921" spans="65:65" thickBot="1" x14ac:dyDescent="0.25">
      <c r="BM921" s="10"/>
    </row>
    <row r="922" spans="65:65" thickBot="1" x14ac:dyDescent="0.25">
      <c r="BM922" s="10"/>
    </row>
    <row r="923" spans="65:65" thickBot="1" x14ac:dyDescent="0.25">
      <c r="BM923" s="10"/>
    </row>
    <row r="924" spans="65:65" thickBot="1" x14ac:dyDescent="0.25">
      <c r="BM924" s="10"/>
    </row>
    <row r="925" spans="65:65" thickBot="1" x14ac:dyDescent="0.25">
      <c r="BM925" s="10"/>
    </row>
    <row r="926" spans="65:65" thickBot="1" x14ac:dyDescent="0.25">
      <c r="BM926" s="10"/>
    </row>
    <row r="927" spans="65:65" thickBot="1" x14ac:dyDescent="0.25">
      <c r="BM927" s="10"/>
    </row>
    <row r="928" spans="65:65" thickBot="1" x14ac:dyDescent="0.25">
      <c r="BM928" s="10"/>
    </row>
    <row r="929" spans="65:65" thickBot="1" x14ac:dyDescent="0.25">
      <c r="BM929" s="10"/>
    </row>
    <row r="930" spans="65:65" thickBot="1" x14ac:dyDescent="0.25">
      <c r="BM930" s="10"/>
    </row>
    <row r="931" spans="65:65" thickBot="1" x14ac:dyDescent="0.25">
      <c r="BM931" s="10"/>
    </row>
    <row r="932" spans="65:65" thickBot="1" x14ac:dyDescent="0.25">
      <c r="BM932" s="10"/>
    </row>
    <row r="933" spans="65:65" thickBot="1" x14ac:dyDescent="0.25">
      <c r="BM933" s="10"/>
    </row>
    <row r="934" spans="65:65" thickBot="1" x14ac:dyDescent="0.25">
      <c r="BM934" s="10"/>
    </row>
    <row r="935" spans="65:65" thickBot="1" x14ac:dyDescent="0.25">
      <c r="BM935" s="10"/>
    </row>
    <row r="936" spans="65:65" thickBot="1" x14ac:dyDescent="0.25">
      <c r="BM936" s="10"/>
    </row>
    <row r="937" spans="65:65" thickBot="1" x14ac:dyDescent="0.25">
      <c r="BM937" s="10"/>
    </row>
    <row r="938" spans="65:65" thickBot="1" x14ac:dyDescent="0.25">
      <c r="BM938" s="10"/>
    </row>
    <row r="939" spans="65:65" thickBot="1" x14ac:dyDescent="0.25">
      <c r="BM939" s="10"/>
    </row>
    <row r="940" spans="65:65" thickBot="1" x14ac:dyDescent="0.25">
      <c r="BM940" s="10"/>
    </row>
    <row r="941" spans="65:65" thickBot="1" x14ac:dyDescent="0.25">
      <c r="BM941" s="10"/>
    </row>
    <row r="942" spans="65:65" thickBot="1" x14ac:dyDescent="0.25">
      <c r="BM942" s="10"/>
    </row>
    <row r="943" spans="65:65" thickBot="1" x14ac:dyDescent="0.25">
      <c r="BM943" s="10"/>
    </row>
    <row r="944" spans="65:65" thickBot="1" x14ac:dyDescent="0.25">
      <c r="BM944" s="10"/>
    </row>
    <row r="945" spans="65:65" thickBot="1" x14ac:dyDescent="0.25">
      <c r="BM945" s="10"/>
    </row>
    <row r="946" spans="65:65" thickBot="1" x14ac:dyDescent="0.25">
      <c r="BM946" s="10"/>
    </row>
    <row r="947" spans="65:65" thickBot="1" x14ac:dyDescent="0.25">
      <c r="BM947" s="10"/>
    </row>
    <row r="948" spans="65:65" thickBot="1" x14ac:dyDescent="0.25">
      <c r="BM948" s="10"/>
    </row>
    <row r="949" spans="65:65" thickBot="1" x14ac:dyDescent="0.25">
      <c r="BM949" s="10"/>
    </row>
    <row r="950" spans="65:65" thickBot="1" x14ac:dyDescent="0.25">
      <c r="BM950" s="10"/>
    </row>
    <row r="951" spans="65:65" thickBot="1" x14ac:dyDescent="0.25">
      <c r="BM951" s="10"/>
    </row>
    <row r="952" spans="65:65" thickBot="1" x14ac:dyDescent="0.25">
      <c r="BM952" s="10"/>
    </row>
    <row r="953" spans="65:65" thickBot="1" x14ac:dyDescent="0.25">
      <c r="BM953" s="10"/>
    </row>
    <row r="954" spans="65:65" thickBot="1" x14ac:dyDescent="0.25">
      <c r="BM954" s="10"/>
    </row>
    <row r="955" spans="65:65" thickBot="1" x14ac:dyDescent="0.25">
      <c r="BM955" s="10"/>
    </row>
    <row r="956" spans="65:65" thickBot="1" x14ac:dyDescent="0.25">
      <c r="BM956" s="10"/>
    </row>
    <row r="957" spans="65:65" thickBot="1" x14ac:dyDescent="0.25">
      <c r="BM957" s="10"/>
    </row>
    <row r="958" spans="65:65" thickBot="1" x14ac:dyDescent="0.25">
      <c r="BM958" s="10"/>
    </row>
    <row r="959" spans="65:65" thickBot="1" x14ac:dyDescent="0.25">
      <c r="BM959" s="10"/>
    </row>
    <row r="960" spans="65:65" thickBot="1" x14ac:dyDescent="0.25">
      <c r="BM960" s="10"/>
    </row>
    <row r="961" spans="65:65" thickBot="1" x14ac:dyDescent="0.25">
      <c r="BM961" s="10"/>
    </row>
    <row r="962" spans="65:65" thickBot="1" x14ac:dyDescent="0.25">
      <c r="BM962" s="10"/>
    </row>
    <row r="963" spans="65:65" thickBot="1" x14ac:dyDescent="0.25">
      <c r="BM963" s="10"/>
    </row>
    <row r="964" spans="65:65" thickBot="1" x14ac:dyDescent="0.25">
      <c r="BM964" s="10"/>
    </row>
    <row r="965" spans="65:65" thickBot="1" x14ac:dyDescent="0.25">
      <c r="BM965" s="10"/>
    </row>
    <row r="966" spans="65:65" thickBot="1" x14ac:dyDescent="0.25">
      <c r="BM966" s="10"/>
    </row>
    <row r="967" spans="65:65" thickBot="1" x14ac:dyDescent="0.25">
      <c r="BM967" s="10"/>
    </row>
    <row r="968" spans="65:65" thickBot="1" x14ac:dyDescent="0.25">
      <c r="BM968" s="10"/>
    </row>
    <row r="969" spans="65:65" thickBot="1" x14ac:dyDescent="0.25">
      <c r="BM969" s="10"/>
    </row>
    <row r="970" spans="65:65" thickBot="1" x14ac:dyDescent="0.25">
      <c r="BM970" s="10"/>
    </row>
    <row r="971" spans="65:65" thickBot="1" x14ac:dyDescent="0.25">
      <c r="BM971" s="10"/>
    </row>
    <row r="972" spans="65:65" thickBot="1" x14ac:dyDescent="0.25">
      <c r="BM972" s="10"/>
    </row>
    <row r="973" spans="65:65" thickBot="1" x14ac:dyDescent="0.25">
      <c r="BM973" s="10"/>
    </row>
    <row r="974" spans="65:65" thickBot="1" x14ac:dyDescent="0.25">
      <c r="BM974" s="10"/>
    </row>
    <row r="975" spans="65:65" thickBot="1" x14ac:dyDescent="0.25">
      <c r="BM975" s="10"/>
    </row>
    <row r="976" spans="65:65" thickBot="1" x14ac:dyDescent="0.25">
      <c r="BM976" s="10"/>
    </row>
    <row r="977" spans="65:65" thickBot="1" x14ac:dyDescent="0.25">
      <c r="BM977" s="10"/>
    </row>
    <row r="978" spans="65:65" thickBot="1" x14ac:dyDescent="0.25">
      <c r="BM978" s="10"/>
    </row>
    <row r="979" spans="65:65" thickBot="1" x14ac:dyDescent="0.25">
      <c r="BM979" s="10"/>
    </row>
    <row r="980" spans="65:65" thickBot="1" x14ac:dyDescent="0.25">
      <c r="BM980" s="10"/>
    </row>
    <row r="981" spans="65:65" thickBot="1" x14ac:dyDescent="0.25">
      <c r="BM981" s="10"/>
    </row>
    <row r="982" spans="65:65" thickBot="1" x14ac:dyDescent="0.25">
      <c r="BM982" s="10"/>
    </row>
    <row r="983" spans="65:65" thickBot="1" x14ac:dyDescent="0.25">
      <c r="BM983" s="10"/>
    </row>
    <row r="984" spans="65:65" thickBot="1" x14ac:dyDescent="0.25">
      <c r="BM984" s="10"/>
    </row>
    <row r="985" spans="65:65" thickBot="1" x14ac:dyDescent="0.25">
      <c r="BM985" s="10"/>
    </row>
    <row r="986" spans="65:65" thickBot="1" x14ac:dyDescent="0.25">
      <c r="BM986" s="10"/>
    </row>
    <row r="987" spans="65:65" thickBot="1" x14ac:dyDescent="0.25">
      <c r="BM987" s="10"/>
    </row>
    <row r="988" spans="65:65" thickBot="1" x14ac:dyDescent="0.25">
      <c r="BM988" s="10"/>
    </row>
    <row r="989" spans="65:65" thickBot="1" x14ac:dyDescent="0.25">
      <c r="BM989" s="10"/>
    </row>
    <row r="990" spans="65:65" thickBot="1" x14ac:dyDescent="0.25">
      <c r="BM990" s="10"/>
    </row>
    <row r="991" spans="65:65" thickBot="1" x14ac:dyDescent="0.25">
      <c r="BM991" s="10"/>
    </row>
    <row r="992" spans="65:65" thickBot="1" x14ac:dyDescent="0.25">
      <c r="BM992" s="10"/>
    </row>
    <row r="993" spans="65:65" thickBot="1" x14ac:dyDescent="0.25">
      <c r="BM993" s="10"/>
    </row>
    <row r="994" spans="65:65" thickBot="1" x14ac:dyDescent="0.25">
      <c r="BM994" s="10"/>
    </row>
    <row r="995" spans="65:65" thickBot="1" x14ac:dyDescent="0.25">
      <c r="BM995" s="10"/>
    </row>
    <row r="996" spans="65:65" thickBot="1" x14ac:dyDescent="0.25">
      <c r="BM996" s="10"/>
    </row>
    <row r="997" spans="65:65" thickBot="1" x14ac:dyDescent="0.25">
      <c r="BM997" s="10"/>
    </row>
    <row r="998" spans="65:65" thickBot="1" x14ac:dyDescent="0.25">
      <c r="BM998" s="10"/>
    </row>
    <row r="999" spans="65:65" thickBot="1" x14ac:dyDescent="0.25">
      <c r="BM999" s="10"/>
    </row>
    <row r="1000" spans="65:65" thickBot="1" x14ac:dyDescent="0.25">
      <c r="BM1000" s="10"/>
    </row>
    <row r="1001" spans="65:65" thickBot="1" x14ac:dyDescent="0.25">
      <c r="BM1001" s="10"/>
    </row>
  </sheetData>
  <autoFilter ref="A1:BP45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315"/>
  <sheetViews>
    <sheetView zoomScale="115" zoomScaleNormal="115" workbookViewId="0">
      <pane xSplit="4" ySplit="1" topLeftCell="W284" activePane="bottomRight" state="frozen"/>
      <selection pane="topRight" activeCell="E1" sqref="E1"/>
      <selection pane="bottomLeft" activeCell="A2" sqref="A2"/>
      <selection pane="bottomRight" activeCell="C20" sqref="C20"/>
    </sheetView>
  </sheetViews>
  <sheetFormatPr defaultColWidth="9.140625" defaultRowHeight="15" x14ac:dyDescent="0.25"/>
  <cols>
    <col min="1" max="1" width="4" style="4" bestFit="1" customWidth="1"/>
    <col min="2" max="2" width="15.5703125" style="4" bestFit="1" customWidth="1"/>
    <col min="3" max="3" width="6.42578125" style="4" bestFit="1" customWidth="1"/>
    <col min="4" max="4" width="27.7109375" style="4" bestFit="1" customWidth="1"/>
    <col min="5" max="5" width="17.42578125" style="4" customWidth="1"/>
    <col min="6" max="6" width="22.5703125" style="4" bestFit="1" customWidth="1"/>
    <col min="7" max="10" width="22.5703125" style="4" customWidth="1"/>
    <col min="11" max="11" width="29" style="4" bestFit="1" customWidth="1"/>
    <col min="12" max="12" width="15.140625" style="41" bestFit="1" customWidth="1"/>
    <col min="13" max="13" width="18" style="14" bestFit="1" customWidth="1"/>
    <col min="14" max="14" width="21.28515625" style="14" bestFit="1" customWidth="1"/>
    <col min="15" max="15" width="24.7109375" style="14" bestFit="1" customWidth="1"/>
    <col min="16" max="16" width="26.140625" style="14" bestFit="1" customWidth="1"/>
    <col min="17" max="17" width="20.7109375" style="14" bestFit="1" customWidth="1"/>
    <col min="18" max="18" width="22.28515625" style="14" bestFit="1" customWidth="1"/>
    <col min="19" max="19" width="23" style="14" bestFit="1" customWidth="1"/>
    <col min="20" max="21" width="18.85546875" style="15" bestFit="1" customWidth="1"/>
    <col min="22" max="22" width="12.5703125" style="15" bestFit="1" customWidth="1"/>
    <col min="23" max="23" width="12.7109375" style="15" bestFit="1" customWidth="1"/>
    <col min="24" max="24" width="18.85546875" style="15" bestFit="1" customWidth="1"/>
    <col min="25" max="25" width="11.140625" style="15" bestFit="1" customWidth="1"/>
    <col min="26" max="26" width="12.5703125" style="15" bestFit="1" customWidth="1"/>
    <col min="27" max="27" width="12.7109375" style="15" bestFit="1" customWidth="1"/>
    <col min="28" max="28" width="18.5703125" style="15" customWidth="1"/>
    <col min="29" max="29" width="12.42578125" style="15" bestFit="1" customWidth="1"/>
    <col min="30" max="30" width="12.28515625" style="15" bestFit="1" customWidth="1"/>
    <col min="31" max="31" width="17.42578125" style="15" bestFit="1" customWidth="1"/>
    <col min="32" max="32" width="18.5703125" style="15" customWidth="1"/>
    <col min="33" max="33" width="12.42578125" style="15" bestFit="1" customWidth="1"/>
    <col min="34" max="34" width="12.28515625" style="15" bestFit="1" customWidth="1"/>
    <col min="35" max="35" width="17.42578125" style="15" bestFit="1" customWidth="1"/>
    <col min="36" max="36" width="17" style="15" bestFit="1" customWidth="1"/>
    <col min="37" max="37" width="16.42578125" style="15" bestFit="1" customWidth="1"/>
    <col min="38" max="38" width="10.85546875" style="15" bestFit="1" customWidth="1"/>
    <col min="39" max="39" width="16.85546875" style="15" bestFit="1" customWidth="1"/>
    <col min="40" max="41" width="16.85546875" style="15" customWidth="1"/>
    <col min="42" max="42" width="15.7109375" style="15" bestFit="1" customWidth="1"/>
    <col min="43" max="43" width="18" style="15" bestFit="1" customWidth="1"/>
    <col min="44" max="53" width="18" style="15" customWidth="1"/>
    <col min="54" max="58" width="18" style="4" customWidth="1"/>
    <col min="59" max="59" width="119.85546875" style="4" bestFit="1" customWidth="1"/>
    <col min="60" max="60" width="13.5703125" style="4" customWidth="1"/>
    <col min="61" max="63" width="18" style="4" customWidth="1"/>
    <col min="64" max="64" width="14.7109375" style="4" bestFit="1" customWidth="1"/>
    <col min="65" max="66" width="16.85546875" style="4" bestFit="1" customWidth="1"/>
    <col min="67" max="67" width="89.85546875" style="4" bestFit="1" customWidth="1"/>
    <col min="68" max="69" width="13.5703125" style="4" customWidth="1"/>
    <col min="70" max="71" width="9.140625" style="4" customWidth="1"/>
    <col min="72" max="72" width="17" style="4" bestFit="1" customWidth="1"/>
    <col min="73" max="87" width="9.140625" style="4" customWidth="1"/>
    <col min="88" max="16384" width="9.140625" style="4"/>
  </cols>
  <sheetData>
    <row r="1" spans="1:60" ht="45" customHeight="1" x14ac:dyDescent="0.25">
      <c r="A1" s="6" t="s">
        <v>1686</v>
      </c>
      <c r="B1" s="6" t="s">
        <v>1687</v>
      </c>
      <c r="C1" s="6" t="s">
        <v>1688</v>
      </c>
      <c r="D1" s="6" t="s">
        <v>1689</v>
      </c>
      <c r="E1" s="6" t="s">
        <v>1690</v>
      </c>
      <c r="F1" s="6" t="s">
        <v>1691</v>
      </c>
      <c r="G1" s="6" t="s">
        <v>1692</v>
      </c>
      <c r="H1" s="21" t="s">
        <v>1693</v>
      </c>
      <c r="I1" s="21" t="s">
        <v>1694</v>
      </c>
      <c r="J1" s="21" t="s">
        <v>1695</v>
      </c>
      <c r="K1" s="21" t="s">
        <v>1696</v>
      </c>
      <c r="L1" s="21" t="s">
        <v>1697</v>
      </c>
      <c r="M1" s="22" t="s">
        <v>1698</v>
      </c>
      <c r="N1" s="22" t="s">
        <v>1699</v>
      </c>
      <c r="O1" s="22" t="s">
        <v>1700</v>
      </c>
      <c r="P1" s="22" t="s">
        <v>1701</v>
      </c>
      <c r="Q1" s="22" t="s">
        <v>1702</v>
      </c>
      <c r="R1" s="22" t="s">
        <v>1703</v>
      </c>
      <c r="S1" s="22" t="s">
        <v>1704</v>
      </c>
      <c r="T1" s="20" t="s">
        <v>1705</v>
      </c>
      <c r="U1" s="20" t="s">
        <v>1706</v>
      </c>
      <c r="V1" s="20" t="s">
        <v>1707</v>
      </c>
      <c r="W1" s="20" t="s">
        <v>1708</v>
      </c>
      <c r="X1" s="20" t="s">
        <v>1709</v>
      </c>
      <c r="Y1" s="20" t="s">
        <v>1710</v>
      </c>
      <c r="Z1" s="20" t="s">
        <v>1711</v>
      </c>
      <c r="AA1" s="20" t="s">
        <v>1712</v>
      </c>
      <c r="AB1" s="20" t="s">
        <v>1713</v>
      </c>
      <c r="AC1" s="20" t="s">
        <v>1714</v>
      </c>
      <c r="AD1" s="20" t="s">
        <v>1715</v>
      </c>
      <c r="AE1" s="20" t="s">
        <v>1716</v>
      </c>
      <c r="AF1" s="20" t="s">
        <v>1717</v>
      </c>
      <c r="AG1" s="20" t="s">
        <v>1718</v>
      </c>
      <c r="AH1" s="20" t="s">
        <v>1719</v>
      </c>
      <c r="AI1" s="20" t="s">
        <v>1720</v>
      </c>
      <c r="AJ1" s="20" t="s">
        <v>1721</v>
      </c>
      <c r="AK1" s="20" t="s">
        <v>1722</v>
      </c>
      <c r="AL1" s="20" t="s">
        <v>1723</v>
      </c>
      <c r="AM1" s="20" t="s">
        <v>1724</v>
      </c>
      <c r="AN1" s="20" t="s">
        <v>1725</v>
      </c>
      <c r="AO1" s="20" t="s">
        <v>1726</v>
      </c>
      <c r="AP1" s="20" t="s">
        <v>1727</v>
      </c>
      <c r="AQ1" s="20" t="s">
        <v>1728</v>
      </c>
      <c r="AR1" s="20" t="s">
        <v>1729</v>
      </c>
      <c r="AS1" s="20" t="s">
        <v>1730</v>
      </c>
      <c r="AT1" s="20" t="s">
        <v>1731</v>
      </c>
      <c r="AU1" s="20" t="s">
        <v>1732</v>
      </c>
      <c r="AV1" s="20" t="s">
        <v>1733</v>
      </c>
      <c r="AW1" s="20" t="s">
        <v>1734</v>
      </c>
      <c r="AX1" s="20" t="s">
        <v>1735</v>
      </c>
      <c r="AY1" s="20" t="s">
        <v>1736</v>
      </c>
      <c r="AZ1" s="20" t="s">
        <v>1737</v>
      </c>
      <c r="BA1" s="20" t="s">
        <v>1738</v>
      </c>
      <c r="BB1" s="20" t="s">
        <v>2236</v>
      </c>
      <c r="BC1" s="20" t="s">
        <v>2237</v>
      </c>
      <c r="BD1" s="6" t="s">
        <v>1739</v>
      </c>
      <c r="BE1" s="6" t="s">
        <v>1740</v>
      </c>
      <c r="BF1" s="6" t="s">
        <v>527</v>
      </c>
      <c r="BG1" s="6" t="s">
        <v>1741</v>
      </c>
      <c r="BH1" s="6" t="s">
        <v>2238</v>
      </c>
    </row>
    <row r="2" spans="1:60" ht="30" customHeight="1" x14ac:dyDescent="0.25">
      <c r="A2" s="6">
        <v>1</v>
      </c>
      <c r="B2" s="6" t="s">
        <v>1529</v>
      </c>
      <c r="C2" s="6">
        <v>1</v>
      </c>
      <c r="D2" s="6" t="s">
        <v>2239</v>
      </c>
      <c r="E2" s="6">
        <v>1</v>
      </c>
      <c r="F2" s="6" t="str">
        <f ca="1">Master_List!$AW$1</f>
        <v>PERPUSTAKAAN PUSAT</v>
      </c>
      <c r="G2" s="27" t="str">
        <f ca="1">Master_List!$AW$2</f>
        <v>09:30 PM</v>
      </c>
      <c r="H2" s="32" t="str">
        <f ca="1">Master_List!$AW$3</f>
        <v>20/07/2026</v>
      </c>
      <c r="I2" s="28" t="str">
        <f ca="1">Master_List!$AW$4</f>
        <v>28.5</v>
      </c>
      <c r="J2" s="6" t="str">
        <f ca="1">Master_List!$AW$5</f>
        <v>65</v>
      </c>
      <c r="K2" s="6" t="s">
        <v>533</v>
      </c>
      <c r="L2" s="21" t="str">
        <f>IFERROR(VLOOKUP(B2, Master_List!$A:$I, 2, FALSE), "-")</f>
        <v>-</v>
      </c>
      <c r="M2" s="22" t="str">
        <f>IFERROR(VLOOKUP(B2, Master_List!$A:$I, 3, FALSE), "-")</f>
        <v>-</v>
      </c>
      <c r="N2" s="22" t="str">
        <f>IFERROR(VLOOKUP(B2, Master_List!$A:$I, 4, FALSE), "-")</f>
        <v>-</v>
      </c>
      <c r="O2" s="22" t="str">
        <f>IFERROR(VLOOKUP(B2, Master_List!$A:$I, 5, FALSE), "-")</f>
        <v>-</v>
      </c>
      <c r="P2" s="22" t="str">
        <f>IFERROR(VLOOKUP(B2, Master_List!$A:$I, 6, FALSE), "-")</f>
        <v>-</v>
      </c>
      <c r="Q2" s="22" t="str">
        <f>IFERROR(VLOOKUP(B2, Master_List!$A:$I, 7, FALSE), "-")</f>
        <v>-</v>
      </c>
      <c r="R2" s="22" t="str">
        <f>IFERROR(VLOOKUP(B2, Master_List!$A:$I, 8, FALSE), "-")</f>
        <v>-</v>
      </c>
      <c r="S2" s="22" t="str">
        <f>IFERROR(VLOOKUP(B2, Master_List!$A:$I, 9, FALSE), "-")</f>
        <v>-</v>
      </c>
      <c r="T2" s="20" t="str">
        <f ca="1">Master_List!$AW$6</f>
        <v>TOSHIBA</v>
      </c>
      <c r="U2" s="20" t="str">
        <f ca="1">Master_List!$AW$7</f>
        <v>MRMU</v>
      </c>
      <c r="V2" s="20" t="str">
        <f ca="1">Master_List!$AW$8</f>
        <v>12kV</v>
      </c>
      <c r="W2" s="20" t="str">
        <f ca="1">Master_List!$AW$9</f>
        <v>2S1F</v>
      </c>
      <c r="X2" s="20" t="str">
        <f ca="1">Master_List!$AW$10</f>
        <v>MTM</v>
      </c>
      <c r="Y2" s="20" t="str">
        <f ca="1">Master_List!$AW$11</f>
        <v>HERMETICALLY SEAL</v>
      </c>
      <c r="Z2" s="20" t="str">
        <f ca="1">Master_List!$AW$12</f>
        <v>750kVA</v>
      </c>
      <c r="AA2" s="20" t="str">
        <f ca="1">Master_List!$AW$13</f>
        <v>1317</v>
      </c>
      <c r="AB2" s="20">
        <f ca="1">Master_List!$AW$14</f>
        <v>0</v>
      </c>
      <c r="AC2" s="20">
        <f ca="1">Master_List!$AW$15</f>
        <v>0</v>
      </c>
      <c r="AD2" s="20">
        <f ca="1">Master_List!$AW$16</f>
        <v>0</v>
      </c>
      <c r="AE2" s="20">
        <f ca="1">Master_List!$AW$17</f>
        <v>0</v>
      </c>
      <c r="AF2" s="20" t="str">
        <f ca="1">Master_List!$AW$18</f>
        <v>INDKOM</v>
      </c>
      <c r="AG2" s="20" t="str">
        <f ca="1">Master_List!$AW$19</f>
        <v>J-SLOTTED</v>
      </c>
      <c r="AH2" s="20" t="str">
        <f ca="1">Master_List!$AW$20</f>
        <v>1600A</v>
      </c>
      <c r="AI2" s="20" t="str">
        <f ca="1">Master_List!$AW$21</f>
        <v>LV5080090</v>
      </c>
      <c r="AJ2" s="20" t="str">
        <f ca="1">Master_List!$AW$22</f>
        <v>LVDB TX1</v>
      </c>
      <c r="AK2" s="20">
        <f ca="1">Master_List!$AW$23</f>
        <v>0</v>
      </c>
      <c r="AL2" s="20">
        <f ca="1">Master_List!$AW$24</f>
        <v>0</v>
      </c>
      <c r="AM2" s="20">
        <f ca="1">Master_List!$AW$25</f>
        <v>0</v>
      </c>
      <c r="AN2" s="20">
        <f ca="1">Master_List!$AW$26</f>
        <v>0</v>
      </c>
      <c r="AO2" s="20" t="str">
        <f ca="1">Master_List!$AW$27</f>
        <v>LVDB TX2</v>
      </c>
      <c r="AP2" s="20" t="str">
        <f ca="1">Master_List!$AW$28</f>
        <v>SUNPOWER TECHNOLOGIES</v>
      </c>
      <c r="AQ2" s="20" t="str">
        <f ca="1">Master_List!$AW$29</f>
        <v>SPS 30-10 L</v>
      </c>
      <c r="AR2" s="20" t="str">
        <f ca="1">Master_List!$AW$30</f>
        <v>11193-8527</v>
      </c>
      <c r="AS2" s="20">
        <f ca="1">Master_List!$AW$31</f>
        <v>0</v>
      </c>
      <c r="AT2" s="20">
        <f ca="1">Master_List!$AW$32</f>
        <v>0</v>
      </c>
      <c r="AU2" s="20">
        <f ca="1">Master_List!$AW$33</f>
        <v>0</v>
      </c>
      <c r="AV2" s="20">
        <f ca="1">Master_List!$AW$34</f>
        <v>0</v>
      </c>
      <c r="AW2" s="20">
        <f ca="1">Master_List!$AW$35</f>
        <v>0</v>
      </c>
      <c r="AX2" s="20">
        <f ca="1">Master_List!$AW$36</f>
        <v>0</v>
      </c>
      <c r="AY2" s="20">
        <f ca="1">Master_List!$AW$37</f>
        <v>0</v>
      </c>
      <c r="AZ2" s="20">
        <f ca="1">Master_List!$AW$38</f>
        <v>0</v>
      </c>
      <c r="BA2" s="20">
        <f ca="1">Master_List!$AW$39</f>
        <v>0</v>
      </c>
      <c r="BB2" s="20" t="s">
        <v>2240</v>
      </c>
      <c r="BC2" s="20" t="s">
        <v>2241</v>
      </c>
      <c r="BD2" s="6" t="s">
        <v>1744</v>
      </c>
      <c r="BE2" s="6" t="s">
        <v>1745</v>
      </c>
      <c r="BF2" s="6" t="s">
        <v>1746</v>
      </c>
      <c r="BG2" s="6" t="str">
        <f>Master_List!AZ1</f>
        <v>C:\Users\aremi\Desktop\REPORT CBM\PO 42289580 - Pahang 11kV SECOND CYCLE AZZAD 2026\RAW MATERIAL\047. TNB BARU (IR+VI)\RAW DATA\IR</v>
      </c>
      <c r="BH2" s="24" t="s">
        <v>535</v>
      </c>
    </row>
    <row r="3" spans="1:60" ht="30" customHeight="1" x14ac:dyDescent="0.25">
      <c r="A3" s="6">
        <v>1</v>
      </c>
      <c r="B3" s="6" t="s">
        <v>1529</v>
      </c>
      <c r="C3" s="6">
        <v>1</v>
      </c>
      <c r="D3" s="6" t="s">
        <v>2239</v>
      </c>
      <c r="E3" s="6">
        <v>1</v>
      </c>
      <c r="F3" s="6" t="str">
        <f ca="1">Master_List!$AW$1</f>
        <v>PERPUSTAKAAN PUSAT</v>
      </c>
      <c r="G3" s="27" t="str">
        <f ca="1">Master_List!$AW$2</f>
        <v>09:30 PM</v>
      </c>
      <c r="H3" s="32" t="str">
        <f ca="1">Master_List!$AW$3</f>
        <v>20/07/2026</v>
      </c>
      <c r="I3" s="28" t="str">
        <f ca="1">Master_List!$AW$4</f>
        <v>28.5</v>
      </c>
      <c r="J3" s="6" t="str">
        <f ca="1">Master_List!$AW$5</f>
        <v>65</v>
      </c>
      <c r="K3" s="6" t="s">
        <v>533</v>
      </c>
      <c r="L3" s="21" t="str">
        <f>IFERROR(VLOOKUP(B3, Master_List!$A:$I, 2, FALSE), "-")</f>
        <v>-</v>
      </c>
      <c r="M3" s="22" t="str">
        <f>IFERROR(VLOOKUP(B3, Master_List!$A:$I, 3, FALSE), "-")</f>
        <v>-</v>
      </c>
      <c r="N3" s="22" t="str">
        <f>IFERROR(VLOOKUP(B3, Master_List!$A:$I, 4, FALSE), "-")</f>
        <v>-</v>
      </c>
      <c r="O3" s="22" t="str">
        <f>IFERROR(VLOOKUP(B3, Master_List!$A:$I, 5, FALSE), "-")</f>
        <v>-</v>
      </c>
      <c r="P3" s="22" t="str">
        <f>IFERROR(VLOOKUP(B3, Master_List!$A:$I, 6, FALSE), "-")</f>
        <v>-</v>
      </c>
      <c r="Q3" s="22" t="str">
        <f>IFERROR(VLOOKUP(B3, Master_List!$A:$I, 7, FALSE), "-")</f>
        <v>-</v>
      </c>
      <c r="R3" s="22" t="str">
        <f>IFERROR(VLOOKUP(B3, Master_List!$A:$I, 8, FALSE), "-")</f>
        <v>-</v>
      </c>
      <c r="S3" s="22" t="str">
        <f>IFERROR(VLOOKUP(B3, Master_List!$A:$I, 9, FALSE), "-")</f>
        <v>-</v>
      </c>
      <c r="T3" s="20" t="str">
        <f ca="1">Master_List!$AW$6</f>
        <v>TOSHIBA</v>
      </c>
      <c r="U3" s="20" t="str">
        <f ca="1">Master_List!$AW$7</f>
        <v>MRMU</v>
      </c>
      <c r="V3" s="20" t="str">
        <f ca="1">Master_List!$AW$8</f>
        <v>12kV</v>
      </c>
      <c r="W3" s="20" t="str">
        <f ca="1">Master_List!$AW$9</f>
        <v>2S1F</v>
      </c>
      <c r="X3" s="20" t="str">
        <f ca="1">Master_List!$AW$10</f>
        <v>MTM</v>
      </c>
      <c r="Y3" s="20" t="str">
        <f ca="1">Master_List!$AW$11</f>
        <v>HERMETICALLY SEAL</v>
      </c>
      <c r="Z3" s="20" t="str">
        <f ca="1">Master_List!$AW$12</f>
        <v>750kVA</v>
      </c>
      <c r="AA3" s="20" t="str">
        <f ca="1">Master_List!$AW$13</f>
        <v>1317</v>
      </c>
      <c r="AB3" s="20">
        <f ca="1">Master_List!$AW$14</f>
        <v>0</v>
      </c>
      <c r="AC3" s="20">
        <f ca="1">Master_List!$AW$15</f>
        <v>0</v>
      </c>
      <c r="AD3" s="20">
        <f ca="1">Master_List!$AW$16</f>
        <v>0</v>
      </c>
      <c r="AE3" s="20">
        <f ca="1">Master_List!$AW$17</f>
        <v>0</v>
      </c>
      <c r="AF3" s="20" t="str">
        <f ca="1">Master_List!$AW$18</f>
        <v>INDKOM</v>
      </c>
      <c r="AG3" s="20" t="str">
        <f ca="1">Master_List!$AW$19</f>
        <v>J-SLOTTED</v>
      </c>
      <c r="AH3" s="20" t="str">
        <f ca="1">Master_List!$AW$20</f>
        <v>1600A</v>
      </c>
      <c r="AI3" s="20" t="str">
        <f ca="1">Master_List!$AW$21</f>
        <v>LV5080090</v>
      </c>
      <c r="AJ3" s="20" t="str">
        <f ca="1">Master_List!$AW$22</f>
        <v>LVDB TX1</v>
      </c>
      <c r="AK3" s="20">
        <f ca="1">Master_List!$AW$23</f>
        <v>0</v>
      </c>
      <c r="AL3" s="20">
        <f ca="1">Master_List!$AW$24</f>
        <v>0</v>
      </c>
      <c r="AM3" s="20">
        <f ca="1">Master_List!$AW$25</f>
        <v>0</v>
      </c>
      <c r="AN3" s="20">
        <f ca="1">Master_List!$AW$26</f>
        <v>0</v>
      </c>
      <c r="AO3" s="20" t="str">
        <f ca="1">Master_List!$AW$27</f>
        <v>LVDB TX2</v>
      </c>
      <c r="AP3" s="20" t="str">
        <f ca="1">Master_List!$AW$28</f>
        <v>SUNPOWER TECHNOLOGIES</v>
      </c>
      <c r="AQ3" s="20" t="str">
        <f ca="1">Master_List!$AW$29</f>
        <v>SPS 30-10 L</v>
      </c>
      <c r="AR3" s="20" t="str">
        <f ca="1">Master_List!$AW$30</f>
        <v>11193-8527</v>
      </c>
      <c r="AS3" s="20">
        <f ca="1">Master_List!$AW$31</f>
        <v>0</v>
      </c>
      <c r="AT3" s="20">
        <f ca="1">Master_List!$AW$32</f>
        <v>0</v>
      </c>
      <c r="AU3" s="20">
        <f ca="1">Master_List!$AW$33</f>
        <v>0</v>
      </c>
      <c r="AV3" s="20">
        <f ca="1">Master_List!$AW$34</f>
        <v>0</v>
      </c>
      <c r="AW3" s="20">
        <f ca="1">Master_List!$AW$35</f>
        <v>0</v>
      </c>
      <c r="AX3" s="20">
        <f ca="1">Master_List!$AW$36</f>
        <v>0</v>
      </c>
      <c r="AY3" s="20">
        <f ca="1">Master_List!$AW$37</f>
        <v>0</v>
      </c>
      <c r="AZ3" s="20">
        <f ca="1">Master_List!$AW$38</f>
        <v>0</v>
      </c>
      <c r="BA3" s="20">
        <f ca="1">Master_List!$AW$39</f>
        <v>0</v>
      </c>
      <c r="BB3" s="20" t="s">
        <v>2240</v>
      </c>
      <c r="BC3" s="20" t="s">
        <v>2241</v>
      </c>
      <c r="BD3" s="6" t="s">
        <v>1744</v>
      </c>
      <c r="BE3" s="6" t="s">
        <v>1745</v>
      </c>
      <c r="BF3" s="6" t="s">
        <v>1748</v>
      </c>
      <c r="BG3" s="6" t="str">
        <f t="shared" ref="BG3:BG66" si="0">BG2</f>
        <v>C:\Users\aremi\Desktop\REPORT CBM\PO 42289580 - Pahang 11kV SECOND CYCLE AZZAD 2026\RAW MATERIAL\047. TNB BARU (IR+VI)\RAW DATA\IR</v>
      </c>
      <c r="BH3" s="24" t="s">
        <v>537</v>
      </c>
    </row>
    <row r="4" spans="1:60" ht="30" customHeight="1" x14ac:dyDescent="0.25">
      <c r="A4" s="6">
        <v>2</v>
      </c>
      <c r="B4" s="6" t="s">
        <v>1529</v>
      </c>
      <c r="C4" s="6">
        <v>1</v>
      </c>
      <c r="D4" s="6" t="s">
        <v>2239</v>
      </c>
      <c r="E4" s="6">
        <v>2</v>
      </c>
      <c r="F4" s="6" t="str">
        <f ca="1">Master_List!$AW$1</f>
        <v>PERPUSTAKAAN PUSAT</v>
      </c>
      <c r="G4" s="27" t="str">
        <f ca="1">Master_List!$AW$2</f>
        <v>09:30 PM</v>
      </c>
      <c r="H4" s="32" t="str">
        <f ca="1">Master_List!$AW$3</f>
        <v>20/07/2026</v>
      </c>
      <c r="I4" s="28" t="str">
        <f ca="1">Master_List!$AW$4</f>
        <v>28.5</v>
      </c>
      <c r="J4" s="6" t="str">
        <f ca="1">Master_List!$AW$5</f>
        <v>65</v>
      </c>
      <c r="K4" s="6" t="s">
        <v>538</v>
      </c>
      <c r="L4" s="21" t="str">
        <f>IFERROR(VLOOKUP(B4, Master_List!$A:$I, 2, FALSE), "-")</f>
        <v>-</v>
      </c>
      <c r="M4" s="22" t="str">
        <f>IFERROR(VLOOKUP(B4, Master_List!$A:$I, 3, FALSE), "-")</f>
        <v>-</v>
      </c>
      <c r="N4" s="22" t="str">
        <f>IFERROR(VLOOKUP(B4, Master_List!$A:$I, 4, FALSE), "-")</f>
        <v>-</v>
      </c>
      <c r="O4" s="22" t="str">
        <f>IFERROR(VLOOKUP(B4, Master_List!$A:$I, 5, FALSE), "-")</f>
        <v>-</v>
      </c>
      <c r="P4" s="22" t="str">
        <f>IFERROR(VLOOKUP(B4, Master_List!$A:$I, 6, FALSE), "-")</f>
        <v>-</v>
      </c>
      <c r="Q4" s="22" t="str">
        <f>IFERROR(VLOOKUP(B4, Master_List!$A:$I, 7, FALSE), "-")</f>
        <v>-</v>
      </c>
      <c r="R4" s="22" t="str">
        <f>IFERROR(VLOOKUP(B4, Master_List!$A:$I, 8, FALSE), "-")</f>
        <v>-</v>
      </c>
      <c r="S4" s="22" t="str">
        <f>IFERROR(VLOOKUP(B4, Master_List!$A:$I, 9, FALSE), "-")</f>
        <v>-</v>
      </c>
      <c r="T4" s="20" t="str">
        <f ca="1">Master_List!$AW$6</f>
        <v>TOSHIBA</v>
      </c>
      <c r="U4" s="20" t="str">
        <f ca="1">Master_List!$AW$7</f>
        <v>MRMU</v>
      </c>
      <c r="V4" s="20" t="str">
        <f ca="1">Master_List!$AW$8</f>
        <v>12kV</v>
      </c>
      <c r="W4" s="20" t="str">
        <f ca="1">Master_List!$AW$9</f>
        <v>2S1F</v>
      </c>
      <c r="X4" s="20" t="str">
        <f ca="1">Master_List!$AW$10</f>
        <v>MTM</v>
      </c>
      <c r="Y4" s="20" t="str">
        <f ca="1">Master_List!$AW$11</f>
        <v>HERMETICALLY SEAL</v>
      </c>
      <c r="Z4" s="20" t="str">
        <f ca="1">Master_List!$AW$12</f>
        <v>750kVA</v>
      </c>
      <c r="AA4" s="20" t="str">
        <f ca="1">Master_List!$AW$13</f>
        <v>1317</v>
      </c>
      <c r="AB4" s="20">
        <f ca="1">Master_List!$AW$14</f>
        <v>0</v>
      </c>
      <c r="AC4" s="20">
        <f ca="1">Master_List!$AW$15</f>
        <v>0</v>
      </c>
      <c r="AD4" s="20">
        <f ca="1">Master_List!$AW$16</f>
        <v>0</v>
      </c>
      <c r="AE4" s="20">
        <f ca="1">Master_List!$AW$17</f>
        <v>0</v>
      </c>
      <c r="AF4" s="20" t="str">
        <f ca="1">Master_List!$AW$18</f>
        <v>INDKOM</v>
      </c>
      <c r="AG4" s="20" t="str">
        <f ca="1">Master_List!$AW$19</f>
        <v>J-SLOTTED</v>
      </c>
      <c r="AH4" s="20" t="str">
        <f ca="1">Master_List!$AW$20</f>
        <v>1600A</v>
      </c>
      <c r="AI4" s="20" t="str">
        <f ca="1">Master_List!$AW$21</f>
        <v>LV5080090</v>
      </c>
      <c r="AJ4" s="20" t="str">
        <f ca="1">Master_List!$AW$22</f>
        <v>LVDB TX1</v>
      </c>
      <c r="AK4" s="20">
        <f ca="1">Master_List!$AW$23</f>
        <v>0</v>
      </c>
      <c r="AL4" s="20">
        <f ca="1">Master_List!$AW$24</f>
        <v>0</v>
      </c>
      <c r="AM4" s="20">
        <f ca="1">Master_List!$AW$25</f>
        <v>0</v>
      </c>
      <c r="AN4" s="20">
        <f ca="1">Master_List!$AW$26</f>
        <v>0</v>
      </c>
      <c r="AO4" s="20" t="str">
        <f ca="1">Master_List!$AW$27</f>
        <v>LVDB TX2</v>
      </c>
      <c r="AP4" s="20" t="str">
        <f ca="1">Master_List!$AW$28</f>
        <v>SUNPOWER TECHNOLOGIES</v>
      </c>
      <c r="AQ4" s="20" t="str">
        <f ca="1">Master_List!$AW$29</f>
        <v>SPS 30-10 L</v>
      </c>
      <c r="AR4" s="20" t="str">
        <f ca="1">Master_List!$AW$30</f>
        <v>11193-8527</v>
      </c>
      <c r="AS4" s="20">
        <f ca="1">Master_List!$AW$31</f>
        <v>0</v>
      </c>
      <c r="AT4" s="20">
        <f ca="1">Master_List!$AW$32</f>
        <v>0</v>
      </c>
      <c r="AU4" s="20">
        <f ca="1">Master_List!$AW$33</f>
        <v>0</v>
      </c>
      <c r="AV4" s="20">
        <f ca="1">Master_List!$AW$34</f>
        <v>0</v>
      </c>
      <c r="AW4" s="20">
        <f ca="1">Master_List!$AW$35</f>
        <v>0</v>
      </c>
      <c r="AX4" s="20">
        <f ca="1">Master_List!$AW$36</f>
        <v>0</v>
      </c>
      <c r="AY4" s="20">
        <f ca="1">Master_List!$AW$37</f>
        <v>0</v>
      </c>
      <c r="AZ4" s="20">
        <f ca="1">Master_List!$AW$38</f>
        <v>0</v>
      </c>
      <c r="BA4" s="20">
        <f ca="1">Master_List!$AW$39</f>
        <v>0</v>
      </c>
      <c r="BB4" s="20" t="s">
        <v>2240</v>
      </c>
      <c r="BC4" s="20" t="s">
        <v>2241</v>
      </c>
      <c r="BD4" s="6" t="s">
        <v>1744</v>
      </c>
      <c r="BE4" s="6" t="s">
        <v>1749</v>
      </c>
      <c r="BF4" s="6" t="s">
        <v>1746</v>
      </c>
      <c r="BG4" s="6" t="str">
        <f t="shared" si="0"/>
        <v>C:\Users\aremi\Desktop\REPORT CBM\PO 42289580 - Pahang 11kV SECOND CYCLE AZZAD 2026\RAW MATERIAL\047. TNB BARU (IR+VI)\RAW DATA\IR</v>
      </c>
      <c r="BH4" s="24" t="s">
        <v>539</v>
      </c>
    </row>
    <row r="5" spans="1:60" ht="30" customHeight="1" x14ac:dyDescent="0.25">
      <c r="A5" s="6">
        <v>2</v>
      </c>
      <c r="B5" s="6" t="s">
        <v>1529</v>
      </c>
      <c r="C5" s="6">
        <v>1</v>
      </c>
      <c r="D5" s="6" t="s">
        <v>2239</v>
      </c>
      <c r="E5" s="6">
        <v>2</v>
      </c>
      <c r="F5" s="6" t="str">
        <f ca="1">Master_List!$AW$1</f>
        <v>PERPUSTAKAAN PUSAT</v>
      </c>
      <c r="G5" s="27" t="str">
        <f ca="1">Master_List!$AW$2</f>
        <v>09:30 PM</v>
      </c>
      <c r="H5" s="32" t="str">
        <f ca="1">Master_List!$AW$3</f>
        <v>20/07/2026</v>
      </c>
      <c r="I5" s="28" t="str">
        <f ca="1">Master_List!$AW$4</f>
        <v>28.5</v>
      </c>
      <c r="J5" s="6" t="str">
        <f ca="1">Master_List!$AW$5</f>
        <v>65</v>
      </c>
      <c r="K5" s="6" t="s">
        <v>538</v>
      </c>
      <c r="L5" s="21" t="str">
        <f>IFERROR(VLOOKUP(B5, Master_List!$A:$I, 2, FALSE), "-")</f>
        <v>-</v>
      </c>
      <c r="M5" s="22" t="str">
        <f>IFERROR(VLOOKUP(B5, Master_List!$A:$I, 3, FALSE), "-")</f>
        <v>-</v>
      </c>
      <c r="N5" s="22" t="str">
        <f>IFERROR(VLOOKUP(B5, Master_List!$A:$I, 4, FALSE), "-")</f>
        <v>-</v>
      </c>
      <c r="O5" s="22" t="str">
        <f>IFERROR(VLOOKUP(B5, Master_List!$A:$I, 5, FALSE), "-")</f>
        <v>-</v>
      </c>
      <c r="P5" s="22" t="str">
        <f>IFERROR(VLOOKUP(B5, Master_List!$A:$I, 6, FALSE), "-")</f>
        <v>-</v>
      </c>
      <c r="Q5" s="22" t="str">
        <f>IFERROR(VLOOKUP(B5, Master_List!$A:$I, 7, FALSE), "-")</f>
        <v>-</v>
      </c>
      <c r="R5" s="22" t="str">
        <f>IFERROR(VLOOKUP(B5, Master_List!$A:$I, 8, FALSE), "-")</f>
        <v>-</v>
      </c>
      <c r="S5" s="22" t="str">
        <f>IFERROR(VLOOKUP(B5, Master_List!$A:$I, 9, FALSE), "-")</f>
        <v>-</v>
      </c>
      <c r="T5" s="20" t="str">
        <f ca="1">Master_List!$AW$6</f>
        <v>TOSHIBA</v>
      </c>
      <c r="U5" s="20" t="str">
        <f ca="1">Master_List!$AW$7</f>
        <v>MRMU</v>
      </c>
      <c r="V5" s="20" t="str">
        <f ca="1">Master_List!$AW$8</f>
        <v>12kV</v>
      </c>
      <c r="W5" s="20" t="str">
        <f ca="1">Master_List!$AW$9</f>
        <v>2S1F</v>
      </c>
      <c r="X5" s="20" t="str">
        <f ca="1">Master_List!$AW$10</f>
        <v>MTM</v>
      </c>
      <c r="Y5" s="20" t="str">
        <f ca="1">Master_List!$AW$11</f>
        <v>HERMETICALLY SEAL</v>
      </c>
      <c r="Z5" s="20" t="str">
        <f ca="1">Master_List!$AW$12</f>
        <v>750kVA</v>
      </c>
      <c r="AA5" s="20" t="str">
        <f ca="1">Master_List!$AW$13</f>
        <v>1317</v>
      </c>
      <c r="AB5" s="20">
        <f ca="1">Master_List!$AW$14</f>
        <v>0</v>
      </c>
      <c r="AC5" s="20">
        <f ca="1">Master_List!$AW$15</f>
        <v>0</v>
      </c>
      <c r="AD5" s="20">
        <f ca="1">Master_List!$AW$16</f>
        <v>0</v>
      </c>
      <c r="AE5" s="20">
        <f ca="1">Master_List!$AW$17</f>
        <v>0</v>
      </c>
      <c r="AF5" s="20" t="str">
        <f ca="1">Master_List!$AW$18</f>
        <v>INDKOM</v>
      </c>
      <c r="AG5" s="20" t="str">
        <f ca="1">Master_List!$AW$19</f>
        <v>J-SLOTTED</v>
      </c>
      <c r="AH5" s="20" t="str">
        <f ca="1">Master_List!$AW$20</f>
        <v>1600A</v>
      </c>
      <c r="AI5" s="20" t="str">
        <f ca="1">Master_List!$AW$21</f>
        <v>LV5080090</v>
      </c>
      <c r="AJ5" s="20" t="str">
        <f ca="1">Master_List!$AW$22</f>
        <v>LVDB TX1</v>
      </c>
      <c r="AK5" s="20">
        <f ca="1">Master_List!$AW$23</f>
        <v>0</v>
      </c>
      <c r="AL5" s="20">
        <f ca="1">Master_List!$AW$24</f>
        <v>0</v>
      </c>
      <c r="AM5" s="20">
        <f ca="1">Master_List!$AW$25</f>
        <v>0</v>
      </c>
      <c r="AN5" s="20">
        <f ca="1">Master_List!$AW$26</f>
        <v>0</v>
      </c>
      <c r="AO5" s="20" t="str">
        <f ca="1">Master_List!$AW$27</f>
        <v>LVDB TX2</v>
      </c>
      <c r="AP5" s="20" t="str">
        <f ca="1">Master_List!$AW$28</f>
        <v>SUNPOWER TECHNOLOGIES</v>
      </c>
      <c r="AQ5" s="20" t="str">
        <f ca="1">Master_List!$AW$29</f>
        <v>SPS 30-10 L</v>
      </c>
      <c r="AR5" s="20" t="str">
        <f ca="1">Master_List!$AW$30</f>
        <v>11193-8527</v>
      </c>
      <c r="AS5" s="20">
        <f ca="1">Master_List!$AW$31</f>
        <v>0</v>
      </c>
      <c r="AT5" s="20">
        <f ca="1">Master_List!$AW$32</f>
        <v>0</v>
      </c>
      <c r="AU5" s="20">
        <f ca="1">Master_List!$AW$33</f>
        <v>0</v>
      </c>
      <c r="AV5" s="20">
        <f ca="1">Master_List!$AW$34</f>
        <v>0</v>
      </c>
      <c r="AW5" s="20">
        <f ca="1">Master_List!$AW$35</f>
        <v>0</v>
      </c>
      <c r="AX5" s="20">
        <f ca="1">Master_List!$AW$36</f>
        <v>0</v>
      </c>
      <c r="AY5" s="20">
        <f ca="1">Master_List!$AW$37</f>
        <v>0</v>
      </c>
      <c r="AZ5" s="20">
        <f ca="1">Master_List!$AW$38</f>
        <v>0</v>
      </c>
      <c r="BA5" s="20">
        <f ca="1">Master_List!$AW$39</f>
        <v>0</v>
      </c>
      <c r="BB5" s="20" t="s">
        <v>2240</v>
      </c>
      <c r="BC5" s="20" t="s">
        <v>2241</v>
      </c>
      <c r="BD5" s="6" t="s">
        <v>1744</v>
      </c>
      <c r="BE5" s="6" t="s">
        <v>1749</v>
      </c>
      <c r="BF5" s="6" t="s">
        <v>1748</v>
      </c>
      <c r="BG5" s="6" t="str">
        <f t="shared" si="0"/>
        <v>C:\Users\aremi\Desktop\REPORT CBM\PO 42289580 - Pahang 11kV SECOND CYCLE AZZAD 2026\RAW MATERIAL\047. TNB BARU (IR+VI)\RAW DATA\IR</v>
      </c>
      <c r="BH5" s="24" t="s">
        <v>540</v>
      </c>
    </row>
    <row r="6" spans="1:60" ht="30" customHeight="1" x14ac:dyDescent="0.25">
      <c r="A6" s="6">
        <v>3</v>
      </c>
      <c r="B6" s="6" t="s">
        <v>1529</v>
      </c>
      <c r="C6" s="6">
        <v>1</v>
      </c>
      <c r="D6" s="6" t="s">
        <v>2239</v>
      </c>
      <c r="E6" s="6">
        <v>3</v>
      </c>
      <c r="F6" s="6" t="str">
        <f ca="1">Master_List!$AW$1</f>
        <v>PERPUSTAKAAN PUSAT</v>
      </c>
      <c r="G6" s="27" t="str">
        <f ca="1">Master_List!$AW$2</f>
        <v>09:30 PM</v>
      </c>
      <c r="H6" s="32" t="str">
        <f ca="1">Master_List!$AW$3</f>
        <v>20/07/2026</v>
      </c>
      <c r="I6" s="28" t="str">
        <f ca="1">Master_List!$AW$4</f>
        <v>28.5</v>
      </c>
      <c r="J6" s="6" t="str">
        <f ca="1">Master_List!$AW$5</f>
        <v>65</v>
      </c>
      <c r="K6" s="6" t="s">
        <v>541</v>
      </c>
      <c r="L6" s="21" t="str">
        <f>IFERROR(VLOOKUP(B6, Master_List!$A:$I, 2, FALSE), "-")</f>
        <v>-</v>
      </c>
      <c r="M6" s="22" t="str">
        <f>IFERROR(VLOOKUP(B6, Master_List!$A:$I, 3, FALSE), "-")</f>
        <v>-</v>
      </c>
      <c r="N6" s="22" t="str">
        <f>IFERROR(VLOOKUP(B6, Master_List!$A:$I, 4, FALSE), "-")</f>
        <v>-</v>
      </c>
      <c r="O6" s="22" t="str">
        <f>IFERROR(VLOOKUP(B6, Master_List!$A:$I, 5, FALSE), "-")</f>
        <v>-</v>
      </c>
      <c r="P6" s="22" t="str">
        <f>IFERROR(VLOOKUP(B6, Master_List!$A:$I, 6, FALSE), "-")</f>
        <v>-</v>
      </c>
      <c r="Q6" s="22" t="str">
        <f>IFERROR(VLOOKUP(B6, Master_List!$A:$I, 7, FALSE), "-")</f>
        <v>-</v>
      </c>
      <c r="R6" s="22" t="str">
        <f>IFERROR(VLOOKUP(B6, Master_List!$A:$I, 8, FALSE), "-")</f>
        <v>-</v>
      </c>
      <c r="S6" s="22" t="str">
        <f>IFERROR(VLOOKUP(B6, Master_List!$A:$I, 9, FALSE), "-")</f>
        <v>-</v>
      </c>
      <c r="T6" s="20" t="str">
        <f ca="1">Master_List!$AW$6</f>
        <v>TOSHIBA</v>
      </c>
      <c r="U6" s="20" t="str">
        <f ca="1">Master_List!$AW$7</f>
        <v>MRMU</v>
      </c>
      <c r="V6" s="20" t="str">
        <f ca="1">Master_List!$AW$8</f>
        <v>12kV</v>
      </c>
      <c r="W6" s="20" t="str">
        <f ca="1">Master_List!$AW$9</f>
        <v>2S1F</v>
      </c>
      <c r="X6" s="20" t="str">
        <f ca="1">Master_List!$AW$10</f>
        <v>MTM</v>
      </c>
      <c r="Y6" s="20" t="str">
        <f ca="1">Master_List!$AW$11</f>
        <v>HERMETICALLY SEAL</v>
      </c>
      <c r="Z6" s="20" t="str">
        <f ca="1">Master_List!$AW$12</f>
        <v>750kVA</v>
      </c>
      <c r="AA6" s="20" t="str">
        <f ca="1">Master_List!$AW$13</f>
        <v>1317</v>
      </c>
      <c r="AB6" s="20">
        <f ca="1">Master_List!$AW$14</f>
        <v>0</v>
      </c>
      <c r="AC6" s="20">
        <f ca="1">Master_List!$AW$15</f>
        <v>0</v>
      </c>
      <c r="AD6" s="20">
        <f ca="1">Master_List!$AW$16</f>
        <v>0</v>
      </c>
      <c r="AE6" s="20">
        <f ca="1">Master_List!$AW$17</f>
        <v>0</v>
      </c>
      <c r="AF6" s="20" t="str">
        <f ca="1">Master_List!$AW$18</f>
        <v>INDKOM</v>
      </c>
      <c r="AG6" s="20" t="str">
        <f ca="1">Master_List!$AW$19</f>
        <v>J-SLOTTED</v>
      </c>
      <c r="AH6" s="20" t="str">
        <f ca="1">Master_List!$AW$20</f>
        <v>1600A</v>
      </c>
      <c r="AI6" s="20" t="str">
        <f ca="1">Master_List!$AW$21</f>
        <v>LV5080090</v>
      </c>
      <c r="AJ6" s="20" t="str">
        <f ca="1">Master_List!$AW$22</f>
        <v>LVDB TX1</v>
      </c>
      <c r="AK6" s="20">
        <f ca="1">Master_List!$AW$23</f>
        <v>0</v>
      </c>
      <c r="AL6" s="20">
        <f ca="1">Master_List!$AW$24</f>
        <v>0</v>
      </c>
      <c r="AM6" s="20">
        <f ca="1">Master_List!$AW$25</f>
        <v>0</v>
      </c>
      <c r="AN6" s="20">
        <f ca="1">Master_List!$AW$26</f>
        <v>0</v>
      </c>
      <c r="AO6" s="20" t="str">
        <f ca="1">Master_List!$AW$27</f>
        <v>LVDB TX2</v>
      </c>
      <c r="AP6" s="20" t="str">
        <f ca="1">Master_List!$AW$28</f>
        <v>SUNPOWER TECHNOLOGIES</v>
      </c>
      <c r="AQ6" s="20" t="str">
        <f ca="1">Master_List!$AW$29</f>
        <v>SPS 30-10 L</v>
      </c>
      <c r="AR6" s="20" t="str">
        <f ca="1">Master_List!$AW$30</f>
        <v>11193-8527</v>
      </c>
      <c r="AS6" s="20">
        <f ca="1">Master_List!$AW$31</f>
        <v>0</v>
      </c>
      <c r="AT6" s="20">
        <f ca="1">Master_List!$AW$32</f>
        <v>0</v>
      </c>
      <c r="AU6" s="20">
        <f ca="1">Master_List!$AW$33</f>
        <v>0</v>
      </c>
      <c r="AV6" s="20">
        <f ca="1">Master_List!$AW$34</f>
        <v>0</v>
      </c>
      <c r="AW6" s="20">
        <f ca="1">Master_List!$AW$35</f>
        <v>0</v>
      </c>
      <c r="AX6" s="20">
        <f ca="1">Master_List!$AW$36</f>
        <v>0</v>
      </c>
      <c r="AY6" s="20">
        <f ca="1">Master_List!$AW$37</f>
        <v>0</v>
      </c>
      <c r="AZ6" s="20">
        <f ca="1">Master_List!$AW$38</f>
        <v>0</v>
      </c>
      <c r="BA6" s="20">
        <f ca="1">Master_List!$AW$39</f>
        <v>0</v>
      </c>
      <c r="BB6" s="20" t="s">
        <v>2240</v>
      </c>
      <c r="BC6" s="20" t="s">
        <v>2241</v>
      </c>
      <c r="BD6" s="6" t="s">
        <v>1744</v>
      </c>
      <c r="BE6" s="6" t="s">
        <v>1750</v>
      </c>
      <c r="BF6" s="6" t="s">
        <v>1746</v>
      </c>
      <c r="BG6" s="6" t="str">
        <f t="shared" si="0"/>
        <v>C:\Users\aremi\Desktop\REPORT CBM\PO 42289580 - Pahang 11kV SECOND CYCLE AZZAD 2026\RAW MATERIAL\047. TNB BARU (IR+VI)\RAW DATA\IR</v>
      </c>
      <c r="BH6" s="24" t="s">
        <v>542</v>
      </c>
    </row>
    <row r="7" spans="1:60" ht="30" customHeight="1" x14ac:dyDescent="0.25">
      <c r="A7" s="6">
        <v>3</v>
      </c>
      <c r="B7" s="6" t="s">
        <v>1529</v>
      </c>
      <c r="C7" s="6">
        <v>1</v>
      </c>
      <c r="D7" s="6" t="s">
        <v>2239</v>
      </c>
      <c r="E7" s="6">
        <v>3</v>
      </c>
      <c r="F7" s="6" t="str">
        <f ca="1">Master_List!$AW$1</f>
        <v>PERPUSTAKAAN PUSAT</v>
      </c>
      <c r="G7" s="27" t="str">
        <f ca="1">Master_List!$AW$2</f>
        <v>09:30 PM</v>
      </c>
      <c r="H7" s="32" t="str">
        <f ca="1">Master_List!$AW$3</f>
        <v>20/07/2026</v>
      </c>
      <c r="I7" s="28" t="str">
        <f ca="1">Master_List!$AW$4</f>
        <v>28.5</v>
      </c>
      <c r="J7" s="6" t="str">
        <f ca="1">Master_List!$AW$5</f>
        <v>65</v>
      </c>
      <c r="K7" s="6" t="s">
        <v>541</v>
      </c>
      <c r="L7" s="21" t="str">
        <f>IFERROR(VLOOKUP(B7, Master_List!$A:$I, 2, FALSE), "-")</f>
        <v>-</v>
      </c>
      <c r="M7" s="22" t="str">
        <f>IFERROR(VLOOKUP(B7, Master_List!$A:$I, 3, FALSE), "-")</f>
        <v>-</v>
      </c>
      <c r="N7" s="22" t="str">
        <f>IFERROR(VLOOKUP(B7, Master_List!$A:$I, 4, FALSE), "-")</f>
        <v>-</v>
      </c>
      <c r="O7" s="22" t="str">
        <f>IFERROR(VLOOKUP(B7, Master_List!$A:$I, 5, FALSE), "-")</f>
        <v>-</v>
      </c>
      <c r="P7" s="22" t="str">
        <f>IFERROR(VLOOKUP(B7, Master_List!$A:$I, 6, FALSE), "-")</f>
        <v>-</v>
      </c>
      <c r="Q7" s="22" t="str">
        <f>IFERROR(VLOOKUP(B7, Master_List!$A:$I, 7, FALSE), "-")</f>
        <v>-</v>
      </c>
      <c r="R7" s="22" t="str">
        <f>IFERROR(VLOOKUP(B7, Master_List!$A:$I, 8, FALSE), "-")</f>
        <v>-</v>
      </c>
      <c r="S7" s="22" t="str">
        <f>IFERROR(VLOOKUP(B7, Master_List!$A:$I, 9, FALSE), "-")</f>
        <v>-</v>
      </c>
      <c r="T7" s="20" t="str">
        <f ca="1">Master_List!$AW$6</f>
        <v>TOSHIBA</v>
      </c>
      <c r="U7" s="20" t="str">
        <f ca="1">Master_List!$AW$7</f>
        <v>MRMU</v>
      </c>
      <c r="V7" s="20" t="str">
        <f ca="1">Master_List!$AW$8</f>
        <v>12kV</v>
      </c>
      <c r="W7" s="20" t="str">
        <f ca="1">Master_List!$AW$9</f>
        <v>2S1F</v>
      </c>
      <c r="X7" s="20" t="str">
        <f ca="1">Master_List!$AW$10</f>
        <v>MTM</v>
      </c>
      <c r="Y7" s="20" t="str">
        <f ca="1">Master_List!$AW$11</f>
        <v>HERMETICALLY SEAL</v>
      </c>
      <c r="Z7" s="20" t="str">
        <f ca="1">Master_List!$AW$12</f>
        <v>750kVA</v>
      </c>
      <c r="AA7" s="20" t="str">
        <f ca="1">Master_List!$AW$13</f>
        <v>1317</v>
      </c>
      <c r="AB7" s="20">
        <f ca="1">Master_List!$AW$14</f>
        <v>0</v>
      </c>
      <c r="AC7" s="20">
        <f ca="1">Master_List!$AW$15</f>
        <v>0</v>
      </c>
      <c r="AD7" s="20">
        <f ca="1">Master_List!$AW$16</f>
        <v>0</v>
      </c>
      <c r="AE7" s="20">
        <f ca="1">Master_List!$AW$17</f>
        <v>0</v>
      </c>
      <c r="AF7" s="20" t="str">
        <f ca="1">Master_List!$AW$18</f>
        <v>INDKOM</v>
      </c>
      <c r="AG7" s="20" t="str">
        <f ca="1">Master_List!$AW$19</f>
        <v>J-SLOTTED</v>
      </c>
      <c r="AH7" s="20" t="str">
        <f ca="1">Master_List!$AW$20</f>
        <v>1600A</v>
      </c>
      <c r="AI7" s="20" t="str">
        <f ca="1">Master_List!$AW$21</f>
        <v>LV5080090</v>
      </c>
      <c r="AJ7" s="20" t="str">
        <f ca="1">Master_List!$AW$22</f>
        <v>LVDB TX1</v>
      </c>
      <c r="AK7" s="20">
        <f ca="1">Master_List!$AW$23</f>
        <v>0</v>
      </c>
      <c r="AL7" s="20">
        <f ca="1">Master_List!$AW$24</f>
        <v>0</v>
      </c>
      <c r="AM7" s="20">
        <f ca="1">Master_List!$AW$25</f>
        <v>0</v>
      </c>
      <c r="AN7" s="20">
        <f ca="1">Master_List!$AW$26</f>
        <v>0</v>
      </c>
      <c r="AO7" s="20" t="str">
        <f ca="1">Master_List!$AW$27</f>
        <v>LVDB TX2</v>
      </c>
      <c r="AP7" s="20" t="str">
        <f ca="1">Master_List!$AW$28</f>
        <v>SUNPOWER TECHNOLOGIES</v>
      </c>
      <c r="AQ7" s="20" t="str">
        <f ca="1">Master_List!$AW$29</f>
        <v>SPS 30-10 L</v>
      </c>
      <c r="AR7" s="20" t="str">
        <f ca="1">Master_List!$AW$30</f>
        <v>11193-8527</v>
      </c>
      <c r="AS7" s="20">
        <f ca="1">Master_List!$AW$31</f>
        <v>0</v>
      </c>
      <c r="AT7" s="20">
        <f ca="1">Master_List!$AW$32</f>
        <v>0</v>
      </c>
      <c r="AU7" s="20">
        <f ca="1">Master_List!$AW$33</f>
        <v>0</v>
      </c>
      <c r="AV7" s="20">
        <f ca="1">Master_List!$AW$34</f>
        <v>0</v>
      </c>
      <c r="AW7" s="20">
        <f ca="1">Master_List!$AW$35</f>
        <v>0</v>
      </c>
      <c r="AX7" s="20">
        <f ca="1">Master_List!$AW$36</f>
        <v>0</v>
      </c>
      <c r="AY7" s="20">
        <f ca="1">Master_List!$AW$37</f>
        <v>0</v>
      </c>
      <c r="AZ7" s="20">
        <f ca="1">Master_List!$AW$38</f>
        <v>0</v>
      </c>
      <c r="BA7" s="20">
        <f ca="1">Master_List!$AW$39</f>
        <v>0</v>
      </c>
      <c r="BB7" s="20" t="s">
        <v>2240</v>
      </c>
      <c r="BC7" s="20" t="s">
        <v>2241</v>
      </c>
      <c r="BD7" s="6" t="s">
        <v>1744</v>
      </c>
      <c r="BE7" s="6" t="s">
        <v>1750</v>
      </c>
      <c r="BF7" s="6" t="s">
        <v>1748</v>
      </c>
      <c r="BG7" s="6" t="str">
        <f t="shared" si="0"/>
        <v>C:\Users\aremi\Desktop\REPORT CBM\PO 42289580 - Pahang 11kV SECOND CYCLE AZZAD 2026\RAW MATERIAL\047. TNB BARU (IR+VI)\RAW DATA\IR</v>
      </c>
      <c r="BH7" s="24" t="s">
        <v>543</v>
      </c>
    </row>
    <row r="8" spans="1:60" ht="30" customHeight="1" x14ac:dyDescent="0.25">
      <c r="A8" s="6">
        <v>4</v>
      </c>
      <c r="B8" s="6" t="s">
        <v>1529</v>
      </c>
      <c r="C8" s="6">
        <v>1</v>
      </c>
      <c r="D8" s="6" t="s">
        <v>2239</v>
      </c>
      <c r="E8" s="6">
        <v>4</v>
      </c>
      <c r="F8" s="6" t="str">
        <f ca="1">Master_List!$AW$1</f>
        <v>PERPUSTAKAAN PUSAT</v>
      </c>
      <c r="G8" s="27" t="str">
        <f ca="1">Master_List!$AW$2</f>
        <v>09:30 PM</v>
      </c>
      <c r="H8" s="32" t="str">
        <f ca="1">Master_List!$AW$3</f>
        <v>20/07/2026</v>
      </c>
      <c r="I8" s="28" t="str">
        <f ca="1">Master_List!$AW$4</f>
        <v>28.5</v>
      </c>
      <c r="J8" s="6" t="str">
        <f ca="1">Master_List!$AW$5</f>
        <v>65</v>
      </c>
      <c r="K8" s="6" t="s">
        <v>544</v>
      </c>
      <c r="L8" s="21" t="str">
        <f>IFERROR(VLOOKUP(B8, Master_List!$A:$I, 2, FALSE), "-")</f>
        <v>-</v>
      </c>
      <c r="M8" s="22" t="str">
        <f>IFERROR(VLOOKUP(B8, Master_List!$A:$I, 3, FALSE), "-")</f>
        <v>-</v>
      </c>
      <c r="N8" s="22" t="str">
        <f>IFERROR(VLOOKUP(B8, Master_List!$A:$I, 4, FALSE), "-")</f>
        <v>-</v>
      </c>
      <c r="O8" s="22" t="str">
        <f>IFERROR(VLOOKUP(B8, Master_List!$A:$I, 5, FALSE), "-")</f>
        <v>-</v>
      </c>
      <c r="P8" s="22" t="str">
        <f>IFERROR(VLOOKUP(B8, Master_List!$A:$I, 6, FALSE), "-")</f>
        <v>-</v>
      </c>
      <c r="Q8" s="22" t="str">
        <f>IFERROR(VLOOKUP(B8, Master_List!$A:$I, 7, FALSE), "-")</f>
        <v>-</v>
      </c>
      <c r="R8" s="22" t="str">
        <f>IFERROR(VLOOKUP(B8, Master_List!$A:$I, 8, FALSE), "-")</f>
        <v>-</v>
      </c>
      <c r="S8" s="22" t="str">
        <f>IFERROR(VLOOKUP(B8, Master_List!$A:$I, 9, FALSE), "-")</f>
        <v>-</v>
      </c>
      <c r="T8" s="20" t="str">
        <f ca="1">Master_List!$AW$6</f>
        <v>TOSHIBA</v>
      </c>
      <c r="U8" s="20" t="str">
        <f ca="1">Master_List!$AW$7</f>
        <v>MRMU</v>
      </c>
      <c r="V8" s="20" t="str">
        <f ca="1">Master_List!$AW$8</f>
        <v>12kV</v>
      </c>
      <c r="W8" s="20" t="str">
        <f ca="1">Master_List!$AW$9</f>
        <v>2S1F</v>
      </c>
      <c r="X8" s="20" t="str">
        <f ca="1">Master_List!$AW$10</f>
        <v>MTM</v>
      </c>
      <c r="Y8" s="20" t="str">
        <f ca="1">Master_List!$AW$11</f>
        <v>HERMETICALLY SEAL</v>
      </c>
      <c r="Z8" s="20" t="str">
        <f ca="1">Master_List!$AW$12</f>
        <v>750kVA</v>
      </c>
      <c r="AA8" s="20" t="str">
        <f ca="1">Master_List!$AW$13</f>
        <v>1317</v>
      </c>
      <c r="AB8" s="20">
        <f ca="1">Master_List!$AW$14</f>
        <v>0</v>
      </c>
      <c r="AC8" s="20">
        <f ca="1">Master_List!$AW$15</f>
        <v>0</v>
      </c>
      <c r="AD8" s="20">
        <f ca="1">Master_List!$AW$16</f>
        <v>0</v>
      </c>
      <c r="AE8" s="20">
        <f ca="1">Master_List!$AW$17</f>
        <v>0</v>
      </c>
      <c r="AF8" s="20" t="str">
        <f ca="1">Master_List!$AW$18</f>
        <v>INDKOM</v>
      </c>
      <c r="AG8" s="20" t="str">
        <f ca="1">Master_List!$AW$19</f>
        <v>J-SLOTTED</v>
      </c>
      <c r="AH8" s="20" t="str">
        <f ca="1">Master_List!$AW$20</f>
        <v>1600A</v>
      </c>
      <c r="AI8" s="20" t="str">
        <f ca="1">Master_List!$AW$21</f>
        <v>LV5080090</v>
      </c>
      <c r="AJ8" s="20" t="str">
        <f ca="1">Master_List!$AW$22</f>
        <v>LVDB TX1</v>
      </c>
      <c r="AK8" s="20">
        <f ca="1">Master_List!$AW$23</f>
        <v>0</v>
      </c>
      <c r="AL8" s="20">
        <f ca="1">Master_List!$AW$24</f>
        <v>0</v>
      </c>
      <c r="AM8" s="20">
        <f ca="1">Master_List!$AW$25</f>
        <v>0</v>
      </c>
      <c r="AN8" s="20">
        <f ca="1">Master_List!$AW$26</f>
        <v>0</v>
      </c>
      <c r="AO8" s="20" t="str">
        <f ca="1">Master_List!$AW$27</f>
        <v>LVDB TX2</v>
      </c>
      <c r="AP8" s="20" t="str">
        <f ca="1">Master_List!$AW$28</f>
        <v>SUNPOWER TECHNOLOGIES</v>
      </c>
      <c r="AQ8" s="20" t="str">
        <f ca="1">Master_List!$AW$29</f>
        <v>SPS 30-10 L</v>
      </c>
      <c r="AR8" s="20" t="str">
        <f ca="1">Master_List!$AW$30</f>
        <v>11193-8527</v>
      </c>
      <c r="AS8" s="20">
        <f ca="1">Master_List!$AW$31</f>
        <v>0</v>
      </c>
      <c r="AT8" s="20">
        <f ca="1">Master_List!$AW$32</f>
        <v>0</v>
      </c>
      <c r="AU8" s="20">
        <f ca="1">Master_List!$AW$33</f>
        <v>0</v>
      </c>
      <c r="AV8" s="20">
        <f ca="1">Master_List!$AW$34</f>
        <v>0</v>
      </c>
      <c r="AW8" s="20">
        <f ca="1">Master_List!$AW$35</f>
        <v>0</v>
      </c>
      <c r="AX8" s="20">
        <f ca="1">Master_List!$AW$36</f>
        <v>0</v>
      </c>
      <c r="AY8" s="20">
        <f ca="1">Master_List!$AW$37</f>
        <v>0</v>
      </c>
      <c r="AZ8" s="20">
        <f ca="1">Master_List!$AW$38</f>
        <v>0</v>
      </c>
      <c r="BA8" s="20">
        <f ca="1">Master_List!$AW$39</f>
        <v>0</v>
      </c>
      <c r="BB8" s="20" t="s">
        <v>2240</v>
      </c>
      <c r="BC8" s="20" t="s">
        <v>2241</v>
      </c>
      <c r="BD8" s="6" t="s">
        <v>1744</v>
      </c>
      <c r="BE8" s="6" t="s">
        <v>1751</v>
      </c>
      <c r="BF8" s="6" t="s">
        <v>1746</v>
      </c>
      <c r="BG8" s="6" t="str">
        <f t="shared" si="0"/>
        <v>C:\Users\aremi\Desktop\REPORT CBM\PO 42289580 - Pahang 11kV SECOND CYCLE AZZAD 2026\RAW MATERIAL\047. TNB BARU (IR+VI)\RAW DATA\IR</v>
      </c>
      <c r="BH8" s="24" t="s">
        <v>545</v>
      </c>
    </row>
    <row r="9" spans="1:60" ht="30" customHeight="1" x14ac:dyDescent="0.25">
      <c r="A9" s="6">
        <v>4</v>
      </c>
      <c r="B9" s="6" t="s">
        <v>1529</v>
      </c>
      <c r="C9" s="6">
        <v>1</v>
      </c>
      <c r="D9" s="6" t="s">
        <v>2239</v>
      </c>
      <c r="E9" s="6">
        <v>4</v>
      </c>
      <c r="F9" s="6" t="str">
        <f ca="1">Master_List!$AW$1</f>
        <v>PERPUSTAKAAN PUSAT</v>
      </c>
      <c r="G9" s="27" t="str">
        <f ca="1">Master_List!$AW$2</f>
        <v>09:30 PM</v>
      </c>
      <c r="H9" s="32" t="str">
        <f ca="1">Master_List!$AW$3</f>
        <v>20/07/2026</v>
      </c>
      <c r="I9" s="28" t="str">
        <f ca="1">Master_List!$AW$4</f>
        <v>28.5</v>
      </c>
      <c r="J9" s="6" t="str">
        <f ca="1">Master_List!$AW$5</f>
        <v>65</v>
      </c>
      <c r="K9" s="6" t="s">
        <v>544</v>
      </c>
      <c r="L9" s="21" t="str">
        <f>IFERROR(VLOOKUP(B9, Master_List!$A:$I, 2, FALSE), "-")</f>
        <v>-</v>
      </c>
      <c r="M9" s="22" t="str">
        <f>IFERROR(VLOOKUP(B9, Master_List!$A:$I, 3, FALSE), "-")</f>
        <v>-</v>
      </c>
      <c r="N9" s="22" t="str">
        <f>IFERROR(VLOOKUP(B9, Master_List!$A:$I, 4, FALSE), "-")</f>
        <v>-</v>
      </c>
      <c r="O9" s="22" t="str">
        <f>IFERROR(VLOOKUP(B9, Master_List!$A:$I, 5, FALSE), "-")</f>
        <v>-</v>
      </c>
      <c r="P9" s="22" t="str">
        <f>IFERROR(VLOOKUP(B9, Master_List!$A:$I, 6, FALSE), "-")</f>
        <v>-</v>
      </c>
      <c r="Q9" s="22" t="str">
        <f>IFERROR(VLOOKUP(B9, Master_List!$A:$I, 7, FALSE), "-")</f>
        <v>-</v>
      </c>
      <c r="R9" s="22" t="str">
        <f>IFERROR(VLOOKUP(B9, Master_List!$A:$I, 8, FALSE), "-")</f>
        <v>-</v>
      </c>
      <c r="S9" s="22" t="str">
        <f>IFERROR(VLOOKUP(B9, Master_List!$A:$I, 9, FALSE), "-")</f>
        <v>-</v>
      </c>
      <c r="T9" s="20" t="str">
        <f ca="1">Master_List!$AW$6</f>
        <v>TOSHIBA</v>
      </c>
      <c r="U9" s="20" t="str">
        <f ca="1">Master_List!$AW$7</f>
        <v>MRMU</v>
      </c>
      <c r="V9" s="20" t="str">
        <f ca="1">Master_List!$AW$8</f>
        <v>12kV</v>
      </c>
      <c r="W9" s="20" t="str">
        <f ca="1">Master_List!$AW$9</f>
        <v>2S1F</v>
      </c>
      <c r="X9" s="20" t="str">
        <f ca="1">Master_List!$AW$10</f>
        <v>MTM</v>
      </c>
      <c r="Y9" s="20" t="str">
        <f ca="1">Master_List!$AW$11</f>
        <v>HERMETICALLY SEAL</v>
      </c>
      <c r="Z9" s="20" t="str">
        <f ca="1">Master_List!$AW$12</f>
        <v>750kVA</v>
      </c>
      <c r="AA9" s="20" t="str">
        <f ca="1">Master_List!$AW$13</f>
        <v>1317</v>
      </c>
      <c r="AB9" s="20">
        <f ca="1">Master_List!$AW$14</f>
        <v>0</v>
      </c>
      <c r="AC9" s="20">
        <f ca="1">Master_List!$AW$15</f>
        <v>0</v>
      </c>
      <c r="AD9" s="20">
        <f ca="1">Master_List!$AW$16</f>
        <v>0</v>
      </c>
      <c r="AE9" s="20">
        <f ca="1">Master_List!$AW$17</f>
        <v>0</v>
      </c>
      <c r="AF9" s="20" t="str">
        <f ca="1">Master_List!$AW$18</f>
        <v>INDKOM</v>
      </c>
      <c r="AG9" s="20" t="str">
        <f ca="1">Master_List!$AW$19</f>
        <v>J-SLOTTED</v>
      </c>
      <c r="AH9" s="20" t="str">
        <f ca="1">Master_List!$AW$20</f>
        <v>1600A</v>
      </c>
      <c r="AI9" s="20" t="str">
        <f ca="1">Master_List!$AW$21</f>
        <v>LV5080090</v>
      </c>
      <c r="AJ9" s="20" t="str">
        <f ca="1">Master_List!$AW$22</f>
        <v>LVDB TX1</v>
      </c>
      <c r="AK9" s="20">
        <f ca="1">Master_List!$AW$23</f>
        <v>0</v>
      </c>
      <c r="AL9" s="20">
        <f ca="1">Master_List!$AW$24</f>
        <v>0</v>
      </c>
      <c r="AM9" s="20">
        <f ca="1">Master_List!$AW$25</f>
        <v>0</v>
      </c>
      <c r="AN9" s="20">
        <f ca="1">Master_List!$AW$26</f>
        <v>0</v>
      </c>
      <c r="AO9" s="20" t="str">
        <f ca="1">Master_List!$AW$27</f>
        <v>LVDB TX2</v>
      </c>
      <c r="AP9" s="20" t="str">
        <f ca="1">Master_List!$AW$28</f>
        <v>SUNPOWER TECHNOLOGIES</v>
      </c>
      <c r="AQ9" s="20" t="str">
        <f ca="1">Master_List!$AW$29</f>
        <v>SPS 30-10 L</v>
      </c>
      <c r="AR9" s="20" t="str">
        <f ca="1">Master_List!$AW$30</f>
        <v>11193-8527</v>
      </c>
      <c r="AS9" s="20">
        <f ca="1">Master_List!$AW$31</f>
        <v>0</v>
      </c>
      <c r="AT9" s="20">
        <f ca="1">Master_List!$AW$32</f>
        <v>0</v>
      </c>
      <c r="AU9" s="20">
        <f ca="1">Master_List!$AW$33</f>
        <v>0</v>
      </c>
      <c r="AV9" s="20">
        <f ca="1">Master_List!$AW$34</f>
        <v>0</v>
      </c>
      <c r="AW9" s="20">
        <f ca="1">Master_List!$AW$35</f>
        <v>0</v>
      </c>
      <c r="AX9" s="20">
        <f ca="1">Master_List!$AW$36</f>
        <v>0</v>
      </c>
      <c r="AY9" s="20">
        <f ca="1">Master_List!$AW$37</f>
        <v>0</v>
      </c>
      <c r="AZ9" s="20">
        <f ca="1">Master_List!$AW$38</f>
        <v>0</v>
      </c>
      <c r="BA9" s="20">
        <f ca="1">Master_List!$AW$39</f>
        <v>0</v>
      </c>
      <c r="BB9" s="20" t="s">
        <v>2240</v>
      </c>
      <c r="BC9" s="20" t="s">
        <v>2241</v>
      </c>
      <c r="BD9" s="6" t="s">
        <v>1744</v>
      </c>
      <c r="BE9" s="6" t="s">
        <v>1751</v>
      </c>
      <c r="BF9" s="6" t="s">
        <v>1748</v>
      </c>
      <c r="BG9" s="6" t="str">
        <f t="shared" si="0"/>
        <v>C:\Users\aremi\Desktop\REPORT CBM\PO 42289580 - Pahang 11kV SECOND CYCLE AZZAD 2026\RAW MATERIAL\047. TNB BARU (IR+VI)\RAW DATA\IR</v>
      </c>
      <c r="BH9" s="24" t="s">
        <v>546</v>
      </c>
    </row>
    <row r="10" spans="1:60" ht="30" customHeight="1" x14ac:dyDescent="0.25">
      <c r="A10" s="6">
        <v>5</v>
      </c>
      <c r="B10" s="6" t="s">
        <v>1529</v>
      </c>
      <c r="C10" s="6">
        <v>1</v>
      </c>
      <c r="D10" s="6" t="s">
        <v>2239</v>
      </c>
      <c r="E10" s="6">
        <v>5</v>
      </c>
      <c r="F10" s="6" t="str">
        <f ca="1">Master_List!$AW$1</f>
        <v>PERPUSTAKAAN PUSAT</v>
      </c>
      <c r="G10" s="27" t="str">
        <f ca="1">Master_List!$AW$2</f>
        <v>09:30 PM</v>
      </c>
      <c r="H10" s="32" t="str">
        <f ca="1">Master_List!$AW$3</f>
        <v>20/07/2026</v>
      </c>
      <c r="I10" s="28" t="str">
        <f ca="1">Master_List!$AW$4</f>
        <v>28.5</v>
      </c>
      <c r="J10" s="6" t="str">
        <f ca="1">Master_List!$AW$5</f>
        <v>65</v>
      </c>
      <c r="K10" s="6" t="s">
        <v>547</v>
      </c>
      <c r="L10" s="21" t="str">
        <f>IFERROR(VLOOKUP(B10, Master_List!$A:$I, 2, FALSE), "-")</f>
        <v>-</v>
      </c>
      <c r="M10" s="22" t="str">
        <f>IFERROR(VLOOKUP(B10, Master_List!$A:$I, 3, FALSE), "-")</f>
        <v>-</v>
      </c>
      <c r="N10" s="22" t="str">
        <f>IFERROR(VLOOKUP(B10, Master_List!$A:$I, 4, FALSE), "-")</f>
        <v>-</v>
      </c>
      <c r="O10" s="22" t="str">
        <f>IFERROR(VLOOKUP(B10, Master_List!$A:$I, 5, FALSE), "-")</f>
        <v>-</v>
      </c>
      <c r="P10" s="22" t="str">
        <f>IFERROR(VLOOKUP(B10, Master_List!$A:$I, 6, FALSE), "-")</f>
        <v>-</v>
      </c>
      <c r="Q10" s="22" t="str">
        <f>IFERROR(VLOOKUP(B10, Master_List!$A:$I, 7, FALSE), "-")</f>
        <v>-</v>
      </c>
      <c r="R10" s="22" t="str">
        <f>IFERROR(VLOOKUP(B10, Master_List!$A:$I, 8, FALSE), "-")</f>
        <v>-</v>
      </c>
      <c r="S10" s="22" t="str">
        <f>IFERROR(VLOOKUP(B10, Master_List!$A:$I, 9, FALSE), "-")</f>
        <v>-</v>
      </c>
      <c r="T10" s="20" t="str">
        <f ca="1">Master_List!$AW$6</f>
        <v>TOSHIBA</v>
      </c>
      <c r="U10" s="20" t="str">
        <f ca="1">Master_List!$AW$7</f>
        <v>MRMU</v>
      </c>
      <c r="V10" s="20" t="str">
        <f ca="1">Master_List!$AW$8</f>
        <v>12kV</v>
      </c>
      <c r="W10" s="20" t="str">
        <f ca="1">Master_List!$AW$9</f>
        <v>2S1F</v>
      </c>
      <c r="X10" s="20" t="str">
        <f ca="1">Master_List!$AW$10</f>
        <v>MTM</v>
      </c>
      <c r="Y10" s="20" t="str">
        <f ca="1">Master_List!$AW$11</f>
        <v>HERMETICALLY SEAL</v>
      </c>
      <c r="Z10" s="20" t="str">
        <f ca="1">Master_List!$AW$12</f>
        <v>750kVA</v>
      </c>
      <c r="AA10" s="20" t="str">
        <f ca="1">Master_List!$AW$13</f>
        <v>1317</v>
      </c>
      <c r="AB10" s="20">
        <f ca="1">Master_List!$AW$14</f>
        <v>0</v>
      </c>
      <c r="AC10" s="20">
        <f ca="1">Master_List!$AW$15</f>
        <v>0</v>
      </c>
      <c r="AD10" s="20">
        <f ca="1">Master_List!$AW$16</f>
        <v>0</v>
      </c>
      <c r="AE10" s="20">
        <f ca="1">Master_List!$AW$17</f>
        <v>0</v>
      </c>
      <c r="AF10" s="20" t="str">
        <f ca="1">Master_List!$AW$18</f>
        <v>INDKOM</v>
      </c>
      <c r="AG10" s="20" t="str">
        <f ca="1">Master_List!$AW$19</f>
        <v>J-SLOTTED</v>
      </c>
      <c r="AH10" s="20" t="str">
        <f ca="1">Master_List!$AW$20</f>
        <v>1600A</v>
      </c>
      <c r="AI10" s="20" t="str">
        <f ca="1">Master_List!$AW$21</f>
        <v>LV5080090</v>
      </c>
      <c r="AJ10" s="20" t="str">
        <f ca="1">Master_List!$AW$22</f>
        <v>LVDB TX1</v>
      </c>
      <c r="AK10" s="20">
        <f ca="1">Master_List!$AW$23</f>
        <v>0</v>
      </c>
      <c r="AL10" s="20">
        <f ca="1">Master_List!$AW$24</f>
        <v>0</v>
      </c>
      <c r="AM10" s="20">
        <f ca="1">Master_List!$AW$25</f>
        <v>0</v>
      </c>
      <c r="AN10" s="20">
        <f ca="1">Master_List!$AW$26</f>
        <v>0</v>
      </c>
      <c r="AO10" s="20" t="str">
        <f ca="1">Master_List!$AW$27</f>
        <v>LVDB TX2</v>
      </c>
      <c r="AP10" s="20" t="str">
        <f ca="1">Master_List!$AW$28</f>
        <v>SUNPOWER TECHNOLOGIES</v>
      </c>
      <c r="AQ10" s="20" t="str">
        <f ca="1">Master_List!$AW$29</f>
        <v>SPS 30-10 L</v>
      </c>
      <c r="AR10" s="20" t="str">
        <f ca="1">Master_List!$AW$30</f>
        <v>11193-8527</v>
      </c>
      <c r="AS10" s="20">
        <f ca="1">Master_List!$AW$31</f>
        <v>0</v>
      </c>
      <c r="AT10" s="20">
        <f ca="1">Master_List!$AW$32</f>
        <v>0</v>
      </c>
      <c r="AU10" s="20">
        <f ca="1">Master_List!$AW$33</f>
        <v>0</v>
      </c>
      <c r="AV10" s="20">
        <f ca="1">Master_List!$AW$34</f>
        <v>0</v>
      </c>
      <c r="AW10" s="20">
        <f ca="1">Master_List!$AW$35</f>
        <v>0</v>
      </c>
      <c r="AX10" s="20">
        <f ca="1">Master_List!$AW$36</f>
        <v>0</v>
      </c>
      <c r="AY10" s="20">
        <f ca="1">Master_List!$AW$37</f>
        <v>0</v>
      </c>
      <c r="AZ10" s="20">
        <f ca="1">Master_List!$AW$38</f>
        <v>0</v>
      </c>
      <c r="BA10" s="20">
        <f ca="1">Master_List!$AW$39</f>
        <v>0</v>
      </c>
      <c r="BB10" s="20" t="s">
        <v>2240</v>
      </c>
      <c r="BC10" s="20" t="s">
        <v>2241</v>
      </c>
      <c r="BD10" s="6" t="s">
        <v>1744</v>
      </c>
      <c r="BE10" s="6" t="s">
        <v>1752</v>
      </c>
      <c r="BF10" s="6" t="s">
        <v>1746</v>
      </c>
      <c r="BG10" s="6" t="str">
        <f t="shared" si="0"/>
        <v>C:\Users\aremi\Desktop\REPORT CBM\PO 42289580 - Pahang 11kV SECOND CYCLE AZZAD 2026\RAW MATERIAL\047. TNB BARU (IR+VI)\RAW DATA\IR</v>
      </c>
      <c r="BH10" s="24" t="s">
        <v>548</v>
      </c>
    </row>
    <row r="11" spans="1:60" ht="30" customHeight="1" x14ac:dyDescent="0.25">
      <c r="A11" s="6">
        <v>5</v>
      </c>
      <c r="B11" s="6" t="s">
        <v>1529</v>
      </c>
      <c r="C11" s="6">
        <v>1</v>
      </c>
      <c r="D11" s="6" t="s">
        <v>2239</v>
      </c>
      <c r="E11" s="6">
        <v>5</v>
      </c>
      <c r="F11" s="6" t="str">
        <f ca="1">Master_List!$AW$1</f>
        <v>PERPUSTAKAAN PUSAT</v>
      </c>
      <c r="G11" s="27" t="str">
        <f ca="1">Master_List!$AW$2</f>
        <v>09:30 PM</v>
      </c>
      <c r="H11" s="32" t="str">
        <f ca="1">Master_List!$AW$3</f>
        <v>20/07/2026</v>
      </c>
      <c r="I11" s="28" t="str">
        <f ca="1">Master_List!$AW$4</f>
        <v>28.5</v>
      </c>
      <c r="J11" s="6" t="str">
        <f ca="1">Master_List!$AW$5</f>
        <v>65</v>
      </c>
      <c r="K11" s="6" t="s">
        <v>547</v>
      </c>
      <c r="L11" s="21" t="str">
        <f>IFERROR(VLOOKUP(B11, Master_List!$A:$I, 2, FALSE), "-")</f>
        <v>-</v>
      </c>
      <c r="M11" s="22" t="str">
        <f>IFERROR(VLOOKUP(B11, Master_List!$A:$I, 3, FALSE), "-")</f>
        <v>-</v>
      </c>
      <c r="N11" s="22" t="str">
        <f>IFERROR(VLOOKUP(B11, Master_List!$A:$I, 4, FALSE), "-")</f>
        <v>-</v>
      </c>
      <c r="O11" s="22" t="str">
        <f>IFERROR(VLOOKUP(B11, Master_List!$A:$I, 5, FALSE), "-")</f>
        <v>-</v>
      </c>
      <c r="P11" s="22" t="str">
        <f>IFERROR(VLOOKUP(B11, Master_List!$A:$I, 6, FALSE), "-")</f>
        <v>-</v>
      </c>
      <c r="Q11" s="22" t="str">
        <f>IFERROR(VLOOKUP(B11, Master_List!$A:$I, 7, FALSE), "-")</f>
        <v>-</v>
      </c>
      <c r="R11" s="22" t="str">
        <f>IFERROR(VLOOKUP(B11, Master_List!$A:$I, 8, FALSE), "-")</f>
        <v>-</v>
      </c>
      <c r="S11" s="22" t="str">
        <f>IFERROR(VLOOKUP(B11, Master_List!$A:$I, 9, FALSE), "-")</f>
        <v>-</v>
      </c>
      <c r="T11" s="20" t="str">
        <f ca="1">Master_List!$AW$6</f>
        <v>TOSHIBA</v>
      </c>
      <c r="U11" s="20" t="str">
        <f ca="1">Master_List!$AW$7</f>
        <v>MRMU</v>
      </c>
      <c r="V11" s="20" t="str">
        <f ca="1">Master_List!$AW$8</f>
        <v>12kV</v>
      </c>
      <c r="W11" s="20" t="str">
        <f ca="1">Master_List!$AW$9</f>
        <v>2S1F</v>
      </c>
      <c r="X11" s="20" t="str">
        <f ca="1">Master_List!$AW$10</f>
        <v>MTM</v>
      </c>
      <c r="Y11" s="20" t="str">
        <f ca="1">Master_List!$AW$11</f>
        <v>HERMETICALLY SEAL</v>
      </c>
      <c r="Z11" s="20" t="str">
        <f ca="1">Master_List!$AW$12</f>
        <v>750kVA</v>
      </c>
      <c r="AA11" s="20" t="str">
        <f ca="1">Master_List!$AW$13</f>
        <v>1317</v>
      </c>
      <c r="AB11" s="20">
        <f ca="1">Master_List!$AW$14</f>
        <v>0</v>
      </c>
      <c r="AC11" s="20">
        <f ca="1">Master_List!$AW$15</f>
        <v>0</v>
      </c>
      <c r="AD11" s="20">
        <f ca="1">Master_List!$AW$16</f>
        <v>0</v>
      </c>
      <c r="AE11" s="20">
        <f ca="1">Master_List!$AW$17</f>
        <v>0</v>
      </c>
      <c r="AF11" s="20" t="str">
        <f ca="1">Master_List!$AW$18</f>
        <v>INDKOM</v>
      </c>
      <c r="AG11" s="20" t="str">
        <f ca="1">Master_List!$AW$19</f>
        <v>J-SLOTTED</v>
      </c>
      <c r="AH11" s="20" t="str">
        <f ca="1">Master_List!$AW$20</f>
        <v>1600A</v>
      </c>
      <c r="AI11" s="20" t="str">
        <f ca="1">Master_List!$AW$21</f>
        <v>LV5080090</v>
      </c>
      <c r="AJ11" s="20" t="str">
        <f ca="1">Master_List!$AW$22</f>
        <v>LVDB TX1</v>
      </c>
      <c r="AK11" s="20">
        <f ca="1">Master_List!$AW$23</f>
        <v>0</v>
      </c>
      <c r="AL11" s="20">
        <f ca="1">Master_List!$AW$24</f>
        <v>0</v>
      </c>
      <c r="AM11" s="20">
        <f ca="1">Master_List!$AW$25</f>
        <v>0</v>
      </c>
      <c r="AN11" s="20">
        <f ca="1">Master_List!$AW$26</f>
        <v>0</v>
      </c>
      <c r="AO11" s="20" t="str">
        <f ca="1">Master_List!$AW$27</f>
        <v>LVDB TX2</v>
      </c>
      <c r="AP11" s="20" t="str">
        <f ca="1">Master_List!$AW$28</f>
        <v>SUNPOWER TECHNOLOGIES</v>
      </c>
      <c r="AQ11" s="20" t="str">
        <f ca="1">Master_List!$AW$29</f>
        <v>SPS 30-10 L</v>
      </c>
      <c r="AR11" s="20" t="str">
        <f ca="1">Master_List!$AW$30</f>
        <v>11193-8527</v>
      </c>
      <c r="AS11" s="20">
        <f ca="1">Master_List!$AW$31</f>
        <v>0</v>
      </c>
      <c r="AT11" s="20">
        <f ca="1">Master_List!$AW$32</f>
        <v>0</v>
      </c>
      <c r="AU11" s="20">
        <f ca="1">Master_List!$AW$33</f>
        <v>0</v>
      </c>
      <c r="AV11" s="20">
        <f ca="1">Master_List!$AW$34</f>
        <v>0</v>
      </c>
      <c r="AW11" s="20">
        <f ca="1">Master_List!$AW$35</f>
        <v>0</v>
      </c>
      <c r="AX11" s="20">
        <f ca="1">Master_List!$AW$36</f>
        <v>0</v>
      </c>
      <c r="AY11" s="20">
        <f ca="1">Master_List!$AW$37</f>
        <v>0</v>
      </c>
      <c r="AZ11" s="20">
        <f ca="1">Master_List!$AW$38</f>
        <v>0</v>
      </c>
      <c r="BA11" s="20">
        <f ca="1">Master_List!$AW$39</f>
        <v>0</v>
      </c>
      <c r="BB11" s="20" t="s">
        <v>2240</v>
      </c>
      <c r="BC11" s="20" t="s">
        <v>2241</v>
      </c>
      <c r="BD11" s="6" t="s">
        <v>1744</v>
      </c>
      <c r="BE11" s="6" t="s">
        <v>1752</v>
      </c>
      <c r="BF11" s="6" t="s">
        <v>1748</v>
      </c>
      <c r="BG11" s="6" t="str">
        <f t="shared" si="0"/>
        <v>C:\Users\aremi\Desktop\REPORT CBM\PO 42289580 - Pahang 11kV SECOND CYCLE AZZAD 2026\RAW MATERIAL\047. TNB BARU (IR+VI)\RAW DATA\IR</v>
      </c>
      <c r="BH11" s="24" t="s">
        <v>549</v>
      </c>
    </row>
    <row r="12" spans="1:60" ht="30" customHeight="1" x14ac:dyDescent="0.25">
      <c r="A12" s="6">
        <v>6</v>
      </c>
      <c r="B12" s="6" t="s">
        <v>1529</v>
      </c>
      <c r="C12" s="6">
        <v>1</v>
      </c>
      <c r="D12" s="6" t="s">
        <v>2239</v>
      </c>
      <c r="E12" s="6">
        <v>6</v>
      </c>
      <c r="F12" s="6" t="str">
        <f ca="1">Master_List!$AW$1</f>
        <v>PERPUSTAKAAN PUSAT</v>
      </c>
      <c r="G12" s="27" t="str">
        <f ca="1">Master_List!$AW$2</f>
        <v>09:30 PM</v>
      </c>
      <c r="H12" s="32" t="str">
        <f ca="1">Master_List!$AW$3</f>
        <v>20/07/2026</v>
      </c>
      <c r="I12" s="28" t="str">
        <f ca="1">Master_List!$AW$4</f>
        <v>28.5</v>
      </c>
      <c r="J12" s="6" t="str">
        <f ca="1">Master_List!$AW$5</f>
        <v>65</v>
      </c>
      <c r="K12" s="6" t="s">
        <v>550</v>
      </c>
      <c r="L12" s="21" t="str">
        <f>IFERROR(VLOOKUP(B12, Master_List!$A:$I, 2, FALSE), "-")</f>
        <v>-</v>
      </c>
      <c r="M12" s="22" t="str">
        <f>IFERROR(VLOOKUP(B12, Master_List!$A:$I, 3, FALSE), "-")</f>
        <v>-</v>
      </c>
      <c r="N12" s="22" t="str">
        <f>IFERROR(VLOOKUP(B12, Master_List!$A:$I, 4, FALSE), "-")</f>
        <v>-</v>
      </c>
      <c r="O12" s="22" t="str">
        <f>IFERROR(VLOOKUP(B12, Master_List!$A:$I, 5, FALSE), "-")</f>
        <v>-</v>
      </c>
      <c r="P12" s="22" t="str">
        <f>IFERROR(VLOOKUP(B12, Master_List!$A:$I, 6, FALSE), "-")</f>
        <v>-</v>
      </c>
      <c r="Q12" s="22" t="str">
        <f>IFERROR(VLOOKUP(B12, Master_List!$A:$I, 7, FALSE), "-")</f>
        <v>-</v>
      </c>
      <c r="R12" s="22" t="str">
        <f>IFERROR(VLOOKUP(B12, Master_List!$A:$I, 8, FALSE), "-")</f>
        <v>-</v>
      </c>
      <c r="S12" s="22" t="str">
        <f>IFERROR(VLOOKUP(B12, Master_List!$A:$I, 9, FALSE), "-")</f>
        <v>-</v>
      </c>
      <c r="T12" s="20" t="str">
        <f ca="1">Master_List!$AW$6</f>
        <v>TOSHIBA</v>
      </c>
      <c r="U12" s="20" t="str">
        <f ca="1">Master_List!$AW$7</f>
        <v>MRMU</v>
      </c>
      <c r="V12" s="20" t="str">
        <f ca="1">Master_List!$AW$8</f>
        <v>12kV</v>
      </c>
      <c r="W12" s="20" t="str">
        <f ca="1">Master_List!$AW$9</f>
        <v>2S1F</v>
      </c>
      <c r="X12" s="20" t="str">
        <f ca="1">Master_List!$AW$10</f>
        <v>MTM</v>
      </c>
      <c r="Y12" s="20" t="str">
        <f ca="1">Master_List!$AW$11</f>
        <v>HERMETICALLY SEAL</v>
      </c>
      <c r="Z12" s="20" t="str">
        <f ca="1">Master_List!$AW$12</f>
        <v>750kVA</v>
      </c>
      <c r="AA12" s="20" t="str">
        <f ca="1">Master_List!$AW$13</f>
        <v>1317</v>
      </c>
      <c r="AB12" s="20">
        <f ca="1">Master_List!$AW$14</f>
        <v>0</v>
      </c>
      <c r="AC12" s="20">
        <f ca="1">Master_List!$AW$15</f>
        <v>0</v>
      </c>
      <c r="AD12" s="20">
        <f ca="1">Master_List!$AW$16</f>
        <v>0</v>
      </c>
      <c r="AE12" s="20">
        <f ca="1">Master_List!$AW$17</f>
        <v>0</v>
      </c>
      <c r="AF12" s="20" t="str">
        <f ca="1">Master_List!$AW$18</f>
        <v>INDKOM</v>
      </c>
      <c r="AG12" s="20" t="str">
        <f ca="1">Master_List!$AW$19</f>
        <v>J-SLOTTED</v>
      </c>
      <c r="AH12" s="20" t="str">
        <f ca="1">Master_List!$AW$20</f>
        <v>1600A</v>
      </c>
      <c r="AI12" s="20" t="str">
        <f ca="1">Master_List!$AW$21</f>
        <v>LV5080090</v>
      </c>
      <c r="AJ12" s="20" t="str">
        <f ca="1">Master_List!$AW$22</f>
        <v>LVDB TX1</v>
      </c>
      <c r="AK12" s="20">
        <f ca="1">Master_List!$AW$23</f>
        <v>0</v>
      </c>
      <c r="AL12" s="20">
        <f ca="1">Master_List!$AW$24</f>
        <v>0</v>
      </c>
      <c r="AM12" s="20">
        <f ca="1">Master_List!$AW$25</f>
        <v>0</v>
      </c>
      <c r="AN12" s="20">
        <f ca="1">Master_List!$AW$26</f>
        <v>0</v>
      </c>
      <c r="AO12" s="20" t="str">
        <f ca="1">Master_List!$AW$27</f>
        <v>LVDB TX2</v>
      </c>
      <c r="AP12" s="20" t="str">
        <f ca="1">Master_List!$AW$28</f>
        <v>SUNPOWER TECHNOLOGIES</v>
      </c>
      <c r="AQ12" s="20" t="str">
        <f ca="1">Master_List!$AW$29</f>
        <v>SPS 30-10 L</v>
      </c>
      <c r="AR12" s="20" t="str">
        <f ca="1">Master_List!$AW$30</f>
        <v>11193-8527</v>
      </c>
      <c r="AS12" s="20">
        <f ca="1">Master_List!$AW$31</f>
        <v>0</v>
      </c>
      <c r="AT12" s="20">
        <f ca="1">Master_List!$AW$32</f>
        <v>0</v>
      </c>
      <c r="AU12" s="20">
        <f ca="1">Master_List!$AW$33</f>
        <v>0</v>
      </c>
      <c r="AV12" s="20">
        <f ca="1">Master_List!$AW$34</f>
        <v>0</v>
      </c>
      <c r="AW12" s="20">
        <f ca="1">Master_List!$AW$35</f>
        <v>0</v>
      </c>
      <c r="AX12" s="20">
        <f ca="1">Master_List!$AW$36</f>
        <v>0</v>
      </c>
      <c r="AY12" s="20">
        <f ca="1">Master_List!$AW$37</f>
        <v>0</v>
      </c>
      <c r="AZ12" s="20">
        <f ca="1">Master_List!$AW$38</f>
        <v>0</v>
      </c>
      <c r="BA12" s="20">
        <f ca="1">Master_List!$AW$39</f>
        <v>0</v>
      </c>
      <c r="BB12" s="20" t="s">
        <v>2240</v>
      </c>
      <c r="BC12" s="20" t="s">
        <v>2241</v>
      </c>
      <c r="BD12" s="6" t="s">
        <v>1744</v>
      </c>
      <c r="BE12" s="6" t="s">
        <v>1753</v>
      </c>
      <c r="BF12" s="6" t="s">
        <v>1746</v>
      </c>
      <c r="BG12" s="6" t="str">
        <f t="shared" si="0"/>
        <v>C:\Users\aremi\Desktop\REPORT CBM\PO 42289580 - Pahang 11kV SECOND CYCLE AZZAD 2026\RAW MATERIAL\047. TNB BARU (IR+VI)\RAW DATA\IR</v>
      </c>
      <c r="BH12" s="24" t="s">
        <v>551</v>
      </c>
    </row>
    <row r="13" spans="1:60" ht="30" customHeight="1" x14ac:dyDescent="0.25">
      <c r="A13" s="6">
        <v>6</v>
      </c>
      <c r="B13" s="6" t="s">
        <v>1529</v>
      </c>
      <c r="C13" s="6">
        <v>1</v>
      </c>
      <c r="D13" s="6" t="s">
        <v>2239</v>
      </c>
      <c r="E13" s="6">
        <v>6</v>
      </c>
      <c r="F13" s="6" t="str">
        <f ca="1">Master_List!$AW$1</f>
        <v>PERPUSTAKAAN PUSAT</v>
      </c>
      <c r="G13" s="27" t="str">
        <f ca="1">Master_List!$AW$2</f>
        <v>09:30 PM</v>
      </c>
      <c r="H13" s="32" t="str">
        <f ca="1">Master_List!$AW$3</f>
        <v>20/07/2026</v>
      </c>
      <c r="I13" s="28" t="str">
        <f ca="1">Master_List!$AW$4</f>
        <v>28.5</v>
      </c>
      <c r="J13" s="6" t="str">
        <f ca="1">Master_List!$AW$5</f>
        <v>65</v>
      </c>
      <c r="K13" s="6" t="s">
        <v>550</v>
      </c>
      <c r="L13" s="21" t="str">
        <f>IFERROR(VLOOKUP(B13, Master_List!$A:$I, 2, FALSE), "-")</f>
        <v>-</v>
      </c>
      <c r="M13" s="22" t="str">
        <f>IFERROR(VLOOKUP(B13, Master_List!$A:$I, 3, FALSE), "-")</f>
        <v>-</v>
      </c>
      <c r="N13" s="22" t="str">
        <f>IFERROR(VLOOKUP(B13, Master_List!$A:$I, 4, FALSE), "-")</f>
        <v>-</v>
      </c>
      <c r="O13" s="22" t="str">
        <f>IFERROR(VLOOKUP(B13, Master_List!$A:$I, 5, FALSE), "-")</f>
        <v>-</v>
      </c>
      <c r="P13" s="22" t="str">
        <f>IFERROR(VLOOKUP(B13, Master_List!$A:$I, 6, FALSE), "-")</f>
        <v>-</v>
      </c>
      <c r="Q13" s="22" t="str">
        <f>IFERROR(VLOOKUP(B13, Master_List!$A:$I, 7, FALSE), "-")</f>
        <v>-</v>
      </c>
      <c r="R13" s="22" t="str">
        <f>IFERROR(VLOOKUP(B13, Master_List!$A:$I, 8, FALSE), "-")</f>
        <v>-</v>
      </c>
      <c r="S13" s="22" t="str">
        <f>IFERROR(VLOOKUP(B13, Master_List!$A:$I, 9, FALSE), "-")</f>
        <v>-</v>
      </c>
      <c r="T13" s="20" t="str">
        <f ca="1">Master_List!$AW$6</f>
        <v>TOSHIBA</v>
      </c>
      <c r="U13" s="20" t="str">
        <f ca="1">Master_List!$AW$7</f>
        <v>MRMU</v>
      </c>
      <c r="V13" s="20" t="str">
        <f ca="1">Master_List!$AW$8</f>
        <v>12kV</v>
      </c>
      <c r="W13" s="20" t="str">
        <f ca="1">Master_List!$AW$9</f>
        <v>2S1F</v>
      </c>
      <c r="X13" s="20" t="str">
        <f ca="1">Master_List!$AW$10</f>
        <v>MTM</v>
      </c>
      <c r="Y13" s="20" t="str">
        <f ca="1">Master_List!$AW$11</f>
        <v>HERMETICALLY SEAL</v>
      </c>
      <c r="Z13" s="20" t="str">
        <f ca="1">Master_List!$AW$12</f>
        <v>750kVA</v>
      </c>
      <c r="AA13" s="20" t="str">
        <f ca="1">Master_List!$AW$13</f>
        <v>1317</v>
      </c>
      <c r="AB13" s="20">
        <f ca="1">Master_List!$AW$14</f>
        <v>0</v>
      </c>
      <c r="AC13" s="20">
        <f ca="1">Master_List!$AW$15</f>
        <v>0</v>
      </c>
      <c r="AD13" s="20">
        <f ca="1">Master_List!$AW$16</f>
        <v>0</v>
      </c>
      <c r="AE13" s="20">
        <f ca="1">Master_List!$AW$17</f>
        <v>0</v>
      </c>
      <c r="AF13" s="20" t="str">
        <f ca="1">Master_List!$AW$18</f>
        <v>INDKOM</v>
      </c>
      <c r="AG13" s="20" t="str">
        <f ca="1">Master_List!$AW$19</f>
        <v>J-SLOTTED</v>
      </c>
      <c r="AH13" s="20" t="str">
        <f ca="1">Master_List!$AW$20</f>
        <v>1600A</v>
      </c>
      <c r="AI13" s="20" t="str">
        <f ca="1">Master_List!$AW$21</f>
        <v>LV5080090</v>
      </c>
      <c r="AJ13" s="20" t="str">
        <f ca="1">Master_List!$AW$22</f>
        <v>LVDB TX1</v>
      </c>
      <c r="AK13" s="20">
        <f ca="1">Master_List!$AW$23</f>
        <v>0</v>
      </c>
      <c r="AL13" s="20">
        <f ca="1">Master_List!$AW$24</f>
        <v>0</v>
      </c>
      <c r="AM13" s="20">
        <f ca="1">Master_List!$AW$25</f>
        <v>0</v>
      </c>
      <c r="AN13" s="20">
        <f ca="1">Master_List!$AW$26</f>
        <v>0</v>
      </c>
      <c r="AO13" s="20" t="str">
        <f ca="1">Master_List!$AW$27</f>
        <v>LVDB TX2</v>
      </c>
      <c r="AP13" s="20" t="str">
        <f ca="1">Master_List!$AW$28</f>
        <v>SUNPOWER TECHNOLOGIES</v>
      </c>
      <c r="AQ13" s="20" t="str">
        <f ca="1">Master_List!$AW$29</f>
        <v>SPS 30-10 L</v>
      </c>
      <c r="AR13" s="20" t="str">
        <f ca="1">Master_List!$AW$30</f>
        <v>11193-8527</v>
      </c>
      <c r="AS13" s="20">
        <f ca="1">Master_List!$AW$31</f>
        <v>0</v>
      </c>
      <c r="AT13" s="20">
        <f ca="1">Master_List!$AW$32</f>
        <v>0</v>
      </c>
      <c r="AU13" s="20">
        <f ca="1">Master_List!$AW$33</f>
        <v>0</v>
      </c>
      <c r="AV13" s="20">
        <f ca="1">Master_List!$AW$34</f>
        <v>0</v>
      </c>
      <c r="AW13" s="20">
        <f ca="1">Master_List!$AW$35</f>
        <v>0</v>
      </c>
      <c r="AX13" s="20">
        <f ca="1">Master_List!$AW$36</f>
        <v>0</v>
      </c>
      <c r="AY13" s="20">
        <f ca="1">Master_List!$AW$37</f>
        <v>0</v>
      </c>
      <c r="AZ13" s="20">
        <f ca="1">Master_List!$AW$38</f>
        <v>0</v>
      </c>
      <c r="BA13" s="20">
        <f ca="1">Master_List!$AW$39</f>
        <v>0</v>
      </c>
      <c r="BB13" s="20" t="s">
        <v>2240</v>
      </c>
      <c r="BC13" s="20" t="s">
        <v>2241</v>
      </c>
      <c r="BD13" s="6" t="s">
        <v>1744</v>
      </c>
      <c r="BE13" s="6" t="s">
        <v>1753</v>
      </c>
      <c r="BF13" s="6" t="s">
        <v>1748</v>
      </c>
      <c r="BG13" s="6" t="str">
        <f t="shared" si="0"/>
        <v>C:\Users\aremi\Desktop\REPORT CBM\PO 42289580 - Pahang 11kV SECOND CYCLE AZZAD 2026\RAW MATERIAL\047. TNB BARU (IR+VI)\RAW DATA\IR</v>
      </c>
      <c r="BH13" s="24" t="s">
        <v>552</v>
      </c>
    </row>
    <row r="14" spans="1:60" ht="30" customHeight="1" x14ac:dyDescent="0.25">
      <c r="A14" s="6">
        <v>7</v>
      </c>
      <c r="B14" s="6" t="s">
        <v>1529</v>
      </c>
      <c r="C14" s="6">
        <v>1</v>
      </c>
      <c r="D14" s="6" t="s">
        <v>2239</v>
      </c>
      <c r="E14" s="6">
        <v>7</v>
      </c>
      <c r="F14" s="6" t="str">
        <f ca="1">Master_List!$AW$1</f>
        <v>PERPUSTAKAAN PUSAT</v>
      </c>
      <c r="G14" s="27" t="str">
        <f ca="1">Master_List!$AW$2</f>
        <v>09:30 PM</v>
      </c>
      <c r="H14" s="32" t="str">
        <f ca="1">Master_List!$AW$3</f>
        <v>20/07/2026</v>
      </c>
      <c r="I14" s="28" t="str">
        <f ca="1">Master_List!$AW$4</f>
        <v>28.5</v>
      </c>
      <c r="J14" s="6" t="str">
        <f ca="1">Master_List!$AW$5</f>
        <v>65</v>
      </c>
      <c r="K14" s="6" t="s">
        <v>553</v>
      </c>
      <c r="L14" s="21" t="str">
        <f>IFERROR(VLOOKUP(B14, Master_List!$A:$I, 2, FALSE), "-")</f>
        <v>-</v>
      </c>
      <c r="M14" s="22" t="str">
        <f>IFERROR(VLOOKUP(B14, Master_List!$A:$I, 3, FALSE), "-")</f>
        <v>-</v>
      </c>
      <c r="N14" s="22" t="str">
        <f>IFERROR(VLOOKUP(B14, Master_List!$A:$I, 4, FALSE), "-")</f>
        <v>-</v>
      </c>
      <c r="O14" s="22" t="str">
        <f>IFERROR(VLOOKUP(B14, Master_List!$A:$I, 5, FALSE), "-")</f>
        <v>-</v>
      </c>
      <c r="P14" s="22" t="str">
        <f>IFERROR(VLOOKUP(B14, Master_List!$A:$I, 6, FALSE), "-")</f>
        <v>-</v>
      </c>
      <c r="Q14" s="22" t="str">
        <f>IFERROR(VLOOKUP(B14, Master_List!$A:$I, 7, FALSE), "-")</f>
        <v>-</v>
      </c>
      <c r="R14" s="22" t="str">
        <f>IFERROR(VLOOKUP(B14, Master_List!$A:$I, 8, FALSE), "-")</f>
        <v>-</v>
      </c>
      <c r="S14" s="22" t="str">
        <f>IFERROR(VLOOKUP(B14, Master_List!$A:$I, 9, FALSE), "-")</f>
        <v>-</v>
      </c>
      <c r="T14" s="20" t="str">
        <f ca="1">Master_List!$AW$6</f>
        <v>TOSHIBA</v>
      </c>
      <c r="U14" s="20" t="str">
        <f ca="1">Master_List!$AW$7</f>
        <v>MRMU</v>
      </c>
      <c r="V14" s="20" t="str">
        <f ca="1">Master_List!$AW$8</f>
        <v>12kV</v>
      </c>
      <c r="W14" s="20" t="str">
        <f ca="1">Master_List!$AW$9</f>
        <v>2S1F</v>
      </c>
      <c r="X14" s="20" t="str">
        <f ca="1">Master_List!$AW$10</f>
        <v>MTM</v>
      </c>
      <c r="Y14" s="20" t="str">
        <f ca="1">Master_List!$AW$11</f>
        <v>HERMETICALLY SEAL</v>
      </c>
      <c r="Z14" s="20" t="str">
        <f ca="1">Master_List!$AW$12</f>
        <v>750kVA</v>
      </c>
      <c r="AA14" s="20" t="str">
        <f ca="1">Master_List!$AW$13</f>
        <v>1317</v>
      </c>
      <c r="AB14" s="20">
        <f ca="1">Master_List!$AW$14</f>
        <v>0</v>
      </c>
      <c r="AC14" s="20">
        <f ca="1">Master_List!$AW$15</f>
        <v>0</v>
      </c>
      <c r="AD14" s="20">
        <f ca="1">Master_List!$AW$16</f>
        <v>0</v>
      </c>
      <c r="AE14" s="20">
        <f ca="1">Master_List!$AW$17</f>
        <v>0</v>
      </c>
      <c r="AF14" s="20" t="str">
        <f ca="1">Master_List!$AW$18</f>
        <v>INDKOM</v>
      </c>
      <c r="AG14" s="20" t="str">
        <f ca="1">Master_List!$AW$19</f>
        <v>J-SLOTTED</v>
      </c>
      <c r="AH14" s="20" t="str">
        <f ca="1">Master_List!$AW$20</f>
        <v>1600A</v>
      </c>
      <c r="AI14" s="20" t="str">
        <f ca="1">Master_List!$AW$21</f>
        <v>LV5080090</v>
      </c>
      <c r="AJ14" s="20" t="str">
        <f ca="1">Master_List!$AW$22</f>
        <v>LVDB TX1</v>
      </c>
      <c r="AK14" s="20">
        <f ca="1">Master_List!$AW$23</f>
        <v>0</v>
      </c>
      <c r="AL14" s="20">
        <f ca="1">Master_List!$AW$24</f>
        <v>0</v>
      </c>
      <c r="AM14" s="20">
        <f ca="1">Master_List!$AW$25</f>
        <v>0</v>
      </c>
      <c r="AN14" s="20">
        <f ca="1">Master_List!$AW$26</f>
        <v>0</v>
      </c>
      <c r="AO14" s="20" t="str">
        <f ca="1">Master_List!$AW$27</f>
        <v>LVDB TX2</v>
      </c>
      <c r="AP14" s="20" t="str">
        <f ca="1">Master_List!$AW$28</f>
        <v>SUNPOWER TECHNOLOGIES</v>
      </c>
      <c r="AQ14" s="20" t="str">
        <f ca="1">Master_List!$AW$29</f>
        <v>SPS 30-10 L</v>
      </c>
      <c r="AR14" s="20" t="str">
        <f ca="1">Master_List!$AW$30</f>
        <v>11193-8527</v>
      </c>
      <c r="AS14" s="20">
        <f ca="1">Master_List!$AW$31</f>
        <v>0</v>
      </c>
      <c r="AT14" s="20">
        <f ca="1">Master_List!$AW$32</f>
        <v>0</v>
      </c>
      <c r="AU14" s="20">
        <f ca="1">Master_List!$AW$33</f>
        <v>0</v>
      </c>
      <c r="AV14" s="20">
        <f ca="1">Master_List!$AW$34</f>
        <v>0</v>
      </c>
      <c r="AW14" s="20">
        <f ca="1">Master_List!$AW$35</f>
        <v>0</v>
      </c>
      <c r="AX14" s="20">
        <f ca="1">Master_List!$AW$36</f>
        <v>0</v>
      </c>
      <c r="AY14" s="20">
        <f ca="1">Master_List!$AW$37</f>
        <v>0</v>
      </c>
      <c r="AZ14" s="20">
        <f ca="1">Master_List!$AW$38</f>
        <v>0</v>
      </c>
      <c r="BA14" s="20">
        <f ca="1">Master_List!$AW$39</f>
        <v>0</v>
      </c>
      <c r="BB14" s="20" t="s">
        <v>2240</v>
      </c>
      <c r="BC14" s="20" t="s">
        <v>2241</v>
      </c>
      <c r="BD14" s="6" t="s">
        <v>1744</v>
      </c>
      <c r="BE14" s="6" t="s">
        <v>1754</v>
      </c>
      <c r="BF14" s="6" t="s">
        <v>1746</v>
      </c>
      <c r="BG14" s="6" t="str">
        <f t="shared" si="0"/>
        <v>C:\Users\aremi\Desktop\REPORT CBM\PO 42289580 - Pahang 11kV SECOND CYCLE AZZAD 2026\RAW MATERIAL\047. TNB BARU (IR+VI)\RAW DATA\IR</v>
      </c>
      <c r="BH14" s="24" t="s">
        <v>554</v>
      </c>
    </row>
    <row r="15" spans="1:60" ht="30" customHeight="1" x14ac:dyDescent="0.25">
      <c r="A15" s="6">
        <v>7</v>
      </c>
      <c r="B15" s="6" t="s">
        <v>1529</v>
      </c>
      <c r="C15" s="6">
        <v>1</v>
      </c>
      <c r="D15" s="6" t="s">
        <v>2239</v>
      </c>
      <c r="E15" s="6">
        <v>7</v>
      </c>
      <c r="F15" s="6" t="str">
        <f ca="1">Master_List!$AW$1</f>
        <v>PERPUSTAKAAN PUSAT</v>
      </c>
      <c r="G15" s="27" t="str">
        <f ca="1">Master_List!$AW$2</f>
        <v>09:30 PM</v>
      </c>
      <c r="H15" s="32" t="str">
        <f ca="1">Master_List!$AW$3</f>
        <v>20/07/2026</v>
      </c>
      <c r="I15" s="28" t="str">
        <f ca="1">Master_List!$AW$4</f>
        <v>28.5</v>
      </c>
      <c r="J15" s="6" t="str">
        <f ca="1">Master_List!$AW$5</f>
        <v>65</v>
      </c>
      <c r="K15" s="6" t="s">
        <v>553</v>
      </c>
      <c r="L15" s="21" t="str">
        <f>IFERROR(VLOOKUP(B15, Master_List!$A:$I, 2, FALSE), "-")</f>
        <v>-</v>
      </c>
      <c r="M15" s="22" t="str">
        <f>IFERROR(VLOOKUP(B15, Master_List!$A:$I, 3, FALSE), "-")</f>
        <v>-</v>
      </c>
      <c r="N15" s="22" t="str">
        <f>IFERROR(VLOOKUP(B15, Master_List!$A:$I, 4, FALSE), "-")</f>
        <v>-</v>
      </c>
      <c r="O15" s="22" t="str">
        <f>IFERROR(VLOOKUP(B15, Master_List!$A:$I, 5, FALSE), "-")</f>
        <v>-</v>
      </c>
      <c r="P15" s="22" t="str">
        <f>IFERROR(VLOOKUP(B15, Master_List!$A:$I, 6, FALSE), "-")</f>
        <v>-</v>
      </c>
      <c r="Q15" s="22" t="str">
        <f>IFERROR(VLOOKUP(B15, Master_List!$A:$I, 7, FALSE), "-")</f>
        <v>-</v>
      </c>
      <c r="R15" s="22" t="str">
        <f>IFERROR(VLOOKUP(B15, Master_List!$A:$I, 8, FALSE), "-")</f>
        <v>-</v>
      </c>
      <c r="S15" s="22" t="str">
        <f>IFERROR(VLOOKUP(B15, Master_List!$A:$I, 9, FALSE), "-")</f>
        <v>-</v>
      </c>
      <c r="T15" s="20" t="str">
        <f ca="1">Master_List!$AW$6</f>
        <v>TOSHIBA</v>
      </c>
      <c r="U15" s="20" t="str">
        <f ca="1">Master_List!$AW$7</f>
        <v>MRMU</v>
      </c>
      <c r="V15" s="20" t="str">
        <f ca="1">Master_List!$AW$8</f>
        <v>12kV</v>
      </c>
      <c r="W15" s="20" t="str">
        <f ca="1">Master_List!$AW$9</f>
        <v>2S1F</v>
      </c>
      <c r="X15" s="20" t="str">
        <f ca="1">Master_List!$AW$10</f>
        <v>MTM</v>
      </c>
      <c r="Y15" s="20" t="str">
        <f ca="1">Master_List!$AW$11</f>
        <v>HERMETICALLY SEAL</v>
      </c>
      <c r="Z15" s="20" t="str">
        <f ca="1">Master_List!$AW$12</f>
        <v>750kVA</v>
      </c>
      <c r="AA15" s="20" t="str">
        <f ca="1">Master_List!$AW$13</f>
        <v>1317</v>
      </c>
      <c r="AB15" s="20">
        <f ca="1">Master_List!$AW$14</f>
        <v>0</v>
      </c>
      <c r="AC15" s="20">
        <f ca="1">Master_List!$AW$15</f>
        <v>0</v>
      </c>
      <c r="AD15" s="20">
        <f ca="1">Master_List!$AW$16</f>
        <v>0</v>
      </c>
      <c r="AE15" s="20">
        <f ca="1">Master_List!$AW$17</f>
        <v>0</v>
      </c>
      <c r="AF15" s="20" t="str">
        <f ca="1">Master_List!$AW$18</f>
        <v>INDKOM</v>
      </c>
      <c r="AG15" s="20" t="str">
        <f ca="1">Master_List!$AW$19</f>
        <v>J-SLOTTED</v>
      </c>
      <c r="AH15" s="20" t="str">
        <f ca="1">Master_List!$AW$20</f>
        <v>1600A</v>
      </c>
      <c r="AI15" s="20" t="str">
        <f ca="1">Master_List!$AW$21</f>
        <v>LV5080090</v>
      </c>
      <c r="AJ15" s="20" t="str">
        <f ca="1">Master_List!$AW$22</f>
        <v>LVDB TX1</v>
      </c>
      <c r="AK15" s="20">
        <f ca="1">Master_List!$AW$23</f>
        <v>0</v>
      </c>
      <c r="AL15" s="20">
        <f ca="1">Master_List!$AW$24</f>
        <v>0</v>
      </c>
      <c r="AM15" s="20">
        <f ca="1">Master_List!$AW$25</f>
        <v>0</v>
      </c>
      <c r="AN15" s="20">
        <f ca="1">Master_List!$AW$26</f>
        <v>0</v>
      </c>
      <c r="AO15" s="20" t="str">
        <f ca="1">Master_List!$AW$27</f>
        <v>LVDB TX2</v>
      </c>
      <c r="AP15" s="20" t="str">
        <f ca="1">Master_List!$AW$28</f>
        <v>SUNPOWER TECHNOLOGIES</v>
      </c>
      <c r="AQ15" s="20" t="str">
        <f ca="1">Master_List!$AW$29</f>
        <v>SPS 30-10 L</v>
      </c>
      <c r="AR15" s="20" t="str">
        <f ca="1">Master_List!$AW$30</f>
        <v>11193-8527</v>
      </c>
      <c r="AS15" s="20">
        <f ca="1">Master_List!$AW$31</f>
        <v>0</v>
      </c>
      <c r="AT15" s="20">
        <f ca="1">Master_List!$AW$32</f>
        <v>0</v>
      </c>
      <c r="AU15" s="20">
        <f ca="1">Master_List!$AW$33</f>
        <v>0</v>
      </c>
      <c r="AV15" s="20">
        <f ca="1">Master_List!$AW$34</f>
        <v>0</v>
      </c>
      <c r="AW15" s="20">
        <f ca="1">Master_List!$AW$35</f>
        <v>0</v>
      </c>
      <c r="AX15" s="20">
        <f ca="1">Master_List!$AW$36</f>
        <v>0</v>
      </c>
      <c r="AY15" s="20">
        <f ca="1">Master_List!$AW$37</f>
        <v>0</v>
      </c>
      <c r="AZ15" s="20">
        <f ca="1">Master_List!$AW$38</f>
        <v>0</v>
      </c>
      <c r="BA15" s="20">
        <f ca="1">Master_List!$AW$39</f>
        <v>0</v>
      </c>
      <c r="BB15" s="20" t="s">
        <v>2240</v>
      </c>
      <c r="BC15" s="20" t="s">
        <v>2241</v>
      </c>
      <c r="BD15" s="6" t="s">
        <v>1744</v>
      </c>
      <c r="BE15" s="6" t="s">
        <v>1754</v>
      </c>
      <c r="BF15" s="6" t="s">
        <v>1748</v>
      </c>
      <c r="BG15" s="6" t="str">
        <f t="shared" si="0"/>
        <v>C:\Users\aremi\Desktop\REPORT CBM\PO 42289580 - Pahang 11kV SECOND CYCLE AZZAD 2026\RAW MATERIAL\047. TNB BARU (IR+VI)\RAW DATA\IR</v>
      </c>
      <c r="BH15" s="24" t="s">
        <v>555</v>
      </c>
    </row>
    <row r="16" spans="1:60" ht="30" customHeight="1" x14ac:dyDescent="0.25">
      <c r="A16" s="6">
        <v>8</v>
      </c>
      <c r="B16" s="6" t="s">
        <v>1529</v>
      </c>
      <c r="C16" s="6">
        <v>1</v>
      </c>
      <c r="D16" s="6" t="s">
        <v>2239</v>
      </c>
      <c r="E16" s="6">
        <v>8</v>
      </c>
      <c r="F16" s="6" t="str">
        <f ca="1">Master_List!$AW$1</f>
        <v>PERPUSTAKAAN PUSAT</v>
      </c>
      <c r="G16" s="27" t="str">
        <f ca="1">Master_List!$AW$2</f>
        <v>09:30 PM</v>
      </c>
      <c r="H16" s="32" t="str">
        <f ca="1">Master_List!$AW$3</f>
        <v>20/07/2026</v>
      </c>
      <c r="I16" s="28" t="str">
        <f ca="1">Master_List!$AW$4</f>
        <v>28.5</v>
      </c>
      <c r="J16" s="6" t="str">
        <f ca="1">Master_List!$AW$5</f>
        <v>65</v>
      </c>
      <c r="K16" s="6" t="s">
        <v>556</v>
      </c>
      <c r="L16" s="21" t="str">
        <f>IFERROR(VLOOKUP(B16, Master_List!$A:$I, 2, FALSE), "-")</f>
        <v>-</v>
      </c>
      <c r="M16" s="22" t="str">
        <f>IFERROR(VLOOKUP(B16, Master_List!$A:$I, 3, FALSE), "-")</f>
        <v>-</v>
      </c>
      <c r="N16" s="22" t="str">
        <f>IFERROR(VLOOKUP(B16, Master_List!$A:$I, 4, FALSE), "-")</f>
        <v>-</v>
      </c>
      <c r="O16" s="22" t="str">
        <f>IFERROR(VLOOKUP(B16, Master_List!$A:$I, 5, FALSE), "-")</f>
        <v>-</v>
      </c>
      <c r="P16" s="22" t="str">
        <f>IFERROR(VLOOKUP(B16, Master_List!$A:$I, 6, FALSE), "-")</f>
        <v>-</v>
      </c>
      <c r="Q16" s="22" t="str">
        <f>IFERROR(VLOOKUP(B16, Master_List!$A:$I, 7, FALSE), "-")</f>
        <v>-</v>
      </c>
      <c r="R16" s="22" t="str">
        <f>IFERROR(VLOOKUP(B16, Master_List!$A:$I, 8, FALSE), "-")</f>
        <v>-</v>
      </c>
      <c r="S16" s="22" t="str">
        <f>IFERROR(VLOOKUP(B16, Master_List!$A:$I, 9, FALSE), "-")</f>
        <v>-</v>
      </c>
      <c r="T16" s="20" t="str">
        <f ca="1">Master_List!$AW$6</f>
        <v>TOSHIBA</v>
      </c>
      <c r="U16" s="20" t="str">
        <f ca="1">Master_List!$AW$7</f>
        <v>MRMU</v>
      </c>
      <c r="V16" s="20" t="str">
        <f ca="1">Master_List!$AW$8</f>
        <v>12kV</v>
      </c>
      <c r="W16" s="20" t="str">
        <f ca="1">Master_List!$AW$9</f>
        <v>2S1F</v>
      </c>
      <c r="X16" s="20" t="str">
        <f ca="1">Master_List!$AW$10</f>
        <v>MTM</v>
      </c>
      <c r="Y16" s="20" t="str">
        <f ca="1">Master_List!$AW$11</f>
        <v>HERMETICALLY SEAL</v>
      </c>
      <c r="Z16" s="20" t="str">
        <f ca="1">Master_List!$AW$12</f>
        <v>750kVA</v>
      </c>
      <c r="AA16" s="20" t="str">
        <f ca="1">Master_List!$AW$13</f>
        <v>1317</v>
      </c>
      <c r="AB16" s="20">
        <f ca="1">Master_List!$AW$14</f>
        <v>0</v>
      </c>
      <c r="AC16" s="20">
        <f ca="1">Master_List!$AW$15</f>
        <v>0</v>
      </c>
      <c r="AD16" s="20">
        <f ca="1">Master_List!$AW$16</f>
        <v>0</v>
      </c>
      <c r="AE16" s="20">
        <f ca="1">Master_List!$AW$17</f>
        <v>0</v>
      </c>
      <c r="AF16" s="20" t="str">
        <f ca="1">Master_List!$AW$18</f>
        <v>INDKOM</v>
      </c>
      <c r="AG16" s="20" t="str">
        <f ca="1">Master_List!$AW$19</f>
        <v>J-SLOTTED</v>
      </c>
      <c r="AH16" s="20" t="str">
        <f ca="1">Master_List!$AW$20</f>
        <v>1600A</v>
      </c>
      <c r="AI16" s="20" t="str">
        <f ca="1">Master_List!$AW$21</f>
        <v>LV5080090</v>
      </c>
      <c r="AJ16" s="20" t="str">
        <f ca="1">Master_List!$AW$22</f>
        <v>LVDB TX1</v>
      </c>
      <c r="AK16" s="20">
        <f ca="1">Master_List!$AW$23</f>
        <v>0</v>
      </c>
      <c r="AL16" s="20">
        <f ca="1">Master_List!$AW$24</f>
        <v>0</v>
      </c>
      <c r="AM16" s="20">
        <f ca="1">Master_List!$AW$25</f>
        <v>0</v>
      </c>
      <c r="AN16" s="20">
        <f ca="1">Master_List!$AW$26</f>
        <v>0</v>
      </c>
      <c r="AO16" s="20" t="str">
        <f ca="1">Master_List!$AW$27</f>
        <v>LVDB TX2</v>
      </c>
      <c r="AP16" s="20" t="str">
        <f ca="1">Master_List!$AW$28</f>
        <v>SUNPOWER TECHNOLOGIES</v>
      </c>
      <c r="AQ16" s="20" t="str">
        <f ca="1">Master_List!$AW$29</f>
        <v>SPS 30-10 L</v>
      </c>
      <c r="AR16" s="20" t="str">
        <f ca="1">Master_List!$AW$30</f>
        <v>11193-8527</v>
      </c>
      <c r="AS16" s="20">
        <f ca="1">Master_List!$AW$31</f>
        <v>0</v>
      </c>
      <c r="AT16" s="20">
        <f ca="1">Master_List!$AW$32</f>
        <v>0</v>
      </c>
      <c r="AU16" s="20">
        <f ca="1">Master_List!$AW$33</f>
        <v>0</v>
      </c>
      <c r="AV16" s="20">
        <f ca="1">Master_List!$AW$34</f>
        <v>0</v>
      </c>
      <c r="AW16" s="20">
        <f ca="1">Master_List!$AW$35</f>
        <v>0</v>
      </c>
      <c r="AX16" s="20">
        <f ca="1">Master_List!$AW$36</f>
        <v>0</v>
      </c>
      <c r="AY16" s="20">
        <f ca="1">Master_List!$AW$37</f>
        <v>0</v>
      </c>
      <c r="AZ16" s="20">
        <f ca="1">Master_List!$AW$38</f>
        <v>0</v>
      </c>
      <c r="BA16" s="20">
        <f ca="1">Master_List!$AW$39</f>
        <v>0</v>
      </c>
      <c r="BB16" s="20" t="s">
        <v>2240</v>
      </c>
      <c r="BC16" s="20" t="s">
        <v>2241</v>
      </c>
      <c r="BD16" s="6" t="s">
        <v>1744</v>
      </c>
      <c r="BE16" s="6" t="s">
        <v>1755</v>
      </c>
      <c r="BF16" s="6" t="s">
        <v>1746</v>
      </c>
      <c r="BG16" s="6" t="str">
        <f t="shared" si="0"/>
        <v>C:\Users\aremi\Desktop\REPORT CBM\PO 42289580 - Pahang 11kV SECOND CYCLE AZZAD 2026\RAW MATERIAL\047. TNB BARU (IR+VI)\RAW DATA\IR</v>
      </c>
      <c r="BH16" s="24" t="s">
        <v>557</v>
      </c>
    </row>
    <row r="17" spans="1:60" ht="30" customHeight="1" x14ac:dyDescent="0.25">
      <c r="A17" s="6">
        <v>8</v>
      </c>
      <c r="B17" s="6" t="s">
        <v>1529</v>
      </c>
      <c r="C17" s="6">
        <v>1</v>
      </c>
      <c r="D17" s="6" t="s">
        <v>2239</v>
      </c>
      <c r="E17" s="6">
        <v>8</v>
      </c>
      <c r="F17" s="6" t="str">
        <f ca="1">Master_List!$AW$1</f>
        <v>PERPUSTAKAAN PUSAT</v>
      </c>
      <c r="G17" s="27" t="str">
        <f ca="1">Master_List!$AW$2</f>
        <v>09:30 PM</v>
      </c>
      <c r="H17" s="32" t="str">
        <f ca="1">Master_List!$AW$3</f>
        <v>20/07/2026</v>
      </c>
      <c r="I17" s="28" t="str">
        <f ca="1">Master_List!$AW$4</f>
        <v>28.5</v>
      </c>
      <c r="J17" s="6" t="str">
        <f ca="1">Master_List!$AW$5</f>
        <v>65</v>
      </c>
      <c r="K17" s="6" t="s">
        <v>556</v>
      </c>
      <c r="L17" s="21" t="str">
        <f>IFERROR(VLOOKUP(B17, Master_List!$A:$I, 2, FALSE), "-")</f>
        <v>-</v>
      </c>
      <c r="M17" s="22" t="str">
        <f>IFERROR(VLOOKUP(B17, Master_List!$A:$I, 3, FALSE), "-")</f>
        <v>-</v>
      </c>
      <c r="N17" s="22" t="str">
        <f>IFERROR(VLOOKUP(B17, Master_List!$A:$I, 4, FALSE), "-")</f>
        <v>-</v>
      </c>
      <c r="O17" s="22" t="str">
        <f>IFERROR(VLOOKUP(B17, Master_List!$A:$I, 5, FALSE), "-")</f>
        <v>-</v>
      </c>
      <c r="P17" s="22" t="str">
        <f>IFERROR(VLOOKUP(B17, Master_List!$A:$I, 6, FALSE), "-")</f>
        <v>-</v>
      </c>
      <c r="Q17" s="22" t="str">
        <f>IFERROR(VLOOKUP(B17, Master_List!$A:$I, 7, FALSE), "-")</f>
        <v>-</v>
      </c>
      <c r="R17" s="22" t="str">
        <f>IFERROR(VLOOKUP(B17, Master_List!$A:$I, 8, FALSE), "-")</f>
        <v>-</v>
      </c>
      <c r="S17" s="22" t="str">
        <f>IFERROR(VLOOKUP(B17, Master_List!$A:$I, 9, FALSE), "-")</f>
        <v>-</v>
      </c>
      <c r="T17" s="20" t="str">
        <f ca="1">Master_List!$AW$6</f>
        <v>TOSHIBA</v>
      </c>
      <c r="U17" s="20" t="str">
        <f ca="1">Master_List!$AW$7</f>
        <v>MRMU</v>
      </c>
      <c r="V17" s="20" t="str">
        <f ca="1">Master_List!$AW$8</f>
        <v>12kV</v>
      </c>
      <c r="W17" s="20" t="str">
        <f ca="1">Master_List!$AW$9</f>
        <v>2S1F</v>
      </c>
      <c r="X17" s="20" t="str">
        <f ca="1">Master_List!$AW$10</f>
        <v>MTM</v>
      </c>
      <c r="Y17" s="20" t="str">
        <f ca="1">Master_List!$AW$11</f>
        <v>HERMETICALLY SEAL</v>
      </c>
      <c r="Z17" s="20" t="str">
        <f ca="1">Master_List!$AW$12</f>
        <v>750kVA</v>
      </c>
      <c r="AA17" s="20" t="str">
        <f ca="1">Master_List!$AW$13</f>
        <v>1317</v>
      </c>
      <c r="AB17" s="20">
        <f ca="1">Master_List!$AW$14</f>
        <v>0</v>
      </c>
      <c r="AC17" s="20">
        <f ca="1">Master_List!$AW$15</f>
        <v>0</v>
      </c>
      <c r="AD17" s="20">
        <f ca="1">Master_List!$AW$16</f>
        <v>0</v>
      </c>
      <c r="AE17" s="20">
        <f ca="1">Master_List!$AW$17</f>
        <v>0</v>
      </c>
      <c r="AF17" s="20" t="str">
        <f ca="1">Master_List!$AW$18</f>
        <v>INDKOM</v>
      </c>
      <c r="AG17" s="20" t="str">
        <f ca="1">Master_List!$AW$19</f>
        <v>J-SLOTTED</v>
      </c>
      <c r="AH17" s="20" t="str">
        <f ca="1">Master_List!$AW$20</f>
        <v>1600A</v>
      </c>
      <c r="AI17" s="20" t="str">
        <f ca="1">Master_List!$AW$21</f>
        <v>LV5080090</v>
      </c>
      <c r="AJ17" s="20" t="str">
        <f ca="1">Master_List!$AW$22</f>
        <v>LVDB TX1</v>
      </c>
      <c r="AK17" s="20">
        <f ca="1">Master_List!$AW$23</f>
        <v>0</v>
      </c>
      <c r="AL17" s="20">
        <f ca="1">Master_List!$AW$24</f>
        <v>0</v>
      </c>
      <c r="AM17" s="20">
        <f ca="1">Master_List!$AW$25</f>
        <v>0</v>
      </c>
      <c r="AN17" s="20">
        <f ca="1">Master_List!$AW$26</f>
        <v>0</v>
      </c>
      <c r="AO17" s="20" t="str">
        <f ca="1">Master_List!$AW$27</f>
        <v>LVDB TX2</v>
      </c>
      <c r="AP17" s="20" t="str">
        <f ca="1">Master_List!$AW$28</f>
        <v>SUNPOWER TECHNOLOGIES</v>
      </c>
      <c r="AQ17" s="20" t="str">
        <f ca="1">Master_List!$AW$29</f>
        <v>SPS 30-10 L</v>
      </c>
      <c r="AR17" s="20" t="str">
        <f ca="1">Master_List!$AW$30</f>
        <v>11193-8527</v>
      </c>
      <c r="AS17" s="20">
        <f ca="1">Master_List!$AW$31</f>
        <v>0</v>
      </c>
      <c r="AT17" s="20">
        <f ca="1">Master_List!$AW$32</f>
        <v>0</v>
      </c>
      <c r="AU17" s="20">
        <f ca="1">Master_List!$AW$33</f>
        <v>0</v>
      </c>
      <c r="AV17" s="20">
        <f ca="1">Master_List!$AW$34</f>
        <v>0</v>
      </c>
      <c r="AW17" s="20">
        <f ca="1">Master_List!$AW$35</f>
        <v>0</v>
      </c>
      <c r="AX17" s="20">
        <f ca="1">Master_List!$AW$36</f>
        <v>0</v>
      </c>
      <c r="AY17" s="20">
        <f ca="1">Master_List!$AW$37</f>
        <v>0</v>
      </c>
      <c r="AZ17" s="20">
        <f ca="1">Master_List!$AW$38</f>
        <v>0</v>
      </c>
      <c r="BA17" s="20">
        <f ca="1">Master_List!$AW$39</f>
        <v>0</v>
      </c>
      <c r="BB17" s="20" t="s">
        <v>2240</v>
      </c>
      <c r="BC17" s="20" t="s">
        <v>2241</v>
      </c>
      <c r="BD17" s="6" t="s">
        <v>1744</v>
      </c>
      <c r="BE17" s="6" t="s">
        <v>1755</v>
      </c>
      <c r="BF17" s="6" t="s">
        <v>1748</v>
      </c>
      <c r="BG17" s="6" t="str">
        <f t="shared" si="0"/>
        <v>C:\Users\aremi\Desktop\REPORT CBM\PO 42289580 - Pahang 11kV SECOND CYCLE AZZAD 2026\RAW MATERIAL\047. TNB BARU (IR+VI)\RAW DATA\IR</v>
      </c>
      <c r="BH17" s="24" t="s">
        <v>558</v>
      </c>
    </row>
    <row r="18" spans="1:60" ht="30" customHeight="1" x14ac:dyDescent="0.25">
      <c r="A18" s="6">
        <v>9</v>
      </c>
      <c r="B18" s="6" t="s">
        <v>1529</v>
      </c>
      <c r="C18" s="6">
        <v>1</v>
      </c>
      <c r="D18" s="6" t="s">
        <v>2239</v>
      </c>
      <c r="E18" s="6">
        <v>9</v>
      </c>
      <c r="F18" s="6" t="str">
        <f ca="1">Master_List!$AW$1</f>
        <v>PERPUSTAKAAN PUSAT</v>
      </c>
      <c r="G18" s="27" t="str">
        <f ca="1">Master_List!$AW$2</f>
        <v>09:30 PM</v>
      </c>
      <c r="H18" s="32" t="str">
        <f ca="1">Master_List!$AW$3</f>
        <v>20/07/2026</v>
      </c>
      <c r="I18" s="28" t="str">
        <f ca="1">Master_List!$AW$4</f>
        <v>28.5</v>
      </c>
      <c r="J18" s="6" t="str">
        <f ca="1">Master_List!$AW$5</f>
        <v>65</v>
      </c>
      <c r="K18" s="6" t="s">
        <v>553</v>
      </c>
      <c r="L18" s="21" t="str">
        <f>IFERROR(VLOOKUP(B18, Master_List!$A:$I, 2, FALSE), "-")</f>
        <v>-</v>
      </c>
      <c r="M18" s="22" t="str">
        <f>IFERROR(VLOOKUP(B18, Master_List!$A:$I, 3, FALSE), "-")</f>
        <v>-</v>
      </c>
      <c r="N18" s="22" t="str">
        <f>IFERROR(VLOOKUP(B18, Master_List!$A:$I, 4, FALSE), "-")</f>
        <v>-</v>
      </c>
      <c r="O18" s="22" t="str">
        <f>IFERROR(VLOOKUP(B18, Master_List!$A:$I, 5, FALSE), "-")</f>
        <v>-</v>
      </c>
      <c r="P18" s="22" t="str">
        <f>IFERROR(VLOOKUP(B18, Master_List!$A:$I, 6, FALSE), "-")</f>
        <v>-</v>
      </c>
      <c r="Q18" s="22" t="str">
        <f>IFERROR(VLOOKUP(B18, Master_List!$A:$I, 7, FALSE), "-")</f>
        <v>-</v>
      </c>
      <c r="R18" s="22" t="str">
        <f>IFERROR(VLOOKUP(B18, Master_List!$A:$I, 8, FALSE), "-")</f>
        <v>-</v>
      </c>
      <c r="S18" s="22" t="str">
        <f>IFERROR(VLOOKUP(B18, Master_List!$A:$I, 9, FALSE), "-")</f>
        <v>-</v>
      </c>
      <c r="T18" s="20" t="str">
        <f ca="1">Master_List!$AW$6</f>
        <v>TOSHIBA</v>
      </c>
      <c r="U18" s="20" t="str">
        <f ca="1">Master_List!$AW$7</f>
        <v>MRMU</v>
      </c>
      <c r="V18" s="20" t="str">
        <f ca="1">Master_List!$AW$8</f>
        <v>12kV</v>
      </c>
      <c r="W18" s="20" t="str">
        <f ca="1">Master_List!$AW$9</f>
        <v>2S1F</v>
      </c>
      <c r="X18" s="20" t="str">
        <f ca="1">Master_List!$AW$10</f>
        <v>MTM</v>
      </c>
      <c r="Y18" s="20" t="str">
        <f ca="1">Master_List!$AW$11</f>
        <v>HERMETICALLY SEAL</v>
      </c>
      <c r="Z18" s="20" t="str">
        <f ca="1">Master_List!$AW$12</f>
        <v>750kVA</v>
      </c>
      <c r="AA18" s="20" t="str">
        <f ca="1">Master_List!$AW$13</f>
        <v>1317</v>
      </c>
      <c r="AB18" s="20">
        <f ca="1">Master_List!$AW$14</f>
        <v>0</v>
      </c>
      <c r="AC18" s="20">
        <f ca="1">Master_List!$AW$15</f>
        <v>0</v>
      </c>
      <c r="AD18" s="20">
        <f ca="1">Master_List!$AW$16</f>
        <v>0</v>
      </c>
      <c r="AE18" s="20">
        <f ca="1">Master_List!$AW$17</f>
        <v>0</v>
      </c>
      <c r="AF18" s="20" t="str">
        <f ca="1">Master_List!$AW$18</f>
        <v>INDKOM</v>
      </c>
      <c r="AG18" s="20" t="str">
        <f ca="1">Master_List!$AW$19</f>
        <v>J-SLOTTED</v>
      </c>
      <c r="AH18" s="20" t="str">
        <f ca="1">Master_List!$AW$20</f>
        <v>1600A</v>
      </c>
      <c r="AI18" s="20" t="str">
        <f ca="1">Master_List!$AW$21</f>
        <v>LV5080090</v>
      </c>
      <c r="AJ18" s="20" t="str">
        <f ca="1">Master_List!$AW$22</f>
        <v>LVDB TX1</v>
      </c>
      <c r="AK18" s="20">
        <f ca="1">Master_List!$AW$23</f>
        <v>0</v>
      </c>
      <c r="AL18" s="20">
        <f ca="1">Master_List!$AW$24</f>
        <v>0</v>
      </c>
      <c r="AM18" s="20">
        <f ca="1">Master_List!$AW$25</f>
        <v>0</v>
      </c>
      <c r="AN18" s="20">
        <f ca="1">Master_List!$AW$26</f>
        <v>0</v>
      </c>
      <c r="AO18" s="20" t="str">
        <f ca="1">Master_List!$AW$27</f>
        <v>LVDB TX2</v>
      </c>
      <c r="AP18" s="20" t="str">
        <f ca="1">Master_List!$AW$28</f>
        <v>SUNPOWER TECHNOLOGIES</v>
      </c>
      <c r="AQ18" s="20" t="str">
        <f ca="1">Master_List!$AW$29</f>
        <v>SPS 30-10 L</v>
      </c>
      <c r="AR18" s="20" t="str">
        <f ca="1">Master_List!$AW$30</f>
        <v>11193-8527</v>
      </c>
      <c r="AS18" s="20">
        <f ca="1">Master_List!$AW$31</f>
        <v>0</v>
      </c>
      <c r="AT18" s="20">
        <f ca="1">Master_List!$AW$32</f>
        <v>0</v>
      </c>
      <c r="AU18" s="20">
        <f ca="1">Master_List!$AW$33</f>
        <v>0</v>
      </c>
      <c r="AV18" s="20">
        <f ca="1">Master_List!$AW$34</f>
        <v>0</v>
      </c>
      <c r="AW18" s="20">
        <f ca="1">Master_List!$AW$35</f>
        <v>0</v>
      </c>
      <c r="AX18" s="20">
        <f ca="1">Master_List!$AW$36</f>
        <v>0</v>
      </c>
      <c r="AY18" s="20">
        <f ca="1">Master_List!$AW$37</f>
        <v>0</v>
      </c>
      <c r="AZ18" s="20">
        <f ca="1">Master_List!$AW$38</f>
        <v>0</v>
      </c>
      <c r="BA18" s="20">
        <f ca="1">Master_List!$AW$39</f>
        <v>0</v>
      </c>
      <c r="BB18" s="20" t="s">
        <v>2240</v>
      </c>
      <c r="BC18" s="20" t="s">
        <v>2241</v>
      </c>
      <c r="BD18" s="6" t="s">
        <v>1744</v>
      </c>
      <c r="BE18" s="6" t="s">
        <v>1756</v>
      </c>
      <c r="BF18" s="6" t="s">
        <v>1746</v>
      </c>
      <c r="BG18" s="6" t="str">
        <f t="shared" si="0"/>
        <v>C:\Users\aremi\Desktop\REPORT CBM\PO 42289580 - Pahang 11kV SECOND CYCLE AZZAD 2026\RAW MATERIAL\047. TNB BARU (IR+VI)\RAW DATA\IR</v>
      </c>
      <c r="BH18" s="24" t="s">
        <v>559</v>
      </c>
    </row>
    <row r="19" spans="1:60" ht="30" customHeight="1" x14ac:dyDescent="0.25">
      <c r="A19" s="6">
        <v>9</v>
      </c>
      <c r="B19" s="6" t="s">
        <v>1529</v>
      </c>
      <c r="C19" s="6">
        <v>1</v>
      </c>
      <c r="D19" s="6" t="s">
        <v>2239</v>
      </c>
      <c r="E19" s="6">
        <v>9</v>
      </c>
      <c r="F19" s="6" t="str">
        <f ca="1">Master_List!$AW$1</f>
        <v>PERPUSTAKAAN PUSAT</v>
      </c>
      <c r="G19" s="27" t="str">
        <f ca="1">Master_List!$AW$2</f>
        <v>09:30 PM</v>
      </c>
      <c r="H19" s="32" t="str">
        <f ca="1">Master_List!$AW$3</f>
        <v>20/07/2026</v>
      </c>
      <c r="I19" s="28" t="str">
        <f ca="1">Master_List!$AW$4</f>
        <v>28.5</v>
      </c>
      <c r="J19" s="6" t="str">
        <f ca="1">Master_List!$AW$5</f>
        <v>65</v>
      </c>
      <c r="K19" s="6" t="s">
        <v>553</v>
      </c>
      <c r="L19" s="21" t="str">
        <f>IFERROR(VLOOKUP(B19, Master_List!$A:$I, 2, FALSE), "-")</f>
        <v>-</v>
      </c>
      <c r="M19" s="22" t="str">
        <f>IFERROR(VLOOKUP(B19, Master_List!$A:$I, 3, FALSE), "-")</f>
        <v>-</v>
      </c>
      <c r="N19" s="22" t="str">
        <f>IFERROR(VLOOKUP(B19, Master_List!$A:$I, 4, FALSE), "-")</f>
        <v>-</v>
      </c>
      <c r="O19" s="22" t="str">
        <f>IFERROR(VLOOKUP(B19, Master_List!$A:$I, 5, FALSE), "-")</f>
        <v>-</v>
      </c>
      <c r="P19" s="22" t="str">
        <f>IFERROR(VLOOKUP(B19, Master_List!$A:$I, 6, FALSE), "-")</f>
        <v>-</v>
      </c>
      <c r="Q19" s="22" t="str">
        <f>IFERROR(VLOOKUP(B19, Master_List!$A:$I, 7, FALSE), "-")</f>
        <v>-</v>
      </c>
      <c r="R19" s="22" t="str">
        <f>IFERROR(VLOOKUP(B19, Master_List!$A:$I, 8, FALSE), "-")</f>
        <v>-</v>
      </c>
      <c r="S19" s="22" t="str">
        <f>IFERROR(VLOOKUP(B19, Master_List!$A:$I, 9, FALSE), "-")</f>
        <v>-</v>
      </c>
      <c r="T19" s="20" t="str">
        <f ca="1">Master_List!$AW$6</f>
        <v>TOSHIBA</v>
      </c>
      <c r="U19" s="20" t="str">
        <f ca="1">Master_List!$AW$7</f>
        <v>MRMU</v>
      </c>
      <c r="V19" s="20" t="str">
        <f ca="1">Master_List!$AW$8</f>
        <v>12kV</v>
      </c>
      <c r="W19" s="20" t="str">
        <f ca="1">Master_List!$AW$9</f>
        <v>2S1F</v>
      </c>
      <c r="X19" s="20" t="str">
        <f ca="1">Master_List!$AW$10</f>
        <v>MTM</v>
      </c>
      <c r="Y19" s="20" t="str">
        <f ca="1">Master_List!$AW$11</f>
        <v>HERMETICALLY SEAL</v>
      </c>
      <c r="Z19" s="20" t="str">
        <f ca="1">Master_List!$AW$12</f>
        <v>750kVA</v>
      </c>
      <c r="AA19" s="20" t="str">
        <f ca="1">Master_List!$AW$13</f>
        <v>1317</v>
      </c>
      <c r="AB19" s="20">
        <f ca="1">Master_List!$AW$14</f>
        <v>0</v>
      </c>
      <c r="AC19" s="20">
        <f ca="1">Master_List!$AW$15</f>
        <v>0</v>
      </c>
      <c r="AD19" s="20">
        <f ca="1">Master_List!$AW$16</f>
        <v>0</v>
      </c>
      <c r="AE19" s="20">
        <f ca="1">Master_List!$AW$17</f>
        <v>0</v>
      </c>
      <c r="AF19" s="20" t="str">
        <f ca="1">Master_List!$AW$18</f>
        <v>INDKOM</v>
      </c>
      <c r="AG19" s="20" t="str">
        <f ca="1">Master_List!$AW$19</f>
        <v>J-SLOTTED</v>
      </c>
      <c r="AH19" s="20" t="str">
        <f ca="1">Master_List!$AW$20</f>
        <v>1600A</v>
      </c>
      <c r="AI19" s="20" t="str">
        <f ca="1">Master_List!$AW$21</f>
        <v>LV5080090</v>
      </c>
      <c r="AJ19" s="20" t="str">
        <f ca="1">Master_List!$AW$22</f>
        <v>LVDB TX1</v>
      </c>
      <c r="AK19" s="20">
        <f ca="1">Master_List!$AW$23</f>
        <v>0</v>
      </c>
      <c r="AL19" s="20">
        <f ca="1">Master_List!$AW$24</f>
        <v>0</v>
      </c>
      <c r="AM19" s="20">
        <f ca="1">Master_List!$AW$25</f>
        <v>0</v>
      </c>
      <c r="AN19" s="20">
        <f ca="1">Master_List!$AW$26</f>
        <v>0</v>
      </c>
      <c r="AO19" s="20" t="str">
        <f ca="1">Master_List!$AW$27</f>
        <v>LVDB TX2</v>
      </c>
      <c r="AP19" s="20" t="str">
        <f ca="1">Master_List!$AW$28</f>
        <v>SUNPOWER TECHNOLOGIES</v>
      </c>
      <c r="AQ19" s="20" t="str">
        <f ca="1">Master_List!$AW$29</f>
        <v>SPS 30-10 L</v>
      </c>
      <c r="AR19" s="20" t="str">
        <f ca="1">Master_List!$AW$30</f>
        <v>11193-8527</v>
      </c>
      <c r="AS19" s="20">
        <f ca="1">Master_List!$AW$31</f>
        <v>0</v>
      </c>
      <c r="AT19" s="20">
        <f ca="1">Master_List!$AW$32</f>
        <v>0</v>
      </c>
      <c r="AU19" s="20">
        <f ca="1">Master_List!$AW$33</f>
        <v>0</v>
      </c>
      <c r="AV19" s="20">
        <f ca="1">Master_List!$AW$34</f>
        <v>0</v>
      </c>
      <c r="AW19" s="20">
        <f ca="1">Master_List!$AW$35</f>
        <v>0</v>
      </c>
      <c r="AX19" s="20">
        <f ca="1">Master_List!$AW$36</f>
        <v>0</v>
      </c>
      <c r="AY19" s="20">
        <f ca="1">Master_List!$AW$37</f>
        <v>0</v>
      </c>
      <c r="AZ19" s="20">
        <f ca="1">Master_List!$AW$38</f>
        <v>0</v>
      </c>
      <c r="BA19" s="20">
        <f ca="1">Master_List!$AW$39</f>
        <v>0</v>
      </c>
      <c r="BB19" s="20" t="s">
        <v>2240</v>
      </c>
      <c r="BC19" s="20" t="s">
        <v>2241</v>
      </c>
      <c r="BD19" s="6" t="s">
        <v>1744</v>
      </c>
      <c r="BE19" s="6" t="s">
        <v>1756</v>
      </c>
      <c r="BF19" s="6" t="s">
        <v>1748</v>
      </c>
      <c r="BG19" s="6" t="str">
        <f t="shared" si="0"/>
        <v>C:\Users\aremi\Desktop\REPORT CBM\PO 42289580 - Pahang 11kV SECOND CYCLE AZZAD 2026\RAW MATERIAL\047. TNB BARU (IR+VI)\RAW DATA\IR</v>
      </c>
      <c r="BH19" s="24" t="s">
        <v>560</v>
      </c>
    </row>
    <row r="20" spans="1:60" ht="30" customHeight="1" x14ac:dyDescent="0.25">
      <c r="A20" s="6">
        <v>10</v>
      </c>
      <c r="B20" s="6" t="s">
        <v>1529</v>
      </c>
      <c r="C20" s="6">
        <v>1</v>
      </c>
      <c r="D20" s="6" t="s">
        <v>2239</v>
      </c>
      <c r="E20" s="6">
        <v>10</v>
      </c>
      <c r="F20" s="6" t="str">
        <f ca="1">Master_List!$AW$1</f>
        <v>PERPUSTAKAAN PUSAT</v>
      </c>
      <c r="G20" s="27" t="str">
        <f ca="1">Master_List!$AW$2</f>
        <v>09:30 PM</v>
      </c>
      <c r="H20" s="32" t="str">
        <f ca="1">Master_List!$AW$3</f>
        <v>20/07/2026</v>
      </c>
      <c r="I20" s="28" t="str">
        <f ca="1">Master_List!$AW$4</f>
        <v>28.5</v>
      </c>
      <c r="J20" s="6" t="str">
        <f ca="1">Master_List!$AW$5</f>
        <v>65</v>
      </c>
      <c r="K20" s="6" t="s">
        <v>556</v>
      </c>
      <c r="L20" s="21" t="str">
        <f>IFERROR(VLOOKUP(B20, Master_List!$A:$I, 2, FALSE), "-")</f>
        <v>-</v>
      </c>
      <c r="M20" s="22" t="str">
        <f>IFERROR(VLOOKUP(B20, Master_List!$A:$I, 3, FALSE), "-")</f>
        <v>-</v>
      </c>
      <c r="N20" s="22" t="str">
        <f>IFERROR(VLOOKUP(B20, Master_List!$A:$I, 4, FALSE), "-")</f>
        <v>-</v>
      </c>
      <c r="O20" s="22" t="str">
        <f>IFERROR(VLOOKUP(B20, Master_List!$A:$I, 5, FALSE), "-")</f>
        <v>-</v>
      </c>
      <c r="P20" s="22" t="str">
        <f>IFERROR(VLOOKUP(B20, Master_List!$A:$I, 6, FALSE), "-")</f>
        <v>-</v>
      </c>
      <c r="Q20" s="22" t="str">
        <f>IFERROR(VLOOKUP(B20, Master_List!$A:$I, 7, FALSE), "-")</f>
        <v>-</v>
      </c>
      <c r="R20" s="22" t="str">
        <f>IFERROR(VLOOKUP(B20, Master_List!$A:$I, 8, FALSE), "-")</f>
        <v>-</v>
      </c>
      <c r="S20" s="22" t="str">
        <f>IFERROR(VLOOKUP(B20, Master_List!$A:$I, 9, FALSE), "-")</f>
        <v>-</v>
      </c>
      <c r="T20" s="20" t="str">
        <f ca="1">Master_List!$AW$6</f>
        <v>TOSHIBA</v>
      </c>
      <c r="U20" s="20" t="str">
        <f ca="1">Master_List!$AW$7</f>
        <v>MRMU</v>
      </c>
      <c r="V20" s="20" t="str">
        <f ca="1">Master_List!$AW$8</f>
        <v>12kV</v>
      </c>
      <c r="W20" s="20" t="str">
        <f ca="1">Master_List!$AW$9</f>
        <v>2S1F</v>
      </c>
      <c r="X20" s="20" t="str">
        <f ca="1">Master_List!$AW$10</f>
        <v>MTM</v>
      </c>
      <c r="Y20" s="20" t="str">
        <f ca="1">Master_List!$AW$11</f>
        <v>HERMETICALLY SEAL</v>
      </c>
      <c r="Z20" s="20" t="str">
        <f ca="1">Master_List!$AW$12</f>
        <v>750kVA</v>
      </c>
      <c r="AA20" s="20" t="str">
        <f ca="1">Master_List!$AW$13</f>
        <v>1317</v>
      </c>
      <c r="AB20" s="20">
        <f ca="1">Master_List!$AW$14</f>
        <v>0</v>
      </c>
      <c r="AC20" s="20">
        <f ca="1">Master_List!$AW$15</f>
        <v>0</v>
      </c>
      <c r="AD20" s="20">
        <f ca="1">Master_List!$AW$16</f>
        <v>0</v>
      </c>
      <c r="AE20" s="20">
        <f ca="1">Master_List!$AW$17</f>
        <v>0</v>
      </c>
      <c r="AF20" s="20" t="str">
        <f ca="1">Master_List!$AW$18</f>
        <v>INDKOM</v>
      </c>
      <c r="AG20" s="20" t="str">
        <f ca="1">Master_List!$AW$19</f>
        <v>J-SLOTTED</v>
      </c>
      <c r="AH20" s="20" t="str">
        <f ca="1">Master_List!$AW$20</f>
        <v>1600A</v>
      </c>
      <c r="AI20" s="20" t="str">
        <f ca="1">Master_List!$AW$21</f>
        <v>LV5080090</v>
      </c>
      <c r="AJ20" s="20" t="str">
        <f ca="1">Master_List!$AW$22</f>
        <v>LVDB TX1</v>
      </c>
      <c r="AK20" s="20">
        <f ca="1">Master_List!$AW$23</f>
        <v>0</v>
      </c>
      <c r="AL20" s="20">
        <f ca="1">Master_List!$AW$24</f>
        <v>0</v>
      </c>
      <c r="AM20" s="20">
        <f ca="1">Master_List!$AW$25</f>
        <v>0</v>
      </c>
      <c r="AN20" s="20">
        <f ca="1">Master_List!$AW$26</f>
        <v>0</v>
      </c>
      <c r="AO20" s="20" t="str">
        <f ca="1">Master_List!$AW$27</f>
        <v>LVDB TX2</v>
      </c>
      <c r="AP20" s="20" t="str">
        <f ca="1">Master_List!$AW$28</f>
        <v>SUNPOWER TECHNOLOGIES</v>
      </c>
      <c r="AQ20" s="20" t="str">
        <f ca="1">Master_List!$AW$29</f>
        <v>SPS 30-10 L</v>
      </c>
      <c r="AR20" s="20" t="str">
        <f ca="1">Master_List!$AW$30</f>
        <v>11193-8527</v>
      </c>
      <c r="AS20" s="20">
        <f ca="1">Master_List!$AW$31</f>
        <v>0</v>
      </c>
      <c r="AT20" s="20">
        <f ca="1">Master_List!$AW$32</f>
        <v>0</v>
      </c>
      <c r="AU20" s="20">
        <f ca="1">Master_List!$AW$33</f>
        <v>0</v>
      </c>
      <c r="AV20" s="20">
        <f ca="1">Master_List!$AW$34</f>
        <v>0</v>
      </c>
      <c r="AW20" s="20">
        <f ca="1">Master_List!$AW$35</f>
        <v>0</v>
      </c>
      <c r="AX20" s="20">
        <f ca="1">Master_List!$AW$36</f>
        <v>0</v>
      </c>
      <c r="AY20" s="20">
        <f ca="1">Master_List!$AW$37</f>
        <v>0</v>
      </c>
      <c r="AZ20" s="20">
        <f ca="1">Master_List!$AW$38</f>
        <v>0</v>
      </c>
      <c r="BA20" s="20">
        <f ca="1">Master_List!$AW$39</f>
        <v>0</v>
      </c>
      <c r="BB20" s="20" t="s">
        <v>2240</v>
      </c>
      <c r="BC20" s="20" t="s">
        <v>2241</v>
      </c>
      <c r="BD20" s="6" t="s">
        <v>1744</v>
      </c>
      <c r="BE20" s="6" t="s">
        <v>1757</v>
      </c>
      <c r="BF20" s="6" t="s">
        <v>1746</v>
      </c>
      <c r="BG20" s="6" t="str">
        <f t="shared" si="0"/>
        <v>C:\Users\aremi\Desktop\REPORT CBM\PO 42289580 - Pahang 11kV SECOND CYCLE AZZAD 2026\RAW MATERIAL\047. TNB BARU (IR+VI)\RAW DATA\IR</v>
      </c>
      <c r="BH20" s="24" t="s">
        <v>561</v>
      </c>
    </row>
    <row r="21" spans="1:60" ht="30" customHeight="1" x14ac:dyDescent="0.25">
      <c r="A21" s="6">
        <v>10</v>
      </c>
      <c r="B21" s="6" t="s">
        <v>1529</v>
      </c>
      <c r="C21" s="6">
        <v>1</v>
      </c>
      <c r="D21" s="6" t="s">
        <v>2239</v>
      </c>
      <c r="E21" s="6">
        <v>10</v>
      </c>
      <c r="F21" s="6" t="str">
        <f ca="1">Master_List!$AW$1</f>
        <v>PERPUSTAKAAN PUSAT</v>
      </c>
      <c r="G21" s="27" t="str">
        <f ca="1">Master_List!$AW$2</f>
        <v>09:30 PM</v>
      </c>
      <c r="H21" s="32" t="str">
        <f ca="1">Master_List!$AW$3</f>
        <v>20/07/2026</v>
      </c>
      <c r="I21" s="28" t="str">
        <f ca="1">Master_List!$AW$4</f>
        <v>28.5</v>
      </c>
      <c r="J21" s="6" t="str">
        <f ca="1">Master_List!$AW$5</f>
        <v>65</v>
      </c>
      <c r="K21" s="6" t="s">
        <v>556</v>
      </c>
      <c r="L21" s="21" t="str">
        <f>IFERROR(VLOOKUP(B21, Master_List!$A:$I, 2, FALSE), "-")</f>
        <v>-</v>
      </c>
      <c r="M21" s="22" t="str">
        <f>IFERROR(VLOOKUP(B21, Master_List!$A:$I, 3, FALSE), "-")</f>
        <v>-</v>
      </c>
      <c r="N21" s="22" t="str">
        <f>IFERROR(VLOOKUP(B21, Master_List!$A:$I, 4, FALSE), "-")</f>
        <v>-</v>
      </c>
      <c r="O21" s="22" t="str">
        <f>IFERROR(VLOOKUP(B21, Master_List!$A:$I, 5, FALSE), "-")</f>
        <v>-</v>
      </c>
      <c r="P21" s="22" t="str">
        <f>IFERROR(VLOOKUP(B21, Master_List!$A:$I, 6, FALSE), "-")</f>
        <v>-</v>
      </c>
      <c r="Q21" s="22" t="str">
        <f>IFERROR(VLOOKUP(B21, Master_List!$A:$I, 7, FALSE), "-")</f>
        <v>-</v>
      </c>
      <c r="R21" s="22" t="str">
        <f>IFERROR(VLOOKUP(B21, Master_List!$A:$I, 8, FALSE), "-")</f>
        <v>-</v>
      </c>
      <c r="S21" s="22" t="str">
        <f>IFERROR(VLOOKUP(B21, Master_List!$A:$I, 9, FALSE), "-")</f>
        <v>-</v>
      </c>
      <c r="T21" s="20" t="str">
        <f ca="1">Master_List!$AW$6</f>
        <v>TOSHIBA</v>
      </c>
      <c r="U21" s="20" t="str">
        <f ca="1">Master_List!$AW$7</f>
        <v>MRMU</v>
      </c>
      <c r="V21" s="20" t="str">
        <f ca="1">Master_List!$AW$8</f>
        <v>12kV</v>
      </c>
      <c r="W21" s="20" t="str">
        <f ca="1">Master_List!$AW$9</f>
        <v>2S1F</v>
      </c>
      <c r="X21" s="20" t="str">
        <f ca="1">Master_List!$AW$10</f>
        <v>MTM</v>
      </c>
      <c r="Y21" s="20" t="str">
        <f ca="1">Master_List!$AW$11</f>
        <v>HERMETICALLY SEAL</v>
      </c>
      <c r="Z21" s="20" t="str">
        <f ca="1">Master_List!$AW$12</f>
        <v>750kVA</v>
      </c>
      <c r="AA21" s="20" t="str">
        <f ca="1">Master_List!$AW$13</f>
        <v>1317</v>
      </c>
      <c r="AB21" s="20">
        <f ca="1">Master_List!$AW$14</f>
        <v>0</v>
      </c>
      <c r="AC21" s="20">
        <f ca="1">Master_List!$AW$15</f>
        <v>0</v>
      </c>
      <c r="AD21" s="20">
        <f ca="1">Master_List!$AW$16</f>
        <v>0</v>
      </c>
      <c r="AE21" s="20">
        <f ca="1">Master_List!$AW$17</f>
        <v>0</v>
      </c>
      <c r="AF21" s="20" t="str">
        <f ca="1">Master_List!$AW$18</f>
        <v>INDKOM</v>
      </c>
      <c r="AG21" s="20" t="str">
        <f ca="1">Master_List!$AW$19</f>
        <v>J-SLOTTED</v>
      </c>
      <c r="AH21" s="20" t="str">
        <f ca="1">Master_List!$AW$20</f>
        <v>1600A</v>
      </c>
      <c r="AI21" s="20" t="str">
        <f ca="1">Master_List!$AW$21</f>
        <v>LV5080090</v>
      </c>
      <c r="AJ21" s="20" t="str">
        <f ca="1">Master_List!$AW$22</f>
        <v>LVDB TX1</v>
      </c>
      <c r="AK21" s="20">
        <f ca="1">Master_List!$AW$23</f>
        <v>0</v>
      </c>
      <c r="AL21" s="20">
        <f ca="1">Master_List!$AW$24</f>
        <v>0</v>
      </c>
      <c r="AM21" s="20">
        <f ca="1">Master_List!$AW$25</f>
        <v>0</v>
      </c>
      <c r="AN21" s="20">
        <f ca="1">Master_List!$AW$26</f>
        <v>0</v>
      </c>
      <c r="AO21" s="20" t="str">
        <f ca="1">Master_List!$AW$27</f>
        <v>LVDB TX2</v>
      </c>
      <c r="AP21" s="20" t="str">
        <f ca="1">Master_List!$AW$28</f>
        <v>SUNPOWER TECHNOLOGIES</v>
      </c>
      <c r="AQ21" s="20" t="str">
        <f ca="1">Master_List!$AW$29</f>
        <v>SPS 30-10 L</v>
      </c>
      <c r="AR21" s="20" t="str">
        <f ca="1">Master_List!$AW$30</f>
        <v>11193-8527</v>
      </c>
      <c r="AS21" s="20">
        <f ca="1">Master_List!$AW$31</f>
        <v>0</v>
      </c>
      <c r="AT21" s="20">
        <f ca="1">Master_List!$AW$32</f>
        <v>0</v>
      </c>
      <c r="AU21" s="20">
        <f ca="1">Master_List!$AW$33</f>
        <v>0</v>
      </c>
      <c r="AV21" s="20">
        <f ca="1">Master_List!$AW$34</f>
        <v>0</v>
      </c>
      <c r="AW21" s="20">
        <f ca="1">Master_List!$AW$35</f>
        <v>0</v>
      </c>
      <c r="AX21" s="20">
        <f ca="1">Master_List!$AW$36</f>
        <v>0</v>
      </c>
      <c r="AY21" s="20">
        <f ca="1">Master_List!$AW$37</f>
        <v>0</v>
      </c>
      <c r="AZ21" s="20">
        <f ca="1">Master_List!$AW$38</f>
        <v>0</v>
      </c>
      <c r="BA21" s="20">
        <f ca="1">Master_List!$AW$39</f>
        <v>0</v>
      </c>
      <c r="BB21" s="20" t="s">
        <v>2240</v>
      </c>
      <c r="BC21" s="20" t="s">
        <v>2241</v>
      </c>
      <c r="BD21" s="6" t="s">
        <v>1744</v>
      </c>
      <c r="BE21" s="6" t="s">
        <v>1757</v>
      </c>
      <c r="BF21" s="6" t="s">
        <v>1748</v>
      </c>
      <c r="BG21" s="6" t="str">
        <f t="shared" si="0"/>
        <v>C:\Users\aremi\Desktop\REPORT CBM\PO 42289580 - Pahang 11kV SECOND CYCLE AZZAD 2026\RAW MATERIAL\047. TNB BARU (IR+VI)\RAW DATA\IR</v>
      </c>
      <c r="BH21" s="24" t="s">
        <v>562</v>
      </c>
    </row>
    <row r="22" spans="1:60" ht="30" customHeight="1" x14ac:dyDescent="0.25">
      <c r="A22" s="6">
        <v>11</v>
      </c>
      <c r="B22" s="6" t="s">
        <v>1529</v>
      </c>
      <c r="C22" s="6">
        <v>1</v>
      </c>
      <c r="D22" s="6" t="s">
        <v>2239</v>
      </c>
      <c r="E22" s="6">
        <v>11</v>
      </c>
      <c r="F22" s="6" t="str">
        <f ca="1">Master_List!$AW$1</f>
        <v>PERPUSTAKAAN PUSAT</v>
      </c>
      <c r="G22" s="27" t="str">
        <f ca="1">Master_List!$AW$2</f>
        <v>09:30 PM</v>
      </c>
      <c r="H22" s="32" t="str">
        <f ca="1">Master_List!$AW$3</f>
        <v>20/07/2026</v>
      </c>
      <c r="I22" s="28" t="str">
        <f ca="1">Master_List!$AW$4</f>
        <v>28.5</v>
      </c>
      <c r="J22" s="6" t="str">
        <f ca="1">Master_List!$AW$5</f>
        <v>65</v>
      </c>
      <c r="K22" s="6" t="s">
        <v>563</v>
      </c>
      <c r="L22" s="21" t="str">
        <f>IFERROR(VLOOKUP(B22, Master_List!$A:$I, 2, FALSE), "-")</f>
        <v>-</v>
      </c>
      <c r="M22" s="22" t="str">
        <f>IFERROR(VLOOKUP(B22, Master_List!$A:$I, 3, FALSE), "-")</f>
        <v>-</v>
      </c>
      <c r="N22" s="22" t="str">
        <f>IFERROR(VLOOKUP(B22, Master_List!$A:$I, 4, FALSE), "-")</f>
        <v>-</v>
      </c>
      <c r="O22" s="22" t="str">
        <f>IFERROR(VLOOKUP(B22, Master_List!$A:$I, 5, FALSE), "-")</f>
        <v>-</v>
      </c>
      <c r="P22" s="22" t="str">
        <f>IFERROR(VLOOKUP(B22, Master_List!$A:$I, 6, FALSE), "-")</f>
        <v>-</v>
      </c>
      <c r="Q22" s="22" t="str">
        <f>IFERROR(VLOOKUP(B22, Master_List!$A:$I, 7, FALSE), "-")</f>
        <v>-</v>
      </c>
      <c r="R22" s="22" t="str">
        <f>IFERROR(VLOOKUP(B22, Master_List!$A:$I, 8, FALSE), "-")</f>
        <v>-</v>
      </c>
      <c r="S22" s="22" t="str">
        <f>IFERROR(VLOOKUP(B22, Master_List!$A:$I, 9, FALSE), "-")</f>
        <v>-</v>
      </c>
      <c r="T22" s="20" t="str">
        <f ca="1">Master_List!$AW$6</f>
        <v>TOSHIBA</v>
      </c>
      <c r="U22" s="20" t="str">
        <f ca="1">Master_List!$AW$7</f>
        <v>MRMU</v>
      </c>
      <c r="V22" s="20" t="str">
        <f ca="1">Master_List!$AW$8</f>
        <v>12kV</v>
      </c>
      <c r="W22" s="20" t="str">
        <f ca="1">Master_List!$AW$9</f>
        <v>2S1F</v>
      </c>
      <c r="X22" s="20" t="str">
        <f ca="1">Master_List!$AW$10</f>
        <v>MTM</v>
      </c>
      <c r="Y22" s="20" t="str">
        <f ca="1">Master_List!$AW$11</f>
        <v>HERMETICALLY SEAL</v>
      </c>
      <c r="Z22" s="20" t="str">
        <f ca="1">Master_List!$AW$12</f>
        <v>750kVA</v>
      </c>
      <c r="AA22" s="20" t="str">
        <f ca="1">Master_List!$AW$13</f>
        <v>1317</v>
      </c>
      <c r="AB22" s="20">
        <f ca="1">Master_List!$AW$14</f>
        <v>0</v>
      </c>
      <c r="AC22" s="20">
        <f ca="1">Master_List!$AW$15</f>
        <v>0</v>
      </c>
      <c r="AD22" s="20">
        <f ca="1">Master_List!$AW$16</f>
        <v>0</v>
      </c>
      <c r="AE22" s="20">
        <f ca="1">Master_List!$AW$17</f>
        <v>0</v>
      </c>
      <c r="AF22" s="20" t="str">
        <f ca="1">Master_List!$AW$18</f>
        <v>INDKOM</v>
      </c>
      <c r="AG22" s="20" t="str">
        <f ca="1">Master_List!$AW$19</f>
        <v>J-SLOTTED</v>
      </c>
      <c r="AH22" s="20" t="str">
        <f ca="1">Master_List!$AW$20</f>
        <v>1600A</v>
      </c>
      <c r="AI22" s="20" t="str">
        <f ca="1">Master_List!$AW$21</f>
        <v>LV5080090</v>
      </c>
      <c r="AJ22" s="20" t="str">
        <f ca="1">Master_List!$AW$22</f>
        <v>LVDB TX1</v>
      </c>
      <c r="AK22" s="20">
        <f ca="1">Master_List!$AW$23</f>
        <v>0</v>
      </c>
      <c r="AL22" s="20">
        <f ca="1">Master_List!$AW$24</f>
        <v>0</v>
      </c>
      <c r="AM22" s="20">
        <f ca="1">Master_List!$AW$25</f>
        <v>0</v>
      </c>
      <c r="AN22" s="20">
        <f ca="1">Master_List!$AW$26</f>
        <v>0</v>
      </c>
      <c r="AO22" s="20" t="str">
        <f ca="1">Master_List!$AW$27</f>
        <v>LVDB TX2</v>
      </c>
      <c r="AP22" s="20" t="str">
        <f ca="1">Master_List!$AW$28</f>
        <v>SUNPOWER TECHNOLOGIES</v>
      </c>
      <c r="AQ22" s="20" t="str">
        <f ca="1">Master_List!$AW$29</f>
        <v>SPS 30-10 L</v>
      </c>
      <c r="AR22" s="20" t="str">
        <f ca="1">Master_List!$AW$30</f>
        <v>11193-8527</v>
      </c>
      <c r="AS22" s="20">
        <f ca="1">Master_List!$AW$31</f>
        <v>0</v>
      </c>
      <c r="AT22" s="20">
        <f ca="1">Master_List!$AW$32</f>
        <v>0</v>
      </c>
      <c r="AU22" s="20">
        <f ca="1">Master_List!$AW$33</f>
        <v>0</v>
      </c>
      <c r="AV22" s="20">
        <f ca="1">Master_List!$AW$34</f>
        <v>0</v>
      </c>
      <c r="AW22" s="20">
        <f ca="1">Master_List!$AW$35</f>
        <v>0</v>
      </c>
      <c r="AX22" s="20">
        <f ca="1">Master_List!$AW$36</f>
        <v>0</v>
      </c>
      <c r="AY22" s="20">
        <f ca="1">Master_List!$AW$37</f>
        <v>0</v>
      </c>
      <c r="AZ22" s="20">
        <f ca="1">Master_List!$AW$38</f>
        <v>0</v>
      </c>
      <c r="BA22" s="20">
        <f ca="1">Master_List!$AW$39</f>
        <v>0</v>
      </c>
      <c r="BB22" s="20" t="s">
        <v>2240</v>
      </c>
      <c r="BC22" s="20" t="s">
        <v>2241</v>
      </c>
      <c r="BD22" s="6" t="s">
        <v>1744</v>
      </c>
      <c r="BE22" s="6" t="s">
        <v>1758</v>
      </c>
      <c r="BF22" s="6" t="s">
        <v>1746</v>
      </c>
      <c r="BG22" s="6" t="str">
        <f t="shared" si="0"/>
        <v>C:\Users\aremi\Desktop\REPORT CBM\PO 42289580 - Pahang 11kV SECOND CYCLE AZZAD 2026\RAW MATERIAL\047. TNB BARU (IR+VI)\RAW DATA\IR</v>
      </c>
      <c r="BH22" s="24" t="s">
        <v>564</v>
      </c>
    </row>
    <row r="23" spans="1:60" ht="30" customHeight="1" x14ac:dyDescent="0.25">
      <c r="A23" s="6">
        <v>11</v>
      </c>
      <c r="B23" s="6" t="s">
        <v>1529</v>
      </c>
      <c r="C23" s="6">
        <v>1</v>
      </c>
      <c r="D23" s="6" t="s">
        <v>2239</v>
      </c>
      <c r="E23" s="6">
        <v>11</v>
      </c>
      <c r="F23" s="6" t="str">
        <f ca="1">Master_List!$AW$1</f>
        <v>PERPUSTAKAAN PUSAT</v>
      </c>
      <c r="G23" s="27" t="str">
        <f ca="1">Master_List!$AW$2</f>
        <v>09:30 PM</v>
      </c>
      <c r="H23" s="32" t="str">
        <f ca="1">Master_List!$AW$3</f>
        <v>20/07/2026</v>
      </c>
      <c r="I23" s="28" t="str">
        <f ca="1">Master_List!$AW$4</f>
        <v>28.5</v>
      </c>
      <c r="J23" s="6" t="str">
        <f ca="1">Master_List!$AW$5</f>
        <v>65</v>
      </c>
      <c r="K23" s="6" t="s">
        <v>563</v>
      </c>
      <c r="L23" s="21" t="str">
        <f>IFERROR(VLOOKUP(B23, Master_List!$A:$I, 2, FALSE), "-")</f>
        <v>-</v>
      </c>
      <c r="M23" s="22" t="str">
        <f>IFERROR(VLOOKUP(B23, Master_List!$A:$I, 3, FALSE), "-")</f>
        <v>-</v>
      </c>
      <c r="N23" s="22" t="str">
        <f>IFERROR(VLOOKUP(B23, Master_List!$A:$I, 4, FALSE), "-")</f>
        <v>-</v>
      </c>
      <c r="O23" s="22" t="str">
        <f>IFERROR(VLOOKUP(B23, Master_List!$A:$I, 5, FALSE), "-")</f>
        <v>-</v>
      </c>
      <c r="P23" s="22" t="str">
        <f>IFERROR(VLOOKUP(B23, Master_List!$A:$I, 6, FALSE), "-")</f>
        <v>-</v>
      </c>
      <c r="Q23" s="22" t="str">
        <f>IFERROR(VLOOKUP(B23, Master_List!$A:$I, 7, FALSE), "-")</f>
        <v>-</v>
      </c>
      <c r="R23" s="22" t="str">
        <f>IFERROR(VLOOKUP(B23, Master_List!$A:$I, 8, FALSE), "-")</f>
        <v>-</v>
      </c>
      <c r="S23" s="22" t="str">
        <f>IFERROR(VLOOKUP(B23, Master_List!$A:$I, 9, FALSE), "-")</f>
        <v>-</v>
      </c>
      <c r="T23" s="20" t="str">
        <f ca="1">Master_List!$AW$6</f>
        <v>TOSHIBA</v>
      </c>
      <c r="U23" s="20" t="str">
        <f ca="1">Master_List!$AW$7</f>
        <v>MRMU</v>
      </c>
      <c r="V23" s="20" t="str">
        <f ca="1">Master_List!$AW$8</f>
        <v>12kV</v>
      </c>
      <c r="W23" s="20" t="str">
        <f ca="1">Master_List!$AW$9</f>
        <v>2S1F</v>
      </c>
      <c r="X23" s="20" t="str">
        <f ca="1">Master_List!$AW$10</f>
        <v>MTM</v>
      </c>
      <c r="Y23" s="20" t="str">
        <f ca="1">Master_List!$AW$11</f>
        <v>HERMETICALLY SEAL</v>
      </c>
      <c r="Z23" s="20" t="str">
        <f ca="1">Master_List!$AW$12</f>
        <v>750kVA</v>
      </c>
      <c r="AA23" s="20" t="str">
        <f ca="1">Master_List!$AW$13</f>
        <v>1317</v>
      </c>
      <c r="AB23" s="20">
        <f ca="1">Master_List!$AW$14</f>
        <v>0</v>
      </c>
      <c r="AC23" s="20">
        <f ca="1">Master_List!$AW$15</f>
        <v>0</v>
      </c>
      <c r="AD23" s="20">
        <f ca="1">Master_List!$AW$16</f>
        <v>0</v>
      </c>
      <c r="AE23" s="20">
        <f ca="1">Master_List!$AW$17</f>
        <v>0</v>
      </c>
      <c r="AF23" s="20" t="str">
        <f ca="1">Master_List!$AW$18</f>
        <v>INDKOM</v>
      </c>
      <c r="AG23" s="20" t="str">
        <f ca="1">Master_List!$AW$19</f>
        <v>J-SLOTTED</v>
      </c>
      <c r="AH23" s="20" t="str">
        <f ca="1">Master_List!$AW$20</f>
        <v>1600A</v>
      </c>
      <c r="AI23" s="20" t="str">
        <f ca="1">Master_List!$AW$21</f>
        <v>LV5080090</v>
      </c>
      <c r="AJ23" s="20" t="str">
        <f ca="1">Master_List!$AW$22</f>
        <v>LVDB TX1</v>
      </c>
      <c r="AK23" s="20">
        <f ca="1">Master_List!$AW$23</f>
        <v>0</v>
      </c>
      <c r="AL23" s="20">
        <f ca="1">Master_List!$AW$24</f>
        <v>0</v>
      </c>
      <c r="AM23" s="20">
        <f ca="1">Master_List!$AW$25</f>
        <v>0</v>
      </c>
      <c r="AN23" s="20">
        <f ca="1">Master_List!$AW$26</f>
        <v>0</v>
      </c>
      <c r="AO23" s="20" t="str">
        <f ca="1">Master_List!$AW$27</f>
        <v>LVDB TX2</v>
      </c>
      <c r="AP23" s="20" t="str">
        <f ca="1">Master_List!$AW$28</f>
        <v>SUNPOWER TECHNOLOGIES</v>
      </c>
      <c r="AQ23" s="20" t="str">
        <f ca="1">Master_List!$AW$29</f>
        <v>SPS 30-10 L</v>
      </c>
      <c r="AR23" s="20" t="str">
        <f ca="1">Master_List!$AW$30</f>
        <v>11193-8527</v>
      </c>
      <c r="AS23" s="20">
        <f ca="1">Master_List!$AW$31</f>
        <v>0</v>
      </c>
      <c r="AT23" s="20">
        <f ca="1">Master_List!$AW$32</f>
        <v>0</v>
      </c>
      <c r="AU23" s="20">
        <f ca="1">Master_List!$AW$33</f>
        <v>0</v>
      </c>
      <c r="AV23" s="20">
        <f ca="1">Master_List!$AW$34</f>
        <v>0</v>
      </c>
      <c r="AW23" s="20">
        <f ca="1">Master_List!$AW$35</f>
        <v>0</v>
      </c>
      <c r="AX23" s="20">
        <f ca="1">Master_List!$AW$36</f>
        <v>0</v>
      </c>
      <c r="AY23" s="20">
        <f ca="1">Master_List!$AW$37</f>
        <v>0</v>
      </c>
      <c r="AZ23" s="20">
        <f ca="1">Master_List!$AW$38</f>
        <v>0</v>
      </c>
      <c r="BA23" s="20">
        <f ca="1">Master_List!$AW$39</f>
        <v>0</v>
      </c>
      <c r="BB23" s="20" t="s">
        <v>2240</v>
      </c>
      <c r="BC23" s="20" t="s">
        <v>2241</v>
      </c>
      <c r="BD23" s="6" t="s">
        <v>1744</v>
      </c>
      <c r="BE23" s="6" t="s">
        <v>1758</v>
      </c>
      <c r="BF23" s="6" t="s">
        <v>1748</v>
      </c>
      <c r="BG23" s="6" t="str">
        <f t="shared" si="0"/>
        <v>C:\Users\aremi\Desktop\REPORT CBM\PO 42289580 - Pahang 11kV SECOND CYCLE AZZAD 2026\RAW MATERIAL\047. TNB BARU (IR+VI)\RAW DATA\IR</v>
      </c>
      <c r="BH23" s="24" t="s">
        <v>565</v>
      </c>
    </row>
    <row r="24" spans="1:60" ht="30" customHeight="1" x14ac:dyDescent="0.25">
      <c r="A24" s="6">
        <v>12</v>
      </c>
      <c r="B24" s="6" t="s">
        <v>1529</v>
      </c>
      <c r="C24" s="6">
        <v>1</v>
      </c>
      <c r="D24" s="6" t="s">
        <v>2239</v>
      </c>
      <c r="E24" s="6">
        <v>12</v>
      </c>
      <c r="F24" s="6" t="str">
        <f ca="1">Master_List!$AW$1</f>
        <v>PERPUSTAKAAN PUSAT</v>
      </c>
      <c r="G24" s="27" t="str">
        <f ca="1">Master_List!$AW$2</f>
        <v>09:30 PM</v>
      </c>
      <c r="H24" s="32" t="str">
        <f ca="1">Master_List!$AW$3</f>
        <v>20/07/2026</v>
      </c>
      <c r="I24" s="28" t="str">
        <f ca="1">Master_List!$AW$4</f>
        <v>28.5</v>
      </c>
      <c r="J24" s="6" t="str">
        <f ca="1">Master_List!$AW$5</f>
        <v>65</v>
      </c>
      <c r="K24" s="6" t="s">
        <v>566</v>
      </c>
      <c r="L24" s="21" t="str">
        <f>IFERROR(VLOOKUP(B24, Master_List!$A:$I, 2, FALSE), "-")</f>
        <v>-</v>
      </c>
      <c r="M24" s="22" t="str">
        <f>IFERROR(VLOOKUP(B24, Master_List!$A:$I, 3, FALSE), "-")</f>
        <v>-</v>
      </c>
      <c r="N24" s="22" t="str">
        <f>IFERROR(VLOOKUP(B24, Master_List!$A:$I, 4, FALSE), "-")</f>
        <v>-</v>
      </c>
      <c r="O24" s="22" t="str">
        <f>IFERROR(VLOOKUP(B24, Master_List!$A:$I, 5, FALSE), "-")</f>
        <v>-</v>
      </c>
      <c r="P24" s="22" t="str">
        <f>IFERROR(VLOOKUP(B24, Master_List!$A:$I, 6, FALSE), "-")</f>
        <v>-</v>
      </c>
      <c r="Q24" s="22" t="str">
        <f>IFERROR(VLOOKUP(B24, Master_List!$A:$I, 7, FALSE), "-")</f>
        <v>-</v>
      </c>
      <c r="R24" s="22" t="str">
        <f>IFERROR(VLOOKUP(B24, Master_List!$A:$I, 8, FALSE), "-")</f>
        <v>-</v>
      </c>
      <c r="S24" s="22" t="str">
        <f>IFERROR(VLOOKUP(B24, Master_List!$A:$I, 9, FALSE), "-")</f>
        <v>-</v>
      </c>
      <c r="T24" s="20" t="str">
        <f ca="1">Master_List!$AW$6</f>
        <v>TOSHIBA</v>
      </c>
      <c r="U24" s="20" t="str">
        <f ca="1">Master_List!$AW$7</f>
        <v>MRMU</v>
      </c>
      <c r="V24" s="20" t="str">
        <f ca="1">Master_List!$AW$8</f>
        <v>12kV</v>
      </c>
      <c r="W24" s="20" t="str">
        <f ca="1">Master_List!$AW$9</f>
        <v>2S1F</v>
      </c>
      <c r="X24" s="20" t="str">
        <f ca="1">Master_List!$AW$10</f>
        <v>MTM</v>
      </c>
      <c r="Y24" s="20" t="str">
        <f ca="1">Master_List!$AW$11</f>
        <v>HERMETICALLY SEAL</v>
      </c>
      <c r="Z24" s="20" t="str">
        <f ca="1">Master_List!$AW$12</f>
        <v>750kVA</v>
      </c>
      <c r="AA24" s="20" t="str">
        <f ca="1">Master_List!$AW$13</f>
        <v>1317</v>
      </c>
      <c r="AB24" s="20">
        <f ca="1">Master_List!$AW$14</f>
        <v>0</v>
      </c>
      <c r="AC24" s="20">
        <f ca="1">Master_List!$AW$15</f>
        <v>0</v>
      </c>
      <c r="AD24" s="20">
        <f ca="1">Master_List!$AW$16</f>
        <v>0</v>
      </c>
      <c r="AE24" s="20">
        <f ca="1">Master_List!$AW$17</f>
        <v>0</v>
      </c>
      <c r="AF24" s="20" t="str">
        <f ca="1">Master_List!$AW$18</f>
        <v>INDKOM</v>
      </c>
      <c r="AG24" s="20" t="str">
        <f ca="1">Master_List!$AW$19</f>
        <v>J-SLOTTED</v>
      </c>
      <c r="AH24" s="20" t="str">
        <f ca="1">Master_List!$AW$20</f>
        <v>1600A</v>
      </c>
      <c r="AI24" s="20" t="str">
        <f ca="1">Master_List!$AW$21</f>
        <v>LV5080090</v>
      </c>
      <c r="AJ24" s="20" t="str">
        <f ca="1">Master_List!$AW$22</f>
        <v>LVDB TX1</v>
      </c>
      <c r="AK24" s="20">
        <f ca="1">Master_List!$AW$23</f>
        <v>0</v>
      </c>
      <c r="AL24" s="20">
        <f ca="1">Master_List!$AW$24</f>
        <v>0</v>
      </c>
      <c r="AM24" s="20">
        <f ca="1">Master_List!$AW$25</f>
        <v>0</v>
      </c>
      <c r="AN24" s="20">
        <f ca="1">Master_List!$AW$26</f>
        <v>0</v>
      </c>
      <c r="AO24" s="20" t="str">
        <f ca="1">Master_List!$AW$27</f>
        <v>LVDB TX2</v>
      </c>
      <c r="AP24" s="20" t="str">
        <f ca="1">Master_List!$AW$28</f>
        <v>SUNPOWER TECHNOLOGIES</v>
      </c>
      <c r="AQ24" s="20" t="str">
        <f ca="1">Master_List!$AW$29</f>
        <v>SPS 30-10 L</v>
      </c>
      <c r="AR24" s="20" t="str">
        <f ca="1">Master_List!$AW$30</f>
        <v>11193-8527</v>
      </c>
      <c r="AS24" s="20">
        <f ca="1">Master_List!$AW$31</f>
        <v>0</v>
      </c>
      <c r="AT24" s="20">
        <f ca="1">Master_List!$AW$32</f>
        <v>0</v>
      </c>
      <c r="AU24" s="20">
        <f ca="1">Master_List!$AW$33</f>
        <v>0</v>
      </c>
      <c r="AV24" s="20">
        <f ca="1">Master_List!$AW$34</f>
        <v>0</v>
      </c>
      <c r="AW24" s="20">
        <f ca="1">Master_List!$AW$35</f>
        <v>0</v>
      </c>
      <c r="AX24" s="20">
        <f ca="1">Master_List!$AW$36</f>
        <v>0</v>
      </c>
      <c r="AY24" s="20">
        <f ca="1">Master_List!$AW$37</f>
        <v>0</v>
      </c>
      <c r="AZ24" s="20">
        <f ca="1">Master_List!$AW$38</f>
        <v>0</v>
      </c>
      <c r="BA24" s="20">
        <f ca="1">Master_List!$AW$39</f>
        <v>0</v>
      </c>
      <c r="BB24" s="20" t="s">
        <v>2240</v>
      </c>
      <c r="BC24" s="20" t="s">
        <v>2241</v>
      </c>
      <c r="BD24" s="6" t="s">
        <v>1744</v>
      </c>
      <c r="BE24" s="6" t="s">
        <v>1759</v>
      </c>
      <c r="BF24" s="6" t="s">
        <v>1746</v>
      </c>
      <c r="BG24" s="6" t="str">
        <f t="shared" si="0"/>
        <v>C:\Users\aremi\Desktop\REPORT CBM\PO 42289580 - Pahang 11kV SECOND CYCLE AZZAD 2026\RAW MATERIAL\047. TNB BARU (IR+VI)\RAW DATA\IR</v>
      </c>
      <c r="BH24" s="24" t="s">
        <v>567</v>
      </c>
    </row>
    <row r="25" spans="1:60" ht="30" customHeight="1" x14ac:dyDescent="0.25">
      <c r="A25" s="6">
        <v>12</v>
      </c>
      <c r="B25" s="6" t="s">
        <v>1529</v>
      </c>
      <c r="C25" s="6">
        <v>1</v>
      </c>
      <c r="D25" s="6" t="s">
        <v>2239</v>
      </c>
      <c r="E25" s="6">
        <v>12</v>
      </c>
      <c r="F25" s="6" t="str">
        <f ca="1">Master_List!$AW$1</f>
        <v>PERPUSTAKAAN PUSAT</v>
      </c>
      <c r="G25" s="27" t="str">
        <f ca="1">Master_List!$AW$2</f>
        <v>09:30 PM</v>
      </c>
      <c r="H25" s="32" t="str">
        <f ca="1">Master_List!$AW$3</f>
        <v>20/07/2026</v>
      </c>
      <c r="I25" s="28" t="str">
        <f ca="1">Master_List!$AW$4</f>
        <v>28.5</v>
      </c>
      <c r="J25" s="6" t="str">
        <f ca="1">Master_List!$AW$5</f>
        <v>65</v>
      </c>
      <c r="K25" s="6" t="s">
        <v>566</v>
      </c>
      <c r="L25" s="21" t="str">
        <f>IFERROR(VLOOKUP(B25, Master_List!$A:$I, 2, FALSE), "-")</f>
        <v>-</v>
      </c>
      <c r="M25" s="22" t="str">
        <f>IFERROR(VLOOKUP(B25, Master_List!$A:$I, 3, FALSE), "-")</f>
        <v>-</v>
      </c>
      <c r="N25" s="22" t="str">
        <f>IFERROR(VLOOKUP(B25, Master_List!$A:$I, 4, FALSE), "-")</f>
        <v>-</v>
      </c>
      <c r="O25" s="22" t="str">
        <f>IFERROR(VLOOKUP(B25, Master_List!$A:$I, 5, FALSE), "-")</f>
        <v>-</v>
      </c>
      <c r="P25" s="22" t="str">
        <f>IFERROR(VLOOKUP(B25, Master_List!$A:$I, 6, FALSE), "-")</f>
        <v>-</v>
      </c>
      <c r="Q25" s="22" t="str">
        <f>IFERROR(VLOOKUP(B25, Master_List!$A:$I, 7, FALSE), "-")</f>
        <v>-</v>
      </c>
      <c r="R25" s="22" t="str">
        <f>IFERROR(VLOOKUP(B25, Master_List!$A:$I, 8, FALSE), "-")</f>
        <v>-</v>
      </c>
      <c r="S25" s="22" t="str">
        <f>IFERROR(VLOOKUP(B25, Master_List!$A:$I, 9, FALSE), "-")</f>
        <v>-</v>
      </c>
      <c r="T25" s="20" t="str">
        <f ca="1">Master_List!$AW$6</f>
        <v>TOSHIBA</v>
      </c>
      <c r="U25" s="20" t="str">
        <f ca="1">Master_List!$AW$7</f>
        <v>MRMU</v>
      </c>
      <c r="V25" s="20" t="str">
        <f ca="1">Master_List!$AW$8</f>
        <v>12kV</v>
      </c>
      <c r="W25" s="20" t="str">
        <f ca="1">Master_List!$AW$9</f>
        <v>2S1F</v>
      </c>
      <c r="X25" s="20" t="str">
        <f ca="1">Master_List!$AW$10</f>
        <v>MTM</v>
      </c>
      <c r="Y25" s="20" t="str">
        <f ca="1">Master_List!$AW$11</f>
        <v>HERMETICALLY SEAL</v>
      </c>
      <c r="Z25" s="20" t="str">
        <f ca="1">Master_List!$AW$12</f>
        <v>750kVA</v>
      </c>
      <c r="AA25" s="20" t="str">
        <f ca="1">Master_List!$AW$13</f>
        <v>1317</v>
      </c>
      <c r="AB25" s="20">
        <f ca="1">Master_List!$AW$14</f>
        <v>0</v>
      </c>
      <c r="AC25" s="20">
        <f ca="1">Master_List!$AW$15</f>
        <v>0</v>
      </c>
      <c r="AD25" s="20">
        <f ca="1">Master_List!$AW$16</f>
        <v>0</v>
      </c>
      <c r="AE25" s="20">
        <f ca="1">Master_List!$AW$17</f>
        <v>0</v>
      </c>
      <c r="AF25" s="20" t="str">
        <f ca="1">Master_List!$AW$18</f>
        <v>INDKOM</v>
      </c>
      <c r="AG25" s="20" t="str">
        <f ca="1">Master_List!$AW$19</f>
        <v>J-SLOTTED</v>
      </c>
      <c r="AH25" s="20" t="str">
        <f ca="1">Master_List!$AW$20</f>
        <v>1600A</v>
      </c>
      <c r="AI25" s="20" t="str">
        <f ca="1">Master_List!$AW$21</f>
        <v>LV5080090</v>
      </c>
      <c r="AJ25" s="20" t="str">
        <f ca="1">Master_List!$AW$22</f>
        <v>LVDB TX1</v>
      </c>
      <c r="AK25" s="20">
        <f ca="1">Master_List!$AW$23</f>
        <v>0</v>
      </c>
      <c r="AL25" s="20">
        <f ca="1">Master_List!$AW$24</f>
        <v>0</v>
      </c>
      <c r="AM25" s="20">
        <f ca="1">Master_List!$AW$25</f>
        <v>0</v>
      </c>
      <c r="AN25" s="20">
        <f ca="1">Master_List!$AW$26</f>
        <v>0</v>
      </c>
      <c r="AO25" s="20" t="str">
        <f ca="1">Master_List!$AW$27</f>
        <v>LVDB TX2</v>
      </c>
      <c r="AP25" s="20" t="str">
        <f ca="1">Master_List!$AW$28</f>
        <v>SUNPOWER TECHNOLOGIES</v>
      </c>
      <c r="AQ25" s="20" t="str">
        <f ca="1">Master_List!$AW$29</f>
        <v>SPS 30-10 L</v>
      </c>
      <c r="AR25" s="20" t="str">
        <f ca="1">Master_List!$AW$30</f>
        <v>11193-8527</v>
      </c>
      <c r="AS25" s="20">
        <f ca="1">Master_List!$AW$31</f>
        <v>0</v>
      </c>
      <c r="AT25" s="20">
        <f ca="1">Master_List!$AW$32</f>
        <v>0</v>
      </c>
      <c r="AU25" s="20">
        <f ca="1">Master_List!$AW$33</f>
        <v>0</v>
      </c>
      <c r="AV25" s="20">
        <f ca="1">Master_List!$AW$34</f>
        <v>0</v>
      </c>
      <c r="AW25" s="20">
        <f ca="1">Master_List!$AW$35</f>
        <v>0</v>
      </c>
      <c r="AX25" s="20">
        <f ca="1">Master_List!$AW$36</f>
        <v>0</v>
      </c>
      <c r="AY25" s="20">
        <f ca="1">Master_List!$AW$37</f>
        <v>0</v>
      </c>
      <c r="AZ25" s="20">
        <f ca="1">Master_List!$AW$38</f>
        <v>0</v>
      </c>
      <c r="BA25" s="20">
        <f ca="1">Master_List!$AW$39</f>
        <v>0</v>
      </c>
      <c r="BB25" s="20" t="s">
        <v>2240</v>
      </c>
      <c r="BC25" s="20" t="s">
        <v>2241</v>
      </c>
      <c r="BD25" s="6" t="s">
        <v>1744</v>
      </c>
      <c r="BE25" s="6" t="s">
        <v>1759</v>
      </c>
      <c r="BF25" s="6" t="s">
        <v>1748</v>
      </c>
      <c r="BG25" s="6" t="str">
        <f t="shared" si="0"/>
        <v>C:\Users\aremi\Desktop\REPORT CBM\PO 42289580 - Pahang 11kV SECOND CYCLE AZZAD 2026\RAW MATERIAL\047. TNB BARU (IR+VI)\RAW DATA\IR</v>
      </c>
      <c r="BH25" s="24" t="s">
        <v>568</v>
      </c>
    </row>
    <row r="26" spans="1:60" ht="30" customHeight="1" x14ac:dyDescent="0.25">
      <c r="A26" s="6">
        <v>13</v>
      </c>
      <c r="B26" s="6" t="s">
        <v>1534</v>
      </c>
      <c r="C26" s="6">
        <v>1</v>
      </c>
      <c r="D26" s="6" t="s">
        <v>2242</v>
      </c>
      <c r="E26" s="6">
        <v>13</v>
      </c>
      <c r="F26" s="6" t="str">
        <f ca="1">Master_List!$AW$1</f>
        <v>PERPUSTAKAAN PUSAT</v>
      </c>
      <c r="G26" s="27" t="str">
        <f ca="1">Master_List!$AW$2</f>
        <v>09:30 PM</v>
      </c>
      <c r="H26" s="32" t="str">
        <f ca="1">Master_List!$AW$3</f>
        <v>20/07/2026</v>
      </c>
      <c r="I26" s="28" t="str">
        <f ca="1">Master_List!$AW$4</f>
        <v>28.5</v>
      </c>
      <c r="J26" s="6" t="str">
        <f ca="1">Master_List!$AW$5</f>
        <v>65</v>
      </c>
      <c r="K26" s="6" t="s">
        <v>570</v>
      </c>
      <c r="L26" s="21" t="str">
        <f ca="1">IFERROR(VLOOKUP(B26, Master_List!$A:$I, 2, FALSE), "-")</f>
        <v>JJB 87616</v>
      </c>
      <c r="M26" s="22" t="str">
        <f ca="1">IFERROR(VLOOKUP(B26, Master_List!$A:$I, 3, FALSE), "-")</f>
        <v>PDT QRTS AGAMA</v>
      </c>
      <c r="N26" s="22" t="str">
        <f ca="1">IFERROR(VLOOKUP(B26, Master_List!$A:$I, 4, FALSE), "-")</f>
        <v>NOT ACCESSIBLE</v>
      </c>
      <c r="O26" s="22" t="str">
        <f ca="1">IFERROR(VLOOKUP(B26, Master_List!$A:$I, 5, FALSE), "-")</f>
        <v>CLOSE</v>
      </c>
      <c r="P26" s="22" t="str">
        <f ca="1">IFERROR(VLOOKUP(B26, Master_List!$A:$I, 6, FALSE), "-")</f>
        <v/>
      </c>
      <c r="Q26" s="22" t="str">
        <f ca="1">IFERROR(VLOOKUP(B26, Master_List!$A:$I, 7, FALSE), "-")</f>
        <v/>
      </c>
      <c r="R26" s="22" t="str">
        <f ca="1">IFERROR(VLOOKUP(B26, Master_List!$A:$I, 8, FALSE), "-")</f>
        <v/>
      </c>
      <c r="S26" s="22" t="str">
        <f ca="1">IFERROR(VLOOKUP(B26, Master_List!$A:$I, 9, FALSE), "-")</f>
        <v>24DU738_1015</v>
      </c>
      <c r="T26" s="20" t="str">
        <f ca="1">Master_List!$AW$6</f>
        <v>TOSHIBA</v>
      </c>
      <c r="U26" s="20" t="str">
        <f ca="1">Master_List!$AW$7</f>
        <v>MRMU</v>
      </c>
      <c r="V26" s="20" t="str">
        <f ca="1">Master_List!$AW$8</f>
        <v>12kV</v>
      </c>
      <c r="W26" s="20" t="str">
        <f ca="1">Master_List!$AW$9</f>
        <v>2S1F</v>
      </c>
      <c r="X26" s="20" t="str">
        <f ca="1">Master_List!$AW$10</f>
        <v>MTM</v>
      </c>
      <c r="Y26" s="20" t="str">
        <f ca="1">Master_List!$AW$11</f>
        <v>HERMETICALLY SEAL</v>
      </c>
      <c r="Z26" s="20" t="str">
        <f ca="1">Master_List!$AW$12</f>
        <v>750kVA</v>
      </c>
      <c r="AA26" s="20" t="str">
        <f ca="1">Master_List!$AW$13</f>
        <v>1317</v>
      </c>
      <c r="AB26" s="20">
        <f ca="1">Master_List!$AW$14</f>
        <v>0</v>
      </c>
      <c r="AC26" s="20">
        <f ca="1">Master_List!$AW$15</f>
        <v>0</v>
      </c>
      <c r="AD26" s="20">
        <f ca="1">Master_List!$AW$16</f>
        <v>0</v>
      </c>
      <c r="AE26" s="20">
        <f ca="1">Master_List!$AW$17</f>
        <v>0</v>
      </c>
      <c r="AF26" s="20" t="str">
        <f ca="1">Master_List!$AW$18</f>
        <v>INDKOM</v>
      </c>
      <c r="AG26" s="20" t="str">
        <f ca="1">Master_List!$AW$19</f>
        <v>J-SLOTTED</v>
      </c>
      <c r="AH26" s="20" t="str">
        <f ca="1">Master_List!$AW$20</f>
        <v>1600A</v>
      </c>
      <c r="AI26" s="20" t="str">
        <f ca="1">Master_List!$AW$21</f>
        <v>LV5080090</v>
      </c>
      <c r="AJ26" s="20" t="str">
        <f ca="1">Master_List!$AW$22</f>
        <v>LVDB TX1</v>
      </c>
      <c r="AK26" s="20">
        <f ca="1">Master_List!$AW$23</f>
        <v>0</v>
      </c>
      <c r="AL26" s="20">
        <f ca="1">Master_List!$AW$24</f>
        <v>0</v>
      </c>
      <c r="AM26" s="20">
        <f ca="1">Master_List!$AW$25</f>
        <v>0</v>
      </c>
      <c r="AN26" s="20">
        <f ca="1">Master_List!$AW$26</f>
        <v>0</v>
      </c>
      <c r="AO26" s="20" t="str">
        <f ca="1">Master_List!$AW$27</f>
        <v>LVDB TX2</v>
      </c>
      <c r="AP26" s="20" t="str">
        <f ca="1">Master_List!$AW$28</f>
        <v>SUNPOWER TECHNOLOGIES</v>
      </c>
      <c r="AQ26" s="20" t="str">
        <f ca="1">Master_List!$AW$29</f>
        <v>SPS 30-10 L</v>
      </c>
      <c r="AR26" s="20" t="str">
        <f ca="1">Master_List!$AW$30</f>
        <v>11193-8527</v>
      </c>
      <c r="AS26" s="20">
        <f ca="1">Master_List!$AW$31</f>
        <v>0</v>
      </c>
      <c r="AT26" s="20">
        <f ca="1">Master_List!$AW$32</f>
        <v>0</v>
      </c>
      <c r="AU26" s="20">
        <f ca="1">Master_List!$AW$33</f>
        <v>0</v>
      </c>
      <c r="AV26" s="20">
        <f ca="1">Master_List!$AW$34</f>
        <v>0</v>
      </c>
      <c r="AW26" s="20">
        <f ca="1">Master_List!$AW$35</f>
        <v>0</v>
      </c>
      <c r="AX26" s="20">
        <f ca="1">Master_List!$AW$36</f>
        <v>0</v>
      </c>
      <c r="AY26" s="20">
        <f ca="1">Master_List!$AW$37</f>
        <v>0</v>
      </c>
      <c r="AZ26" s="20">
        <f ca="1">Master_List!$AW$38</f>
        <v>0</v>
      </c>
      <c r="BA26" s="20">
        <f ca="1">Master_List!$AW$39</f>
        <v>0</v>
      </c>
      <c r="BB26" s="20" t="s">
        <v>2240</v>
      </c>
      <c r="BC26" s="20" t="s">
        <v>2241</v>
      </c>
      <c r="BD26" s="6" t="s">
        <v>1744</v>
      </c>
      <c r="BE26" s="6" t="s">
        <v>1761</v>
      </c>
      <c r="BF26" s="6" t="s">
        <v>1746</v>
      </c>
      <c r="BG26" s="6" t="str">
        <f t="shared" si="0"/>
        <v>C:\Users\aremi\Desktop\REPORT CBM\PO 42289580 - Pahang 11kV SECOND CYCLE AZZAD 2026\RAW MATERIAL\047. TNB BARU (IR+VI)\RAW DATA\IR</v>
      </c>
      <c r="BH26" s="24" t="s">
        <v>1538</v>
      </c>
    </row>
    <row r="27" spans="1:60" ht="30" customHeight="1" x14ac:dyDescent="0.25">
      <c r="A27" s="6">
        <v>13</v>
      </c>
      <c r="B27" s="6" t="s">
        <v>1534</v>
      </c>
      <c r="C27" s="6">
        <v>1</v>
      </c>
      <c r="D27" s="6" t="s">
        <v>2242</v>
      </c>
      <c r="E27" s="6">
        <v>13</v>
      </c>
      <c r="F27" s="6" t="str">
        <f ca="1">Master_List!$AW$1</f>
        <v>PERPUSTAKAAN PUSAT</v>
      </c>
      <c r="G27" s="27" t="str">
        <f ca="1">Master_List!$AW$2</f>
        <v>09:30 PM</v>
      </c>
      <c r="H27" s="32" t="str">
        <f ca="1">Master_List!$AW$3</f>
        <v>20/07/2026</v>
      </c>
      <c r="I27" s="28" t="str">
        <f ca="1">Master_List!$AW$4</f>
        <v>28.5</v>
      </c>
      <c r="J27" s="6" t="str">
        <f ca="1">Master_List!$AW$5</f>
        <v>65</v>
      </c>
      <c r="K27" s="6" t="s">
        <v>570</v>
      </c>
      <c r="L27" s="21" t="str">
        <f ca="1">IFERROR(VLOOKUP(B27, Master_List!$A:$I, 2, FALSE), "-")</f>
        <v>JJB 87616</v>
      </c>
      <c r="M27" s="22" t="str">
        <f ca="1">IFERROR(VLOOKUP(B27, Master_List!$A:$I, 3, FALSE), "-")</f>
        <v>PDT QRTS AGAMA</v>
      </c>
      <c r="N27" s="22" t="str">
        <f ca="1">IFERROR(VLOOKUP(B27, Master_List!$A:$I, 4, FALSE), "-")</f>
        <v>NOT ACCESSIBLE</v>
      </c>
      <c r="O27" s="22" t="str">
        <f ca="1">IFERROR(VLOOKUP(B27, Master_List!$A:$I, 5, FALSE), "-")</f>
        <v>CLOSE</v>
      </c>
      <c r="P27" s="22" t="str">
        <f ca="1">IFERROR(VLOOKUP(B27, Master_List!$A:$I, 6, FALSE), "-")</f>
        <v/>
      </c>
      <c r="Q27" s="22" t="str">
        <f ca="1">IFERROR(VLOOKUP(B27, Master_List!$A:$I, 7, FALSE), "-")</f>
        <v/>
      </c>
      <c r="R27" s="22" t="str">
        <f ca="1">IFERROR(VLOOKUP(B27, Master_List!$A:$I, 8, FALSE), "-")</f>
        <v/>
      </c>
      <c r="S27" s="22" t="str">
        <f ca="1">IFERROR(VLOOKUP(B27, Master_List!$A:$I, 9, FALSE), "-")</f>
        <v>24DU738_1015</v>
      </c>
      <c r="T27" s="20" t="str">
        <f ca="1">Master_List!$AW$6</f>
        <v>TOSHIBA</v>
      </c>
      <c r="U27" s="20" t="str">
        <f ca="1">Master_List!$AW$7</f>
        <v>MRMU</v>
      </c>
      <c r="V27" s="20" t="str">
        <f ca="1">Master_List!$AW$8</f>
        <v>12kV</v>
      </c>
      <c r="W27" s="20" t="str">
        <f ca="1">Master_List!$AW$9</f>
        <v>2S1F</v>
      </c>
      <c r="X27" s="20" t="str">
        <f ca="1">Master_List!$AW$10</f>
        <v>MTM</v>
      </c>
      <c r="Y27" s="20" t="str">
        <f ca="1">Master_List!$AW$11</f>
        <v>HERMETICALLY SEAL</v>
      </c>
      <c r="Z27" s="20" t="str">
        <f ca="1">Master_List!$AW$12</f>
        <v>750kVA</v>
      </c>
      <c r="AA27" s="20" t="str">
        <f ca="1">Master_List!$AW$13</f>
        <v>1317</v>
      </c>
      <c r="AB27" s="20">
        <f ca="1">Master_List!$AW$14</f>
        <v>0</v>
      </c>
      <c r="AC27" s="20">
        <f ca="1">Master_List!$AW$15</f>
        <v>0</v>
      </c>
      <c r="AD27" s="20">
        <f ca="1">Master_List!$AW$16</f>
        <v>0</v>
      </c>
      <c r="AE27" s="20">
        <f ca="1">Master_List!$AW$17</f>
        <v>0</v>
      </c>
      <c r="AF27" s="20" t="str">
        <f ca="1">Master_List!$AW$18</f>
        <v>INDKOM</v>
      </c>
      <c r="AG27" s="20" t="str">
        <f ca="1">Master_List!$AW$19</f>
        <v>J-SLOTTED</v>
      </c>
      <c r="AH27" s="20" t="str">
        <f ca="1">Master_List!$AW$20</f>
        <v>1600A</v>
      </c>
      <c r="AI27" s="20" t="str">
        <f ca="1">Master_List!$AW$21</f>
        <v>LV5080090</v>
      </c>
      <c r="AJ27" s="20" t="str">
        <f ca="1">Master_List!$AW$22</f>
        <v>LVDB TX1</v>
      </c>
      <c r="AK27" s="20">
        <f ca="1">Master_List!$AW$23</f>
        <v>0</v>
      </c>
      <c r="AL27" s="20">
        <f ca="1">Master_List!$AW$24</f>
        <v>0</v>
      </c>
      <c r="AM27" s="20">
        <f ca="1">Master_List!$AW$25</f>
        <v>0</v>
      </c>
      <c r="AN27" s="20">
        <f ca="1">Master_List!$AW$26</f>
        <v>0</v>
      </c>
      <c r="AO27" s="20" t="str">
        <f ca="1">Master_List!$AW$27</f>
        <v>LVDB TX2</v>
      </c>
      <c r="AP27" s="20" t="str">
        <f ca="1">Master_List!$AW$28</f>
        <v>SUNPOWER TECHNOLOGIES</v>
      </c>
      <c r="AQ27" s="20" t="str">
        <f ca="1">Master_List!$AW$29</f>
        <v>SPS 30-10 L</v>
      </c>
      <c r="AR27" s="20" t="str">
        <f ca="1">Master_List!$AW$30</f>
        <v>11193-8527</v>
      </c>
      <c r="AS27" s="20">
        <f ca="1">Master_List!$AW$31</f>
        <v>0</v>
      </c>
      <c r="AT27" s="20">
        <f ca="1">Master_List!$AW$32</f>
        <v>0</v>
      </c>
      <c r="AU27" s="20">
        <f ca="1">Master_List!$AW$33</f>
        <v>0</v>
      </c>
      <c r="AV27" s="20">
        <f ca="1">Master_List!$AW$34</f>
        <v>0</v>
      </c>
      <c r="AW27" s="20">
        <f ca="1">Master_List!$AW$35</f>
        <v>0</v>
      </c>
      <c r="AX27" s="20">
        <f ca="1">Master_List!$AW$36</f>
        <v>0</v>
      </c>
      <c r="AY27" s="20">
        <f ca="1">Master_List!$AW$37</f>
        <v>0</v>
      </c>
      <c r="AZ27" s="20">
        <f ca="1">Master_List!$AW$38</f>
        <v>0</v>
      </c>
      <c r="BA27" s="20">
        <f ca="1">Master_List!$AW$39</f>
        <v>0</v>
      </c>
      <c r="BB27" s="20" t="s">
        <v>2240</v>
      </c>
      <c r="BC27" s="20" t="s">
        <v>2241</v>
      </c>
      <c r="BD27" s="6" t="s">
        <v>1744</v>
      </c>
      <c r="BE27" s="6" t="s">
        <v>1761</v>
      </c>
      <c r="BF27" s="6" t="s">
        <v>1748</v>
      </c>
      <c r="BG27" s="6" t="str">
        <f t="shared" si="0"/>
        <v>C:\Users\aremi\Desktop\REPORT CBM\PO 42289580 - Pahang 11kV SECOND CYCLE AZZAD 2026\RAW MATERIAL\047. TNB BARU (IR+VI)\RAW DATA\IR</v>
      </c>
      <c r="BH27" s="24" t="s">
        <v>1539</v>
      </c>
    </row>
    <row r="28" spans="1:60" ht="30" customHeight="1" x14ac:dyDescent="0.25">
      <c r="A28" s="6">
        <v>14</v>
      </c>
      <c r="B28" s="6" t="s">
        <v>1534</v>
      </c>
      <c r="C28" s="6">
        <v>1</v>
      </c>
      <c r="D28" s="6" t="s">
        <v>2242</v>
      </c>
      <c r="E28" s="6">
        <v>14</v>
      </c>
      <c r="F28" s="6" t="str">
        <f ca="1">Master_List!$AW$1</f>
        <v>PERPUSTAKAAN PUSAT</v>
      </c>
      <c r="G28" s="27" t="str">
        <f ca="1">Master_List!$AW$2</f>
        <v>09:30 PM</v>
      </c>
      <c r="H28" s="32" t="str">
        <f ca="1">Master_List!$AW$3</f>
        <v>20/07/2026</v>
      </c>
      <c r="I28" s="28" t="str">
        <f ca="1">Master_List!$AW$4</f>
        <v>28.5</v>
      </c>
      <c r="J28" s="6" t="str">
        <f ca="1">Master_List!$AW$5</f>
        <v>65</v>
      </c>
      <c r="K28" s="6" t="s">
        <v>573</v>
      </c>
      <c r="L28" s="21" t="str">
        <f ca="1">IFERROR(VLOOKUP(B28, Master_List!$A:$I, 2, FALSE), "-")</f>
        <v>JJB 87616</v>
      </c>
      <c r="M28" s="22" t="str">
        <f ca="1">IFERROR(VLOOKUP(B28, Master_List!$A:$I, 3, FALSE), "-")</f>
        <v>PDT QRTS AGAMA</v>
      </c>
      <c r="N28" s="22" t="str">
        <f ca="1">IFERROR(VLOOKUP(B28, Master_List!$A:$I, 4, FALSE), "-")</f>
        <v>NOT ACCESSIBLE</v>
      </c>
      <c r="O28" s="22" t="str">
        <f ca="1">IFERROR(VLOOKUP(B28, Master_List!$A:$I, 5, FALSE), "-")</f>
        <v>CLOSE</v>
      </c>
      <c r="P28" s="22" t="str">
        <f ca="1">IFERROR(VLOOKUP(B28, Master_List!$A:$I, 6, FALSE), "-")</f>
        <v/>
      </c>
      <c r="Q28" s="22" t="str">
        <f ca="1">IFERROR(VLOOKUP(B28, Master_List!$A:$I, 7, FALSE), "-")</f>
        <v/>
      </c>
      <c r="R28" s="22" t="str">
        <f ca="1">IFERROR(VLOOKUP(B28, Master_List!$A:$I, 8, FALSE), "-")</f>
        <v/>
      </c>
      <c r="S28" s="22" t="str">
        <f ca="1">IFERROR(VLOOKUP(B28, Master_List!$A:$I, 9, FALSE), "-")</f>
        <v>24DU738_1015</v>
      </c>
      <c r="T28" s="20" t="str">
        <f ca="1">Master_List!$AW$6</f>
        <v>TOSHIBA</v>
      </c>
      <c r="U28" s="20" t="str">
        <f ca="1">Master_List!$AW$7</f>
        <v>MRMU</v>
      </c>
      <c r="V28" s="20" t="str">
        <f ca="1">Master_List!$AW$8</f>
        <v>12kV</v>
      </c>
      <c r="W28" s="20" t="str">
        <f ca="1">Master_List!$AW$9</f>
        <v>2S1F</v>
      </c>
      <c r="X28" s="20" t="str">
        <f ca="1">Master_List!$AW$10</f>
        <v>MTM</v>
      </c>
      <c r="Y28" s="20" t="str">
        <f ca="1">Master_List!$AW$11</f>
        <v>HERMETICALLY SEAL</v>
      </c>
      <c r="Z28" s="20" t="str">
        <f ca="1">Master_List!$AW$12</f>
        <v>750kVA</v>
      </c>
      <c r="AA28" s="20" t="str">
        <f ca="1">Master_List!$AW$13</f>
        <v>1317</v>
      </c>
      <c r="AB28" s="20">
        <f ca="1">Master_List!$AW$14</f>
        <v>0</v>
      </c>
      <c r="AC28" s="20">
        <f ca="1">Master_List!$AW$15</f>
        <v>0</v>
      </c>
      <c r="AD28" s="20">
        <f ca="1">Master_List!$AW$16</f>
        <v>0</v>
      </c>
      <c r="AE28" s="20">
        <f ca="1">Master_List!$AW$17</f>
        <v>0</v>
      </c>
      <c r="AF28" s="20" t="str">
        <f ca="1">Master_List!$AW$18</f>
        <v>INDKOM</v>
      </c>
      <c r="AG28" s="20" t="str">
        <f ca="1">Master_List!$AW$19</f>
        <v>J-SLOTTED</v>
      </c>
      <c r="AH28" s="20" t="str">
        <f ca="1">Master_List!$AW$20</f>
        <v>1600A</v>
      </c>
      <c r="AI28" s="20" t="str">
        <f ca="1">Master_List!$AW$21</f>
        <v>LV5080090</v>
      </c>
      <c r="AJ28" s="20" t="str">
        <f ca="1">Master_List!$AW$22</f>
        <v>LVDB TX1</v>
      </c>
      <c r="AK28" s="20">
        <f ca="1">Master_List!$AW$23</f>
        <v>0</v>
      </c>
      <c r="AL28" s="20">
        <f ca="1">Master_List!$AW$24</f>
        <v>0</v>
      </c>
      <c r="AM28" s="20">
        <f ca="1">Master_List!$AW$25</f>
        <v>0</v>
      </c>
      <c r="AN28" s="20">
        <f ca="1">Master_List!$AW$26</f>
        <v>0</v>
      </c>
      <c r="AO28" s="20" t="str">
        <f ca="1">Master_List!$AW$27</f>
        <v>LVDB TX2</v>
      </c>
      <c r="AP28" s="20" t="str">
        <f ca="1">Master_List!$AW$28</f>
        <v>SUNPOWER TECHNOLOGIES</v>
      </c>
      <c r="AQ28" s="20" t="str">
        <f ca="1">Master_List!$AW$29</f>
        <v>SPS 30-10 L</v>
      </c>
      <c r="AR28" s="20" t="str">
        <f ca="1">Master_List!$AW$30</f>
        <v>11193-8527</v>
      </c>
      <c r="AS28" s="20">
        <f ca="1">Master_List!$AW$31</f>
        <v>0</v>
      </c>
      <c r="AT28" s="20">
        <f ca="1">Master_List!$AW$32</f>
        <v>0</v>
      </c>
      <c r="AU28" s="20">
        <f ca="1">Master_List!$AW$33</f>
        <v>0</v>
      </c>
      <c r="AV28" s="20">
        <f ca="1">Master_List!$AW$34</f>
        <v>0</v>
      </c>
      <c r="AW28" s="20">
        <f ca="1">Master_List!$AW$35</f>
        <v>0</v>
      </c>
      <c r="AX28" s="20">
        <f ca="1">Master_List!$AW$36</f>
        <v>0</v>
      </c>
      <c r="AY28" s="20">
        <f ca="1">Master_List!$AW$37</f>
        <v>0</v>
      </c>
      <c r="AZ28" s="20">
        <f ca="1">Master_List!$AW$38</f>
        <v>0</v>
      </c>
      <c r="BA28" s="20">
        <f ca="1">Master_List!$AW$39</f>
        <v>0</v>
      </c>
      <c r="BB28" s="20" t="s">
        <v>2240</v>
      </c>
      <c r="BC28" s="20" t="s">
        <v>2241</v>
      </c>
      <c r="BD28" s="6" t="s">
        <v>1744</v>
      </c>
      <c r="BE28" s="6" t="s">
        <v>1762</v>
      </c>
      <c r="BF28" s="6" t="s">
        <v>1746</v>
      </c>
      <c r="BG28" s="6" t="str">
        <f t="shared" si="0"/>
        <v>C:\Users\aremi\Desktop\REPORT CBM\PO 42289580 - Pahang 11kV SECOND CYCLE AZZAD 2026\RAW MATERIAL\047. TNB BARU (IR+VI)\RAW DATA\IR</v>
      </c>
      <c r="BH28" s="24" t="s">
        <v>1540</v>
      </c>
    </row>
    <row r="29" spans="1:60" ht="30" customHeight="1" x14ac:dyDescent="0.25">
      <c r="A29" s="6">
        <v>14</v>
      </c>
      <c r="B29" s="6" t="s">
        <v>1534</v>
      </c>
      <c r="C29" s="6">
        <v>1</v>
      </c>
      <c r="D29" s="6" t="s">
        <v>2242</v>
      </c>
      <c r="E29" s="6">
        <v>14</v>
      </c>
      <c r="F29" s="6" t="str">
        <f ca="1">Master_List!$AW$1</f>
        <v>PERPUSTAKAAN PUSAT</v>
      </c>
      <c r="G29" s="27" t="str">
        <f ca="1">Master_List!$AW$2</f>
        <v>09:30 PM</v>
      </c>
      <c r="H29" s="32" t="str">
        <f ca="1">Master_List!$AW$3</f>
        <v>20/07/2026</v>
      </c>
      <c r="I29" s="28" t="str">
        <f ca="1">Master_List!$AW$4</f>
        <v>28.5</v>
      </c>
      <c r="J29" s="6" t="str">
        <f ca="1">Master_List!$AW$5</f>
        <v>65</v>
      </c>
      <c r="K29" s="6" t="s">
        <v>573</v>
      </c>
      <c r="L29" s="21" t="str">
        <f ca="1">IFERROR(VLOOKUP(B29, Master_List!$A:$I, 2, FALSE), "-")</f>
        <v>JJB 87616</v>
      </c>
      <c r="M29" s="22" t="str">
        <f ca="1">IFERROR(VLOOKUP(B29, Master_List!$A:$I, 3, FALSE), "-")</f>
        <v>PDT QRTS AGAMA</v>
      </c>
      <c r="N29" s="22" t="str">
        <f ca="1">IFERROR(VLOOKUP(B29, Master_List!$A:$I, 4, FALSE), "-")</f>
        <v>NOT ACCESSIBLE</v>
      </c>
      <c r="O29" s="22" t="str">
        <f ca="1">IFERROR(VLOOKUP(B29, Master_List!$A:$I, 5, FALSE), "-")</f>
        <v>CLOSE</v>
      </c>
      <c r="P29" s="22" t="str">
        <f ca="1">IFERROR(VLOOKUP(B29, Master_List!$A:$I, 6, FALSE), "-")</f>
        <v/>
      </c>
      <c r="Q29" s="22" t="str">
        <f ca="1">IFERROR(VLOOKUP(B29, Master_List!$A:$I, 7, FALSE), "-")</f>
        <v/>
      </c>
      <c r="R29" s="22" t="str">
        <f ca="1">IFERROR(VLOOKUP(B29, Master_List!$A:$I, 8, FALSE), "-")</f>
        <v/>
      </c>
      <c r="S29" s="22" t="str">
        <f ca="1">IFERROR(VLOOKUP(B29, Master_List!$A:$I, 9, FALSE), "-")</f>
        <v>24DU738_1015</v>
      </c>
      <c r="T29" s="20" t="str">
        <f ca="1">Master_List!$AW$6</f>
        <v>TOSHIBA</v>
      </c>
      <c r="U29" s="20" t="str">
        <f ca="1">Master_List!$AW$7</f>
        <v>MRMU</v>
      </c>
      <c r="V29" s="20" t="str">
        <f ca="1">Master_List!$AW$8</f>
        <v>12kV</v>
      </c>
      <c r="W29" s="20" t="str">
        <f ca="1">Master_List!$AW$9</f>
        <v>2S1F</v>
      </c>
      <c r="X29" s="20" t="str">
        <f ca="1">Master_List!$AW$10</f>
        <v>MTM</v>
      </c>
      <c r="Y29" s="20" t="str">
        <f ca="1">Master_List!$AW$11</f>
        <v>HERMETICALLY SEAL</v>
      </c>
      <c r="Z29" s="20" t="str">
        <f ca="1">Master_List!$AW$12</f>
        <v>750kVA</v>
      </c>
      <c r="AA29" s="20" t="str">
        <f ca="1">Master_List!$AW$13</f>
        <v>1317</v>
      </c>
      <c r="AB29" s="20">
        <f ca="1">Master_List!$AW$14</f>
        <v>0</v>
      </c>
      <c r="AC29" s="20">
        <f ca="1">Master_List!$AW$15</f>
        <v>0</v>
      </c>
      <c r="AD29" s="20">
        <f ca="1">Master_List!$AW$16</f>
        <v>0</v>
      </c>
      <c r="AE29" s="20">
        <f ca="1">Master_List!$AW$17</f>
        <v>0</v>
      </c>
      <c r="AF29" s="20" t="str">
        <f ca="1">Master_List!$AW$18</f>
        <v>INDKOM</v>
      </c>
      <c r="AG29" s="20" t="str">
        <f ca="1">Master_List!$AW$19</f>
        <v>J-SLOTTED</v>
      </c>
      <c r="AH29" s="20" t="str">
        <f ca="1">Master_List!$AW$20</f>
        <v>1600A</v>
      </c>
      <c r="AI29" s="20" t="str">
        <f ca="1">Master_List!$AW$21</f>
        <v>LV5080090</v>
      </c>
      <c r="AJ29" s="20" t="str">
        <f ca="1">Master_List!$AW$22</f>
        <v>LVDB TX1</v>
      </c>
      <c r="AK29" s="20">
        <f ca="1">Master_List!$AW$23</f>
        <v>0</v>
      </c>
      <c r="AL29" s="20">
        <f ca="1">Master_List!$AW$24</f>
        <v>0</v>
      </c>
      <c r="AM29" s="20">
        <f ca="1">Master_List!$AW$25</f>
        <v>0</v>
      </c>
      <c r="AN29" s="20">
        <f ca="1">Master_List!$AW$26</f>
        <v>0</v>
      </c>
      <c r="AO29" s="20" t="str">
        <f ca="1">Master_List!$AW$27</f>
        <v>LVDB TX2</v>
      </c>
      <c r="AP29" s="20" t="str">
        <f ca="1">Master_List!$AW$28</f>
        <v>SUNPOWER TECHNOLOGIES</v>
      </c>
      <c r="AQ29" s="20" t="str">
        <f ca="1">Master_List!$AW$29</f>
        <v>SPS 30-10 L</v>
      </c>
      <c r="AR29" s="20" t="str">
        <f ca="1">Master_List!$AW$30</f>
        <v>11193-8527</v>
      </c>
      <c r="AS29" s="20">
        <f ca="1">Master_List!$AW$31</f>
        <v>0</v>
      </c>
      <c r="AT29" s="20">
        <f ca="1">Master_List!$AW$32</f>
        <v>0</v>
      </c>
      <c r="AU29" s="20">
        <f ca="1">Master_List!$AW$33</f>
        <v>0</v>
      </c>
      <c r="AV29" s="20">
        <f ca="1">Master_List!$AW$34</f>
        <v>0</v>
      </c>
      <c r="AW29" s="20">
        <f ca="1">Master_List!$AW$35</f>
        <v>0</v>
      </c>
      <c r="AX29" s="20">
        <f ca="1">Master_List!$AW$36</f>
        <v>0</v>
      </c>
      <c r="AY29" s="20">
        <f ca="1">Master_List!$AW$37</f>
        <v>0</v>
      </c>
      <c r="AZ29" s="20">
        <f ca="1">Master_List!$AW$38</f>
        <v>0</v>
      </c>
      <c r="BA29" s="20">
        <f ca="1">Master_List!$AW$39</f>
        <v>0</v>
      </c>
      <c r="BB29" s="20" t="s">
        <v>2240</v>
      </c>
      <c r="BC29" s="20" t="s">
        <v>2241</v>
      </c>
      <c r="BD29" s="6" t="s">
        <v>1744</v>
      </c>
      <c r="BE29" s="6" t="s">
        <v>1762</v>
      </c>
      <c r="BF29" s="6" t="s">
        <v>1748</v>
      </c>
      <c r="BG29" s="6" t="str">
        <f t="shared" si="0"/>
        <v>C:\Users\aremi\Desktop\REPORT CBM\PO 42289580 - Pahang 11kV SECOND CYCLE AZZAD 2026\RAW MATERIAL\047. TNB BARU (IR+VI)\RAW DATA\IR</v>
      </c>
      <c r="BH29" s="24" t="s">
        <v>1541</v>
      </c>
    </row>
    <row r="30" spans="1:60" ht="30" customHeight="1" x14ac:dyDescent="0.25">
      <c r="A30" s="6">
        <v>15</v>
      </c>
      <c r="B30" s="6" t="s">
        <v>1534</v>
      </c>
      <c r="C30" s="6">
        <v>1</v>
      </c>
      <c r="D30" s="6" t="s">
        <v>2242</v>
      </c>
      <c r="E30" s="6">
        <v>15</v>
      </c>
      <c r="F30" s="6" t="str">
        <f ca="1">Master_List!$AW$1</f>
        <v>PERPUSTAKAAN PUSAT</v>
      </c>
      <c r="G30" s="27" t="str">
        <f ca="1">Master_List!$AW$2</f>
        <v>09:30 PM</v>
      </c>
      <c r="H30" s="32" t="str">
        <f ca="1">Master_List!$AW$3</f>
        <v>20/07/2026</v>
      </c>
      <c r="I30" s="28" t="str">
        <f ca="1">Master_List!$AW$4</f>
        <v>28.5</v>
      </c>
      <c r="J30" s="6" t="str">
        <f ca="1">Master_List!$AW$5</f>
        <v>65</v>
      </c>
      <c r="K30" s="6" t="s">
        <v>576</v>
      </c>
      <c r="L30" s="21" t="str">
        <f ca="1">IFERROR(VLOOKUP(B30, Master_List!$A:$I, 2, FALSE), "-")</f>
        <v>JJB 87616</v>
      </c>
      <c r="M30" s="22" t="str">
        <f ca="1">IFERROR(VLOOKUP(B30, Master_List!$A:$I, 3, FALSE), "-")</f>
        <v>PDT QRTS AGAMA</v>
      </c>
      <c r="N30" s="22" t="str">
        <f ca="1">IFERROR(VLOOKUP(B30, Master_List!$A:$I, 4, FALSE), "-")</f>
        <v>NOT ACCESSIBLE</v>
      </c>
      <c r="O30" s="22" t="str">
        <f ca="1">IFERROR(VLOOKUP(B30, Master_List!$A:$I, 5, FALSE), "-")</f>
        <v>CLOSE</v>
      </c>
      <c r="P30" s="22" t="str">
        <f ca="1">IFERROR(VLOOKUP(B30, Master_List!$A:$I, 6, FALSE), "-")</f>
        <v/>
      </c>
      <c r="Q30" s="22" t="str">
        <f ca="1">IFERROR(VLOOKUP(B30, Master_List!$A:$I, 7, FALSE), "-")</f>
        <v/>
      </c>
      <c r="R30" s="22" t="str">
        <f ca="1">IFERROR(VLOOKUP(B30, Master_List!$A:$I, 8, FALSE), "-")</f>
        <v/>
      </c>
      <c r="S30" s="22" t="str">
        <f ca="1">IFERROR(VLOOKUP(B30, Master_List!$A:$I, 9, FALSE), "-")</f>
        <v>24DU738_1015</v>
      </c>
      <c r="T30" s="20" t="str">
        <f ca="1">Master_List!$AW$6</f>
        <v>TOSHIBA</v>
      </c>
      <c r="U30" s="20" t="str">
        <f ca="1">Master_List!$AW$7</f>
        <v>MRMU</v>
      </c>
      <c r="V30" s="20" t="str">
        <f ca="1">Master_List!$AW$8</f>
        <v>12kV</v>
      </c>
      <c r="W30" s="20" t="str">
        <f ca="1">Master_List!$AW$9</f>
        <v>2S1F</v>
      </c>
      <c r="X30" s="20" t="str">
        <f ca="1">Master_List!$AW$10</f>
        <v>MTM</v>
      </c>
      <c r="Y30" s="20" t="str">
        <f ca="1">Master_List!$AW$11</f>
        <v>HERMETICALLY SEAL</v>
      </c>
      <c r="Z30" s="20" t="str">
        <f ca="1">Master_List!$AW$12</f>
        <v>750kVA</v>
      </c>
      <c r="AA30" s="20" t="str">
        <f ca="1">Master_List!$AW$13</f>
        <v>1317</v>
      </c>
      <c r="AB30" s="20">
        <f ca="1">Master_List!$AW$14</f>
        <v>0</v>
      </c>
      <c r="AC30" s="20">
        <f ca="1">Master_List!$AW$15</f>
        <v>0</v>
      </c>
      <c r="AD30" s="20">
        <f ca="1">Master_List!$AW$16</f>
        <v>0</v>
      </c>
      <c r="AE30" s="20">
        <f ca="1">Master_List!$AW$17</f>
        <v>0</v>
      </c>
      <c r="AF30" s="20" t="str">
        <f ca="1">Master_List!$AW$18</f>
        <v>INDKOM</v>
      </c>
      <c r="AG30" s="20" t="str">
        <f ca="1">Master_List!$AW$19</f>
        <v>J-SLOTTED</v>
      </c>
      <c r="AH30" s="20" t="str">
        <f ca="1">Master_List!$AW$20</f>
        <v>1600A</v>
      </c>
      <c r="AI30" s="20" t="str">
        <f ca="1">Master_List!$AW$21</f>
        <v>LV5080090</v>
      </c>
      <c r="AJ30" s="20" t="str">
        <f ca="1">Master_List!$AW$22</f>
        <v>LVDB TX1</v>
      </c>
      <c r="AK30" s="20">
        <f ca="1">Master_List!$AW$23</f>
        <v>0</v>
      </c>
      <c r="AL30" s="20">
        <f ca="1">Master_List!$AW$24</f>
        <v>0</v>
      </c>
      <c r="AM30" s="20">
        <f ca="1">Master_List!$AW$25</f>
        <v>0</v>
      </c>
      <c r="AN30" s="20">
        <f ca="1">Master_List!$AW$26</f>
        <v>0</v>
      </c>
      <c r="AO30" s="20" t="str">
        <f ca="1">Master_List!$AW$27</f>
        <v>LVDB TX2</v>
      </c>
      <c r="AP30" s="20" t="str">
        <f ca="1">Master_List!$AW$28</f>
        <v>SUNPOWER TECHNOLOGIES</v>
      </c>
      <c r="AQ30" s="20" t="str">
        <f ca="1">Master_List!$AW$29</f>
        <v>SPS 30-10 L</v>
      </c>
      <c r="AR30" s="20" t="str">
        <f ca="1">Master_List!$AW$30</f>
        <v>11193-8527</v>
      </c>
      <c r="AS30" s="20">
        <f ca="1">Master_List!$AW$31</f>
        <v>0</v>
      </c>
      <c r="AT30" s="20">
        <f ca="1">Master_List!$AW$32</f>
        <v>0</v>
      </c>
      <c r="AU30" s="20">
        <f ca="1">Master_List!$AW$33</f>
        <v>0</v>
      </c>
      <c r="AV30" s="20">
        <f ca="1">Master_List!$AW$34</f>
        <v>0</v>
      </c>
      <c r="AW30" s="20">
        <f ca="1">Master_List!$AW$35</f>
        <v>0</v>
      </c>
      <c r="AX30" s="20">
        <f ca="1">Master_List!$AW$36</f>
        <v>0</v>
      </c>
      <c r="AY30" s="20">
        <f ca="1">Master_List!$AW$37</f>
        <v>0</v>
      </c>
      <c r="AZ30" s="20">
        <f ca="1">Master_List!$AW$38</f>
        <v>0</v>
      </c>
      <c r="BA30" s="20">
        <f ca="1">Master_List!$AW$39</f>
        <v>0</v>
      </c>
      <c r="BB30" s="20" t="s">
        <v>2240</v>
      </c>
      <c r="BC30" s="20" t="s">
        <v>2241</v>
      </c>
      <c r="BD30" s="6" t="s">
        <v>1744</v>
      </c>
      <c r="BE30" s="6" t="s">
        <v>1763</v>
      </c>
      <c r="BF30" s="6" t="s">
        <v>1746</v>
      </c>
      <c r="BG30" s="6" t="str">
        <f t="shared" si="0"/>
        <v>C:\Users\aremi\Desktop\REPORT CBM\PO 42289580 - Pahang 11kV SECOND CYCLE AZZAD 2026\RAW MATERIAL\047. TNB BARU (IR+VI)\RAW DATA\IR</v>
      </c>
      <c r="BH30" s="24" t="s">
        <v>1543</v>
      </c>
    </row>
    <row r="31" spans="1:60" ht="30" customHeight="1" x14ac:dyDescent="0.25">
      <c r="A31" s="6">
        <v>15</v>
      </c>
      <c r="B31" s="6" t="s">
        <v>1534</v>
      </c>
      <c r="C31" s="6">
        <v>1</v>
      </c>
      <c r="D31" s="6" t="s">
        <v>2242</v>
      </c>
      <c r="E31" s="6">
        <v>15</v>
      </c>
      <c r="F31" s="6" t="str">
        <f ca="1">Master_List!$AW$1</f>
        <v>PERPUSTAKAAN PUSAT</v>
      </c>
      <c r="G31" s="27" t="str">
        <f ca="1">Master_List!$AW$2</f>
        <v>09:30 PM</v>
      </c>
      <c r="H31" s="32" t="str">
        <f ca="1">Master_List!$AW$3</f>
        <v>20/07/2026</v>
      </c>
      <c r="I31" s="28" t="str">
        <f ca="1">Master_List!$AW$4</f>
        <v>28.5</v>
      </c>
      <c r="J31" s="6" t="str">
        <f ca="1">Master_List!$AW$5</f>
        <v>65</v>
      </c>
      <c r="K31" s="6" t="s">
        <v>576</v>
      </c>
      <c r="L31" s="21" t="str">
        <f ca="1">IFERROR(VLOOKUP(B31, Master_List!$A:$I, 2, FALSE), "-")</f>
        <v>JJB 87616</v>
      </c>
      <c r="M31" s="22" t="str">
        <f ca="1">IFERROR(VLOOKUP(B31, Master_List!$A:$I, 3, FALSE), "-")</f>
        <v>PDT QRTS AGAMA</v>
      </c>
      <c r="N31" s="22" t="str">
        <f ca="1">IFERROR(VLOOKUP(B31, Master_List!$A:$I, 4, FALSE), "-")</f>
        <v>NOT ACCESSIBLE</v>
      </c>
      <c r="O31" s="22" t="str">
        <f ca="1">IFERROR(VLOOKUP(B31, Master_List!$A:$I, 5, FALSE), "-")</f>
        <v>CLOSE</v>
      </c>
      <c r="P31" s="22" t="str">
        <f ca="1">IFERROR(VLOOKUP(B31, Master_List!$A:$I, 6, FALSE), "-")</f>
        <v/>
      </c>
      <c r="Q31" s="22" t="str">
        <f ca="1">IFERROR(VLOOKUP(B31, Master_List!$A:$I, 7, FALSE), "-")</f>
        <v/>
      </c>
      <c r="R31" s="22" t="str">
        <f ca="1">IFERROR(VLOOKUP(B31, Master_List!$A:$I, 8, FALSE), "-")</f>
        <v/>
      </c>
      <c r="S31" s="22" t="str">
        <f ca="1">IFERROR(VLOOKUP(B31, Master_List!$A:$I, 9, FALSE), "-")</f>
        <v>24DU738_1015</v>
      </c>
      <c r="T31" s="20" t="str">
        <f ca="1">Master_List!$AW$6</f>
        <v>TOSHIBA</v>
      </c>
      <c r="U31" s="20" t="str">
        <f ca="1">Master_List!$AW$7</f>
        <v>MRMU</v>
      </c>
      <c r="V31" s="20" t="str">
        <f ca="1">Master_List!$AW$8</f>
        <v>12kV</v>
      </c>
      <c r="W31" s="20" t="str">
        <f ca="1">Master_List!$AW$9</f>
        <v>2S1F</v>
      </c>
      <c r="X31" s="20" t="str">
        <f ca="1">Master_List!$AW$10</f>
        <v>MTM</v>
      </c>
      <c r="Y31" s="20" t="str">
        <f ca="1">Master_List!$AW$11</f>
        <v>HERMETICALLY SEAL</v>
      </c>
      <c r="Z31" s="20" t="str">
        <f ca="1">Master_List!$AW$12</f>
        <v>750kVA</v>
      </c>
      <c r="AA31" s="20" t="str">
        <f ca="1">Master_List!$AW$13</f>
        <v>1317</v>
      </c>
      <c r="AB31" s="20">
        <f ca="1">Master_List!$AW$14</f>
        <v>0</v>
      </c>
      <c r="AC31" s="20">
        <f ca="1">Master_List!$AW$15</f>
        <v>0</v>
      </c>
      <c r="AD31" s="20">
        <f ca="1">Master_List!$AW$16</f>
        <v>0</v>
      </c>
      <c r="AE31" s="20">
        <f ca="1">Master_List!$AW$17</f>
        <v>0</v>
      </c>
      <c r="AF31" s="20" t="str">
        <f ca="1">Master_List!$AW$18</f>
        <v>INDKOM</v>
      </c>
      <c r="AG31" s="20" t="str">
        <f ca="1">Master_List!$AW$19</f>
        <v>J-SLOTTED</v>
      </c>
      <c r="AH31" s="20" t="str">
        <f ca="1">Master_List!$AW$20</f>
        <v>1600A</v>
      </c>
      <c r="AI31" s="20" t="str">
        <f ca="1">Master_List!$AW$21</f>
        <v>LV5080090</v>
      </c>
      <c r="AJ31" s="20" t="str">
        <f ca="1">Master_List!$AW$22</f>
        <v>LVDB TX1</v>
      </c>
      <c r="AK31" s="20">
        <f ca="1">Master_List!$AW$23</f>
        <v>0</v>
      </c>
      <c r="AL31" s="20">
        <f ca="1">Master_List!$AW$24</f>
        <v>0</v>
      </c>
      <c r="AM31" s="20">
        <f ca="1">Master_List!$AW$25</f>
        <v>0</v>
      </c>
      <c r="AN31" s="20">
        <f ca="1">Master_List!$AW$26</f>
        <v>0</v>
      </c>
      <c r="AO31" s="20" t="str">
        <f ca="1">Master_List!$AW$27</f>
        <v>LVDB TX2</v>
      </c>
      <c r="AP31" s="20" t="str">
        <f ca="1">Master_List!$AW$28</f>
        <v>SUNPOWER TECHNOLOGIES</v>
      </c>
      <c r="AQ31" s="20" t="str">
        <f ca="1">Master_List!$AW$29</f>
        <v>SPS 30-10 L</v>
      </c>
      <c r="AR31" s="20" t="str">
        <f ca="1">Master_List!$AW$30</f>
        <v>11193-8527</v>
      </c>
      <c r="AS31" s="20">
        <f ca="1">Master_List!$AW$31</f>
        <v>0</v>
      </c>
      <c r="AT31" s="20">
        <f ca="1">Master_List!$AW$32</f>
        <v>0</v>
      </c>
      <c r="AU31" s="20">
        <f ca="1">Master_List!$AW$33</f>
        <v>0</v>
      </c>
      <c r="AV31" s="20">
        <f ca="1">Master_List!$AW$34</f>
        <v>0</v>
      </c>
      <c r="AW31" s="20">
        <f ca="1">Master_List!$AW$35</f>
        <v>0</v>
      </c>
      <c r="AX31" s="20">
        <f ca="1">Master_List!$AW$36</f>
        <v>0</v>
      </c>
      <c r="AY31" s="20">
        <f ca="1">Master_List!$AW$37</f>
        <v>0</v>
      </c>
      <c r="AZ31" s="20">
        <f ca="1">Master_List!$AW$38</f>
        <v>0</v>
      </c>
      <c r="BA31" s="20">
        <f ca="1">Master_List!$AW$39</f>
        <v>0</v>
      </c>
      <c r="BB31" s="20" t="s">
        <v>2240</v>
      </c>
      <c r="BC31" s="20" t="s">
        <v>2241</v>
      </c>
      <c r="BD31" s="6" t="s">
        <v>1744</v>
      </c>
      <c r="BE31" s="6" t="s">
        <v>1763</v>
      </c>
      <c r="BF31" s="6" t="s">
        <v>1748</v>
      </c>
      <c r="BG31" s="6" t="str">
        <f t="shared" si="0"/>
        <v>C:\Users\aremi\Desktop\REPORT CBM\PO 42289580 - Pahang 11kV SECOND CYCLE AZZAD 2026\RAW MATERIAL\047. TNB BARU (IR+VI)\RAW DATA\IR</v>
      </c>
      <c r="BH31" s="24" t="s">
        <v>1544</v>
      </c>
    </row>
    <row r="32" spans="1:60" ht="30" customHeight="1" x14ac:dyDescent="0.25">
      <c r="A32" s="6">
        <v>16</v>
      </c>
      <c r="B32" s="6" t="s">
        <v>1534</v>
      </c>
      <c r="C32" s="6">
        <v>1</v>
      </c>
      <c r="D32" s="6" t="s">
        <v>2242</v>
      </c>
      <c r="E32" s="6">
        <v>16</v>
      </c>
      <c r="F32" s="6" t="str">
        <f ca="1">Master_List!$AW$1</f>
        <v>PERPUSTAKAAN PUSAT</v>
      </c>
      <c r="G32" s="27" t="str">
        <f ca="1">Master_List!$AW$2</f>
        <v>09:30 PM</v>
      </c>
      <c r="H32" s="32" t="str">
        <f ca="1">Master_List!$AW$3</f>
        <v>20/07/2026</v>
      </c>
      <c r="I32" s="28" t="str">
        <f ca="1">Master_List!$AW$4</f>
        <v>28.5</v>
      </c>
      <c r="J32" s="6" t="str">
        <f ca="1">Master_List!$AW$5</f>
        <v>65</v>
      </c>
      <c r="K32" s="6" t="s">
        <v>579</v>
      </c>
      <c r="L32" s="21" t="str">
        <f ca="1">IFERROR(VLOOKUP(B32, Master_List!$A:$I, 2, FALSE), "-")</f>
        <v>JJB 87616</v>
      </c>
      <c r="M32" s="22" t="str">
        <f ca="1">IFERROR(VLOOKUP(B32, Master_List!$A:$I, 3, FALSE), "-")</f>
        <v>PDT QRTS AGAMA</v>
      </c>
      <c r="N32" s="22" t="str">
        <f ca="1">IFERROR(VLOOKUP(B32, Master_List!$A:$I, 4, FALSE), "-")</f>
        <v>NOT ACCESSIBLE</v>
      </c>
      <c r="O32" s="22" t="str">
        <f ca="1">IFERROR(VLOOKUP(B32, Master_List!$A:$I, 5, FALSE), "-")</f>
        <v>CLOSE</v>
      </c>
      <c r="P32" s="22" t="str">
        <f ca="1">IFERROR(VLOOKUP(B32, Master_List!$A:$I, 6, FALSE), "-")</f>
        <v/>
      </c>
      <c r="Q32" s="22" t="str">
        <f ca="1">IFERROR(VLOOKUP(B32, Master_List!$A:$I, 7, FALSE), "-")</f>
        <v/>
      </c>
      <c r="R32" s="22" t="str">
        <f ca="1">IFERROR(VLOOKUP(B32, Master_List!$A:$I, 8, FALSE), "-")</f>
        <v/>
      </c>
      <c r="S32" s="22" t="str">
        <f ca="1">IFERROR(VLOOKUP(B32, Master_List!$A:$I, 9, FALSE), "-")</f>
        <v>24DU738_1015</v>
      </c>
      <c r="T32" s="20" t="str">
        <f ca="1">Master_List!$AW$6</f>
        <v>TOSHIBA</v>
      </c>
      <c r="U32" s="20" t="str">
        <f ca="1">Master_List!$AW$7</f>
        <v>MRMU</v>
      </c>
      <c r="V32" s="20" t="str">
        <f ca="1">Master_List!$AW$8</f>
        <v>12kV</v>
      </c>
      <c r="W32" s="20" t="str">
        <f ca="1">Master_List!$AW$9</f>
        <v>2S1F</v>
      </c>
      <c r="X32" s="20" t="str">
        <f ca="1">Master_List!$AW$10</f>
        <v>MTM</v>
      </c>
      <c r="Y32" s="20" t="str">
        <f ca="1">Master_List!$AW$11</f>
        <v>HERMETICALLY SEAL</v>
      </c>
      <c r="Z32" s="20" t="str">
        <f ca="1">Master_List!$AW$12</f>
        <v>750kVA</v>
      </c>
      <c r="AA32" s="20" t="str">
        <f ca="1">Master_List!$AW$13</f>
        <v>1317</v>
      </c>
      <c r="AB32" s="20">
        <f ca="1">Master_List!$AW$14</f>
        <v>0</v>
      </c>
      <c r="AC32" s="20">
        <f ca="1">Master_List!$AW$15</f>
        <v>0</v>
      </c>
      <c r="AD32" s="20">
        <f ca="1">Master_List!$AW$16</f>
        <v>0</v>
      </c>
      <c r="AE32" s="20">
        <f ca="1">Master_List!$AW$17</f>
        <v>0</v>
      </c>
      <c r="AF32" s="20" t="str">
        <f ca="1">Master_List!$AW$18</f>
        <v>INDKOM</v>
      </c>
      <c r="AG32" s="20" t="str">
        <f ca="1">Master_List!$AW$19</f>
        <v>J-SLOTTED</v>
      </c>
      <c r="AH32" s="20" t="str">
        <f ca="1">Master_List!$AW$20</f>
        <v>1600A</v>
      </c>
      <c r="AI32" s="20" t="str">
        <f ca="1">Master_List!$AW$21</f>
        <v>LV5080090</v>
      </c>
      <c r="AJ32" s="20" t="str">
        <f ca="1">Master_List!$AW$22</f>
        <v>LVDB TX1</v>
      </c>
      <c r="AK32" s="20">
        <f ca="1">Master_List!$AW$23</f>
        <v>0</v>
      </c>
      <c r="AL32" s="20">
        <f ca="1">Master_List!$AW$24</f>
        <v>0</v>
      </c>
      <c r="AM32" s="20">
        <f ca="1">Master_List!$AW$25</f>
        <v>0</v>
      </c>
      <c r="AN32" s="20">
        <f ca="1">Master_List!$AW$26</f>
        <v>0</v>
      </c>
      <c r="AO32" s="20" t="str">
        <f ca="1">Master_List!$AW$27</f>
        <v>LVDB TX2</v>
      </c>
      <c r="AP32" s="20" t="str">
        <f ca="1">Master_List!$AW$28</f>
        <v>SUNPOWER TECHNOLOGIES</v>
      </c>
      <c r="AQ32" s="20" t="str">
        <f ca="1">Master_List!$AW$29</f>
        <v>SPS 30-10 L</v>
      </c>
      <c r="AR32" s="20" t="str">
        <f ca="1">Master_List!$AW$30</f>
        <v>11193-8527</v>
      </c>
      <c r="AS32" s="20">
        <f ca="1">Master_List!$AW$31</f>
        <v>0</v>
      </c>
      <c r="AT32" s="20">
        <f ca="1">Master_List!$AW$32</f>
        <v>0</v>
      </c>
      <c r="AU32" s="20">
        <f ca="1">Master_List!$AW$33</f>
        <v>0</v>
      </c>
      <c r="AV32" s="20">
        <f ca="1">Master_List!$AW$34</f>
        <v>0</v>
      </c>
      <c r="AW32" s="20">
        <f ca="1">Master_List!$AW$35</f>
        <v>0</v>
      </c>
      <c r="AX32" s="20">
        <f ca="1">Master_List!$AW$36</f>
        <v>0</v>
      </c>
      <c r="AY32" s="20">
        <f ca="1">Master_List!$AW$37</f>
        <v>0</v>
      </c>
      <c r="AZ32" s="20">
        <f ca="1">Master_List!$AW$38</f>
        <v>0</v>
      </c>
      <c r="BA32" s="20">
        <f ca="1">Master_List!$AW$39</f>
        <v>0</v>
      </c>
      <c r="BB32" s="20" t="s">
        <v>2240</v>
      </c>
      <c r="BC32" s="20" t="s">
        <v>2241</v>
      </c>
      <c r="BD32" s="6" t="s">
        <v>1744</v>
      </c>
      <c r="BE32" s="6" t="s">
        <v>1764</v>
      </c>
      <c r="BF32" s="6" t="s">
        <v>1746</v>
      </c>
      <c r="BG32" s="6" t="str">
        <f t="shared" si="0"/>
        <v>C:\Users\aremi\Desktop\REPORT CBM\PO 42289580 - Pahang 11kV SECOND CYCLE AZZAD 2026\RAW MATERIAL\047. TNB BARU (IR+VI)\RAW DATA\IR</v>
      </c>
      <c r="BH32" s="24" t="s">
        <v>1545</v>
      </c>
    </row>
    <row r="33" spans="1:60" ht="30" customHeight="1" x14ac:dyDescent="0.25">
      <c r="A33" s="6">
        <v>16</v>
      </c>
      <c r="B33" s="6" t="s">
        <v>1534</v>
      </c>
      <c r="C33" s="6">
        <v>1</v>
      </c>
      <c r="D33" s="6" t="s">
        <v>2242</v>
      </c>
      <c r="E33" s="6">
        <v>16</v>
      </c>
      <c r="F33" s="6" t="str">
        <f ca="1">Master_List!$AW$1</f>
        <v>PERPUSTAKAAN PUSAT</v>
      </c>
      <c r="G33" s="27" t="str">
        <f ca="1">Master_List!$AW$2</f>
        <v>09:30 PM</v>
      </c>
      <c r="H33" s="32" t="str">
        <f ca="1">Master_List!$AW$3</f>
        <v>20/07/2026</v>
      </c>
      <c r="I33" s="28" t="str">
        <f ca="1">Master_List!$AW$4</f>
        <v>28.5</v>
      </c>
      <c r="J33" s="6" t="str">
        <f ca="1">Master_List!$AW$5</f>
        <v>65</v>
      </c>
      <c r="K33" s="6" t="s">
        <v>579</v>
      </c>
      <c r="L33" s="21" t="str">
        <f ca="1">IFERROR(VLOOKUP(B33, Master_List!$A:$I, 2, FALSE), "-")</f>
        <v>JJB 87616</v>
      </c>
      <c r="M33" s="22" t="str">
        <f ca="1">IFERROR(VLOOKUP(B33, Master_List!$A:$I, 3, FALSE), "-")</f>
        <v>PDT QRTS AGAMA</v>
      </c>
      <c r="N33" s="22" t="str">
        <f ca="1">IFERROR(VLOOKUP(B33, Master_List!$A:$I, 4, FALSE), "-")</f>
        <v>NOT ACCESSIBLE</v>
      </c>
      <c r="O33" s="22" t="str">
        <f ca="1">IFERROR(VLOOKUP(B33, Master_List!$A:$I, 5, FALSE), "-")</f>
        <v>CLOSE</v>
      </c>
      <c r="P33" s="22" t="str">
        <f ca="1">IFERROR(VLOOKUP(B33, Master_List!$A:$I, 6, FALSE), "-")</f>
        <v/>
      </c>
      <c r="Q33" s="22" t="str">
        <f ca="1">IFERROR(VLOOKUP(B33, Master_List!$A:$I, 7, FALSE), "-")</f>
        <v/>
      </c>
      <c r="R33" s="22" t="str">
        <f ca="1">IFERROR(VLOOKUP(B33, Master_List!$A:$I, 8, FALSE), "-")</f>
        <v/>
      </c>
      <c r="S33" s="22" t="str">
        <f ca="1">IFERROR(VLOOKUP(B33, Master_List!$A:$I, 9, FALSE), "-")</f>
        <v>24DU738_1015</v>
      </c>
      <c r="T33" s="20" t="str">
        <f ca="1">Master_List!$AW$6</f>
        <v>TOSHIBA</v>
      </c>
      <c r="U33" s="20" t="str">
        <f ca="1">Master_List!$AW$7</f>
        <v>MRMU</v>
      </c>
      <c r="V33" s="20" t="str">
        <f ca="1">Master_List!$AW$8</f>
        <v>12kV</v>
      </c>
      <c r="W33" s="20" t="str">
        <f ca="1">Master_List!$AW$9</f>
        <v>2S1F</v>
      </c>
      <c r="X33" s="20" t="str">
        <f ca="1">Master_List!$AW$10</f>
        <v>MTM</v>
      </c>
      <c r="Y33" s="20" t="str">
        <f ca="1">Master_List!$AW$11</f>
        <v>HERMETICALLY SEAL</v>
      </c>
      <c r="Z33" s="20" t="str">
        <f ca="1">Master_List!$AW$12</f>
        <v>750kVA</v>
      </c>
      <c r="AA33" s="20" t="str">
        <f ca="1">Master_List!$AW$13</f>
        <v>1317</v>
      </c>
      <c r="AB33" s="20">
        <f ca="1">Master_List!$AW$14</f>
        <v>0</v>
      </c>
      <c r="AC33" s="20">
        <f ca="1">Master_List!$AW$15</f>
        <v>0</v>
      </c>
      <c r="AD33" s="20">
        <f ca="1">Master_List!$AW$16</f>
        <v>0</v>
      </c>
      <c r="AE33" s="20">
        <f ca="1">Master_List!$AW$17</f>
        <v>0</v>
      </c>
      <c r="AF33" s="20" t="str">
        <f ca="1">Master_List!$AW$18</f>
        <v>INDKOM</v>
      </c>
      <c r="AG33" s="20" t="str">
        <f ca="1">Master_List!$AW$19</f>
        <v>J-SLOTTED</v>
      </c>
      <c r="AH33" s="20" t="str">
        <f ca="1">Master_List!$AW$20</f>
        <v>1600A</v>
      </c>
      <c r="AI33" s="20" t="str">
        <f ca="1">Master_List!$AW$21</f>
        <v>LV5080090</v>
      </c>
      <c r="AJ33" s="20" t="str">
        <f ca="1">Master_List!$AW$22</f>
        <v>LVDB TX1</v>
      </c>
      <c r="AK33" s="20">
        <f ca="1">Master_List!$AW$23</f>
        <v>0</v>
      </c>
      <c r="AL33" s="20">
        <f ca="1">Master_List!$AW$24</f>
        <v>0</v>
      </c>
      <c r="AM33" s="20">
        <f ca="1">Master_List!$AW$25</f>
        <v>0</v>
      </c>
      <c r="AN33" s="20">
        <f ca="1">Master_List!$AW$26</f>
        <v>0</v>
      </c>
      <c r="AO33" s="20" t="str">
        <f ca="1">Master_List!$AW$27</f>
        <v>LVDB TX2</v>
      </c>
      <c r="AP33" s="20" t="str">
        <f ca="1">Master_List!$AW$28</f>
        <v>SUNPOWER TECHNOLOGIES</v>
      </c>
      <c r="AQ33" s="20" t="str">
        <f ca="1">Master_List!$AW$29</f>
        <v>SPS 30-10 L</v>
      </c>
      <c r="AR33" s="20" t="str">
        <f ca="1">Master_List!$AW$30</f>
        <v>11193-8527</v>
      </c>
      <c r="AS33" s="20">
        <f ca="1">Master_List!$AW$31</f>
        <v>0</v>
      </c>
      <c r="AT33" s="20">
        <f ca="1">Master_List!$AW$32</f>
        <v>0</v>
      </c>
      <c r="AU33" s="20">
        <f ca="1">Master_List!$AW$33</f>
        <v>0</v>
      </c>
      <c r="AV33" s="20">
        <f ca="1">Master_List!$AW$34</f>
        <v>0</v>
      </c>
      <c r="AW33" s="20">
        <f ca="1">Master_List!$AW$35</f>
        <v>0</v>
      </c>
      <c r="AX33" s="20">
        <f ca="1">Master_List!$AW$36</f>
        <v>0</v>
      </c>
      <c r="AY33" s="20">
        <f ca="1">Master_List!$AW$37</f>
        <v>0</v>
      </c>
      <c r="AZ33" s="20">
        <f ca="1">Master_List!$AW$38</f>
        <v>0</v>
      </c>
      <c r="BA33" s="20">
        <f ca="1">Master_List!$AW$39</f>
        <v>0</v>
      </c>
      <c r="BB33" s="20" t="s">
        <v>2240</v>
      </c>
      <c r="BC33" s="20" t="s">
        <v>2241</v>
      </c>
      <c r="BD33" s="6" t="s">
        <v>1744</v>
      </c>
      <c r="BE33" s="6" t="s">
        <v>1764</v>
      </c>
      <c r="BF33" s="6" t="s">
        <v>1748</v>
      </c>
      <c r="BG33" s="6" t="str">
        <f t="shared" si="0"/>
        <v>C:\Users\aremi\Desktop\REPORT CBM\PO 42289580 - Pahang 11kV SECOND CYCLE AZZAD 2026\RAW MATERIAL\047. TNB BARU (IR+VI)\RAW DATA\IR</v>
      </c>
      <c r="BH33" s="24" t="s">
        <v>1546</v>
      </c>
    </row>
    <row r="34" spans="1:60" ht="30" customHeight="1" x14ac:dyDescent="0.25">
      <c r="A34" s="6">
        <v>17</v>
      </c>
      <c r="B34" s="6" t="s">
        <v>1534</v>
      </c>
      <c r="C34" s="6">
        <v>1</v>
      </c>
      <c r="D34" s="6" t="s">
        <v>2242</v>
      </c>
      <c r="E34" s="6">
        <v>17</v>
      </c>
      <c r="F34" s="6" t="str">
        <f ca="1">Master_List!$AW$1</f>
        <v>PERPUSTAKAAN PUSAT</v>
      </c>
      <c r="G34" s="27" t="str">
        <f ca="1">Master_List!$AW$2</f>
        <v>09:30 PM</v>
      </c>
      <c r="H34" s="32" t="str">
        <f ca="1">Master_List!$AW$3</f>
        <v>20/07/2026</v>
      </c>
      <c r="I34" s="28" t="str">
        <f ca="1">Master_List!$AW$4</f>
        <v>28.5</v>
      </c>
      <c r="J34" s="6" t="str">
        <f ca="1">Master_List!$AW$5</f>
        <v>65</v>
      </c>
      <c r="K34" s="6" t="s">
        <v>582</v>
      </c>
      <c r="L34" s="21" t="str">
        <f ca="1">IFERROR(VLOOKUP(B34, Master_List!$A:$I, 2, FALSE), "-")</f>
        <v>JJB 87616</v>
      </c>
      <c r="M34" s="22" t="str">
        <f ca="1">IFERROR(VLOOKUP(B34, Master_List!$A:$I, 3, FALSE), "-")</f>
        <v>PDT QRTS AGAMA</v>
      </c>
      <c r="N34" s="22" t="str">
        <f ca="1">IFERROR(VLOOKUP(B34, Master_List!$A:$I, 4, FALSE), "-")</f>
        <v>NOT ACCESSIBLE</v>
      </c>
      <c r="O34" s="22" t="str">
        <f ca="1">IFERROR(VLOOKUP(B34, Master_List!$A:$I, 5, FALSE), "-")</f>
        <v>CLOSE</v>
      </c>
      <c r="P34" s="22" t="str">
        <f ca="1">IFERROR(VLOOKUP(B34, Master_List!$A:$I, 6, FALSE), "-")</f>
        <v/>
      </c>
      <c r="Q34" s="22" t="str">
        <f ca="1">IFERROR(VLOOKUP(B34, Master_List!$A:$I, 7, FALSE), "-")</f>
        <v/>
      </c>
      <c r="R34" s="22" t="str">
        <f ca="1">IFERROR(VLOOKUP(B34, Master_List!$A:$I, 8, FALSE), "-")</f>
        <v/>
      </c>
      <c r="S34" s="22" t="str">
        <f ca="1">IFERROR(VLOOKUP(B34, Master_List!$A:$I, 9, FALSE), "-")</f>
        <v>24DU738_1015</v>
      </c>
      <c r="T34" s="20" t="str">
        <f ca="1">Master_List!$AW$6</f>
        <v>TOSHIBA</v>
      </c>
      <c r="U34" s="20" t="str">
        <f ca="1">Master_List!$AW$7</f>
        <v>MRMU</v>
      </c>
      <c r="V34" s="20" t="str">
        <f ca="1">Master_List!$AW$8</f>
        <v>12kV</v>
      </c>
      <c r="W34" s="20" t="str">
        <f ca="1">Master_List!$AW$9</f>
        <v>2S1F</v>
      </c>
      <c r="X34" s="20" t="str">
        <f ca="1">Master_List!$AW$10</f>
        <v>MTM</v>
      </c>
      <c r="Y34" s="20" t="str">
        <f ca="1">Master_List!$AW$11</f>
        <v>HERMETICALLY SEAL</v>
      </c>
      <c r="Z34" s="20" t="str">
        <f ca="1">Master_List!$AW$12</f>
        <v>750kVA</v>
      </c>
      <c r="AA34" s="20" t="str">
        <f ca="1">Master_List!$AW$13</f>
        <v>1317</v>
      </c>
      <c r="AB34" s="20">
        <f ca="1">Master_List!$AW$14</f>
        <v>0</v>
      </c>
      <c r="AC34" s="20">
        <f ca="1">Master_List!$AW$15</f>
        <v>0</v>
      </c>
      <c r="AD34" s="20">
        <f ca="1">Master_List!$AW$16</f>
        <v>0</v>
      </c>
      <c r="AE34" s="20">
        <f ca="1">Master_List!$AW$17</f>
        <v>0</v>
      </c>
      <c r="AF34" s="20" t="str">
        <f ca="1">Master_List!$AW$18</f>
        <v>INDKOM</v>
      </c>
      <c r="AG34" s="20" t="str">
        <f ca="1">Master_List!$AW$19</f>
        <v>J-SLOTTED</v>
      </c>
      <c r="AH34" s="20" t="str">
        <f ca="1">Master_List!$AW$20</f>
        <v>1600A</v>
      </c>
      <c r="AI34" s="20" t="str">
        <f ca="1">Master_List!$AW$21</f>
        <v>LV5080090</v>
      </c>
      <c r="AJ34" s="20" t="str">
        <f ca="1">Master_List!$AW$22</f>
        <v>LVDB TX1</v>
      </c>
      <c r="AK34" s="20">
        <f ca="1">Master_List!$AW$23</f>
        <v>0</v>
      </c>
      <c r="AL34" s="20">
        <f ca="1">Master_List!$AW$24</f>
        <v>0</v>
      </c>
      <c r="AM34" s="20">
        <f ca="1">Master_List!$AW$25</f>
        <v>0</v>
      </c>
      <c r="AN34" s="20">
        <f ca="1">Master_List!$AW$26</f>
        <v>0</v>
      </c>
      <c r="AO34" s="20" t="str">
        <f ca="1">Master_List!$AW$27</f>
        <v>LVDB TX2</v>
      </c>
      <c r="AP34" s="20" t="str">
        <f ca="1">Master_List!$AW$28</f>
        <v>SUNPOWER TECHNOLOGIES</v>
      </c>
      <c r="AQ34" s="20" t="str">
        <f ca="1">Master_List!$AW$29</f>
        <v>SPS 30-10 L</v>
      </c>
      <c r="AR34" s="20" t="str">
        <f ca="1">Master_List!$AW$30</f>
        <v>11193-8527</v>
      </c>
      <c r="AS34" s="20">
        <f ca="1">Master_List!$AW$31</f>
        <v>0</v>
      </c>
      <c r="AT34" s="20">
        <f ca="1">Master_List!$AW$32</f>
        <v>0</v>
      </c>
      <c r="AU34" s="20">
        <f ca="1">Master_List!$AW$33</f>
        <v>0</v>
      </c>
      <c r="AV34" s="20">
        <f ca="1">Master_List!$AW$34</f>
        <v>0</v>
      </c>
      <c r="AW34" s="20">
        <f ca="1">Master_List!$AW$35</f>
        <v>0</v>
      </c>
      <c r="AX34" s="20">
        <f ca="1">Master_List!$AW$36</f>
        <v>0</v>
      </c>
      <c r="AY34" s="20">
        <f ca="1">Master_List!$AW$37</f>
        <v>0</v>
      </c>
      <c r="AZ34" s="20">
        <f ca="1">Master_List!$AW$38</f>
        <v>0</v>
      </c>
      <c r="BA34" s="20">
        <f ca="1">Master_List!$AW$39</f>
        <v>0</v>
      </c>
      <c r="BB34" s="20" t="s">
        <v>2240</v>
      </c>
      <c r="BC34" s="20" t="s">
        <v>2241</v>
      </c>
      <c r="BD34" s="6" t="s">
        <v>1744</v>
      </c>
      <c r="BE34" s="6" t="s">
        <v>1765</v>
      </c>
      <c r="BF34" s="6" t="s">
        <v>1746</v>
      </c>
      <c r="BG34" s="6" t="str">
        <f t="shared" si="0"/>
        <v>C:\Users\aremi\Desktop\REPORT CBM\PO 42289580 - Pahang 11kV SECOND CYCLE AZZAD 2026\RAW MATERIAL\047. TNB BARU (IR+VI)\RAW DATA\IR</v>
      </c>
      <c r="BH34" s="24" t="s">
        <v>1548</v>
      </c>
    </row>
    <row r="35" spans="1:60" ht="30" customHeight="1" x14ac:dyDescent="0.25">
      <c r="A35" s="6">
        <v>17</v>
      </c>
      <c r="B35" s="6" t="s">
        <v>1534</v>
      </c>
      <c r="C35" s="6">
        <v>1</v>
      </c>
      <c r="D35" s="6" t="s">
        <v>2242</v>
      </c>
      <c r="E35" s="6">
        <v>17</v>
      </c>
      <c r="F35" s="6" t="str">
        <f ca="1">Master_List!$AW$1</f>
        <v>PERPUSTAKAAN PUSAT</v>
      </c>
      <c r="G35" s="27" t="str">
        <f ca="1">Master_List!$AW$2</f>
        <v>09:30 PM</v>
      </c>
      <c r="H35" s="32" t="str">
        <f ca="1">Master_List!$AW$3</f>
        <v>20/07/2026</v>
      </c>
      <c r="I35" s="28" t="str">
        <f ca="1">Master_List!$AW$4</f>
        <v>28.5</v>
      </c>
      <c r="J35" s="6" t="str">
        <f ca="1">Master_List!$AW$5</f>
        <v>65</v>
      </c>
      <c r="K35" s="6" t="s">
        <v>582</v>
      </c>
      <c r="L35" s="21" t="str">
        <f ca="1">IFERROR(VLOOKUP(B35, Master_List!$A:$I, 2, FALSE), "-")</f>
        <v>JJB 87616</v>
      </c>
      <c r="M35" s="22" t="str">
        <f ca="1">IFERROR(VLOOKUP(B35, Master_List!$A:$I, 3, FALSE), "-")</f>
        <v>PDT QRTS AGAMA</v>
      </c>
      <c r="N35" s="22" t="str">
        <f ca="1">IFERROR(VLOOKUP(B35, Master_List!$A:$I, 4, FALSE), "-")</f>
        <v>NOT ACCESSIBLE</v>
      </c>
      <c r="O35" s="22" t="str">
        <f ca="1">IFERROR(VLOOKUP(B35, Master_List!$A:$I, 5, FALSE), "-")</f>
        <v>CLOSE</v>
      </c>
      <c r="P35" s="22" t="str">
        <f ca="1">IFERROR(VLOOKUP(B35, Master_List!$A:$I, 6, FALSE), "-")</f>
        <v/>
      </c>
      <c r="Q35" s="22" t="str">
        <f ca="1">IFERROR(VLOOKUP(B35, Master_List!$A:$I, 7, FALSE), "-")</f>
        <v/>
      </c>
      <c r="R35" s="22" t="str">
        <f ca="1">IFERROR(VLOOKUP(B35, Master_List!$A:$I, 8, FALSE), "-")</f>
        <v/>
      </c>
      <c r="S35" s="22" t="str">
        <f ca="1">IFERROR(VLOOKUP(B35, Master_List!$A:$I, 9, FALSE), "-")</f>
        <v>24DU738_1015</v>
      </c>
      <c r="T35" s="20" t="str">
        <f ca="1">Master_List!$AW$6</f>
        <v>TOSHIBA</v>
      </c>
      <c r="U35" s="20" t="str">
        <f ca="1">Master_List!$AW$7</f>
        <v>MRMU</v>
      </c>
      <c r="V35" s="20" t="str">
        <f ca="1">Master_List!$AW$8</f>
        <v>12kV</v>
      </c>
      <c r="W35" s="20" t="str">
        <f ca="1">Master_List!$AW$9</f>
        <v>2S1F</v>
      </c>
      <c r="X35" s="20" t="str">
        <f ca="1">Master_List!$AW$10</f>
        <v>MTM</v>
      </c>
      <c r="Y35" s="20" t="str">
        <f ca="1">Master_List!$AW$11</f>
        <v>HERMETICALLY SEAL</v>
      </c>
      <c r="Z35" s="20" t="str">
        <f ca="1">Master_List!$AW$12</f>
        <v>750kVA</v>
      </c>
      <c r="AA35" s="20" t="str">
        <f ca="1">Master_List!$AW$13</f>
        <v>1317</v>
      </c>
      <c r="AB35" s="20">
        <f ca="1">Master_List!$AW$14</f>
        <v>0</v>
      </c>
      <c r="AC35" s="20">
        <f ca="1">Master_List!$AW$15</f>
        <v>0</v>
      </c>
      <c r="AD35" s="20">
        <f ca="1">Master_List!$AW$16</f>
        <v>0</v>
      </c>
      <c r="AE35" s="20">
        <f ca="1">Master_List!$AW$17</f>
        <v>0</v>
      </c>
      <c r="AF35" s="20" t="str">
        <f ca="1">Master_List!$AW$18</f>
        <v>INDKOM</v>
      </c>
      <c r="AG35" s="20" t="str">
        <f ca="1">Master_List!$AW$19</f>
        <v>J-SLOTTED</v>
      </c>
      <c r="AH35" s="20" t="str">
        <f ca="1">Master_List!$AW$20</f>
        <v>1600A</v>
      </c>
      <c r="AI35" s="20" t="str">
        <f ca="1">Master_List!$AW$21</f>
        <v>LV5080090</v>
      </c>
      <c r="AJ35" s="20" t="str">
        <f ca="1">Master_List!$AW$22</f>
        <v>LVDB TX1</v>
      </c>
      <c r="AK35" s="20">
        <f ca="1">Master_List!$AW$23</f>
        <v>0</v>
      </c>
      <c r="AL35" s="20">
        <f ca="1">Master_List!$AW$24</f>
        <v>0</v>
      </c>
      <c r="AM35" s="20">
        <f ca="1">Master_List!$AW$25</f>
        <v>0</v>
      </c>
      <c r="AN35" s="20">
        <f ca="1">Master_List!$AW$26</f>
        <v>0</v>
      </c>
      <c r="AO35" s="20" t="str">
        <f ca="1">Master_List!$AW$27</f>
        <v>LVDB TX2</v>
      </c>
      <c r="AP35" s="20" t="str">
        <f ca="1">Master_List!$AW$28</f>
        <v>SUNPOWER TECHNOLOGIES</v>
      </c>
      <c r="AQ35" s="20" t="str">
        <f ca="1">Master_List!$AW$29</f>
        <v>SPS 30-10 L</v>
      </c>
      <c r="AR35" s="20" t="str">
        <f ca="1">Master_List!$AW$30</f>
        <v>11193-8527</v>
      </c>
      <c r="AS35" s="20">
        <f ca="1">Master_List!$AW$31</f>
        <v>0</v>
      </c>
      <c r="AT35" s="20">
        <f ca="1">Master_List!$AW$32</f>
        <v>0</v>
      </c>
      <c r="AU35" s="20">
        <f ca="1">Master_List!$AW$33</f>
        <v>0</v>
      </c>
      <c r="AV35" s="20">
        <f ca="1">Master_List!$AW$34</f>
        <v>0</v>
      </c>
      <c r="AW35" s="20">
        <f ca="1">Master_List!$AW$35</f>
        <v>0</v>
      </c>
      <c r="AX35" s="20">
        <f ca="1">Master_List!$AW$36</f>
        <v>0</v>
      </c>
      <c r="AY35" s="20">
        <f ca="1">Master_List!$AW$37</f>
        <v>0</v>
      </c>
      <c r="AZ35" s="20">
        <f ca="1">Master_List!$AW$38</f>
        <v>0</v>
      </c>
      <c r="BA35" s="20">
        <f ca="1">Master_List!$AW$39</f>
        <v>0</v>
      </c>
      <c r="BB35" s="20" t="s">
        <v>2240</v>
      </c>
      <c r="BC35" s="20" t="s">
        <v>2241</v>
      </c>
      <c r="BD35" s="6" t="s">
        <v>1744</v>
      </c>
      <c r="BE35" s="6" t="s">
        <v>1765</v>
      </c>
      <c r="BF35" s="6" t="s">
        <v>1748</v>
      </c>
      <c r="BG35" s="6" t="str">
        <f t="shared" si="0"/>
        <v>C:\Users\aremi\Desktop\REPORT CBM\PO 42289580 - Pahang 11kV SECOND CYCLE AZZAD 2026\RAW MATERIAL\047. TNB BARU (IR+VI)\RAW DATA\IR</v>
      </c>
      <c r="BH35" s="24" t="s">
        <v>1549</v>
      </c>
    </row>
    <row r="36" spans="1:60" ht="30" customHeight="1" x14ac:dyDescent="0.25">
      <c r="A36" s="6">
        <v>18</v>
      </c>
      <c r="B36" s="6" t="s">
        <v>1534</v>
      </c>
      <c r="C36" s="6">
        <v>1</v>
      </c>
      <c r="D36" s="6" t="s">
        <v>2242</v>
      </c>
      <c r="E36" s="6">
        <v>18</v>
      </c>
      <c r="F36" s="6" t="str">
        <f ca="1">Master_List!$AW$1</f>
        <v>PERPUSTAKAAN PUSAT</v>
      </c>
      <c r="G36" s="27" t="str">
        <f ca="1">Master_List!$AW$2</f>
        <v>09:30 PM</v>
      </c>
      <c r="H36" s="32" t="str">
        <f ca="1">Master_List!$AW$3</f>
        <v>20/07/2026</v>
      </c>
      <c r="I36" s="28" t="str">
        <f ca="1">Master_List!$AW$4</f>
        <v>28.5</v>
      </c>
      <c r="J36" s="6" t="str">
        <f ca="1">Master_List!$AW$5</f>
        <v>65</v>
      </c>
      <c r="K36" s="6" t="s">
        <v>585</v>
      </c>
      <c r="L36" s="21" t="str">
        <f ca="1">IFERROR(VLOOKUP(B36, Master_List!$A:$I, 2, FALSE), "-")</f>
        <v>JJB 87616</v>
      </c>
      <c r="M36" s="22" t="str">
        <f ca="1">IFERROR(VLOOKUP(B36, Master_List!$A:$I, 3, FALSE), "-")</f>
        <v>PDT QRTS AGAMA</v>
      </c>
      <c r="N36" s="22" t="str">
        <f ca="1">IFERROR(VLOOKUP(B36, Master_List!$A:$I, 4, FALSE), "-")</f>
        <v>NOT ACCESSIBLE</v>
      </c>
      <c r="O36" s="22" t="str">
        <f ca="1">IFERROR(VLOOKUP(B36, Master_List!$A:$I, 5, FALSE), "-")</f>
        <v>CLOSE</v>
      </c>
      <c r="P36" s="22" t="str">
        <f ca="1">IFERROR(VLOOKUP(B36, Master_List!$A:$I, 6, FALSE), "-")</f>
        <v/>
      </c>
      <c r="Q36" s="22" t="str">
        <f ca="1">IFERROR(VLOOKUP(B36, Master_List!$A:$I, 7, FALSE), "-")</f>
        <v/>
      </c>
      <c r="R36" s="22" t="str">
        <f ca="1">IFERROR(VLOOKUP(B36, Master_List!$A:$I, 8, FALSE), "-")</f>
        <v/>
      </c>
      <c r="S36" s="22" t="str">
        <f ca="1">IFERROR(VLOOKUP(B36, Master_List!$A:$I, 9, FALSE), "-")</f>
        <v>24DU738_1015</v>
      </c>
      <c r="T36" s="20" t="str">
        <f ca="1">Master_List!$AW$6</f>
        <v>TOSHIBA</v>
      </c>
      <c r="U36" s="20" t="str">
        <f ca="1">Master_List!$AW$7</f>
        <v>MRMU</v>
      </c>
      <c r="V36" s="20" t="str">
        <f ca="1">Master_List!$AW$8</f>
        <v>12kV</v>
      </c>
      <c r="W36" s="20" t="str">
        <f ca="1">Master_List!$AW$9</f>
        <v>2S1F</v>
      </c>
      <c r="X36" s="20" t="str">
        <f ca="1">Master_List!$AW$10</f>
        <v>MTM</v>
      </c>
      <c r="Y36" s="20" t="str">
        <f ca="1">Master_List!$AW$11</f>
        <v>HERMETICALLY SEAL</v>
      </c>
      <c r="Z36" s="20" t="str">
        <f ca="1">Master_List!$AW$12</f>
        <v>750kVA</v>
      </c>
      <c r="AA36" s="20" t="str">
        <f ca="1">Master_List!$AW$13</f>
        <v>1317</v>
      </c>
      <c r="AB36" s="20">
        <f ca="1">Master_List!$AW$14</f>
        <v>0</v>
      </c>
      <c r="AC36" s="20">
        <f ca="1">Master_List!$AW$15</f>
        <v>0</v>
      </c>
      <c r="AD36" s="20">
        <f ca="1">Master_List!$AW$16</f>
        <v>0</v>
      </c>
      <c r="AE36" s="20">
        <f ca="1">Master_List!$AW$17</f>
        <v>0</v>
      </c>
      <c r="AF36" s="20" t="str">
        <f ca="1">Master_List!$AW$18</f>
        <v>INDKOM</v>
      </c>
      <c r="AG36" s="20" t="str">
        <f ca="1">Master_List!$AW$19</f>
        <v>J-SLOTTED</v>
      </c>
      <c r="AH36" s="20" t="str">
        <f ca="1">Master_List!$AW$20</f>
        <v>1600A</v>
      </c>
      <c r="AI36" s="20" t="str">
        <f ca="1">Master_List!$AW$21</f>
        <v>LV5080090</v>
      </c>
      <c r="AJ36" s="20" t="str">
        <f ca="1">Master_List!$AW$22</f>
        <v>LVDB TX1</v>
      </c>
      <c r="AK36" s="20">
        <f ca="1">Master_List!$AW$23</f>
        <v>0</v>
      </c>
      <c r="AL36" s="20">
        <f ca="1">Master_List!$AW$24</f>
        <v>0</v>
      </c>
      <c r="AM36" s="20">
        <f ca="1">Master_List!$AW$25</f>
        <v>0</v>
      </c>
      <c r="AN36" s="20">
        <f ca="1">Master_List!$AW$26</f>
        <v>0</v>
      </c>
      <c r="AO36" s="20" t="str">
        <f ca="1">Master_List!$AW$27</f>
        <v>LVDB TX2</v>
      </c>
      <c r="AP36" s="20" t="str">
        <f ca="1">Master_List!$AW$28</f>
        <v>SUNPOWER TECHNOLOGIES</v>
      </c>
      <c r="AQ36" s="20" t="str">
        <f ca="1">Master_List!$AW$29</f>
        <v>SPS 30-10 L</v>
      </c>
      <c r="AR36" s="20" t="str">
        <f ca="1">Master_List!$AW$30</f>
        <v>11193-8527</v>
      </c>
      <c r="AS36" s="20">
        <f ca="1">Master_List!$AW$31</f>
        <v>0</v>
      </c>
      <c r="AT36" s="20">
        <f ca="1">Master_List!$AW$32</f>
        <v>0</v>
      </c>
      <c r="AU36" s="20">
        <f ca="1">Master_List!$AW$33</f>
        <v>0</v>
      </c>
      <c r="AV36" s="20">
        <f ca="1">Master_List!$AW$34</f>
        <v>0</v>
      </c>
      <c r="AW36" s="20">
        <f ca="1">Master_List!$AW$35</f>
        <v>0</v>
      </c>
      <c r="AX36" s="20">
        <f ca="1">Master_List!$AW$36</f>
        <v>0</v>
      </c>
      <c r="AY36" s="20">
        <f ca="1">Master_List!$AW$37</f>
        <v>0</v>
      </c>
      <c r="AZ36" s="20">
        <f ca="1">Master_List!$AW$38</f>
        <v>0</v>
      </c>
      <c r="BA36" s="20">
        <f ca="1">Master_List!$AW$39</f>
        <v>0</v>
      </c>
      <c r="BB36" s="20" t="s">
        <v>2240</v>
      </c>
      <c r="BC36" s="20" t="s">
        <v>2241</v>
      </c>
      <c r="BD36" s="6" t="s">
        <v>1744</v>
      </c>
      <c r="BE36" s="6" t="s">
        <v>1766</v>
      </c>
      <c r="BF36" s="6" t="s">
        <v>1746</v>
      </c>
      <c r="BG36" s="6" t="str">
        <f t="shared" si="0"/>
        <v>C:\Users\aremi\Desktop\REPORT CBM\PO 42289580 - Pahang 11kV SECOND CYCLE AZZAD 2026\RAW MATERIAL\047. TNB BARU (IR+VI)\RAW DATA\IR</v>
      </c>
      <c r="BH36" s="24" t="s">
        <v>1550</v>
      </c>
    </row>
    <row r="37" spans="1:60" ht="30" customHeight="1" x14ac:dyDescent="0.25">
      <c r="A37" s="6">
        <v>18</v>
      </c>
      <c r="B37" s="6" t="s">
        <v>1534</v>
      </c>
      <c r="C37" s="6">
        <v>1</v>
      </c>
      <c r="D37" s="6" t="s">
        <v>2242</v>
      </c>
      <c r="E37" s="6">
        <v>18</v>
      </c>
      <c r="F37" s="6" t="str">
        <f ca="1">Master_List!$AW$1</f>
        <v>PERPUSTAKAAN PUSAT</v>
      </c>
      <c r="G37" s="27" t="str">
        <f ca="1">Master_List!$AW$2</f>
        <v>09:30 PM</v>
      </c>
      <c r="H37" s="32" t="str">
        <f ca="1">Master_List!$AW$3</f>
        <v>20/07/2026</v>
      </c>
      <c r="I37" s="28" t="str">
        <f ca="1">Master_List!$AW$4</f>
        <v>28.5</v>
      </c>
      <c r="J37" s="6" t="str">
        <f ca="1">Master_List!$AW$5</f>
        <v>65</v>
      </c>
      <c r="K37" s="6" t="s">
        <v>585</v>
      </c>
      <c r="L37" s="21" t="str">
        <f ca="1">IFERROR(VLOOKUP(B37, Master_List!$A:$I, 2, FALSE), "-")</f>
        <v>JJB 87616</v>
      </c>
      <c r="M37" s="22" t="str">
        <f ca="1">IFERROR(VLOOKUP(B37, Master_List!$A:$I, 3, FALSE), "-")</f>
        <v>PDT QRTS AGAMA</v>
      </c>
      <c r="N37" s="22" t="str">
        <f ca="1">IFERROR(VLOOKUP(B37, Master_List!$A:$I, 4, FALSE), "-")</f>
        <v>NOT ACCESSIBLE</v>
      </c>
      <c r="O37" s="22" t="str">
        <f ca="1">IFERROR(VLOOKUP(B37, Master_List!$A:$I, 5, FALSE), "-")</f>
        <v>CLOSE</v>
      </c>
      <c r="P37" s="22" t="str">
        <f ca="1">IFERROR(VLOOKUP(B37, Master_List!$A:$I, 6, FALSE), "-")</f>
        <v/>
      </c>
      <c r="Q37" s="22" t="str">
        <f ca="1">IFERROR(VLOOKUP(B37, Master_List!$A:$I, 7, FALSE), "-")</f>
        <v/>
      </c>
      <c r="R37" s="22" t="str">
        <f ca="1">IFERROR(VLOOKUP(B37, Master_List!$A:$I, 8, FALSE), "-")</f>
        <v/>
      </c>
      <c r="S37" s="22" t="str">
        <f ca="1">IFERROR(VLOOKUP(B37, Master_List!$A:$I, 9, FALSE), "-")</f>
        <v>24DU738_1015</v>
      </c>
      <c r="T37" s="20" t="str">
        <f ca="1">Master_List!$AW$6</f>
        <v>TOSHIBA</v>
      </c>
      <c r="U37" s="20" t="str">
        <f ca="1">Master_List!$AW$7</f>
        <v>MRMU</v>
      </c>
      <c r="V37" s="20" t="str">
        <f ca="1">Master_List!$AW$8</f>
        <v>12kV</v>
      </c>
      <c r="W37" s="20" t="str">
        <f ca="1">Master_List!$AW$9</f>
        <v>2S1F</v>
      </c>
      <c r="X37" s="20" t="str">
        <f ca="1">Master_List!$AW$10</f>
        <v>MTM</v>
      </c>
      <c r="Y37" s="20" t="str">
        <f ca="1">Master_List!$AW$11</f>
        <v>HERMETICALLY SEAL</v>
      </c>
      <c r="Z37" s="20" t="str">
        <f ca="1">Master_List!$AW$12</f>
        <v>750kVA</v>
      </c>
      <c r="AA37" s="20" t="str">
        <f ca="1">Master_List!$AW$13</f>
        <v>1317</v>
      </c>
      <c r="AB37" s="20">
        <f ca="1">Master_List!$AW$14</f>
        <v>0</v>
      </c>
      <c r="AC37" s="20">
        <f ca="1">Master_List!$AW$15</f>
        <v>0</v>
      </c>
      <c r="AD37" s="20">
        <f ca="1">Master_List!$AW$16</f>
        <v>0</v>
      </c>
      <c r="AE37" s="20">
        <f ca="1">Master_List!$AW$17</f>
        <v>0</v>
      </c>
      <c r="AF37" s="20" t="str">
        <f ca="1">Master_List!$AW$18</f>
        <v>INDKOM</v>
      </c>
      <c r="AG37" s="20" t="str">
        <f ca="1">Master_List!$AW$19</f>
        <v>J-SLOTTED</v>
      </c>
      <c r="AH37" s="20" t="str">
        <f ca="1">Master_List!$AW$20</f>
        <v>1600A</v>
      </c>
      <c r="AI37" s="20" t="str">
        <f ca="1">Master_List!$AW$21</f>
        <v>LV5080090</v>
      </c>
      <c r="AJ37" s="20" t="str">
        <f ca="1">Master_List!$AW$22</f>
        <v>LVDB TX1</v>
      </c>
      <c r="AK37" s="20">
        <f ca="1">Master_List!$AW$23</f>
        <v>0</v>
      </c>
      <c r="AL37" s="20">
        <f ca="1">Master_List!$AW$24</f>
        <v>0</v>
      </c>
      <c r="AM37" s="20">
        <f ca="1">Master_List!$AW$25</f>
        <v>0</v>
      </c>
      <c r="AN37" s="20">
        <f ca="1">Master_List!$AW$26</f>
        <v>0</v>
      </c>
      <c r="AO37" s="20" t="str">
        <f ca="1">Master_List!$AW$27</f>
        <v>LVDB TX2</v>
      </c>
      <c r="AP37" s="20" t="str">
        <f ca="1">Master_List!$AW$28</f>
        <v>SUNPOWER TECHNOLOGIES</v>
      </c>
      <c r="AQ37" s="20" t="str">
        <f ca="1">Master_List!$AW$29</f>
        <v>SPS 30-10 L</v>
      </c>
      <c r="AR37" s="20" t="str">
        <f ca="1">Master_List!$AW$30</f>
        <v>11193-8527</v>
      </c>
      <c r="AS37" s="20">
        <f ca="1">Master_List!$AW$31</f>
        <v>0</v>
      </c>
      <c r="AT37" s="20">
        <f ca="1">Master_List!$AW$32</f>
        <v>0</v>
      </c>
      <c r="AU37" s="20">
        <f ca="1">Master_List!$AW$33</f>
        <v>0</v>
      </c>
      <c r="AV37" s="20">
        <f ca="1">Master_List!$AW$34</f>
        <v>0</v>
      </c>
      <c r="AW37" s="20">
        <f ca="1">Master_List!$AW$35</f>
        <v>0</v>
      </c>
      <c r="AX37" s="20">
        <f ca="1">Master_List!$AW$36</f>
        <v>0</v>
      </c>
      <c r="AY37" s="20">
        <f ca="1">Master_List!$AW$37</f>
        <v>0</v>
      </c>
      <c r="AZ37" s="20">
        <f ca="1">Master_List!$AW$38</f>
        <v>0</v>
      </c>
      <c r="BA37" s="20">
        <f ca="1">Master_List!$AW$39</f>
        <v>0</v>
      </c>
      <c r="BB37" s="20" t="s">
        <v>2240</v>
      </c>
      <c r="BC37" s="20" t="s">
        <v>2241</v>
      </c>
      <c r="BD37" s="6" t="s">
        <v>1744</v>
      </c>
      <c r="BE37" s="6" t="s">
        <v>1766</v>
      </c>
      <c r="BF37" s="6" t="s">
        <v>1748</v>
      </c>
      <c r="BG37" s="6" t="str">
        <f t="shared" si="0"/>
        <v>C:\Users\aremi\Desktop\REPORT CBM\PO 42289580 - Pahang 11kV SECOND CYCLE AZZAD 2026\RAW MATERIAL\047. TNB BARU (IR+VI)\RAW DATA\IR</v>
      </c>
      <c r="BH37" s="24" t="s">
        <v>1551</v>
      </c>
    </row>
    <row r="38" spans="1:60" ht="30" customHeight="1" x14ac:dyDescent="0.25">
      <c r="A38" s="6">
        <v>19</v>
      </c>
      <c r="B38" s="6" t="s">
        <v>1534</v>
      </c>
      <c r="C38" s="6">
        <v>1</v>
      </c>
      <c r="D38" s="6" t="s">
        <v>2243</v>
      </c>
      <c r="E38" s="6">
        <v>19</v>
      </c>
      <c r="F38" s="6" t="str">
        <f ca="1">Master_List!$AW$1</f>
        <v>PERPUSTAKAAN PUSAT</v>
      </c>
      <c r="G38" s="27" t="str">
        <f ca="1">Master_List!$AW$2</f>
        <v>09:30 PM</v>
      </c>
      <c r="H38" s="32" t="str">
        <f ca="1">Master_List!$AW$3</f>
        <v>20/07/2026</v>
      </c>
      <c r="I38" s="28" t="str">
        <f ca="1">Master_List!$AW$4</f>
        <v>28.5</v>
      </c>
      <c r="J38" s="6" t="str">
        <f ca="1">Master_List!$AW$5</f>
        <v>65</v>
      </c>
      <c r="K38" s="6" t="s">
        <v>588</v>
      </c>
      <c r="L38" s="21" t="str">
        <f ca="1">IFERROR(VLOOKUP(B38, Master_List!$A:$I, 2, FALSE), "-")</f>
        <v>JJB 87616</v>
      </c>
      <c r="M38" s="22" t="str">
        <f ca="1">IFERROR(VLOOKUP(B38, Master_List!$A:$I, 3, FALSE), "-")</f>
        <v>PDT QRTS AGAMA</v>
      </c>
      <c r="N38" s="22" t="str">
        <f ca="1">IFERROR(VLOOKUP(B38, Master_List!$A:$I, 4, FALSE), "-")</f>
        <v>NOT ACCESSIBLE</v>
      </c>
      <c r="O38" s="22" t="str">
        <f ca="1">IFERROR(VLOOKUP(B38, Master_List!$A:$I, 5, FALSE), "-")</f>
        <v>CLOSE</v>
      </c>
      <c r="P38" s="22" t="str">
        <f ca="1">IFERROR(VLOOKUP(B38, Master_List!$A:$I, 6, FALSE), "-")</f>
        <v/>
      </c>
      <c r="Q38" s="22" t="str">
        <f ca="1">IFERROR(VLOOKUP(B38, Master_List!$A:$I, 7, FALSE), "-")</f>
        <v/>
      </c>
      <c r="R38" s="22" t="str">
        <f ca="1">IFERROR(VLOOKUP(B38, Master_List!$A:$I, 8, FALSE), "-")</f>
        <v/>
      </c>
      <c r="S38" s="22" t="str">
        <f ca="1">IFERROR(VLOOKUP(B38, Master_List!$A:$I, 9, FALSE), "-")</f>
        <v>24DU738_1015</v>
      </c>
      <c r="T38" s="20" t="str">
        <f ca="1">Master_List!$AW$6</f>
        <v>TOSHIBA</v>
      </c>
      <c r="U38" s="20" t="str">
        <f ca="1">Master_List!$AW$7</f>
        <v>MRMU</v>
      </c>
      <c r="V38" s="20" t="str">
        <f ca="1">Master_List!$AW$8</f>
        <v>12kV</v>
      </c>
      <c r="W38" s="20" t="str">
        <f ca="1">Master_List!$AW$9</f>
        <v>2S1F</v>
      </c>
      <c r="X38" s="20" t="str">
        <f ca="1">Master_List!$AW$10</f>
        <v>MTM</v>
      </c>
      <c r="Y38" s="20" t="str">
        <f ca="1">Master_List!$AW$11</f>
        <v>HERMETICALLY SEAL</v>
      </c>
      <c r="Z38" s="20" t="str">
        <f ca="1">Master_List!$AW$12</f>
        <v>750kVA</v>
      </c>
      <c r="AA38" s="20" t="str">
        <f ca="1">Master_List!$AW$13</f>
        <v>1317</v>
      </c>
      <c r="AB38" s="20">
        <f ca="1">Master_List!$AW$14</f>
        <v>0</v>
      </c>
      <c r="AC38" s="20">
        <f ca="1">Master_List!$AW$15</f>
        <v>0</v>
      </c>
      <c r="AD38" s="20">
        <f ca="1">Master_List!$AW$16</f>
        <v>0</v>
      </c>
      <c r="AE38" s="20">
        <f ca="1">Master_List!$AW$17</f>
        <v>0</v>
      </c>
      <c r="AF38" s="20" t="str">
        <f ca="1">Master_List!$AW$18</f>
        <v>INDKOM</v>
      </c>
      <c r="AG38" s="20" t="str">
        <f ca="1">Master_List!$AW$19</f>
        <v>J-SLOTTED</v>
      </c>
      <c r="AH38" s="20" t="str">
        <f ca="1">Master_List!$AW$20</f>
        <v>1600A</v>
      </c>
      <c r="AI38" s="20" t="str">
        <f ca="1">Master_List!$AW$21</f>
        <v>LV5080090</v>
      </c>
      <c r="AJ38" s="20" t="str">
        <f ca="1">Master_List!$AW$22</f>
        <v>LVDB TX1</v>
      </c>
      <c r="AK38" s="20">
        <f ca="1">Master_List!$AW$23</f>
        <v>0</v>
      </c>
      <c r="AL38" s="20">
        <f ca="1">Master_List!$AW$24</f>
        <v>0</v>
      </c>
      <c r="AM38" s="20">
        <f ca="1">Master_List!$AW$25</f>
        <v>0</v>
      </c>
      <c r="AN38" s="20">
        <f ca="1">Master_List!$AW$26</f>
        <v>0</v>
      </c>
      <c r="AO38" s="20" t="str">
        <f ca="1">Master_List!$AW$27</f>
        <v>LVDB TX2</v>
      </c>
      <c r="AP38" s="20" t="str">
        <f ca="1">Master_List!$AW$28</f>
        <v>SUNPOWER TECHNOLOGIES</v>
      </c>
      <c r="AQ38" s="20" t="str">
        <f ca="1">Master_List!$AW$29</f>
        <v>SPS 30-10 L</v>
      </c>
      <c r="AR38" s="20" t="str">
        <f ca="1">Master_List!$AW$30</f>
        <v>11193-8527</v>
      </c>
      <c r="AS38" s="20">
        <f ca="1">Master_List!$AW$31</f>
        <v>0</v>
      </c>
      <c r="AT38" s="20">
        <f ca="1">Master_List!$AW$32</f>
        <v>0</v>
      </c>
      <c r="AU38" s="20">
        <f ca="1">Master_List!$AW$33</f>
        <v>0</v>
      </c>
      <c r="AV38" s="20">
        <f ca="1">Master_List!$AW$34</f>
        <v>0</v>
      </c>
      <c r="AW38" s="20">
        <f ca="1">Master_List!$AW$35</f>
        <v>0</v>
      </c>
      <c r="AX38" s="20">
        <f ca="1">Master_List!$AW$36</f>
        <v>0</v>
      </c>
      <c r="AY38" s="20">
        <f ca="1">Master_List!$AW$37</f>
        <v>0</v>
      </c>
      <c r="AZ38" s="20">
        <f ca="1">Master_List!$AW$38</f>
        <v>0</v>
      </c>
      <c r="BA38" s="20">
        <f ca="1">Master_List!$AW$39</f>
        <v>0</v>
      </c>
      <c r="BB38" s="20" t="s">
        <v>2240</v>
      </c>
      <c r="BC38" s="20" t="s">
        <v>2241</v>
      </c>
      <c r="BD38" s="6" t="s">
        <v>1744</v>
      </c>
      <c r="BE38" s="6" t="s">
        <v>1768</v>
      </c>
      <c r="BF38" s="6" t="s">
        <v>1746</v>
      </c>
      <c r="BG38" s="6" t="str">
        <f t="shared" si="0"/>
        <v>C:\Users\aremi\Desktop\REPORT CBM\PO 42289580 - Pahang 11kV SECOND CYCLE AZZAD 2026\RAW MATERIAL\047. TNB BARU (IR+VI)\RAW DATA\IR</v>
      </c>
      <c r="BH38" s="24" t="s">
        <v>1553</v>
      </c>
    </row>
    <row r="39" spans="1:60" ht="30" customHeight="1" x14ac:dyDescent="0.25">
      <c r="A39" s="6">
        <v>19</v>
      </c>
      <c r="B39" s="6" t="s">
        <v>1534</v>
      </c>
      <c r="C39" s="6">
        <v>1</v>
      </c>
      <c r="D39" s="6" t="s">
        <v>2243</v>
      </c>
      <c r="E39" s="6">
        <v>19</v>
      </c>
      <c r="F39" s="6" t="str">
        <f ca="1">Master_List!$AW$1</f>
        <v>PERPUSTAKAAN PUSAT</v>
      </c>
      <c r="G39" s="27" t="str">
        <f ca="1">Master_List!$AW$2</f>
        <v>09:30 PM</v>
      </c>
      <c r="H39" s="32" t="str">
        <f ca="1">Master_List!$AW$3</f>
        <v>20/07/2026</v>
      </c>
      <c r="I39" s="28" t="str">
        <f ca="1">Master_List!$AW$4</f>
        <v>28.5</v>
      </c>
      <c r="J39" s="6" t="str">
        <f ca="1">Master_List!$AW$5</f>
        <v>65</v>
      </c>
      <c r="K39" s="6" t="s">
        <v>588</v>
      </c>
      <c r="L39" s="21" t="str">
        <f ca="1">IFERROR(VLOOKUP(B39, Master_List!$A:$I, 2, FALSE), "-")</f>
        <v>JJB 87616</v>
      </c>
      <c r="M39" s="22" t="str">
        <f ca="1">IFERROR(VLOOKUP(B39, Master_List!$A:$I, 3, FALSE), "-")</f>
        <v>PDT QRTS AGAMA</v>
      </c>
      <c r="N39" s="22" t="str">
        <f ca="1">IFERROR(VLOOKUP(B39, Master_List!$A:$I, 4, FALSE), "-")</f>
        <v>NOT ACCESSIBLE</v>
      </c>
      <c r="O39" s="22" t="str">
        <f ca="1">IFERROR(VLOOKUP(B39, Master_List!$A:$I, 5, FALSE), "-")</f>
        <v>CLOSE</v>
      </c>
      <c r="P39" s="22" t="str">
        <f ca="1">IFERROR(VLOOKUP(B39, Master_List!$A:$I, 6, FALSE), "-")</f>
        <v/>
      </c>
      <c r="Q39" s="22" t="str">
        <f ca="1">IFERROR(VLOOKUP(B39, Master_List!$A:$I, 7, FALSE), "-")</f>
        <v/>
      </c>
      <c r="R39" s="22" t="str">
        <f ca="1">IFERROR(VLOOKUP(B39, Master_List!$A:$I, 8, FALSE), "-")</f>
        <v/>
      </c>
      <c r="S39" s="22" t="str">
        <f ca="1">IFERROR(VLOOKUP(B39, Master_List!$A:$I, 9, FALSE), "-")</f>
        <v>24DU738_1015</v>
      </c>
      <c r="T39" s="20" t="str">
        <f ca="1">Master_List!$AW$6</f>
        <v>TOSHIBA</v>
      </c>
      <c r="U39" s="20" t="str">
        <f ca="1">Master_List!$AW$7</f>
        <v>MRMU</v>
      </c>
      <c r="V39" s="20" t="str">
        <f ca="1">Master_List!$AW$8</f>
        <v>12kV</v>
      </c>
      <c r="W39" s="20" t="str">
        <f ca="1">Master_List!$AW$9</f>
        <v>2S1F</v>
      </c>
      <c r="X39" s="20" t="str">
        <f ca="1">Master_List!$AW$10</f>
        <v>MTM</v>
      </c>
      <c r="Y39" s="20" t="str">
        <f ca="1">Master_List!$AW$11</f>
        <v>HERMETICALLY SEAL</v>
      </c>
      <c r="Z39" s="20" t="str">
        <f ca="1">Master_List!$AW$12</f>
        <v>750kVA</v>
      </c>
      <c r="AA39" s="20" t="str">
        <f ca="1">Master_List!$AW$13</f>
        <v>1317</v>
      </c>
      <c r="AB39" s="20">
        <f ca="1">Master_List!$AW$14</f>
        <v>0</v>
      </c>
      <c r="AC39" s="20">
        <f ca="1">Master_List!$AW$15</f>
        <v>0</v>
      </c>
      <c r="AD39" s="20">
        <f ca="1">Master_List!$AW$16</f>
        <v>0</v>
      </c>
      <c r="AE39" s="20">
        <f ca="1">Master_List!$AW$17</f>
        <v>0</v>
      </c>
      <c r="AF39" s="20" t="str">
        <f ca="1">Master_List!$AW$18</f>
        <v>INDKOM</v>
      </c>
      <c r="AG39" s="20" t="str">
        <f ca="1">Master_List!$AW$19</f>
        <v>J-SLOTTED</v>
      </c>
      <c r="AH39" s="20" t="str">
        <f ca="1">Master_List!$AW$20</f>
        <v>1600A</v>
      </c>
      <c r="AI39" s="20" t="str">
        <f ca="1">Master_List!$AW$21</f>
        <v>LV5080090</v>
      </c>
      <c r="AJ39" s="20" t="str">
        <f ca="1">Master_List!$AW$22</f>
        <v>LVDB TX1</v>
      </c>
      <c r="AK39" s="20">
        <f ca="1">Master_List!$AW$23</f>
        <v>0</v>
      </c>
      <c r="AL39" s="20">
        <f ca="1">Master_List!$AW$24</f>
        <v>0</v>
      </c>
      <c r="AM39" s="20">
        <f ca="1">Master_List!$AW$25</f>
        <v>0</v>
      </c>
      <c r="AN39" s="20">
        <f ca="1">Master_List!$AW$26</f>
        <v>0</v>
      </c>
      <c r="AO39" s="20" t="str">
        <f ca="1">Master_List!$AW$27</f>
        <v>LVDB TX2</v>
      </c>
      <c r="AP39" s="20" t="str">
        <f ca="1">Master_List!$AW$28</f>
        <v>SUNPOWER TECHNOLOGIES</v>
      </c>
      <c r="AQ39" s="20" t="str">
        <f ca="1">Master_List!$AW$29</f>
        <v>SPS 30-10 L</v>
      </c>
      <c r="AR39" s="20" t="str">
        <f ca="1">Master_List!$AW$30</f>
        <v>11193-8527</v>
      </c>
      <c r="AS39" s="20">
        <f ca="1">Master_List!$AW$31</f>
        <v>0</v>
      </c>
      <c r="AT39" s="20">
        <f ca="1">Master_List!$AW$32</f>
        <v>0</v>
      </c>
      <c r="AU39" s="20">
        <f ca="1">Master_List!$AW$33</f>
        <v>0</v>
      </c>
      <c r="AV39" s="20">
        <f ca="1">Master_List!$AW$34</f>
        <v>0</v>
      </c>
      <c r="AW39" s="20">
        <f ca="1">Master_List!$AW$35</f>
        <v>0</v>
      </c>
      <c r="AX39" s="20">
        <f ca="1">Master_List!$AW$36</f>
        <v>0</v>
      </c>
      <c r="AY39" s="20">
        <f ca="1">Master_List!$AW$37</f>
        <v>0</v>
      </c>
      <c r="AZ39" s="20">
        <f ca="1">Master_List!$AW$38</f>
        <v>0</v>
      </c>
      <c r="BA39" s="20">
        <f ca="1">Master_List!$AW$39</f>
        <v>0</v>
      </c>
      <c r="BB39" s="20" t="s">
        <v>2240</v>
      </c>
      <c r="BC39" s="20" t="s">
        <v>2241</v>
      </c>
      <c r="BD39" s="6" t="s">
        <v>1744</v>
      </c>
      <c r="BE39" s="6" t="s">
        <v>1768</v>
      </c>
      <c r="BF39" s="6" t="s">
        <v>1748</v>
      </c>
      <c r="BG39" s="6" t="str">
        <f t="shared" si="0"/>
        <v>C:\Users\aremi\Desktop\REPORT CBM\PO 42289580 - Pahang 11kV SECOND CYCLE AZZAD 2026\RAW MATERIAL\047. TNB BARU (IR+VI)\RAW DATA\IR</v>
      </c>
      <c r="BH39" s="24" t="s">
        <v>1554</v>
      </c>
    </row>
    <row r="40" spans="1:60" ht="30" customHeight="1" x14ac:dyDescent="0.25">
      <c r="A40" s="6">
        <v>20</v>
      </c>
      <c r="B40" s="6" t="s">
        <v>1534</v>
      </c>
      <c r="C40" s="6">
        <v>1</v>
      </c>
      <c r="D40" s="6" t="s">
        <v>2244</v>
      </c>
      <c r="E40" s="6">
        <v>20</v>
      </c>
      <c r="F40" s="6" t="str">
        <f ca="1">Master_List!$AW$1</f>
        <v>PERPUSTAKAAN PUSAT</v>
      </c>
      <c r="G40" s="27" t="str">
        <f ca="1">Master_List!$AW$2</f>
        <v>09:30 PM</v>
      </c>
      <c r="H40" s="32" t="str">
        <f ca="1">Master_List!$AW$3</f>
        <v>20/07/2026</v>
      </c>
      <c r="I40" s="28" t="str">
        <f ca="1">Master_List!$AW$4</f>
        <v>28.5</v>
      </c>
      <c r="J40" s="6" t="str">
        <f ca="1">Master_List!$AW$5</f>
        <v>65</v>
      </c>
      <c r="K40" s="6" t="s">
        <v>591</v>
      </c>
      <c r="L40" s="21" t="str">
        <f ca="1">IFERROR(VLOOKUP(B40, Master_List!$A:$I, 2, FALSE), "-")</f>
        <v>JJB 87616</v>
      </c>
      <c r="M40" s="22" t="str">
        <f ca="1">IFERROR(VLOOKUP(B40, Master_List!$A:$I, 3, FALSE), "-")</f>
        <v>PDT QRTS AGAMA</v>
      </c>
      <c r="N40" s="22" t="str">
        <f ca="1">IFERROR(VLOOKUP(B40, Master_List!$A:$I, 4, FALSE), "-")</f>
        <v>NOT ACCESSIBLE</v>
      </c>
      <c r="O40" s="22" t="str">
        <f ca="1">IFERROR(VLOOKUP(B40, Master_List!$A:$I, 5, FALSE), "-")</f>
        <v>CLOSE</v>
      </c>
      <c r="P40" s="22" t="str">
        <f ca="1">IFERROR(VLOOKUP(B40, Master_List!$A:$I, 6, FALSE), "-")</f>
        <v/>
      </c>
      <c r="Q40" s="22" t="str">
        <f ca="1">IFERROR(VLOOKUP(B40, Master_List!$A:$I, 7, FALSE), "-")</f>
        <v/>
      </c>
      <c r="R40" s="22" t="str">
        <f ca="1">IFERROR(VLOOKUP(B40, Master_List!$A:$I, 8, FALSE), "-")</f>
        <v/>
      </c>
      <c r="S40" s="22" t="str">
        <f ca="1">IFERROR(VLOOKUP(B40, Master_List!$A:$I, 9, FALSE), "-")</f>
        <v>24DU738_1015</v>
      </c>
      <c r="T40" s="20" t="str">
        <f ca="1">Master_List!$AW$6</f>
        <v>TOSHIBA</v>
      </c>
      <c r="U40" s="20" t="str">
        <f ca="1">Master_List!$AW$7</f>
        <v>MRMU</v>
      </c>
      <c r="V40" s="20" t="str">
        <f ca="1">Master_List!$AW$8</f>
        <v>12kV</v>
      </c>
      <c r="W40" s="20" t="str">
        <f ca="1">Master_List!$AW$9</f>
        <v>2S1F</v>
      </c>
      <c r="X40" s="20" t="str">
        <f ca="1">Master_List!$AW$10</f>
        <v>MTM</v>
      </c>
      <c r="Y40" s="20" t="str">
        <f ca="1">Master_List!$AW$11</f>
        <v>HERMETICALLY SEAL</v>
      </c>
      <c r="Z40" s="20" t="str">
        <f ca="1">Master_List!$AW$12</f>
        <v>750kVA</v>
      </c>
      <c r="AA40" s="20" t="str">
        <f ca="1">Master_List!$AW$13</f>
        <v>1317</v>
      </c>
      <c r="AB40" s="20">
        <f ca="1">Master_List!$AW$14</f>
        <v>0</v>
      </c>
      <c r="AC40" s="20">
        <f ca="1">Master_List!$AW$15</f>
        <v>0</v>
      </c>
      <c r="AD40" s="20">
        <f ca="1">Master_List!$AW$16</f>
        <v>0</v>
      </c>
      <c r="AE40" s="20">
        <f ca="1">Master_List!$AW$17</f>
        <v>0</v>
      </c>
      <c r="AF40" s="20" t="str">
        <f ca="1">Master_List!$AW$18</f>
        <v>INDKOM</v>
      </c>
      <c r="AG40" s="20" t="str">
        <f ca="1">Master_List!$AW$19</f>
        <v>J-SLOTTED</v>
      </c>
      <c r="AH40" s="20" t="str">
        <f ca="1">Master_List!$AW$20</f>
        <v>1600A</v>
      </c>
      <c r="AI40" s="20" t="str">
        <f ca="1">Master_List!$AW$21</f>
        <v>LV5080090</v>
      </c>
      <c r="AJ40" s="20" t="str">
        <f ca="1">Master_List!$AW$22</f>
        <v>LVDB TX1</v>
      </c>
      <c r="AK40" s="20">
        <f ca="1">Master_List!$AW$23</f>
        <v>0</v>
      </c>
      <c r="AL40" s="20">
        <f ca="1">Master_List!$AW$24</f>
        <v>0</v>
      </c>
      <c r="AM40" s="20">
        <f ca="1">Master_List!$AW$25</f>
        <v>0</v>
      </c>
      <c r="AN40" s="20">
        <f ca="1">Master_List!$AW$26</f>
        <v>0</v>
      </c>
      <c r="AO40" s="20" t="str">
        <f ca="1">Master_List!$AW$27</f>
        <v>LVDB TX2</v>
      </c>
      <c r="AP40" s="20" t="str">
        <f ca="1">Master_List!$AW$28</f>
        <v>SUNPOWER TECHNOLOGIES</v>
      </c>
      <c r="AQ40" s="20" t="str">
        <f ca="1">Master_List!$AW$29</f>
        <v>SPS 30-10 L</v>
      </c>
      <c r="AR40" s="20" t="str">
        <f ca="1">Master_List!$AW$30</f>
        <v>11193-8527</v>
      </c>
      <c r="AS40" s="20">
        <f ca="1">Master_List!$AW$31</f>
        <v>0</v>
      </c>
      <c r="AT40" s="20">
        <f ca="1">Master_List!$AW$32</f>
        <v>0</v>
      </c>
      <c r="AU40" s="20">
        <f ca="1">Master_List!$AW$33</f>
        <v>0</v>
      </c>
      <c r="AV40" s="20">
        <f ca="1">Master_List!$AW$34</f>
        <v>0</v>
      </c>
      <c r="AW40" s="20">
        <f ca="1">Master_List!$AW$35</f>
        <v>0</v>
      </c>
      <c r="AX40" s="20">
        <f ca="1">Master_List!$AW$36</f>
        <v>0</v>
      </c>
      <c r="AY40" s="20">
        <f ca="1">Master_List!$AW$37</f>
        <v>0</v>
      </c>
      <c r="AZ40" s="20">
        <f ca="1">Master_List!$AW$38</f>
        <v>0</v>
      </c>
      <c r="BA40" s="20">
        <f ca="1">Master_List!$AW$39</f>
        <v>0</v>
      </c>
      <c r="BB40" s="20" t="s">
        <v>2240</v>
      </c>
      <c r="BC40" s="20" t="s">
        <v>2241</v>
      </c>
      <c r="BD40" s="6" t="s">
        <v>1744</v>
      </c>
      <c r="BE40" s="6" t="s">
        <v>1770</v>
      </c>
      <c r="BF40" s="6" t="s">
        <v>1746</v>
      </c>
      <c r="BG40" s="6" t="str">
        <f t="shared" si="0"/>
        <v>C:\Users\aremi\Desktop\REPORT CBM\PO 42289580 - Pahang 11kV SECOND CYCLE AZZAD 2026\RAW MATERIAL\047. TNB BARU (IR+VI)\RAW DATA\IR</v>
      </c>
      <c r="BH40" s="24" t="s">
        <v>1555</v>
      </c>
    </row>
    <row r="41" spans="1:60" ht="30" customHeight="1" x14ac:dyDescent="0.25">
      <c r="A41" s="6">
        <v>20</v>
      </c>
      <c r="B41" s="6" t="s">
        <v>1534</v>
      </c>
      <c r="C41" s="6">
        <v>1</v>
      </c>
      <c r="D41" s="6" t="s">
        <v>2244</v>
      </c>
      <c r="E41" s="6">
        <v>20</v>
      </c>
      <c r="F41" s="6" t="str">
        <f ca="1">Master_List!$AW$1</f>
        <v>PERPUSTAKAAN PUSAT</v>
      </c>
      <c r="G41" s="27" t="str">
        <f ca="1">Master_List!$AW$2</f>
        <v>09:30 PM</v>
      </c>
      <c r="H41" s="32" t="str">
        <f ca="1">Master_List!$AW$3</f>
        <v>20/07/2026</v>
      </c>
      <c r="I41" s="28" t="str">
        <f ca="1">Master_List!$AW$4</f>
        <v>28.5</v>
      </c>
      <c r="J41" s="6" t="str">
        <f ca="1">Master_List!$AW$5</f>
        <v>65</v>
      </c>
      <c r="K41" s="6" t="s">
        <v>591</v>
      </c>
      <c r="L41" s="21" t="str">
        <f ca="1">IFERROR(VLOOKUP(B41, Master_List!$A:$I, 2, FALSE), "-")</f>
        <v>JJB 87616</v>
      </c>
      <c r="M41" s="22" t="str">
        <f ca="1">IFERROR(VLOOKUP(B41, Master_List!$A:$I, 3, FALSE), "-")</f>
        <v>PDT QRTS AGAMA</v>
      </c>
      <c r="N41" s="22" t="str">
        <f ca="1">IFERROR(VLOOKUP(B41, Master_List!$A:$I, 4, FALSE), "-")</f>
        <v>NOT ACCESSIBLE</v>
      </c>
      <c r="O41" s="22" t="str">
        <f ca="1">IFERROR(VLOOKUP(B41, Master_List!$A:$I, 5, FALSE), "-")</f>
        <v>CLOSE</v>
      </c>
      <c r="P41" s="22" t="str">
        <f ca="1">IFERROR(VLOOKUP(B41, Master_List!$A:$I, 6, FALSE), "-")</f>
        <v/>
      </c>
      <c r="Q41" s="22" t="str">
        <f ca="1">IFERROR(VLOOKUP(B41, Master_List!$A:$I, 7, FALSE), "-")</f>
        <v/>
      </c>
      <c r="R41" s="22" t="str">
        <f ca="1">IFERROR(VLOOKUP(B41, Master_List!$A:$I, 8, FALSE), "-")</f>
        <v/>
      </c>
      <c r="S41" s="22" t="str">
        <f ca="1">IFERROR(VLOOKUP(B41, Master_List!$A:$I, 9, FALSE), "-")</f>
        <v>24DU738_1015</v>
      </c>
      <c r="T41" s="20" t="str">
        <f ca="1">Master_List!$AW$6</f>
        <v>TOSHIBA</v>
      </c>
      <c r="U41" s="20" t="str">
        <f ca="1">Master_List!$AW$7</f>
        <v>MRMU</v>
      </c>
      <c r="V41" s="20" t="str">
        <f ca="1">Master_List!$AW$8</f>
        <v>12kV</v>
      </c>
      <c r="W41" s="20" t="str">
        <f ca="1">Master_List!$AW$9</f>
        <v>2S1F</v>
      </c>
      <c r="X41" s="20" t="str">
        <f ca="1">Master_List!$AW$10</f>
        <v>MTM</v>
      </c>
      <c r="Y41" s="20" t="str">
        <f ca="1">Master_List!$AW$11</f>
        <v>HERMETICALLY SEAL</v>
      </c>
      <c r="Z41" s="20" t="str">
        <f ca="1">Master_List!$AW$12</f>
        <v>750kVA</v>
      </c>
      <c r="AA41" s="20" t="str">
        <f ca="1">Master_List!$AW$13</f>
        <v>1317</v>
      </c>
      <c r="AB41" s="20">
        <f ca="1">Master_List!$AW$14</f>
        <v>0</v>
      </c>
      <c r="AC41" s="20">
        <f ca="1">Master_List!$AW$15</f>
        <v>0</v>
      </c>
      <c r="AD41" s="20">
        <f ca="1">Master_List!$AW$16</f>
        <v>0</v>
      </c>
      <c r="AE41" s="20">
        <f ca="1">Master_List!$AW$17</f>
        <v>0</v>
      </c>
      <c r="AF41" s="20" t="str">
        <f ca="1">Master_List!$AW$18</f>
        <v>INDKOM</v>
      </c>
      <c r="AG41" s="20" t="str">
        <f ca="1">Master_List!$AW$19</f>
        <v>J-SLOTTED</v>
      </c>
      <c r="AH41" s="20" t="str">
        <f ca="1">Master_List!$AW$20</f>
        <v>1600A</v>
      </c>
      <c r="AI41" s="20" t="str">
        <f ca="1">Master_List!$AW$21</f>
        <v>LV5080090</v>
      </c>
      <c r="AJ41" s="20" t="str">
        <f ca="1">Master_List!$AW$22</f>
        <v>LVDB TX1</v>
      </c>
      <c r="AK41" s="20">
        <f ca="1">Master_List!$AW$23</f>
        <v>0</v>
      </c>
      <c r="AL41" s="20">
        <f ca="1">Master_List!$AW$24</f>
        <v>0</v>
      </c>
      <c r="AM41" s="20">
        <f ca="1">Master_List!$AW$25</f>
        <v>0</v>
      </c>
      <c r="AN41" s="20">
        <f ca="1">Master_List!$AW$26</f>
        <v>0</v>
      </c>
      <c r="AO41" s="20" t="str">
        <f ca="1">Master_List!$AW$27</f>
        <v>LVDB TX2</v>
      </c>
      <c r="AP41" s="20" t="str">
        <f ca="1">Master_List!$AW$28</f>
        <v>SUNPOWER TECHNOLOGIES</v>
      </c>
      <c r="AQ41" s="20" t="str">
        <f ca="1">Master_List!$AW$29</f>
        <v>SPS 30-10 L</v>
      </c>
      <c r="AR41" s="20" t="str">
        <f ca="1">Master_List!$AW$30</f>
        <v>11193-8527</v>
      </c>
      <c r="AS41" s="20">
        <f ca="1">Master_List!$AW$31</f>
        <v>0</v>
      </c>
      <c r="AT41" s="20">
        <f ca="1">Master_List!$AW$32</f>
        <v>0</v>
      </c>
      <c r="AU41" s="20">
        <f ca="1">Master_List!$AW$33</f>
        <v>0</v>
      </c>
      <c r="AV41" s="20">
        <f ca="1">Master_List!$AW$34</f>
        <v>0</v>
      </c>
      <c r="AW41" s="20">
        <f ca="1">Master_List!$AW$35</f>
        <v>0</v>
      </c>
      <c r="AX41" s="20">
        <f ca="1">Master_List!$AW$36</f>
        <v>0</v>
      </c>
      <c r="AY41" s="20">
        <f ca="1">Master_List!$AW$37</f>
        <v>0</v>
      </c>
      <c r="AZ41" s="20">
        <f ca="1">Master_List!$AW$38</f>
        <v>0</v>
      </c>
      <c r="BA41" s="20">
        <f ca="1">Master_List!$AW$39</f>
        <v>0</v>
      </c>
      <c r="BB41" s="20" t="s">
        <v>2240</v>
      </c>
      <c r="BC41" s="20" t="s">
        <v>2241</v>
      </c>
      <c r="BD41" s="6" t="s">
        <v>1744</v>
      </c>
      <c r="BE41" s="6" t="s">
        <v>1770</v>
      </c>
      <c r="BF41" s="6" t="s">
        <v>1748</v>
      </c>
      <c r="BG41" s="6" t="str">
        <f t="shared" si="0"/>
        <v>C:\Users\aremi\Desktop\REPORT CBM\PO 42289580 - Pahang 11kV SECOND CYCLE AZZAD 2026\RAW MATERIAL\047. TNB BARU (IR+VI)\RAW DATA\IR</v>
      </c>
      <c r="BH41" s="24" t="s">
        <v>1556</v>
      </c>
    </row>
    <row r="42" spans="1:60" ht="30" customHeight="1" x14ac:dyDescent="0.25">
      <c r="A42" s="6">
        <v>21</v>
      </c>
      <c r="B42" s="6" t="s">
        <v>1535</v>
      </c>
      <c r="C42" s="6">
        <v>1</v>
      </c>
      <c r="D42" s="6" t="s">
        <v>2242</v>
      </c>
      <c r="E42" s="6">
        <v>21</v>
      </c>
      <c r="F42" s="6" t="str">
        <f ca="1">Master_List!$AW$1</f>
        <v>PERPUSTAKAAN PUSAT</v>
      </c>
      <c r="G42" s="27" t="str">
        <f ca="1">Master_List!$AW$2</f>
        <v>09:30 PM</v>
      </c>
      <c r="H42" s="32" t="str">
        <f ca="1">Master_List!$AW$3</f>
        <v>20/07/2026</v>
      </c>
      <c r="I42" s="28" t="str">
        <f ca="1">Master_List!$AW$4</f>
        <v>28.5</v>
      </c>
      <c r="J42" s="6" t="str">
        <f ca="1">Master_List!$AW$5</f>
        <v>65</v>
      </c>
      <c r="K42" s="6" t="s">
        <v>570</v>
      </c>
      <c r="L42" s="21" t="str">
        <f ca="1">IFERROR(VLOOKUP(B42, Master_List!$A:$I, 2, FALSE), "-")</f>
        <v>JJB 87617</v>
      </c>
      <c r="M42" s="22" t="str">
        <f ca="1">IFERROR(VLOOKUP(B42, Master_List!$A:$I, 3, FALSE), "-")</f>
        <v>WISMA TNB</v>
      </c>
      <c r="N42" s="22" t="str">
        <f ca="1">IFERROR(VLOOKUP(B42, Master_List!$A:$I, 4, FALSE), "-")</f>
        <v>NOT ACCESSIBLE</v>
      </c>
      <c r="O42" s="22" t="str">
        <f ca="1">IFERROR(VLOOKUP(B42, Master_List!$A:$I, 5, FALSE), "-")</f>
        <v>OPEN</v>
      </c>
      <c r="P42" s="22" t="str">
        <f ca="1">IFERROR(VLOOKUP(B42, Master_List!$A:$I, 6, FALSE), "-")</f>
        <v/>
      </c>
      <c r="Q42" s="22" t="str">
        <f ca="1">IFERROR(VLOOKUP(B42, Master_List!$A:$I, 7, FALSE), "-")</f>
        <v/>
      </c>
      <c r="R42" s="22" t="str">
        <f ca="1">IFERROR(VLOOKUP(B42, Master_List!$A:$I, 8, FALSE), "-")</f>
        <v/>
      </c>
      <c r="S42" s="22" t="str">
        <f ca="1">IFERROR(VLOOKUP(B42, Master_List!$A:$I, 9, FALSE), "-")</f>
        <v>24DU738_1015</v>
      </c>
      <c r="T42" s="20" t="str">
        <f ca="1">Master_List!$AW$6</f>
        <v>TOSHIBA</v>
      </c>
      <c r="U42" s="20" t="str">
        <f ca="1">Master_List!$AW$7</f>
        <v>MRMU</v>
      </c>
      <c r="V42" s="20" t="str">
        <f ca="1">Master_List!$AW$8</f>
        <v>12kV</v>
      </c>
      <c r="W42" s="20" t="str">
        <f ca="1">Master_List!$AW$9</f>
        <v>2S1F</v>
      </c>
      <c r="X42" s="20" t="str">
        <f ca="1">Master_List!$AW$10</f>
        <v>MTM</v>
      </c>
      <c r="Y42" s="20" t="str">
        <f ca="1">Master_List!$AW$11</f>
        <v>HERMETICALLY SEAL</v>
      </c>
      <c r="Z42" s="20" t="str">
        <f ca="1">Master_List!$AW$12</f>
        <v>750kVA</v>
      </c>
      <c r="AA42" s="20" t="str">
        <f ca="1">Master_List!$AW$13</f>
        <v>1317</v>
      </c>
      <c r="AB42" s="20">
        <f ca="1">Master_List!$AW$14</f>
        <v>0</v>
      </c>
      <c r="AC42" s="20">
        <f ca="1">Master_List!$AW$15</f>
        <v>0</v>
      </c>
      <c r="AD42" s="20">
        <f ca="1">Master_List!$AW$16</f>
        <v>0</v>
      </c>
      <c r="AE42" s="20">
        <f ca="1">Master_List!$AW$17</f>
        <v>0</v>
      </c>
      <c r="AF42" s="20" t="str">
        <f ca="1">Master_List!$AW$18</f>
        <v>INDKOM</v>
      </c>
      <c r="AG42" s="20" t="str">
        <f ca="1">Master_List!$AW$19</f>
        <v>J-SLOTTED</v>
      </c>
      <c r="AH42" s="20" t="str">
        <f ca="1">Master_List!$AW$20</f>
        <v>1600A</v>
      </c>
      <c r="AI42" s="20" t="str">
        <f ca="1">Master_List!$AW$21</f>
        <v>LV5080090</v>
      </c>
      <c r="AJ42" s="20" t="str">
        <f ca="1">Master_List!$AW$22</f>
        <v>LVDB TX1</v>
      </c>
      <c r="AK42" s="20">
        <f ca="1">Master_List!$AW$23</f>
        <v>0</v>
      </c>
      <c r="AL42" s="20">
        <f ca="1">Master_List!$AW$24</f>
        <v>0</v>
      </c>
      <c r="AM42" s="20">
        <f ca="1">Master_List!$AW$25</f>
        <v>0</v>
      </c>
      <c r="AN42" s="20">
        <f ca="1">Master_List!$AW$26</f>
        <v>0</v>
      </c>
      <c r="AO42" s="20" t="str">
        <f ca="1">Master_List!$AW$27</f>
        <v>LVDB TX2</v>
      </c>
      <c r="AP42" s="20" t="str">
        <f ca="1">Master_List!$AW$28</f>
        <v>SUNPOWER TECHNOLOGIES</v>
      </c>
      <c r="AQ42" s="20" t="str">
        <f ca="1">Master_List!$AW$29</f>
        <v>SPS 30-10 L</v>
      </c>
      <c r="AR42" s="20" t="str">
        <f ca="1">Master_List!$AW$30</f>
        <v>11193-8527</v>
      </c>
      <c r="AS42" s="20">
        <f ca="1">Master_List!$AW$31</f>
        <v>0</v>
      </c>
      <c r="AT42" s="20">
        <f ca="1">Master_List!$AW$32</f>
        <v>0</v>
      </c>
      <c r="AU42" s="20">
        <f ca="1">Master_List!$AW$33</f>
        <v>0</v>
      </c>
      <c r="AV42" s="20">
        <f ca="1">Master_List!$AW$34</f>
        <v>0</v>
      </c>
      <c r="AW42" s="20">
        <f ca="1">Master_List!$AW$35</f>
        <v>0</v>
      </c>
      <c r="AX42" s="20">
        <f ca="1">Master_List!$AW$36</f>
        <v>0</v>
      </c>
      <c r="AY42" s="20">
        <f ca="1">Master_List!$AW$37</f>
        <v>0</v>
      </c>
      <c r="AZ42" s="20">
        <f ca="1">Master_List!$AW$38</f>
        <v>0</v>
      </c>
      <c r="BA42" s="20">
        <f ca="1">Master_List!$AW$39</f>
        <v>0</v>
      </c>
      <c r="BB42" s="20" t="s">
        <v>2240</v>
      </c>
      <c r="BC42" s="20" t="s">
        <v>2241</v>
      </c>
      <c r="BD42" s="6" t="s">
        <v>1744</v>
      </c>
      <c r="BE42" s="6" t="s">
        <v>1771</v>
      </c>
      <c r="BF42" s="6" t="s">
        <v>1746</v>
      </c>
      <c r="BG42" s="6" t="str">
        <f t="shared" si="0"/>
        <v>C:\Users\aremi\Desktop\REPORT CBM\PO 42289580 - Pahang 11kV SECOND CYCLE AZZAD 2026\RAW MATERIAL\047. TNB BARU (IR+VI)\RAW DATA\IR</v>
      </c>
      <c r="BH42" s="24" t="s">
        <v>1558</v>
      </c>
    </row>
    <row r="43" spans="1:60" ht="30" customHeight="1" x14ac:dyDescent="0.25">
      <c r="A43" s="6">
        <v>21</v>
      </c>
      <c r="B43" s="6" t="s">
        <v>1535</v>
      </c>
      <c r="C43" s="6">
        <v>1</v>
      </c>
      <c r="D43" s="6" t="s">
        <v>2242</v>
      </c>
      <c r="E43" s="6">
        <v>21</v>
      </c>
      <c r="F43" s="6" t="str">
        <f ca="1">Master_List!$AW$1</f>
        <v>PERPUSTAKAAN PUSAT</v>
      </c>
      <c r="G43" s="27" t="str">
        <f ca="1">Master_List!$AW$2</f>
        <v>09:30 PM</v>
      </c>
      <c r="H43" s="32" t="str">
        <f ca="1">Master_List!$AW$3</f>
        <v>20/07/2026</v>
      </c>
      <c r="I43" s="28" t="str">
        <f ca="1">Master_List!$AW$4</f>
        <v>28.5</v>
      </c>
      <c r="J43" s="6" t="str">
        <f ca="1">Master_List!$AW$5</f>
        <v>65</v>
      </c>
      <c r="K43" s="6" t="s">
        <v>570</v>
      </c>
      <c r="L43" s="21" t="str">
        <f ca="1">IFERROR(VLOOKUP(B43, Master_List!$A:$I, 2, FALSE), "-")</f>
        <v>JJB 87617</v>
      </c>
      <c r="M43" s="22" t="str">
        <f ca="1">IFERROR(VLOOKUP(B43, Master_List!$A:$I, 3, FALSE), "-")</f>
        <v>WISMA TNB</v>
      </c>
      <c r="N43" s="22" t="str">
        <f ca="1">IFERROR(VLOOKUP(B43, Master_List!$A:$I, 4, FALSE), "-")</f>
        <v>NOT ACCESSIBLE</v>
      </c>
      <c r="O43" s="22" t="str">
        <f ca="1">IFERROR(VLOOKUP(B43, Master_List!$A:$I, 5, FALSE), "-")</f>
        <v>OPEN</v>
      </c>
      <c r="P43" s="22" t="str">
        <f ca="1">IFERROR(VLOOKUP(B43, Master_List!$A:$I, 6, FALSE), "-")</f>
        <v/>
      </c>
      <c r="Q43" s="22" t="str">
        <f ca="1">IFERROR(VLOOKUP(B43, Master_List!$A:$I, 7, FALSE), "-")</f>
        <v/>
      </c>
      <c r="R43" s="22" t="str">
        <f ca="1">IFERROR(VLOOKUP(B43, Master_List!$A:$I, 8, FALSE), "-")</f>
        <v/>
      </c>
      <c r="S43" s="22" t="str">
        <f ca="1">IFERROR(VLOOKUP(B43, Master_List!$A:$I, 9, FALSE), "-")</f>
        <v>24DU738_1015</v>
      </c>
      <c r="T43" s="20" t="str">
        <f ca="1">Master_List!$AW$6</f>
        <v>TOSHIBA</v>
      </c>
      <c r="U43" s="20" t="str">
        <f ca="1">Master_List!$AW$7</f>
        <v>MRMU</v>
      </c>
      <c r="V43" s="20" t="str">
        <f ca="1">Master_List!$AW$8</f>
        <v>12kV</v>
      </c>
      <c r="W43" s="20" t="str">
        <f ca="1">Master_List!$AW$9</f>
        <v>2S1F</v>
      </c>
      <c r="X43" s="20" t="str">
        <f ca="1">Master_List!$AW$10</f>
        <v>MTM</v>
      </c>
      <c r="Y43" s="20" t="str">
        <f ca="1">Master_List!$AW$11</f>
        <v>HERMETICALLY SEAL</v>
      </c>
      <c r="Z43" s="20" t="str">
        <f ca="1">Master_List!$AW$12</f>
        <v>750kVA</v>
      </c>
      <c r="AA43" s="20" t="str">
        <f ca="1">Master_List!$AW$13</f>
        <v>1317</v>
      </c>
      <c r="AB43" s="20">
        <f ca="1">Master_List!$AW$14</f>
        <v>0</v>
      </c>
      <c r="AC43" s="20">
        <f ca="1">Master_List!$AW$15</f>
        <v>0</v>
      </c>
      <c r="AD43" s="20">
        <f ca="1">Master_List!$AW$16</f>
        <v>0</v>
      </c>
      <c r="AE43" s="20">
        <f ca="1">Master_List!$AW$17</f>
        <v>0</v>
      </c>
      <c r="AF43" s="20" t="str">
        <f ca="1">Master_List!$AW$18</f>
        <v>INDKOM</v>
      </c>
      <c r="AG43" s="20" t="str">
        <f ca="1">Master_List!$AW$19</f>
        <v>J-SLOTTED</v>
      </c>
      <c r="AH43" s="20" t="str">
        <f ca="1">Master_List!$AW$20</f>
        <v>1600A</v>
      </c>
      <c r="AI43" s="20" t="str">
        <f ca="1">Master_List!$AW$21</f>
        <v>LV5080090</v>
      </c>
      <c r="AJ43" s="20" t="str">
        <f ca="1">Master_List!$AW$22</f>
        <v>LVDB TX1</v>
      </c>
      <c r="AK43" s="20">
        <f ca="1">Master_List!$AW$23</f>
        <v>0</v>
      </c>
      <c r="AL43" s="20">
        <f ca="1">Master_List!$AW$24</f>
        <v>0</v>
      </c>
      <c r="AM43" s="20">
        <f ca="1">Master_List!$AW$25</f>
        <v>0</v>
      </c>
      <c r="AN43" s="20">
        <f ca="1">Master_List!$AW$26</f>
        <v>0</v>
      </c>
      <c r="AO43" s="20" t="str">
        <f ca="1">Master_List!$AW$27</f>
        <v>LVDB TX2</v>
      </c>
      <c r="AP43" s="20" t="str">
        <f ca="1">Master_List!$AW$28</f>
        <v>SUNPOWER TECHNOLOGIES</v>
      </c>
      <c r="AQ43" s="20" t="str">
        <f ca="1">Master_List!$AW$29</f>
        <v>SPS 30-10 L</v>
      </c>
      <c r="AR43" s="20" t="str">
        <f ca="1">Master_List!$AW$30</f>
        <v>11193-8527</v>
      </c>
      <c r="AS43" s="20">
        <f ca="1">Master_List!$AW$31</f>
        <v>0</v>
      </c>
      <c r="AT43" s="20">
        <f ca="1">Master_List!$AW$32</f>
        <v>0</v>
      </c>
      <c r="AU43" s="20">
        <f ca="1">Master_List!$AW$33</f>
        <v>0</v>
      </c>
      <c r="AV43" s="20">
        <f ca="1">Master_List!$AW$34</f>
        <v>0</v>
      </c>
      <c r="AW43" s="20">
        <f ca="1">Master_List!$AW$35</f>
        <v>0</v>
      </c>
      <c r="AX43" s="20">
        <f ca="1">Master_List!$AW$36</f>
        <v>0</v>
      </c>
      <c r="AY43" s="20">
        <f ca="1">Master_List!$AW$37</f>
        <v>0</v>
      </c>
      <c r="AZ43" s="20">
        <f ca="1">Master_List!$AW$38</f>
        <v>0</v>
      </c>
      <c r="BA43" s="20">
        <f ca="1">Master_List!$AW$39</f>
        <v>0</v>
      </c>
      <c r="BB43" s="20" t="s">
        <v>2240</v>
      </c>
      <c r="BC43" s="20" t="s">
        <v>2241</v>
      </c>
      <c r="BD43" s="6" t="s">
        <v>1744</v>
      </c>
      <c r="BE43" s="6" t="s">
        <v>1771</v>
      </c>
      <c r="BF43" s="6" t="s">
        <v>1748</v>
      </c>
      <c r="BG43" s="6" t="str">
        <f t="shared" si="0"/>
        <v>C:\Users\aremi\Desktop\REPORT CBM\PO 42289580 - Pahang 11kV SECOND CYCLE AZZAD 2026\RAW MATERIAL\047. TNB BARU (IR+VI)\RAW DATA\IR</v>
      </c>
      <c r="BH43" s="24" t="s">
        <v>1559</v>
      </c>
    </row>
    <row r="44" spans="1:60" ht="30" customHeight="1" x14ac:dyDescent="0.25">
      <c r="A44" s="6">
        <v>22</v>
      </c>
      <c r="B44" s="6" t="s">
        <v>1535</v>
      </c>
      <c r="C44" s="6">
        <v>1</v>
      </c>
      <c r="D44" s="6" t="s">
        <v>2242</v>
      </c>
      <c r="E44" s="6">
        <v>22</v>
      </c>
      <c r="F44" s="6" t="str">
        <f ca="1">Master_List!$AW$1</f>
        <v>PERPUSTAKAAN PUSAT</v>
      </c>
      <c r="G44" s="27" t="str">
        <f ca="1">Master_List!$AW$2</f>
        <v>09:30 PM</v>
      </c>
      <c r="H44" s="32" t="str">
        <f ca="1">Master_List!$AW$3</f>
        <v>20/07/2026</v>
      </c>
      <c r="I44" s="28" t="str">
        <f ca="1">Master_List!$AW$4</f>
        <v>28.5</v>
      </c>
      <c r="J44" s="6" t="str">
        <f ca="1">Master_List!$AW$5</f>
        <v>65</v>
      </c>
      <c r="K44" s="6" t="s">
        <v>573</v>
      </c>
      <c r="L44" s="21" t="str">
        <f ca="1">IFERROR(VLOOKUP(B44, Master_List!$A:$I, 2, FALSE), "-")</f>
        <v>JJB 87617</v>
      </c>
      <c r="M44" s="22" t="str">
        <f ca="1">IFERROR(VLOOKUP(B44, Master_List!$A:$I, 3, FALSE), "-")</f>
        <v>WISMA TNB</v>
      </c>
      <c r="N44" s="22" t="str">
        <f ca="1">IFERROR(VLOOKUP(B44, Master_List!$A:$I, 4, FALSE), "-")</f>
        <v>NOT ACCESSIBLE</v>
      </c>
      <c r="O44" s="22" t="str">
        <f ca="1">IFERROR(VLOOKUP(B44, Master_List!$A:$I, 5, FALSE), "-")</f>
        <v>OPEN</v>
      </c>
      <c r="P44" s="22" t="str">
        <f ca="1">IFERROR(VLOOKUP(B44, Master_List!$A:$I, 6, FALSE), "-")</f>
        <v/>
      </c>
      <c r="Q44" s="22" t="str">
        <f ca="1">IFERROR(VLOOKUP(B44, Master_List!$A:$I, 7, FALSE), "-")</f>
        <v/>
      </c>
      <c r="R44" s="22" t="str">
        <f ca="1">IFERROR(VLOOKUP(B44, Master_List!$A:$I, 8, FALSE), "-")</f>
        <v/>
      </c>
      <c r="S44" s="22" t="str">
        <f ca="1">IFERROR(VLOOKUP(B44, Master_List!$A:$I, 9, FALSE), "-")</f>
        <v>24DU738_1015</v>
      </c>
      <c r="T44" s="20" t="str">
        <f ca="1">Master_List!$AW$6</f>
        <v>TOSHIBA</v>
      </c>
      <c r="U44" s="20" t="str">
        <f ca="1">Master_List!$AW$7</f>
        <v>MRMU</v>
      </c>
      <c r="V44" s="20" t="str">
        <f ca="1">Master_List!$AW$8</f>
        <v>12kV</v>
      </c>
      <c r="W44" s="20" t="str">
        <f ca="1">Master_List!$AW$9</f>
        <v>2S1F</v>
      </c>
      <c r="X44" s="20" t="str">
        <f ca="1">Master_List!$AW$10</f>
        <v>MTM</v>
      </c>
      <c r="Y44" s="20" t="str">
        <f ca="1">Master_List!$AW$11</f>
        <v>HERMETICALLY SEAL</v>
      </c>
      <c r="Z44" s="20" t="str">
        <f ca="1">Master_List!$AW$12</f>
        <v>750kVA</v>
      </c>
      <c r="AA44" s="20" t="str">
        <f ca="1">Master_List!$AW$13</f>
        <v>1317</v>
      </c>
      <c r="AB44" s="20">
        <f ca="1">Master_List!$AW$14</f>
        <v>0</v>
      </c>
      <c r="AC44" s="20">
        <f ca="1">Master_List!$AW$15</f>
        <v>0</v>
      </c>
      <c r="AD44" s="20">
        <f ca="1">Master_List!$AW$16</f>
        <v>0</v>
      </c>
      <c r="AE44" s="20">
        <f ca="1">Master_List!$AW$17</f>
        <v>0</v>
      </c>
      <c r="AF44" s="20" t="str">
        <f ca="1">Master_List!$AW$18</f>
        <v>INDKOM</v>
      </c>
      <c r="AG44" s="20" t="str">
        <f ca="1">Master_List!$AW$19</f>
        <v>J-SLOTTED</v>
      </c>
      <c r="AH44" s="20" t="str">
        <f ca="1">Master_List!$AW$20</f>
        <v>1600A</v>
      </c>
      <c r="AI44" s="20" t="str">
        <f ca="1">Master_List!$AW$21</f>
        <v>LV5080090</v>
      </c>
      <c r="AJ44" s="20" t="str">
        <f ca="1">Master_List!$AW$22</f>
        <v>LVDB TX1</v>
      </c>
      <c r="AK44" s="20">
        <f ca="1">Master_List!$AW$23</f>
        <v>0</v>
      </c>
      <c r="AL44" s="20">
        <f ca="1">Master_List!$AW$24</f>
        <v>0</v>
      </c>
      <c r="AM44" s="20">
        <f ca="1">Master_List!$AW$25</f>
        <v>0</v>
      </c>
      <c r="AN44" s="20">
        <f ca="1">Master_List!$AW$26</f>
        <v>0</v>
      </c>
      <c r="AO44" s="20" t="str">
        <f ca="1">Master_List!$AW$27</f>
        <v>LVDB TX2</v>
      </c>
      <c r="AP44" s="20" t="str">
        <f ca="1">Master_List!$AW$28</f>
        <v>SUNPOWER TECHNOLOGIES</v>
      </c>
      <c r="AQ44" s="20" t="str">
        <f ca="1">Master_List!$AW$29</f>
        <v>SPS 30-10 L</v>
      </c>
      <c r="AR44" s="20" t="str">
        <f ca="1">Master_List!$AW$30</f>
        <v>11193-8527</v>
      </c>
      <c r="AS44" s="20">
        <f ca="1">Master_List!$AW$31</f>
        <v>0</v>
      </c>
      <c r="AT44" s="20">
        <f ca="1">Master_List!$AW$32</f>
        <v>0</v>
      </c>
      <c r="AU44" s="20">
        <f ca="1">Master_List!$AW$33</f>
        <v>0</v>
      </c>
      <c r="AV44" s="20">
        <f ca="1">Master_List!$AW$34</f>
        <v>0</v>
      </c>
      <c r="AW44" s="20">
        <f ca="1">Master_List!$AW$35</f>
        <v>0</v>
      </c>
      <c r="AX44" s="20">
        <f ca="1">Master_List!$AW$36</f>
        <v>0</v>
      </c>
      <c r="AY44" s="20">
        <f ca="1">Master_List!$AW$37</f>
        <v>0</v>
      </c>
      <c r="AZ44" s="20">
        <f ca="1">Master_List!$AW$38</f>
        <v>0</v>
      </c>
      <c r="BA44" s="20">
        <f ca="1">Master_List!$AW$39</f>
        <v>0</v>
      </c>
      <c r="BB44" s="20" t="s">
        <v>2240</v>
      </c>
      <c r="BC44" s="20" t="s">
        <v>2241</v>
      </c>
      <c r="BD44" s="6" t="s">
        <v>1744</v>
      </c>
      <c r="BE44" s="6" t="s">
        <v>1772</v>
      </c>
      <c r="BF44" s="6" t="s">
        <v>1746</v>
      </c>
      <c r="BG44" s="6" t="str">
        <f t="shared" si="0"/>
        <v>C:\Users\aremi\Desktop\REPORT CBM\PO 42289580 - Pahang 11kV SECOND CYCLE AZZAD 2026\RAW MATERIAL\047. TNB BARU (IR+VI)\RAW DATA\IR</v>
      </c>
      <c r="BH44" s="24" t="s">
        <v>1560</v>
      </c>
    </row>
    <row r="45" spans="1:60" ht="30" customHeight="1" x14ac:dyDescent="0.25">
      <c r="A45" s="6">
        <v>22</v>
      </c>
      <c r="B45" s="6" t="s">
        <v>1535</v>
      </c>
      <c r="C45" s="6">
        <v>1</v>
      </c>
      <c r="D45" s="6" t="s">
        <v>2242</v>
      </c>
      <c r="E45" s="6">
        <v>22</v>
      </c>
      <c r="F45" s="6" t="str">
        <f ca="1">Master_List!$AW$1</f>
        <v>PERPUSTAKAAN PUSAT</v>
      </c>
      <c r="G45" s="27" t="str">
        <f ca="1">Master_List!$AW$2</f>
        <v>09:30 PM</v>
      </c>
      <c r="H45" s="32" t="str">
        <f ca="1">Master_List!$AW$3</f>
        <v>20/07/2026</v>
      </c>
      <c r="I45" s="28" t="str">
        <f ca="1">Master_List!$AW$4</f>
        <v>28.5</v>
      </c>
      <c r="J45" s="6" t="str">
        <f ca="1">Master_List!$AW$5</f>
        <v>65</v>
      </c>
      <c r="K45" s="6" t="s">
        <v>573</v>
      </c>
      <c r="L45" s="21" t="str">
        <f ca="1">IFERROR(VLOOKUP(B45, Master_List!$A:$I, 2, FALSE), "-")</f>
        <v>JJB 87617</v>
      </c>
      <c r="M45" s="22" t="str">
        <f ca="1">IFERROR(VLOOKUP(B45, Master_List!$A:$I, 3, FALSE), "-")</f>
        <v>WISMA TNB</v>
      </c>
      <c r="N45" s="22" t="str">
        <f ca="1">IFERROR(VLOOKUP(B45, Master_List!$A:$I, 4, FALSE), "-")</f>
        <v>NOT ACCESSIBLE</v>
      </c>
      <c r="O45" s="22" t="str">
        <f ca="1">IFERROR(VLOOKUP(B45, Master_List!$A:$I, 5, FALSE), "-")</f>
        <v>OPEN</v>
      </c>
      <c r="P45" s="22" t="str">
        <f ca="1">IFERROR(VLOOKUP(B45, Master_List!$A:$I, 6, FALSE), "-")</f>
        <v/>
      </c>
      <c r="Q45" s="22" t="str">
        <f ca="1">IFERROR(VLOOKUP(B45, Master_List!$A:$I, 7, FALSE), "-")</f>
        <v/>
      </c>
      <c r="R45" s="22" t="str">
        <f ca="1">IFERROR(VLOOKUP(B45, Master_List!$A:$I, 8, FALSE), "-")</f>
        <v/>
      </c>
      <c r="S45" s="22" t="str">
        <f ca="1">IFERROR(VLOOKUP(B45, Master_List!$A:$I, 9, FALSE), "-")</f>
        <v>24DU738_1015</v>
      </c>
      <c r="T45" s="20" t="str">
        <f ca="1">Master_List!$AW$6</f>
        <v>TOSHIBA</v>
      </c>
      <c r="U45" s="20" t="str">
        <f ca="1">Master_List!$AW$7</f>
        <v>MRMU</v>
      </c>
      <c r="V45" s="20" t="str">
        <f ca="1">Master_List!$AW$8</f>
        <v>12kV</v>
      </c>
      <c r="W45" s="20" t="str">
        <f ca="1">Master_List!$AW$9</f>
        <v>2S1F</v>
      </c>
      <c r="X45" s="20" t="str">
        <f ca="1">Master_List!$AW$10</f>
        <v>MTM</v>
      </c>
      <c r="Y45" s="20" t="str">
        <f ca="1">Master_List!$AW$11</f>
        <v>HERMETICALLY SEAL</v>
      </c>
      <c r="Z45" s="20" t="str">
        <f ca="1">Master_List!$AW$12</f>
        <v>750kVA</v>
      </c>
      <c r="AA45" s="20" t="str">
        <f ca="1">Master_List!$AW$13</f>
        <v>1317</v>
      </c>
      <c r="AB45" s="20">
        <f ca="1">Master_List!$AW$14</f>
        <v>0</v>
      </c>
      <c r="AC45" s="20">
        <f ca="1">Master_List!$AW$15</f>
        <v>0</v>
      </c>
      <c r="AD45" s="20">
        <f ca="1">Master_List!$AW$16</f>
        <v>0</v>
      </c>
      <c r="AE45" s="20">
        <f ca="1">Master_List!$AW$17</f>
        <v>0</v>
      </c>
      <c r="AF45" s="20" t="str">
        <f ca="1">Master_List!$AW$18</f>
        <v>INDKOM</v>
      </c>
      <c r="AG45" s="20" t="str">
        <f ca="1">Master_List!$AW$19</f>
        <v>J-SLOTTED</v>
      </c>
      <c r="AH45" s="20" t="str">
        <f ca="1">Master_List!$AW$20</f>
        <v>1600A</v>
      </c>
      <c r="AI45" s="20" t="str">
        <f ca="1">Master_List!$AW$21</f>
        <v>LV5080090</v>
      </c>
      <c r="AJ45" s="20" t="str">
        <f ca="1">Master_List!$AW$22</f>
        <v>LVDB TX1</v>
      </c>
      <c r="AK45" s="20">
        <f ca="1">Master_List!$AW$23</f>
        <v>0</v>
      </c>
      <c r="AL45" s="20">
        <f ca="1">Master_List!$AW$24</f>
        <v>0</v>
      </c>
      <c r="AM45" s="20">
        <f ca="1">Master_List!$AW$25</f>
        <v>0</v>
      </c>
      <c r="AN45" s="20">
        <f ca="1">Master_List!$AW$26</f>
        <v>0</v>
      </c>
      <c r="AO45" s="20" t="str">
        <f ca="1">Master_List!$AW$27</f>
        <v>LVDB TX2</v>
      </c>
      <c r="AP45" s="20" t="str">
        <f ca="1">Master_List!$AW$28</f>
        <v>SUNPOWER TECHNOLOGIES</v>
      </c>
      <c r="AQ45" s="20" t="str">
        <f ca="1">Master_List!$AW$29</f>
        <v>SPS 30-10 L</v>
      </c>
      <c r="AR45" s="20" t="str">
        <f ca="1">Master_List!$AW$30</f>
        <v>11193-8527</v>
      </c>
      <c r="AS45" s="20">
        <f ca="1">Master_List!$AW$31</f>
        <v>0</v>
      </c>
      <c r="AT45" s="20">
        <f ca="1">Master_List!$AW$32</f>
        <v>0</v>
      </c>
      <c r="AU45" s="20">
        <f ca="1">Master_List!$AW$33</f>
        <v>0</v>
      </c>
      <c r="AV45" s="20">
        <f ca="1">Master_List!$AW$34</f>
        <v>0</v>
      </c>
      <c r="AW45" s="20">
        <f ca="1">Master_List!$AW$35</f>
        <v>0</v>
      </c>
      <c r="AX45" s="20">
        <f ca="1">Master_List!$AW$36</f>
        <v>0</v>
      </c>
      <c r="AY45" s="20">
        <f ca="1">Master_List!$AW$37</f>
        <v>0</v>
      </c>
      <c r="AZ45" s="20">
        <f ca="1">Master_List!$AW$38</f>
        <v>0</v>
      </c>
      <c r="BA45" s="20">
        <f ca="1">Master_List!$AW$39</f>
        <v>0</v>
      </c>
      <c r="BB45" s="20" t="s">
        <v>2240</v>
      </c>
      <c r="BC45" s="20" t="s">
        <v>2241</v>
      </c>
      <c r="BD45" s="6" t="s">
        <v>1744</v>
      </c>
      <c r="BE45" s="6" t="s">
        <v>1772</v>
      </c>
      <c r="BF45" s="6" t="s">
        <v>1748</v>
      </c>
      <c r="BG45" s="6" t="str">
        <f t="shared" si="0"/>
        <v>C:\Users\aremi\Desktop\REPORT CBM\PO 42289580 - Pahang 11kV SECOND CYCLE AZZAD 2026\RAW MATERIAL\047. TNB BARU (IR+VI)\RAW DATA\IR</v>
      </c>
      <c r="BH45" s="24" t="s">
        <v>1561</v>
      </c>
    </row>
    <row r="46" spans="1:60" ht="30" customHeight="1" x14ac:dyDescent="0.25">
      <c r="A46" s="6">
        <v>23</v>
      </c>
      <c r="B46" s="6" t="s">
        <v>1535</v>
      </c>
      <c r="C46" s="6">
        <v>1</v>
      </c>
      <c r="D46" s="6" t="s">
        <v>2242</v>
      </c>
      <c r="E46" s="6">
        <v>23</v>
      </c>
      <c r="F46" s="6" t="str">
        <f ca="1">Master_List!$AW$1</f>
        <v>PERPUSTAKAAN PUSAT</v>
      </c>
      <c r="G46" s="27" t="str">
        <f ca="1">Master_List!$AW$2</f>
        <v>09:30 PM</v>
      </c>
      <c r="H46" s="32" t="str">
        <f ca="1">Master_List!$AW$3</f>
        <v>20/07/2026</v>
      </c>
      <c r="I46" s="28" t="str">
        <f ca="1">Master_List!$AW$4</f>
        <v>28.5</v>
      </c>
      <c r="J46" s="6" t="str">
        <f ca="1">Master_List!$AW$5</f>
        <v>65</v>
      </c>
      <c r="K46" s="6" t="s">
        <v>576</v>
      </c>
      <c r="L46" s="21" t="str">
        <f ca="1">IFERROR(VLOOKUP(B46, Master_List!$A:$I, 2, FALSE), "-")</f>
        <v>JJB 87617</v>
      </c>
      <c r="M46" s="22" t="str">
        <f ca="1">IFERROR(VLOOKUP(B46, Master_List!$A:$I, 3, FALSE), "-")</f>
        <v>WISMA TNB</v>
      </c>
      <c r="N46" s="22" t="str">
        <f ca="1">IFERROR(VLOOKUP(B46, Master_List!$A:$I, 4, FALSE), "-")</f>
        <v>NOT ACCESSIBLE</v>
      </c>
      <c r="O46" s="22" t="str">
        <f ca="1">IFERROR(VLOOKUP(B46, Master_List!$A:$I, 5, FALSE), "-")</f>
        <v>OPEN</v>
      </c>
      <c r="P46" s="22" t="str">
        <f ca="1">IFERROR(VLOOKUP(B46, Master_List!$A:$I, 6, FALSE), "-")</f>
        <v/>
      </c>
      <c r="Q46" s="22" t="str">
        <f ca="1">IFERROR(VLOOKUP(B46, Master_List!$A:$I, 7, FALSE), "-")</f>
        <v/>
      </c>
      <c r="R46" s="22" t="str">
        <f ca="1">IFERROR(VLOOKUP(B46, Master_List!$A:$I, 8, FALSE), "-")</f>
        <v/>
      </c>
      <c r="S46" s="22" t="str">
        <f ca="1">IFERROR(VLOOKUP(B46, Master_List!$A:$I, 9, FALSE), "-")</f>
        <v>24DU738_1015</v>
      </c>
      <c r="T46" s="20" t="str">
        <f ca="1">Master_List!$AW$6</f>
        <v>TOSHIBA</v>
      </c>
      <c r="U46" s="20" t="str">
        <f ca="1">Master_List!$AW$7</f>
        <v>MRMU</v>
      </c>
      <c r="V46" s="20" t="str">
        <f ca="1">Master_List!$AW$8</f>
        <v>12kV</v>
      </c>
      <c r="W46" s="20" t="str">
        <f ca="1">Master_List!$AW$9</f>
        <v>2S1F</v>
      </c>
      <c r="X46" s="20" t="str">
        <f ca="1">Master_List!$AW$10</f>
        <v>MTM</v>
      </c>
      <c r="Y46" s="20" t="str">
        <f ca="1">Master_List!$AW$11</f>
        <v>HERMETICALLY SEAL</v>
      </c>
      <c r="Z46" s="20" t="str">
        <f ca="1">Master_List!$AW$12</f>
        <v>750kVA</v>
      </c>
      <c r="AA46" s="20" t="str">
        <f ca="1">Master_List!$AW$13</f>
        <v>1317</v>
      </c>
      <c r="AB46" s="20">
        <f ca="1">Master_List!$AW$14</f>
        <v>0</v>
      </c>
      <c r="AC46" s="20">
        <f ca="1">Master_List!$AW$15</f>
        <v>0</v>
      </c>
      <c r="AD46" s="20">
        <f ca="1">Master_List!$AW$16</f>
        <v>0</v>
      </c>
      <c r="AE46" s="20">
        <f ca="1">Master_List!$AW$17</f>
        <v>0</v>
      </c>
      <c r="AF46" s="20" t="str">
        <f ca="1">Master_List!$AW$18</f>
        <v>INDKOM</v>
      </c>
      <c r="AG46" s="20" t="str">
        <f ca="1">Master_List!$AW$19</f>
        <v>J-SLOTTED</v>
      </c>
      <c r="AH46" s="20" t="str">
        <f ca="1">Master_List!$AW$20</f>
        <v>1600A</v>
      </c>
      <c r="AI46" s="20" t="str">
        <f ca="1">Master_List!$AW$21</f>
        <v>LV5080090</v>
      </c>
      <c r="AJ46" s="20" t="str">
        <f ca="1">Master_List!$AW$22</f>
        <v>LVDB TX1</v>
      </c>
      <c r="AK46" s="20">
        <f ca="1">Master_List!$AW$23</f>
        <v>0</v>
      </c>
      <c r="AL46" s="20">
        <f ca="1">Master_List!$AW$24</f>
        <v>0</v>
      </c>
      <c r="AM46" s="20">
        <f ca="1">Master_List!$AW$25</f>
        <v>0</v>
      </c>
      <c r="AN46" s="20">
        <f ca="1">Master_List!$AW$26</f>
        <v>0</v>
      </c>
      <c r="AO46" s="20" t="str">
        <f ca="1">Master_List!$AW$27</f>
        <v>LVDB TX2</v>
      </c>
      <c r="AP46" s="20" t="str">
        <f ca="1">Master_List!$AW$28</f>
        <v>SUNPOWER TECHNOLOGIES</v>
      </c>
      <c r="AQ46" s="20" t="str">
        <f ca="1">Master_List!$AW$29</f>
        <v>SPS 30-10 L</v>
      </c>
      <c r="AR46" s="20" t="str">
        <f ca="1">Master_List!$AW$30</f>
        <v>11193-8527</v>
      </c>
      <c r="AS46" s="20">
        <f ca="1">Master_List!$AW$31</f>
        <v>0</v>
      </c>
      <c r="AT46" s="20">
        <f ca="1">Master_List!$AW$32</f>
        <v>0</v>
      </c>
      <c r="AU46" s="20">
        <f ca="1">Master_List!$AW$33</f>
        <v>0</v>
      </c>
      <c r="AV46" s="20">
        <f ca="1">Master_List!$AW$34</f>
        <v>0</v>
      </c>
      <c r="AW46" s="20">
        <f ca="1">Master_List!$AW$35</f>
        <v>0</v>
      </c>
      <c r="AX46" s="20">
        <f ca="1">Master_List!$AW$36</f>
        <v>0</v>
      </c>
      <c r="AY46" s="20">
        <f ca="1">Master_List!$AW$37</f>
        <v>0</v>
      </c>
      <c r="AZ46" s="20">
        <f ca="1">Master_List!$AW$38</f>
        <v>0</v>
      </c>
      <c r="BA46" s="20">
        <f ca="1">Master_List!$AW$39</f>
        <v>0</v>
      </c>
      <c r="BB46" s="20" t="s">
        <v>2240</v>
      </c>
      <c r="BC46" s="20" t="s">
        <v>2241</v>
      </c>
      <c r="BD46" s="6" t="s">
        <v>1744</v>
      </c>
      <c r="BE46" s="6" t="s">
        <v>1773</v>
      </c>
      <c r="BF46" s="6" t="s">
        <v>1746</v>
      </c>
      <c r="BG46" s="6" t="str">
        <f t="shared" si="0"/>
        <v>C:\Users\aremi\Desktop\REPORT CBM\PO 42289580 - Pahang 11kV SECOND CYCLE AZZAD 2026\RAW MATERIAL\047. TNB BARU (IR+VI)\RAW DATA\IR</v>
      </c>
      <c r="BH46" s="24" t="s">
        <v>1563</v>
      </c>
    </row>
    <row r="47" spans="1:60" ht="30" customHeight="1" x14ac:dyDescent="0.25">
      <c r="A47" s="6">
        <v>23</v>
      </c>
      <c r="B47" s="6" t="s">
        <v>1535</v>
      </c>
      <c r="C47" s="6">
        <v>1</v>
      </c>
      <c r="D47" s="6" t="s">
        <v>2242</v>
      </c>
      <c r="E47" s="6">
        <v>23</v>
      </c>
      <c r="F47" s="6" t="str">
        <f ca="1">Master_List!$AW$1</f>
        <v>PERPUSTAKAAN PUSAT</v>
      </c>
      <c r="G47" s="27" t="str">
        <f ca="1">Master_List!$AW$2</f>
        <v>09:30 PM</v>
      </c>
      <c r="H47" s="32" t="str">
        <f ca="1">Master_List!$AW$3</f>
        <v>20/07/2026</v>
      </c>
      <c r="I47" s="28" t="str">
        <f ca="1">Master_List!$AW$4</f>
        <v>28.5</v>
      </c>
      <c r="J47" s="6" t="str">
        <f ca="1">Master_List!$AW$5</f>
        <v>65</v>
      </c>
      <c r="K47" s="6" t="s">
        <v>576</v>
      </c>
      <c r="L47" s="21" t="str">
        <f ca="1">IFERROR(VLOOKUP(B47, Master_List!$A:$I, 2, FALSE), "-")</f>
        <v>JJB 87617</v>
      </c>
      <c r="M47" s="22" t="str">
        <f ca="1">IFERROR(VLOOKUP(B47, Master_List!$A:$I, 3, FALSE), "-")</f>
        <v>WISMA TNB</v>
      </c>
      <c r="N47" s="22" t="str">
        <f ca="1">IFERROR(VLOOKUP(B47, Master_List!$A:$I, 4, FALSE), "-")</f>
        <v>NOT ACCESSIBLE</v>
      </c>
      <c r="O47" s="22" t="str">
        <f ca="1">IFERROR(VLOOKUP(B47, Master_List!$A:$I, 5, FALSE), "-")</f>
        <v>OPEN</v>
      </c>
      <c r="P47" s="22" t="str">
        <f ca="1">IFERROR(VLOOKUP(B47, Master_List!$A:$I, 6, FALSE), "-")</f>
        <v/>
      </c>
      <c r="Q47" s="22" t="str">
        <f ca="1">IFERROR(VLOOKUP(B47, Master_List!$A:$I, 7, FALSE), "-")</f>
        <v/>
      </c>
      <c r="R47" s="22" t="str">
        <f ca="1">IFERROR(VLOOKUP(B47, Master_List!$A:$I, 8, FALSE), "-")</f>
        <v/>
      </c>
      <c r="S47" s="22" t="str">
        <f ca="1">IFERROR(VLOOKUP(B47, Master_List!$A:$I, 9, FALSE), "-")</f>
        <v>24DU738_1015</v>
      </c>
      <c r="T47" s="20" t="str">
        <f ca="1">Master_List!$AW$6</f>
        <v>TOSHIBA</v>
      </c>
      <c r="U47" s="20" t="str">
        <f ca="1">Master_List!$AW$7</f>
        <v>MRMU</v>
      </c>
      <c r="V47" s="20" t="str">
        <f ca="1">Master_List!$AW$8</f>
        <v>12kV</v>
      </c>
      <c r="W47" s="20" t="str">
        <f ca="1">Master_List!$AW$9</f>
        <v>2S1F</v>
      </c>
      <c r="X47" s="20" t="str">
        <f ca="1">Master_List!$AW$10</f>
        <v>MTM</v>
      </c>
      <c r="Y47" s="20" t="str">
        <f ca="1">Master_List!$AW$11</f>
        <v>HERMETICALLY SEAL</v>
      </c>
      <c r="Z47" s="20" t="str">
        <f ca="1">Master_List!$AW$12</f>
        <v>750kVA</v>
      </c>
      <c r="AA47" s="20" t="str">
        <f ca="1">Master_List!$AW$13</f>
        <v>1317</v>
      </c>
      <c r="AB47" s="20">
        <f ca="1">Master_List!$AW$14</f>
        <v>0</v>
      </c>
      <c r="AC47" s="20">
        <f ca="1">Master_List!$AW$15</f>
        <v>0</v>
      </c>
      <c r="AD47" s="20">
        <f ca="1">Master_List!$AW$16</f>
        <v>0</v>
      </c>
      <c r="AE47" s="20">
        <f ca="1">Master_List!$AW$17</f>
        <v>0</v>
      </c>
      <c r="AF47" s="20" t="str">
        <f ca="1">Master_List!$AW$18</f>
        <v>INDKOM</v>
      </c>
      <c r="AG47" s="20" t="str">
        <f ca="1">Master_List!$AW$19</f>
        <v>J-SLOTTED</v>
      </c>
      <c r="AH47" s="20" t="str">
        <f ca="1">Master_List!$AW$20</f>
        <v>1600A</v>
      </c>
      <c r="AI47" s="20" t="str">
        <f ca="1">Master_List!$AW$21</f>
        <v>LV5080090</v>
      </c>
      <c r="AJ47" s="20" t="str">
        <f ca="1">Master_List!$AW$22</f>
        <v>LVDB TX1</v>
      </c>
      <c r="AK47" s="20">
        <f ca="1">Master_List!$AW$23</f>
        <v>0</v>
      </c>
      <c r="AL47" s="20">
        <f ca="1">Master_List!$AW$24</f>
        <v>0</v>
      </c>
      <c r="AM47" s="20">
        <f ca="1">Master_List!$AW$25</f>
        <v>0</v>
      </c>
      <c r="AN47" s="20">
        <f ca="1">Master_List!$AW$26</f>
        <v>0</v>
      </c>
      <c r="AO47" s="20" t="str">
        <f ca="1">Master_List!$AW$27</f>
        <v>LVDB TX2</v>
      </c>
      <c r="AP47" s="20" t="str">
        <f ca="1">Master_List!$AW$28</f>
        <v>SUNPOWER TECHNOLOGIES</v>
      </c>
      <c r="AQ47" s="20" t="str">
        <f ca="1">Master_List!$AW$29</f>
        <v>SPS 30-10 L</v>
      </c>
      <c r="AR47" s="20" t="str">
        <f ca="1">Master_List!$AW$30</f>
        <v>11193-8527</v>
      </c>
      <c r="AS47" s="20">
        <f ca="1">Master_List!$AW$31</f>
        <v>0</v>
      </c>
      <c r="AT47" s="20">
        <f ca="1">Master_List!$AW$32</f>
        <v>0</v>
      </c>
      <c r="AU47" s="20">
        <f ca="1">Master_List!$AW$33</f>
        <v>0</v>
      </c>
      <c r="AV47" s="20">
        <f ca="1">Master_List!$AW$34</f>
        <v>0</v>
      </c>
      <c r="AW47" s="20">
        <f ca="1">Master_List!$AW$35</f>
        <v>0</v>
      </c>
      <c r="AX47" s="20">
        <f ca="1">Master_List!$AW$36</f>
        <v>0</v>
      </c>
      <c r="AY47" s="20">
        <f ca="1">Master_List!$AW$37</f>
        <v>0</v>
      </c>
      <c r="AZ47" s="20">
        <f ca="1">Master_List!$AW$38</f>
        <v>0</v>
      </c>
      <c r="BA47" s="20">
        <f ca="1">Master_List!$AW$39</f>
        <v>0</v>
      </c>
      <c r="BB47" s="20" t="s">
        <v>2240</v>
      </c>
      <c r="BC47" s="20" t="s">
        <v>2241</v>
      </c>
      <c r="BD47" s="6" t="s">
        <v>1744</v>
      </c>
      <c r="BE47" s="6" t="s">
        <v>1773</v>
      </c>
      <c r="BF47" s="6" t="s">
        <v>1748</v>
      </c>
      <c r="BG47" s="6" t="str">
        <f t="shared" si="0"/>
        <v>C:\Users\aremi\Desktop\REPORT CBM\PO 42289580 - Pahang 11kV SECOND CYCLE AZZAD 2026\RAW MATERIAL\047. TNB BARU (IR+VI)\RAW DATA\IR</v>
      </c>
      <c r="BH47" s="24" t="s">
        <v>1564</v>
      </c>
    </row>
    <row r="48" spans="1:60" ht="30" customHeight="1" x14ac:dyDescent="0.25">
      <c r="A48" s="6">
        <v>24</v>
      </c>
      <c r="B48" s="6" t="s">
        <v>1535</v>
      </c>
      <c r="C48" s="6">
        <v>1</v>
      </c>
      <c r="D48" s="6" t="s">
        <v>2242</v>
      </c>
      <c r="E48" s="6">
        <v>24</v>
      </c>
      <c r="F48" s="6" t="str">
        <f ca="1">Master_List!$AW$1</f>
        <v>PERPUSTAKAAN PUSAT</v>
      </c>
      <c r="G48" s="27" t="str">
        <f ca="1">Master_List!$AW$2</f>
        <v>09:30 PM</v>
      </c>
      <c r="H48" s="32" t="str">
        <f ca="1">Master_List!$AW$3</f>
        <v>20/07/2026</v>
      </c>
      <c r="I48" s="28" t="str">
        <f ca="1">Master_List!$AW$4</f>
        <v>28.5</v>
      </c>
      <c r="J48" s="6" t="str">
        <f ca="1">Master_List!$AW$5</f>
        <v>65</v>
      </c>
      <c r="K48" s="6" t="s">
        <v>579</v>
      </c>
      <c r="L48" s="21" t="str">
        <f ca="1">IFERROR(VLOOKUP(B48, Master_List!$A:$I, 2, FALSE), "-")</f>
        <v>JJB 87617</v>
      </c>
      <c r="M48" s="22" t="str">
        <f ca="1">IFERROR(VLOOKUP(B48, Master_List!$A:$I, 3, FALSE), "-")</f>
        <v>WISMA TNB</v>
      </c>
      <c r="N48" s="22" t="str">
        <f ca="1">IFERROR(VLOOKUP(B48, Master_List!$A:$I, 4, FALSE), "-")</f>
        <v>NOT ACCESSIBLE</v>
      </c>
      <c r="O48" s="22" t="str">
        <f ca="1">IFERROR(VLOOKUP(B48, Master_List!$A:$I, 5, FALSE), "-")</f>
        <v>OPEN</v>
      </c>
      <c r="P48" s="22" t="str">
        <f ca="1">IFERROR(VLOOKUP(B48, Master_List!$A:$I, 6, FALSE), "-")</f>
        <v/>
      </c>
      <c r="Q48" s="22" t="str">
        <f ca="1">IFERROR(VLOOKUP(B48, Master_List!$A:$I, 7, FALSE), "-")</f>
        <v/>
      </c>
      <c r="R48" s="22" t="str">
        <f ca="1">IFERROR(VLOOKUP(B48, Master_List!$A:$I, 8, FALSE), "-")</f>
        <v/>
      </c>
      <c r="S48" s="22" t="str">
        <f ca="1">IFERROR(VLOOKUP(B48, Master_List!$A:$I, 9, FALSE), "-")</f>
        <v>24DU738_1015</v>
      </c>
      <c r="T48" s="20" t="str">
        <f ca="1">Master_List!$AW$6</f>
        <v>TOSHIBA</v>
      </c>
      <c r="U48" s="20" t="str">
        <f ca="1">Master_List!$AW$7</f>
        <v>MRMU</v>
      </c>
      <c r="V48" s="20" t="str">
        <f ca="1">Master_List!$AW$8</f>
        <v>12kV</v>
      </c>
      <c r="W48" s="20" t="str">
        <f ca="1">Master_List!$AW$9</f>
        <v>2S1F</v>
      </c>
      <c r="X48" s="20" t="str">
        <f ca="1">Master_List!$AW$10</f>
        <v>MTM</v>
      </c>
      <c r="Y48" s="20" t="str">
        <f ca="1">Master_List!$AW$11</f>
        <v>HERMETICALLY SEAL</v>
      </c>
      <c r="Z48" s="20" t="str">
        <f ca="1">Master_List!$AW$12</f>
        <v>750kVA</v>
      </c>
      <c r="AA48" s="20" t="str">
        <f ca="1">Master_List!$AW$13</f>
        <v>1317</v>
      </c>
      <c r="AB48" s="20">
        <f ca="1">Master_List!$AW$14</f>
        <v>0</v>
      </c>
      <c r="AC48" s="20">
        <f ca="1">Master_List!$AW$15</f>
        <v>0</v>
      </c>
      <c r="AD48" s="20">
        <f ca="1">Master_List!$AW$16</f>
        <v>0</v>
      </c>
      <c r="AE48" s="20">
        <f ca="1">Master_List!$AW$17</f>
        <v>0</v>
      </c>
      <c r="AF48" s="20" t="str">
        <f ca="1">Master_List!$AW$18</f>
        <v>INDKOM</v>
      </c>
      <c r="AG48" s="20" t="str">
        <f ca="1">Master_List!$AW$19</f>
        <v>J-SLOTTED</v>
      </c>
      <c r="AH48" s="20" t="str">
        <f ca="1">Master_List!$AW$20</f>
        <v>1600A</v>
      </c>
      <c r="AI48" s="20" t="str">
        <f ca="1">Master_List!$AW$21</f>
        <v>LV5080090</v>
      </c>
      <c r="AJ48" s="20" t="str">
        <f ca="1">Master_List!$AW$22</f>
        <v>LVDB TX1</v>
      </c>
      <c r="AK48" s="20">
        <f ca="1">Master_List!$AW$23</f>
        <v>0</v>
      </c>
      <c r="AL48" s="20">
        <f ca="1">Master_List!$AW$24</f>
        <v>0</v>
      </c>
      <c r="AM48" s="20">
        <f ca="1">Master_List!$AW$25</f>
        <v>0</v>
      </c>
      <c r="AN48" s="20">
        <f ca="1">Master_List!$AW$26</f>
        <v>0</v>
      </c>
      <c r="AO48" s="20" t="str">
        <f ca="1">Master_List!$AW$27</f>
        <v>LVDB TX2</v>
      </c>
      <c r="AP48" s="20" t="str">
        <f ca="1">Master_List!$AW$28</f>
        <v>SUNPOWER TECHNOLOGIES</v>
      </c>
      <c r="AQ48" s="20" t="str">
        <f ca="1">Master_List!$AW$29</f>
        <v>SPS 30-10 L</v>
      </c>
      <c r="AR48" s="20" t="str">
        <f ca="1">Master_List!$AW$30</f>
        <v>11193-8527</v>
      </c>
      <c r="AS48" s="20">
        <f ca="1">Master_List!$AW$31</f>
        <v>0</v>
      </c>
      <c r="AT48" s="20">
        <f ca="1">Master_List!$AW$32</f>
        <v>0</v>
      </c>
      <c r="AU48" s="20">
        <f ca="1">Master_List!$AW$33</f>
        <v>0</v>
      </c>
      <c r="AV48" s="20">
        <f ca="1">Master_List!$AW$34</f>
        <v>0</v>
      </c>
      <c r="AW48" s="20">
        <f ca="1">Master_List!$AW$35</f>
        <v>0</v>
      </c>
      <c r="AX48" s="20">
        <f ca="1">Master_List!$AW$36</f>
        <v>0</v>
      </c>
      <c r="AY48" s="20">
        <f ca="1">Master_List!$AW$37</f>
        <v>0</v>
      </c>
      <c r="AZ48" s="20">
        <f ca="1">Master_List!$AW$38</f>
        <v>0</v>
      </c>
      <c r="BA48" s="20">
        <f ca="1">Master_List!$AW$39</f>
        <v>0</v>
      </c>
      <c r="BB48" s="20" t="s">
        <v>2240</v>
      </c>
      <c r="BC48" s="20" t="s">
        <v>2241</v>
      </c>
      <c r="BD48" s="6" t="s">
        <v>1744</v>
      </c>
      <c r="BE48" s="6" t="s">
        <v>1774</v>
      </c>
      <c r="BF48" s="6" t="s">
        <v>1746</v>
      </c>
      <c r="BG48" s="6" t="str">
        <f t="shared" si="0"/>
        <v>C:\Users\aremi\Desktop\REPORT CBM\PO 42289580 - Pahang 11kV SECOND CYCLE AZZAD 2026\RAW MATERIAL\047. TNB BARU (IR+VI)\RAW DATA\IR</v>
      </c>
      <c r="BH48" s="24" t="s">
        <v>1565</v>
      </c>
    </row>
    <row r="49" spans="1:60" ht="30" customHeight="1" x14ac:dyDescent="0.25">
      <c r="A49" s="6">
        <v>24</v>
      </c>
      <c r="B49" s="6" t="s">
        <v>1535</v>
      </c>
      <c r="C49" s="6">
        <v>1</v>
      </c>
      <c r="D49" s="6" t="s">
        <v>2242</v>
      </c>
      <c r="E49" s="6">
        <v>24</v>
      </c>
      <c r="F49" s="6" t="str">
        <f ca="1">Master_List!$AW$1</f>
        <v>PERPUSTAKAAN PUSAT</v>
      </c>
      <c r="G49" s="27" t="str">
        <f ca="1">Master_List!$AW$2</f>
        <v>09:30 PM</v>
      </c>
      <c r="H49" s="32" t="str">
        <f ca="1">Master_List!$AW$3</f>
        <v>20/07/2026</v>
      </c>
      <c r="I49" s="28" t="str">
        <f ca="1">Master_List!$AW$4</f>
        <v>28.5</v>
      </c>
      <c r="J49" s="6" t="str">
        <f ca="1">Master_List!$AW$5</f>
        <v>65</v>
      </c>
      <c r="K49" s="6" t="s">
        <v>579</v>
      </c>
      <c r="L49" s="21" t="str">
        <f ca="1">IFERROR(VLOOKUP(B49, Master_List!$A:$I, 2, FALSE), "-")</f>
        <v>JJB 87617</v>
      </c>
      <c r="M49" s="22" t="str">
        <f ca="1">IFERROR(VLOOKUP(B49, Master_List!$A:$I, 3, FALSE), "-")</f>
        <v>WISMA TNB</v>
      </c>
      <c r="N49" s="22" t="str">
        <f ca="1">IFERROR(VLOOKUP(B49, Master_List!$A:$I, 4, FALSE), "-")</f>
        <v>NOT ACCESSIBLE</v>
      </c>
      <c r="O49" s="22" t="str">
        <f ca="1">IFERROR(VLOOKUP(B49, Master_List!$A:$I, 5, FALSE), "-")</f>
        <v>OPEN</v>
      </c>
      <c r="P49" s="22" t="str">
        <f ca="1">IFERROR(VLOOKUP(B49, Master_List!$A:$I, 6, FALSE), "-")</f>
        <v/>
      </c>
      <c r="Q49" s="22" t="str">
        <f ca="1">IFERROR(VLOOKUP(B49, Master_List!$A:$I, 7, FALSE), "-")</f>
        <v/>
      </c>
      <c r="R49" s="22" t="str">
        <f ca="1">IFERROR(VLOOKUP(B49, Master_List!$A:$I, 8, FALSE), "-")</f>
        <v/>
      </c>
      <c r="S49" s="22" t="str">
        <f ca="1">IFERROR(VLOOKUP(B49, Master_List!$A:$I, 9, FALSE), "-")</f>
        <v>24DU738_1015</v>
      </c>
      <c r="T49" s="20" t="str">
        <f ca="1">Master_List!$AW$6</f>
        <v>TOSHIBA</v>
      </c>
      <c r="U49" s="20" t="str">
        <f ca="1">Master_List!$AW$7</f>
        <v>MRMU</v>
      </c>
      <c r="V49" s="20" t="str">
        <f ca="1">Master_List!$AW$8</f>
        <v>12kV</v>
      </c>
      <c r="W49" s="20" t="str">
        <f ca="1">Master_List!$AW$9</f>
        <v>2S1F</v>
      </c>
      <c r="X49" s="20" t="str">
        <f ca="1">Master_List!$AW$10</f>
        <v>MTM</v>
      </c>
      <c r="Y49" s="20" t="str">
        <f ca="1">Master_List!$AW$11</f>
        <v>HERMETICALLY SEAL</v>
      </c>
      <c r="Z49" s="20" t="str">
        <f ca="1">Master_List!$AW$12</f>
        <v>750kVA</v>
      </c>
      <c r="AA49" s="20" t="str">
        <f ca="1">Master_List!$AW$13</f>
        <v>1317</v>
      </c>
      <c r="AB49" s="20">
        <f ca="1">Master_List!$AW$14</f>
        <v>0</v>
      </c>
      <c r="AC49" s="20">
        <f ca="1">Master_List!$AW$15</f>
        <v>0</v>
      </c>
      <c r="AD49" s="20">
        <f ca="1">Master_List!$AW$16</f>
        <v>0</v>
      </c>
      <c r="AE49" s="20">
        <f ca="1">Master_List!$AW$17</f>
        <v>0</v>
      </c>
      <c r="AF49" s="20" t="str">
        <f ca="1">Master_List!$AW$18</f>
        <v>INDKOM</v>
      </c>
      <c r="AG49" s="20" t="str">
        <f ca="1">Master_List!$AW$19</f>
        <v>J-SLOTTED</v>
      </c>
      <c r="AH49" s="20" t="str">
        <f ca="1">Master_List!$AW$20</f>
        <v>1600A</v>
      </c>
      <c r="AI49" s="20" t="str">
        <f ca="1">Master_List!$AW$21</f>
        <v>LV5080090</v>
      </c>
      <c r="AJ49" s="20" t="str">
        <f ca="1">Master_List!$AW$22</f>
        <v>LVDB TX1</v>
      </c>
      <c r="AK49" s="20">
        <f ca="1">Master_List!$AW$23</f>
        <v>0</v>
      </c>
      <c r="AL49" s="20">
        <f ca="1">Master_List!$AW$24</f>
        <v>0</v>
      </c>
      <c r="AM49" s="20">
        <f ca="1">Master_List!$AW$25</f>
        <v>0</v>
      </c>
      <c r="AN49" s="20">
        <f ca="1">Master_List!$AW$26</f>
        <v>0</v>
      </c>
      <c r="AO49" s="20" t="str">
        <f ca="1">Master_List!$AW$27</f>
        <v>LVDB TX2</v>
      </c>
      <c r="AP49" s="20" t="str">
        <f ca="1">Master_List!$AW$28</f>
        <v>SUNPOWER TECHNOLOGIES</v>
      </c>
      <c r="AQ49" s="20" t="str">
        <f ca="1">Master_List!$AW$29</f>
        <v>SPS 30-10 L</v>
      </c>
      <c r="AR49" s="20" t="str">
        <f ca="1">Master_List!$AW$30</f>
        <v>11193-8527</v>
      </c>
      <c r="AS49" s="20">
        <f ca="1">Master_List!$AW$31</f>
        <v>0</v>
      </c>
      <c r="AT49" s="20">
        <f ca="1">Master_List!$AW$32</f>
        <v>0</v>
      </c>
      <c r="AU49" s="20">
        <f ca="1">Master_List!$AW$33</f>
        <v>0</v>
      </c>
      <c r="AV49" s="20">
        <f ca="1">Master_List!$AW$34</f>
        <v>0</v>
      </c>
      <c r="AW49" s="20">
        <f ca="1">Master_List!$AW$35</f>
        <v>0</v>
      </c>
      <c r="AX49" s="20">
        <f ca="1">Master_List!$AW$36</f>
        <v>0</v>
      </c>
      <c r="AY49" s="20">
        <f ca="1">Master_List!$AW$37</f>
        <v>0</v>
      </c>
      <c r="AZ49" s="20">
        <f ca="1">Master_List!$AW$38</f>
        <v>0</v>
      </c>
      <c r="BA49" s="20">
        <f ca="1">Master_List!$AW$39</f>
        <v>0</v>
      </c>
      <c r="BB49" s="20" t="s">
        <v>2240</v>
      </c>
      <c r="BC49" s="20" t="s">
        <v>2241</v>
      </c>
      <c r="BD49" s="6" t="s">
        <v>1744</v>
      </c>
      <c r="BE49" s="6" t="s">
        <v>1774</v>
      </c>
      <c r="BF49" s="6" t="s">
        <v>1748</v>
      </c>
      <c r="BG49" s="6" t="str">
        <f t="shared" si="0"/>
        <v>C:\Users\aremi\Desktop\REPORT CBM\PO 42289580 - Pahang 11kV SECOND CYCLE AZZAD 2026\RAW MATERIAL\047. TNB BARU (IR+VI)\RAW DATA\IR</v>
      </c>
      <c r="BH49" s="24" t="s">
        <v>1566</v>
      </c>
    </row>
    <row r="50" spans="1:60" ht="30" customHeight="1" x14ac:dyDescent="0.25">
      <c r="A50" s="6">
        <v>25</v>
      </c>
      <c r="B50" s="6" t="s">
        <v>1535</v>
      </c>
      <c r="C50" s="6">
        <v>1</v>
      </c>
      <c r="D50" s="6" t="s">
        <v>2242</v>
      </c>
      <c r="E50" s="6">
        <v>25</v>
      </c>
      <c r="F50" s="6" t="str">
        <f ca="1">Master_List!$AW$1</f>
        <v>PERPUSTAKAAN PUSAT</v>
      </c>
      <c r="G50" s="27" t="str">
        <f ca="1">Master_List!$AW$2</f>
        <v>09:30 PM</v>
      </c>
      <c r="H50" s="32" t="str">
        <f ca="1">Master_List!$AW$3</f>
        <v>20/07/2026</v>
      </c>
      <c r="I50" s="28" t="str">
        <f ca="1">Master_List!$AW$4</f>
        <v>28.5</v>
      </c>
      <c r="J50" s="6" t="str">
        <f ca="1">Master_List!$AW$5</f>
        <v>65</v>
      </c>
      <c r="K50" s="6" t="s">
        <v>582</v>
      </c>
      <c r="L50" s="21" t="str">
        <f ca="1">IFERROR(VLOOKUP(B50, Master_List!$A:$I, 2, FALSE), "-")</f>
        <v>JJB 87617</v>
      </c>
      <c r="M50" s="22" t="str">
        <f ca="1">IFERROR(VLOOKUP(B50, Master_List!$A:$I, 3, FALSE), "-")</f>
        <v>WISMA TNB</v>
      </c>
      <c r="N50" s="22" t="str">
        <f ca="1">IFERROR(VLOOKUP(B50, Master_List!$A:$I, 4, FALSE), "-")</f>
        <v>NOT ACCESSIBLE</v>
      </c>
      <c r="O50" s="22" t="str">
        <f ca="1">IFERROR(VLOOKUP(B50, Master_List!$A:$I, 5, FALSE), "-")</f>
        <v>OPEN</v>
      </c>
      <c r="P50" s="22" t="str">
        <f ca="1">IFERROR(VLOOKUP(B50, Master_List!$A:$I, 6, FALSE), "-")</f>
        <v/>
      </c>
      <c r="Q50" s="22" t="str">
        <f ca="1">IFERROR(VLOOKUP(B50, Master_List!$A:$I, 7, FALSE), "-")</f>
        <v/>
      </c>
      <c r="R50" s="22" t="str">
        <f ca="1">IFERROR(VLOOKUP(B50, Master_List!$A:$I, 8, FALSE), "-")</f>
        <v/>
      </c>
      <c r="S50" s="22" t="str">
        <f ca="1">IFERROR(VLOOKUP(B50, Master_List!$A:$I, 9, FALSE), "-")</f>
        <v>24DU738_1015</v>
      </c>
      <c r="T50" s="20" t="str">
        <f ca="1">Master_List!$AW$6</f>
        <v>TOSHIBA</v>
      </c>
      <c r="U50" s="20" t="str">
        <f ca="1">Master_List!$AW$7</f>
        <v>MRMU</v>
      </c>
      <c r="V50" s="20" t="str">
        <f ca="1">Master_List!$AW$8</f>
        <v>12kV</v>
      </c>
      <c r="W50" s="20" t="str">
        <f ca="1">Master_List!$AW$9</f>
        <v>2S1F</v>
      </c>
      <c r="X50" s="20" t="str">
        <f ca="1">Master_List!$AW$10</f>
        <v>MTM</v>
      </c>
      <c r="Y50" s="20" t="str">
        <f ca="1">Master_List!$AW$11</f>
        <v>HERMETICALLY SEAL</v>
      </c>
      <c r="Z50" s="20" t="str">
        <f ca="1">Master_List!$AW$12</f>
        <v>750kVA</v>
      </c>
      <c r="AA50" s="20" t="str">
        <f ca="1">Master_List!$AW$13</f>
        <v>1317</v>
      </c>
      <c r="AB50" s="20">
        <f ca="1">Master_List!$AW$14</f>
        <v>0</v>
      </c>
      <c r="AC50" s="20">
        <f ca="1">Master_List!$AW$15</f>
        <v>0</v>
      </c>
      <c r="AD50" s="20">
        <f ca="1">Master_List!$AW$16</f>
        <v>0</v>
      </c>
      <c r="AE50" s="20">
        <f ca="1">Master_List!$AW$17</f>
        <v>0</v>
      </c>
      <c r="AF50" s="20" t="str">
        <f ca="1">Master_List!$AW$18</f>
        <v>INDKOM</v>
      </c>
      <c r="AG50" s="20" t="str">
        <f ca="1">Master_List!$AW$19</f>
        <v>J-SLOTTED</v>
      </c>
      <c r="AH50" s="20" t="str">
        <f ca="1">Master_List!$AW$20</f>
        <v>1600A</v>
      </c>
      <c r="AI50" s="20" t="str">
        <f ca="1">Master_List!$AW$21</f>
        <v>LV5080090</v>
      </c>
      <c r="AJ50" s="20" t="str">
        <f ca="1">Master_List!$AW$22</f>
        <v>LVDB TX1</v>
      </c>
      <c r="AK50" s="20">
        <f ca="1">Master_List!$AW$23</f>
        <v>0</v>
      </c>
      <c r="AL50" s="20">
        <f ca="1">Master_List!$AW$24</f>
        <v>0</v>
      </c>
      <c r="AM50" s="20">
        <f ca="1">Master_List!$AW$25</f>
        <v>0</v>
      </c>
      <c r="AN50" s="20">
        <f ca="1">Master_List!$AW$26</f>
        <v>0</v>
      </c>
      <c r="AO50" s="20" t="str">
        <f ca="1">Master_List!$AW$27</f>
        <v>LVDB TX2</v>
      </c>
      <c r="AP50" s="20" t="str">
        <f ca="1">Master_List!$AW$28</f>
        <v>SUNPOWER TECHNOLOGIES</v>
      </c>
      <c r="AQ50" s="20" t="str">
        <f ca="1">Master_List!$AW$29</f>
        <v>SPS 30-10 L</v>
      </c>
      <c r="AR50" s="20" t="str">
        <f ca="1">Master_List!$AW$30</f>
        <v>11193-8527</v>
      </c>
      <c r="AS50" s="20">
        <f ca="1">Master_List!$AW$31</f>
        <v>0</v>
      </c>
      <c r="AT50" s="20">
        <f ca="1">Master_List!$AW$32</f>
        <v>0</v>
      </c>
      <c r="AU50" s="20">
        <f ca="1">Master_List!$AW$33</f>
        <v>0</v>
      </c>
      <c r="AV50" s="20">
        <f ca="1">Master_List!$AW$34</f>
        <v>0</v>
      </c>
      <c r="AW50" s="20">
        <f ca="1">Master_List!$AW$35</f>
        <v>0</v>
      </c>
      <c r="AX50" s="20">
        <f ca="1">Master_List!$AW$36</f>
        <v>0</v>
      </c>
      <c r="AY50" s="20">
        <f ca="1">Master_List!$AW$37</f>
        <v>0</v>
      </c>
      <c r="AZ50" s="20">
        <f ca="1">Master_List!$AW$38</f>
        <v>0</v>
      </c>
      <c r="BA50" s="20">
        <f ca="1">Master_List!$AW$39</f>
        <v>0</v>
      </c>
      <c r="BB50" s="20" t="s">
        <v>2240</v>
      </c>
      <c r="BC50" s="20" t="s">
        <v>2241</v>
      </c>
      <c r="BD50" s="6" t="s">
        <v>1744</v>
      </c>
      <c r="BE50" s="6" t="s">
        <v>1775</v>
      </c>
      <c r="BF50" s="6" t="s">
        <v>1746</v>
      </c>
      <c r="BG50" s="6" t="str">
        <f t="shared" si="0"/>
        <v>C:\Users\aremi\Desktop\REPORT CBM\PO 42289580 - Pahang 11kV SECOND CYCLE AZZAD 2026\RAW MATERIAL\047. TNB BARU (IR+VI)\RAW DATA\IR</v>
      </c>
      <c r="BH50" s="24" t="s">
        <v>1568</v>
      </c>
    </row>
    <row r="51" spans="1:60" ht="30" customHeight="1" x14ac:dyDescent="0.25">
      <c r="A51" s="6">
        <v>25</v>
      </c>
      <c r="B51" s="6" t="s">
        <v>1535</v>
      </c>
      <c r="C51" s="6">
        <v>1</v>
      </c>
      <c r="D51" s="6" t="s">
        <v>2242</v>
      </c>
      <c r="E51" s="6">
        <v>25</v>
      </c>
      <c r="F51" s="6" t="str">
        <f ca="1">Master_List!$AW$1</f>
        <v>PERPUSTAKAAN PUSAT</v>
      </c>
      <c r="G51" s="27" t="str">
        <f ca="1">Master_List!$AW$2</f>
        <v>09:30 PM</v>
      </c>
      <c r="H51" s="32" t="str">
        <f ca="1">Master_List!$AW$3</f>
        <v>20/07/2026</v>
      </c>
      <c r="I51" s="28" t="str">
        <f ca="1">Master_List!$AW$4</f>
        <v>28.5</v>
      </c>
      <c r="J51" s="6" t="str">
        <f ca="1">Master_List!$AW$5</f>
        <v>65</v>
      </c>
      <c r="K51" s="6" t="s">
        <v>582</v>
      </c>
      <c r="L51" s="21" t="str">
        <f ca="1">IFERROR(VLOOKUP(B51, Master_List!$A:$I, 2, FALSE), "-")</f>
        <v>JJB 87617</v>
      </c>
      <c r="M51" s="22" t="str">
        <f ca="1">IFERROR(VLOOKUP(B51, Master_List!$A:$I, 3, FALSE), "-")</f>
        <v>WISMA TNB</v>
      </c>
      <c r="N51" s="22" t="str">
        <f ca="1">IFERROR(VLOOKUP(B51, Master_List!$A:$I, 4, FALSE), "-")</f>
        <v>NOT ACCESSIBLE</v>
      </c>
      <c r="O51" s="22" t="str">
        <f ca="1">IFERROR(VLOOKUP(B51, Master_List!$A:$I, 5, FALSE), "-")</f>
        <v>OPEN</v>
      </c>
      <c r="P51" s="22" t="str">
        <f ca="1">IFERROR(VLOOKUP(B51, Master_List!$A:$I, 6, FALSE), "-")</f>
        <v/>
      </c>
      <c r="Q51" s="22" t="str">
        <f ca="1">IFERROR(VLOOKUP(B51, Master_List!$A:$I, 7, FALSE), "-")</f>
        <v/>
      </c>
      <c r="R51" s="22" t="str">
        <f ca="1">IFERROR(VLOOKUP(B51, Master_List!$A:$I, 8, FALSE), "-")</f>
        <v/>
      </c>
      <c r="S51" s="22" t="str">
        <f ca="1">IFERROR(VLOOKUP(B51, Master_List!$A:$I, 9, FALSE), "-")</f>
        <v>24DU738_1015</v>
      </c>
      <c r="T51" s="20" t="str">
        <f ca="1">Master_List!$AW$6</f>
        <v>TOSHIBA</v>
      </c>
      <c r="U51" s="20" t="str">
        <f ca="1">Master_List!$AW$7</f>
        <v>MRMU</v>
      </c>
      <c r="V51" s="20" t="str">
        <f ca="1">Master_List!$AW$8</f>
        <v>12kV</v>
      </c>
      <c r="W51" s="20" t="str">
        <f ca="1">Master_List!$AW$9</f>
        <v>2S1F</v>
      </c>
      <c r="X51" s="20" t="str">
        <f ca="1">Master_List!$AW$10</f>
        <v>MTM</v>
      </c>
      <c r="Y51" s="20" t="str">
        <f ca="1">Master_List!$AW$11</f>
        <v>HERMETICALLY SEAL</v>
      </c>
      <c r="Z51" s="20" t="str">
        <f ca="1">Master_List!$AW$12</f>
        <v>750kVA</v>
      </c>
      <c r="AA51" s="20" t="str">
        <f ca="1">Master_List!$AW$13</f>
        <v>1317</v>
      </c>
      <c r="AB51" s="20">
        <f ca="1">Master_List!$AW$14</f>
        <v>0</v>
      </c>
      <c r="AC51" s="20">
        <f ca="1">Master_List!$AW$15</f>
        <v>0</v>
      </c>
      <c r="AD51" s="20">
        <f ca="1">Master_List!$AW$16</f>
        <v>0</v>
      </c>
      <c r="AE51" s="20">
        <f ca="1">Master_List!$AW$17</f>
        <v>0</v>
      </c>
      <c r="AF51" s="20" t="str">
        <f ca="1">Master_List!$AW$18</f>
        <v>INDKOM</v>
      </c>
      <c r="AG51" s="20" t="str">
        <f ca="1">Master_List!$AW$19</f>
        <v>J-SLOTTED</v>
      </c>
      <c r="AH51" s="20" t="str">
        <f ca="1">Master_List!$AW$20</f>
        <v>1600A</v>
      </c>
      <c r="AI51" s="20" t="str">
        <f ca="1">Master_List!$AW$21</f>
        <v>LV5080090</v>
      </c>
      <c r="AJ51" s="20" t="str">
        <f ca="1">Master_List!$AW$22</f>
        <v>LVDB TX1</v>
      </c>
      <c r="AK51" s="20">
        <f ca="1">Master_List!$AW$23</f>
        <v>0</v>
      </c>
      <c r="AL51" s="20">
        <f ca="1">Master_List!$AW$24</f>
        <v>0</v>
      </c>
      <c r="AM51" s="20">
        <f ca="1">Master_List!$AW$25</f>
        <v>0</v>
      </c>
      <c r="AN51" s="20">
        <f ca="1">Master_List!$AW$26</f>
        <v>0</v>
      </c>
      <c r="AO51" s="20" t="str">
        <f ca="1">Master_List!$AW$27</f>
        <v>LVDB TX2</v>
      </c>
      <c r="AP51" s="20" t="str">
        <f ca="1">Master_List!$AW$28</f>
        <v>SUNPOWER TECHNOLOGIES</v>
      </c>
      <c r="AQ51" s="20" t="str">
        <f ca="1">Master_List!$AW$29</f>
        <v>SPS 30-10 L</v>
      </c>
      <c r="AR51" s="20" t="str">
        <f ca="1">Master_List!$AW$30</f>
        <v>11193-8527</v>
      </c>
      <c r="AS51" s="20">
        <f ca="1">Master_List!$AW$31</f>
        <v>0</v>
      </c>
      <c r="AT51" s="20">
        <f ca="1">Master_List!$AW$32</f>
        <v>0</v>
      </c>
      <c r="AU51" s="20">
        <f ca="1">Master_List!$AW$33</f>
        <v>0</v>
      </c>
      <c r="AV51" s="20">
        <f ca="1">Master_List!$AW$34</f>
        <v>0</v>
      </c>
      <c r="AW51" s="20">
        <f ca="1">Master_List!$AW$35</f>
        <v>0</v>
      </c>
      <c r="AX51" s="20">
        <f ca="1">Master_List!$AW$36</f>
        <v>0</v>
      </c>
      <c r="AY51" s="20">
        <f ca="1">Master_List!$AW$37</f>
        <v>0</v>
      </c>
      <c r="AZ51" s="20">
        <f ca="1">Master_List!$AW$38</f>
        <v>0</v>
      </c>
      <c r="BA51" s="20">
        <f ca="1">Master_List!$AW$39</f>
        <v>0</v>
      </c>
      <c r="BB51" s="20" t="s">
        <v>2240</v>
      </c>
      <c r="BC51" s="20" t="s">
        <v>2241</v>
      </c>
      <c r="BD51" s="6" t="s">
        <v>1744</v>
      </c>
      <c r="BE51" s="6" t="s">
        <v>1775</v>
      </c>
      <c r="BF51" s="6" t="s">
        <v>1748</v>
      </c>
      <c r="BG51" s="6" t="str">
        <f t="shared" si="0"/>
        <v>C:\Users\aremi\Desktop\REPORT CBM\PO 42289580 - Pahang 11kV SECOND CYCLE AZZAD 2026\RAW MATERIAL\047. TNB BARU (IR+VI)\RAW DATA\IR</v>
      </c>
      <c r="BH51" s="24" t="s">
        <v>1569</v>
      </c>
    </row>
    <row r="52" spans="1:60" ht="30" customHeight="1" x14ac:dyDescent="0.25">
      <c r="A52" s="6">
        <v>26</v>
      </c>
      <c r="B52" s="6" t="s">
        <v>1535</v>
      </c>
      <c r="C52" s="6">
        <v>1</v>
      </c>
      <c r="D52" s="6" t="s">
        <v>2242</v>
      </c>
      <c r="E52" s="6">
        <v>26</v>
      </c>
      <c r="F52" s="6" t="str">
        <f ca="1">Master_List!$AW$1</f>
        <v>PERPUSTAKAAN PUSAT</v>
      </c>
      <c r="G52" s="27" t="str">
        <f ca="1">Master_List!$AW$2</f>
        <v>09:30 PM</v>
      </c>
      <c r="H52" s="32" t="str">
        <f ca="1">Master_List!$AW$3</f>
        <v>20/07/2026</v>
      </c>
      <c r="I52" s="28" t="str">
        <f ca="1">Master_List!$AW$4</f>
        <v>28.5</v>
      </c>
      <c r="J52" s="6" t="str">
        <f ca="1">Master_List!$AW$5</f>
        <v>65</v>
      </c>
      <c r="K52" s="6" t="s">
        <v>585</v>
      </c>
      <c r="L52" s="21" t="str">
        <f ca="1">IFERROR(VLOOKUP(B52, Master_List!$A:$I, 2, FALSE), "-")</f>
        <v>JJB 87617</v>
      </c>
      <c r="M52" s="22" t="str">
        <f ca="1">IFERROR(VLOOKUP(B52, Master_List!$A:$I, 3, FALSE), "-")</f>
        <v>WISMA TNB</v>
      </c>
      <c r="N52" s="22" t="str">
        <f ca="1">IFERROR(VLOOKUP(B52, Master_List!$A:$I, 4, FALSE), "-")</f>
        <v>NOT ACCESSIBLE</v>
      </c>
      <c r="O52" s="22" t="str">
        <f ca="1">IFERROR(VLOOKUP(B52, Master_List!$A:$I, 5, FALSE), "-")</f>
        <v>OPEN</v>
      </c>
      <c r="P52" s="22" t="str">
        <f ca="1">IFERROR(VLOOKUP(B52, Master_List!$A:$I, 6, FALSE), "-")</f>
        <v/>
      </c>
      <c r="Q52" s="22" t="str">
        <f ca="1">IFERROR(VLOOKUP(B52, Master_List!$A:$I, 7, FALSE), "-")</f>
        <v/>
      </c>
      <c r="R52" s="22" t="str">
        <f ca="1">IFERROR(VLOOKUP(B52, Master_List!$A:$I, 8, FALSE), "-")</f>
        <v/>
      </c>
      <c r="S52" s="22" t="str">
        <f ca="1">IFERROR(VLOOKUP(B52, Master_List!$A:$I, 9, FALSE), "-")</f>
        <v>24DU738_1015</v>
      </c>
      <c r="T52" s="20" t="str">
        <f ca="1">Master_List!$AW$6</f>
        <v>TOSHIBA</v>
      </c>
      <c r="U52" s="20" t="str">
        <f ca="1">Master_List!$AW$7</f>
        <v>MRMU</v>
      </c>
      <c r="V52" s="20" t="str">
        <f ca="1">Master_List!$AW$8</f>
        <v>12kV</v>
      </c>
      <c r="W52" s="20" t="str">
        <f ca="1">Master_List!$AW$9</f>
        <v>2S1F</v>
      </c>
      <c r="X52" s="20" t="str">
        <f ca="1">Master_List!$AW$10</f>
        <v>MTM</v>
      </c>
      <c r="Y52" s="20" t="str">
        <f ca="1">Master_List!$AW$11</f>
        <v>HERMETICALLY SEAL</v>
      </c>
      <c r="Z52" s="20" t="str">
        <f ca="1">Master_List!$AW$12</f>
        <v>750kVA</v>
      </c>
      <c r="AA52" s="20" t="str">
        <f ca="1">Master_List!$AW$13</f>
        <v>1317</v>
      </c>
      <c r="AB52" s="20">
        <f ca="1">Master_List!$AW$14</f>
        <v>0</v>
      </c>
      <c r="AC52" s="20">
        <f ca="1">Master_List!$AW$15</f>
        <v>0</v>
      </c>
      <c r="AD52" s="20">
        <f ca="1">Master_List!$AW$16</f>
        <v>0</v>
      </c>
      <c r="AE52" s="20">
        <f ca="1">Master_List!$AW$17</f>
        <v>0</v>
      </c>
      <c r="AF52" s="20" t="str">
        <f ca="1">Master_List!$AW$18</f>
        <v>INDKOM</v>
      </c>
      <c r="AG52" s="20" t="str">
        <f ca="1">Master_List!$AW$19</f>
        <v>J-SLOTTED</v>
      </c>
      <c r="AH52" s="20" t="str">
        <f ca="1">Master_List!$AW$20</f>
        <v>1600A</v>
      </c>
      <c r="AI52" s="20" t="str">
        <f ca="1">Master_List!$AW$21</f>
        <v>LV5080090</v>
      </c>
      <c r="AJ52" s="20" t="str">
        <f ca="1">Master_List!$AW$22</f>
        <v>LVDB TX1</v>
      </c>
      <c r="AK52" s="20">
        <f ca="1">Master_List!$AW$23</f>
        <v>0</v>
      </c>
      <c r="AL52" s="20">
        <f ca="1">Master_List!$AW$24</f>
        <v>0</v>
      </c>
      <c r="AM52" s="20">
        <f ca="1">Master_List!$AW$25</f>
        <v>0</v>
      </c>
      <c r="AN52" s="20">
        <f ca="1">Master_List!$AW$26</f>
        <v>0</v>
      </c>
      <c r="AO52" s="20" t="str">
        <f ca="1">Master_List!$AW$27</f>
        <v>LVDB TX2</v>
      </c>
      <c r="AP52" s="20" t="str">
        <f ca="1">Master_List!$AW$28</f>
        <v>SUNPOWER TECHNOLOGIES</v>
      </c>
      <c r="AQ52" s="20" t="str">
        <f ca="1">Master_List!$AW$29</f>
        <v>SPS 30-10 L</v>
      </c>
      <c r="AR52" s="20" t="str">
        <f ca="1">Master_List!$AW$30</f>
        <v>11193-8527</v>
      </c>
      <c r="AS52" s="20">
        <f ca="1">Master_List!$AW$31</f>
        <v>0</v>
      </c>
      <c r="AT52" s="20">
        <f ca="1">Master_List!$AW$32</f>
        <v>0</v>
      </c>
      <c r="AU52" s="20">
        <f ca="1">Master_List!$AW$33</f>
        <v>0</v>
      </c>
      <c r="AV52" s="20">
        <f ca="1">Master_List!$AW$34</f>
        <v>0</v>
      </c>
      <c r="AW52" s="20">
        <f ca="1">Master_List!$AW$35</f>
        <v>0</v>
      </c>
      <c r="AX52" s="20">
        <f ca="1">Master_List!$AW$36</f>
        <v>0</v>
      </c>
      <c r="AY52" s="20">
        <f ca="1">Master_List!$AW$37</f>
        <v>0</v>
      </c>
      <c r="AZ52" s="20">
        <f ca="1">Master_List!$AW$38</f>
        <v>0</v>
      </c>
      <c r="BA52" s="20">
        <f ca="1">Master_List!$AW$39</f>
        <v>0</v>
      </c>
      <c r="BB52" s="20" t="s">
        <v>2240</v>
      </c>
      <c r="BC52" s="20" t="s">
        <v>2241</v>
      </c>
      <c r="BD52" s="6" t="s">
        <v>1744</v>
      </c>
      <c r="BE52" s="6" t="s">
        <v>1776</v>
      </c>
      <c r="BF52" s="6" t="s">
        <v>1746</v>
      </c>
      <c r="BG52" s="6" t="str">
        <f t="shared" si="0"/>
        <v>C:\Users\aremi\Desktop\REPORT CBM\PO 42289580 - Pahang 11kV SECOND CYCLE AZZAD 2026\RAW MATERIAL\047. TNB BARU (IR+VI)\RAW DATA\IR</v>
      </c>
      <c r="BH52" s="24" t="s">
        <v>571</v>
      </c>
    </row>
    <row r="53" spans="1:60" ht="30" customHeight="1" x14ac:dyDescent="0.25">
      <c r="A53" s="6">
        <v>26</v>
      </c>
      <c r="B53" s="6" t="s">
        <v>1535</v>
      </c>
      <c r="C53" s="6">
        <v>1</v>
      </c>
      <c r="D53" s="6" t="s">
        <v>2242</v>
      </c>
      <c r="E53" s="6">
        <v>26</v>
      </c>
      <c r="F53" s="6" t="str">
        <f ca="1">Master_List!$AW$1</f>
        <v>PERPUSTAKAAN PUSAT</v>
      </c>
      <c r="G53" s="27" t="str">
        <f ca="1">Master_List!$AW$2</f>
        <v>09:30 PM</v>
      </c>
      <c r="H53" s="32" t="str">
        <f ca="1">Master_List!$AW$3</f>
        <v>20/07/2026</v>
      </c>
      <c r="I53" s="28" t="str">
        <f ca="1">Master_List!$AW$4</f>
        <v>28.5</v>
      </c>
      <c r="J53" s="6" t="str">
        <f ca="1">Master_List!$AW$5</f>
        <v>65</v>
      </c>
      <c r="K53" s="6" t="s">
        <v>585</v>
      </c>
      <c r="L53" s="21" t="str">
        <f ca="1">IFERROR(VLOOKUP(B53, Master_List!$A:$I, 2, FALSE), "-")</f>
        <v>JJB 87617</v>
      </c>
      <c r="M53" s="22" t="str">
        <f ca="1">IFERROR(VLOOKUP(B53, Master_List!$A:$I, 3, FALSE), "-")</f>
        <v>WISMA TNB</v>
      </c>
      <c r="N53" s="22" t="str">
        <f ca="1">IFERROR(VLOOKUP(B53, Master_List!$A:$I, 4, FALSE), "-")</f>
        <v>NOT ACCESSIBLE</v>
      </c>
      <c r="O53" s="22" t="str">
        <f ca="1">IFERROR(VLOOKUP(B53, Master_List!$A:$I, 5, FALSE), "-")</f>
        <v>OPEN</v>
      </c>
      <c r="P53" s="22" t="str">
        <f ca="1">IFERROR(VLOOKUP(B53, Master_List!$A:$I, 6, FALSE), "-")</f>
        <v/>
      </c>
      <c r="Q53" s="22" t="str">
        <f ca="1">IFERROR(VLOOKUP(B53, Master_List!$A:$I, 7, FALSE), "-")</f>
        <v/>
      </c>
      <c r="R53" s="22" t="str">
        <f ca="1">IFERROR(VLOOKUP(B53, Master_List!$A:$I, 8, FALSE), "-")</f>
        <v/>
      </c>
      <c r="S53" s="22" t="str">
        <f ca="1">IFERROR(VLOOKUP(B53, Master_List!$A:$I, 9, FALSE), "-")</f>
        <v>24DU738_1015</v>
      </c>
      <c r="T53" s="20" t="str">
        <f ca="1">Master_List!$AW$6</f>
        <v>TOSHIBA</v>
      </c>
      <c r="U53" s="20" t="str">
        <f ca="1">Master_List!$AW$7</f>
        <v>MRMU</v>
      </c>
      <c r="V53" s="20" t="str">
        <f ca="1">Master_List!$AW$8</f>
        <v>12kV</v>
      </c>
      <c r="W53" s="20" t="str">
        <f ca="1">Master_List!$AW$9</f>
        <v>2S1F</v>
      </c>
      <c r="X53" s="20" t="str">
        <f ca="1">Master_List!$AW$10</f>
        <v>MTM</v>
      </c>
      <c r="Y53" s="20" t="str">
        <f ca="1">Master_List!$AW$11</f>
        <v>HERMETICALLY SEAL</v>
      </c>
      <c r="Z53" s="20" t="str">
        <f ca="1">Master_List!$AW$12</f>
        <v>750kVA</v>
      </c>
      <c r="AA53" s="20" t="str">
        <f ca="1">Master_List!$AW$13</f>
        <v>1317</v>
      </c>
      <c r="AB53" s="20">
        <f ca="1">Master_List!$AW$14</f>
        <v>0</v>
      </c>
      <c r="AC53" s="20">
        <f ca="1">Master_List!$AW$15</f>
        <v>0</v>
      </c>
      <c r="AD53" s="20">
        <f ca="1">Master_List!$AW$16</f>
        <v>0</v>
      </c>
      <c r="AE53" s="20">
        <f ca="1">Master_List!$AW$17</f>
        <v>0</v>
      </c>
      <c r="AF53" s="20" t="str">
        <f ca="1">Master_List!$AW$18</f>
        <v>INDKOM</v>
      </c>
      <c r="AG53" s="20" t="str">
        <f ca="1">Master_List!$AW$19</f>
        <v>J-SLOTTED</v>
      </c>
      <c r="AH53" s="20" t="str">
        <f ca="1">Master_List!$AW$20</f>
        <v>1600A</v>
      </c>
      <c r="AI53" s="20" t="str">
        <f ca="1">Master_List!$AW$21</f>
        <v>LV5080090</v>
      </c>
      <c r="AJ53" s="20" t="str">
        <f ca="1">Master_List!$AW$22</f>
        <v>LVDB TX1</v>
      </c>
      <c r="AK53" s="20">
        <f ca="1">Master_List!$AW$23</f>
        <v>0</v>
      </c>
      <c r="AL53" s="20">
        <f ca="1">Master_List!$AW$24</f>
        <v>0</v>
      </c>
      <c r="AM53" s="20">
        <f ca="1">Master_List!$AW$25</f>
        <v>0</v>
      </c>
      <c r="AN53" s="20">
        <f ca="1">Master_List!$AW$26</f>
        <v>0</v>
      </c>
      <c r="AO53" s="20" t="str">
        <f ca="1">Master_List!$AW$27</f>
        <v>LVDB TX2</v>
      </c>
      <c r="AP53" s="20" t="str">
        <f ca="1">Master_List!$AW$28</f>
        <v>SUNPOWER TECHNOLOGIES</v>
      </c>
      <c r="AQ53" s="20" t="str">
        <f ca="1">Master_List!$AW$29</f>
        <v>SPS 30-10 L</v>
      </c>
      <c r="AR53" s="20" t="str">
        <f ca="1">Master_List!$AW$30</f>
        <v>11193-8527</v>
      </c>
      <c r="AS53" s="20">
        <f ca="1">Master_List!$AW$31</f>
        <v>0</v>
      </c>
      <c r="AT53" s="20">
        <f ca="1">Master_List!$AW$32</f>
        <v>0</v>
      </c>
      <c r="AU53" s="20">
        <f ca="1">Master_List!$AW$33</f>
        <v>0</v>
      </c>
      <c r="AV53" s="20">
        <f ca="1">Master_List!$AW$34</f>
        <v>0</v>
      </c>
      <c r="AW53" s="20">
        <f ca="1">Master_List!$AW$35</f>
        <v>0</v>
      </c>
      <c r="AX53" s="20">
        <f ca="1">Master_List!$AW$36</f>
        <v>0</v>
      </c>
      <c r="AY53" s="20">
        <f ca="1">Master_List!$AW$37</f>
        <v>0</v>
      </c>
      <c r="AZ53" s="20">
        <f ca="1">Master_List!$AW$38</f>
        <v>0</v>
      </c>
      <c r="BA53" s="20">
        <f ca="1">Master_List!$AW$39</f>
        <v>0</v>
      </c>
      <c r="BB53" s="20" t="s">
        <v>2240</v>
      </c>
      <c r="BC53" s="20" t="s">
        <v>2241</v>
      </c>
      <c r="BD53" s="6" t="s">
        <v>1744</v>
      </c>
      <c r="BE53" s="6" t="s">
        <v>1776</v>
      </c>
      <c r="BF53" s="6" t="s">
        <v>1748</v>
      </c>
      <c r="BG53" s="6" t="str">
        <f t="shared" si="0"/>
        <v>C:\Users\aremi\Desktop\REPORT CBM\PO 42289580 - Pahang 11kV SECOND CYCLE AZZAD 2026\RAW MATERIAL\047. TNB BARU (IR+VI)\RAW DATA\IR</v>
      </c>
      <c r="BH53" s="24" t="s">
        <v>572</v>
      </c>
    </row>
    <row r="54" spans="1:60" ht="30" customHeight="1" x14ac:dyDescent="0.25">
      <c r="A54" s="6">
        <v>27</v>
      </c>
      <c r="B54" s="6" t="s">
        <v>1535</v>
      </c>
      <c r="C54" s="6">
        <v>1</v>
      </c>
      <c r="D54" s="6" t="s">
        <v>2243</v>
      </c>
      <c r="E54" s="6">
        <v>27</v>
      </c>
      <c r="F54" s="6" t="str">
        <f ca="1">Master_List!$AW$1</f>
        <v>PERPUSTAKAAN PUSAT</v>
      </c>
      <c r="G54" s="27" t="str">
        <f ca="1">Master_List!$AW$2</f>
        <v>09:30 PM</v>
      </c>
      <c r="H54" s="32" t="str">
        <f ca="1">Master_List!$AW$3</f>
        <v>20/07/2026</v>
      </c>
      <c r="I54" s="28" t="str">
        <f ca="1">Master_List!$AW$4</f>
        <v>28.5</v>
      </c>
      <c r="J54" s="6" t="str">
        <f ca="1">Master_List!$AW$5</f>
        <v>65</v>
      </c>
      <c r="K54" s="6" t="s">
        <v>588</v>
      </c>
      <c r="L54" s="21" t="str">
        <f ca="1">IFERROR(VLOOKUP(B54, Master_List!$A:$I, 2, FALSE), "-")</f>
        <v>JJB 87617</v>
      </c>
      <c r="M54" s="22" t="str">
        <f ca="1">IFERROR(VLOOKUP(B54, Master_List!$A:$I, 3, FALSE), "-")</f>
        <v>WISMA TNB</v>
      </c>
      <c r="N54" s="22" t="str">
        <f ca="1">IFERROR(VLOOKUP(B54, Master_List!$A:$I, 4, FALSE), "-")</f>
        <v>NOT ACCESSIBLE</v>
      </c>
      <c r="O54" s="22" t="str">
        <f ca="1">IFERROR(VLOOKUP(B54, Master_List!$A:$I, 5, FALSE), "-")</f>
        <v>OPEN</v>
      </c>
      <c r="P54" s="22" t="str">
        <f ca="1">IFERROR(VLOOKUP(B54, Master_List!$A:$I, 6, FALSE), "-")</f>
        <v/>
      </c>
      <c r="Q54" s="22" t="str">
        <f ca="1">IFERROR(VLOOKUP(B54, Master_List!$A:$I, 7, FALSE), "-")</f>
        <v/>
      </c>
      <c r="R54" s="22" t="str">
        <f ca="1">IFERROR(VLOOKUP(B54, Master_List!$A:$I, 8, FALSE), "-")</f>
        <v/>
      </c>
      <c r="S54" s="22" t="str">
        <f ca="1">IFERROR(VLOOKUP(B54, Master_List!$A:$I, 9, FALSE), "-")</f>
        <v>24DU738_1015</v>
      </c>
      <c r="T54" s="20" t="str">
        <f ca="1">Master_List!$AW$6</f>
        <v>TOSHIBA</v>
      </c>
      <c r="U54" s="20" t="str">
        <f ca="1">Master_List!$AW$7</f>
        <v>MRMU</v>
      </c>
      <c r="V54" s="20" t="str">
        <f ca="1">Master_List!$AW$8</f>
        <v>12kV</v>
      </c>
      <c r="W54" s="20" t="str">
        <f ca="1">Master_List!$AW$9</f>
        <v>2S1F</v>
      </c>
      <c r="X54" s="20" t="str">
        <f ca="1">Master_List!$AW$10</f>
        <v>MTM</v>
      </c>
      <c r="Y54" s="20" t="str">
        <f ca="1">Master_List!$AW$11</f>
        <v>HERMETICALLY SEAL</v>
      </c>
      <c r="Z54" s="20" t="str">
        <f ca="1">Master_List!$AW$12</f>
        <v>750kVA</v>
      </c>
      <c r="AA54" s="20" t="str">
        <f ca="1">Master_List!$AW$13</f>
        <v>1317</v>
      </c>
      <c r="AB54" s="20">
        <f ca="1">Master_List!$AW$14</f>
        <v>0</v>
      </c>
      <c r="AC54" s="20">
        <f ca="1">Master_List!$AW$15</f>
        <v>0</v>
      </c>
      <c r="AD54" s="20">
        <f ca="1">Master_List!$AW$16</f>
        <v>0</v>
      </c>
      <c r="AE54" s="20">
        <f ca="1">Master_List!$AW$17</f>
        <v>0</v>
      </c>
      <c r="AF54" s="20" t="str">
        <f ca="1">Master_List!$AW$18</f>
        <v>INDKOM</v>
      </c>
      <c r="AG54" s="20" t="str">
        <f ca="1">Master_List!$AW$19</f>
        <v>J-SLOTTED</v>
      </c>
      <c r="AH54" s="20" t="str">
        <f ca="1">Master_List!$AW$20</f>
        <v>1600A</v>
      </c>
      <c r="AI54" s="20" t="str">
        <f ca="1">Master_List!$AW$21</f>
        <v>LV5080090</v>
      </c>
      <c r="AJ54" s="20" t="str">
        <f ca="1">Master_List!$AW$22</f>
        <v>LVDB TX1</v>
      </c>
      <c r="AK54" s="20">
        <f ca="1">Master_List!$AW$23</f>
        <v>0</v>
      </c>
      <c r="AL54" s="20">
        <f ca="1">Master_List!$AW$24</f>
        <v>0</v>
      </c>
      <c r="AM54" s="20">
        <f ca="1">Master_List!$AW$25</f>
        <v>0</v>
      </c>
      <c r="AN54" s="20">
        <f ca="1">Master_List!$AW$26</f>
        <v>0</v>
      </c>
      <c r="AO54" s="20" t="str">
        <f ca="1">Master_List!$AW$27</f>
        <v>LVDB TX2</v>
      </c>
      <c r="AP54" s="20" t="str">
        <f ca="1">Master_List!$AW$28</f>
        <v>SUNPOWER TECHNOLOGIES</v>
      </c>
      <c r="AQ54" s="20" t="str">
        <f ca="1">Master_List!$AW$29</f>
        <v>SPS 30-10 L</v>
      </c>
      <c r="AR54" s="20" t="str">
        <f ca="1">Master_List!$AW$30</f>
        <v>11193-8527</v>
      </c>
      <c r="AS54" s="20">
        <f ca="1">Master_List!$AW$31</f>
        <v>0</v>
      </c>
      <c r="AT54" s="20">
        <f ca="1">Master_List!$AW$32</f>
        <v>0</v>
      </c>
      <c r="AU54" s="20">
        <f ca="1">Master_List!$AW$33</f>
        <v>0</v>
      </c>
      <c r="AV54" s="20">
        <f ca="1">Master_List!$AW$34</f>
        <v>0</v>
      </c>
      <c r="AW54" s="20">
        <f ca="1">Master_List!$AW$35</f>
        <v>0</v>
      </c>
      <c r="AX54" s="20">
        <f ca="1">Master_List!$AW$36</f>
        <v>0</v>
      </c>
      <c r="AY54" s="20">
        <f ca="1">Master_List!$AW$37</f>
        <v>0</v>
      </c>
      <c r="AZ54" s="20">
        <f ca="1">Master_List!$AW$38</f>
        <v>0</v>
      </c>
      <c r="BA54" s="20">
        <f ca="1">Master_List!$AW$39</f>
        <v>0</v>
      </c>
      <c r="BB54" s="20" t="s">
        <v>2240</v>
      </c>
      <c r="BC54" s="20" t="s">
        <v>2241</v>
      </c>
      <c r="BD54" s="6" t="s">
        <v>1744</v>
      </c>
      <c r="BE54" s="6" t="s">
        <v>1777</v>
      </c>
      <c r="BF54" s="6" t="s">
        <v>1746</v>
      </c>
      <c r="BG54" s="6" t="str">
        <f t="shared" si="0"/>
        <v>C:\Users\aremi\Desktop\REPORT CBM\PO 42289580 - Pahang 11kV SECOND CYCLE AZZAD 2026\RAW MATERIAL\047. TNB BARU (IR+VI)\RAW DATA\IR</v>
      </c>
      <c r="BH54" s="24" t="s">
        <v>574</v>
      </c>
    </row>
    <row r="55" spans="1:60" ht="30" customHeight="1" x14ac:dyDescent="0.25">
      <c r="A55" s="6">
        <v>27</v>
      </c>
      <c r="B55" s="6" t="s">
        <v>1535</v>
      </c>
      <c r="C55" s="6">
        <v>1</v>
      </c>
      <c r="D55" s="6" t="s">
        <v>2243</v>
      </c>
      <c r="E55" s="6">
        <v>27</v>
      </c>
      <c r="F55" s="6" t="str">
        <f ca="1">Master_List!$AW$1</f>
        <v>PERPUSTAKAAN PUSAT</v>
      </c>
      <c r="G55" s="27" t="str">
        <f ca="1">Master_List!$AW$2</f>
        <v>09:30 PM</v>
      </c>
      <c r="H55" s="32" t="str">
        <f ca="1">Master_List!$AW$3</f>
        <v>20/07/2026</v>
      </c>
      <c r="I55" s="28" t="str">
        <f ca="1">Master_List!$AW$4</f>
        <v>28.5</v>
      </c>
      <c r="J55" s="6" t="str">
        <f ca="1">Master_List!$AW$5</f>
        <v>65</v>
      </c>
      <c r="K55" s="6" t="s">
        <v>588</v>
      </c>
      <c r="L55" s="21" t="str">
        <f ca="1">IFERROR(VLOOKUP(B55, Master_List!$A:$I, 2, FALSE), "-")</f>
        <v>JJB 87617</v>
      </c>
      <c r="M55" s="22" t="str">
        <f ca="1">IFERROR(VLOOKUP(B55, Master_List!$A:$I, 3, FALSE), "-")</f>
        <v>WISMA TNB</v>
      </c>
      <c r="N55" s="22" t="str">
        <f ca="1">IFERROR(VLOOKUP(B55, Master_List!$A:$I, 4, FALSE), "-")</f>
        <v>NOT ACCESSIBLE</v>
      </c>
      <c r="O55" s="22" t="str">
        <f ca="1">IFERROR(VLOOKUP(B55, Master_List!$A:$I, 5, FALSE), "-")</f>
        <v>OPEN</v>
      </c>
      <c r="P55" s="22" t="str">
        <f ca="1">IFERROR(VLOOKUP(B55, Master_List!$A:$I, 6, FALSE), "-")</f>
        <v/>
      </c>
      <c r="Q55" s="22" t="str">
        <f ca="1">IFERROR(VLOOKUP(B55, Master_List!$A:$I, 7, FALSE), "-")</f>
        <v/>
      </c>
      <c r="R55" s="22" t="str">
        <f ca="1">IFERROR(VLOOKUP(B55, Master_List!$A:$I, 8, FALSE), "-")</f>
        <v/>
      </c>
      <c r="S55" s="22" t="str">
        <f ca="1">IFERROR(VLOOKUP(B55, Master_List!$A:$I, 9, FALSE), "-")</f>
        <v>24DU738_1015</v>
      </c>
      <c r="T55" s="20" t="str">
        <f ca="1">Master_List!$AW$6</f>
        <v>TOSHIBA</v>
      </c>
      <c r="U55" s="20" t="str">
        <f ca="1">Master_List!$AW$7</f>
        <v>MRMU</v>
      </c>
      <c r="V55" s="20" t="str">
        <f ca="1">Master_List!$AW$8</f>
        <v>12kV</v>
      </c>
      <c r="W55" s="20" t="str">
        <f ca="1">Master_List!$AW$9</f>
        <v>2S1F</v>
      </c>
      <c r="X55" s="20" t="str">
        <f ca="1">Master_List!$AW$10</f>
        <v>MTM</v>
      </c>
      <c r="Y55" s="20" t="str">
        <f ca="1">Master_List!$AW$11</f>
        <v>HERMETICALLY SEAL</v>
      </c>
      <c r="Z55" s="20" t="str">
        <f ca="1">Master_List!$AW$12</f>
        <v>750kVA</v>
      </c>
      <c r="AA55" s="20" t="str">
        <f ca="1">Master_List!$AW$13</f>
        <v>1317</v>
      </c>
      <c r="AB55" s="20">
        <f ca="1">Master_List!$AW$14</f>
        <v>0</v>
      </c>
      <c r="AC55" s="20">
        <f ca="1">Master_List!$AW$15</f>
        <v>0</v>
      </c>
      <c r="AD55" s="20">
        <f ca="1">Master_List!$AW$16</f>
        <v>0</v>
      </c>
      <c r="AE55" s="20">
        <f ca="1">Master_List!$AW$17</f>
        <v>0</v>
      </c>
      <c r="AF55" s="20" t="str">
        <f ca="1">Master_List!$AW$18</f>
        <v>INDKOM</v>
      </c>
      <c r="AG55" s="20" t="str">
        <f ca="1">Master_List!$AW$19</f>
        <v>J-SLOTTED</v>
      </c>
      <c r="AH55" s="20" t="str">
        <f ca="1">Master_List!$AW$20</f>
        <v>1600A</v>
      </c>
      <c r="AI55" s="20" t="str">
        <f ca="1">Master_List!$AW$21</f>
        <v>LV5080090</v>
      </c>
      <c r="AJ55" s="20" t="str">
        <f ca="1">Master_List!$AW$22</f>
        <v>LVDB TX1</v>
      </c>
      <c r="AK55" s="20">
        <f ca="1">Master_List!$AW$23</f>
        <v>0</v>
      </c>
      <c r="AL55" s="20">
        <f ca="1">Master_List!$AW$24</f>
        <v>0</v>
      </c>
      <c r="AM55" s="20">
        <f ca="1">Master_List!$AW$25</f>
        <v>0</v>
      </c>
      <c r="AN55" s="20">
        <f ca="1">Master_List!$AW$26</f>
        <v>0</v>
      </c>
      <c r="AO55" s="20" t="str">
        <f ca="1">Master_List!$AW$27</f>
        <v>LVDB TX2</v>
      </c>
      <c r="AP55" s="20" t="str">
        <f ca="1">Master_List!$AW$28</f>
        <v>SUNPOWER TECHNOLOGIES</v>
      </c>
      <c r="AQ55" s="20" t="str">
        <f ca="1">Master_List!$AW$29</f>
        <v>SPS 30-10 L</v>
      </c>
      <c r="AR55" s="20" t="str">
        <f ca="1">Master_List!$AW$30</f>
        <v>11193-8527</v>
      </c>
      <c r="AS55" s="20">
        <f ca="1">Master_List!$AW$31</f>
        <v>0</v>
      </c>
      <c r="AT55" s="20">
        <f ca="1">Master_List!$AW$32</f>
        <v>0</v>
      </c>
      <c r="AU55" s="20">
        <f ca="1">Master_List!$AW$33</f>
        <v>0</v>
      </c>
      <c r="AV55" s="20">
        <f ca="1">Master_List!$AW$34</f>
        <v>0</v>
      </c>
      <c r="AW55" s="20">
        <f ca="1">Master_List!$AW$35</f>
        <v>0</v>
      </c>
      <c r="AX55" s="20">
        <f ca="1">Master_List!$AW$36</f>
        <v>0</v>
      </c>
      <c r="AY55" s="20">
        <f ca="1">Master_List!$AW$37</f>
        <v>0</v>
      </c>
      <c r="AZ55" s="20">
        <f ca="1">Master_List!$AW$38</f>
        <v>0</v>
      </c>
      <c r="BA55" s="20">
        <f ca="1">Master_List!$AW$39</f>
        <v>0</v>
      </c>
      <c r="BB55" s="20" t="s">
        <v>2240</v>
      </c>
      <c r="BC55" s="20" t="s">
        <v>2241</v>
      </c>
      <c r="BD55" s="6" t="s">
        <v>1744</v>
      </c>
      <c r="BE55" s="6" t="s">
        <v>1777</v>
      </c>
      <c r="BF55" s="6" t="s">
        <v>1748</v>
      </c>
      <c r="BG55" s="6" t="str">
        <f t="shared" si="0"/>
        <v>C:\Users\aremi\Desktop\REPORT CBM\PO 42289580 - Pahang 11kV SECOND CYCLE AZZAD 2026\RAW MATERIAL\047. TNB BARU (IR+VI)\RAW DATA\IR</v>
      </c>
      <c r="BH55" s="24" t="s">
        <v>575</v>
      </c>
    </row>
    <row r="56" spans="1:60" ht="30" customHeight="1" x14ac:dyDescent="0.25">
      <c r="A56" s="6">
        <v>28</v>
      </c>
      <c r="B56" s="6" t="s">
        <v>1535</v>
      </c>
      <c r="C56" s="6">
        <v>1</v>
      </c>
      <c r="D56" s="6" t="s">
        <v>2244</v>
      </c>
      <c r="E56" s="6">
        <v>28</v>
      </c>
      <c r="F56" s="6" t="str">
        <f ca="1">Master_List!$AW$1</f>
        <v>PERPUSTAKAAN PUSAT</v>
      </c>
      <c r="G56" s="27" t="str">
        <f ca="1">Master_List!$AW$2</f>
        <v>09:30 PM</v>
      </c>
      <c r="H56" s="32" t="str">
        <f ca="1">Master_List!$AW$3</f>
        <v>20/07/2026</v>
      </c>
      <c r="I56" s="28" t="str">
        <f ca="1">Master_List!$AW$4</f>
        <v>28.5</v>
      </c>
      <c r="J56" s="6" t="str">
        <f ca="1">Master_List!$AW$5</f>
        <v>65</v>
      </c>
      <c r="K56" s="6" t="s">
        <v>591</v>
      </c>
      <c r="L56" s="21" t="str">
        <f ca="1">IFERROR(VLOOKUP(B56, Master_List!$A:$I, 2, FALSE), "-")</f>
        <v>JJB 87617</v>
      </c>
      <c r="M56" s="22" t="str">
        <f ca="1">IFERROR(VLOOKUP(B56, Master_List!$A:$I, 3, FALSE), "-")</f>
        <v>WISMA TNB</v>
      </c>
      <c r="N56" s="22" t="str">
        <f ca="1">IFERROR(VLOOKUP(B56, Master_List!$A:$I, 4, FALSE), "-")</f>
        <v>NOT ACCESSIBLE</v>
      </c>
      <c r="O56" s="22" t="str">
        <f ca="1">IFERROR(VLOOKUP(B56, Master_List!$A:$I, 5, FALSE), "-")</f>
        <v>OPEN</v>
      </c>
      <c r="P56" s="22" t="str">
        <f ca="1">IFERROR(VLOOKUP(B56, Master_List!$A:$I, 6, FALSE), "-")</f>
        <v/>
      </c>
      <c r="Q56" s="22" t="str">
        <f ca="1">IFERROR(VLOOKUP(B56, Master_List!$A:$I, 7, FALSE), "-")</f>
        <v/>
      </c>
      <c r="R56" s="22" t="str">
        <f ca="1">IFERROR(VLOOKUP(B56, Master_List!$A:$I, 8, FALSE), "-")</f>
        <v/>
      </c>
      <c r="S56" s="22" t="str">
        <f ca="1">IFERROR(VLOOKUP(B56, Master_List!$A:$I, 9, FALSE), "-")</f>
        <v>24DU738_1015</v>
      </c>
      <c r="T56" s="20" t="str">
        <f ca="1">Master_List!$AW$6</f>
        <v>TOSHIBA</v>
      </c>
      <c r="U56" s="20" t="str">
        <f ca="1">Master_List!$AW$7</f>
        <v>MRMU</v>
      </c>
      <c r="V56" s="20" t="str">
        <f ca="1">Master_List!$AW$8</f>
        <v>12kV</v>
      </c>
      <c r="W56" s="20" t="str">
        <f ca="1">Master_List!$AW$9</f>
        <v>2S1F</v>
      </c>
      <c r="X56" s="20" t="str">
        <f ca="1">Master_List!$AW$10</f>
        <v>MTM</v>
      </c>
      <c r="Y56" s="20" t="str">
        <f ca="1">Master_List!$AW$11</f>
        <v>HERMETICALLY SEAL</v>
      </c>
      <c r="Z56" s="20" t="str">
        <f ca="1">Master_List!$AW$12</f>
        <v>750kVA</v>
      </c>
      <c r="AA56" s="20" t="str">
        <f ca="1">Master_List!$AW$13</f>
        <v>1317</v>
      </c>
      <c r="AB56" s="20">
        <f ca="1">Master_List!$AW$14</f>
        <v>0</v>
      </c>
      <c r="AC56" s="20">
        <f ca="1">Master_List!$AW$15</f>
        <v>0</v>
      </c>
      <c r="AD56" s="20">
        <f ca="1">Master_List!$AW$16</f>
        <v>0</v>
      </c>
      <c r="AE56" s="20">
        <f ca="1">Master_List!$AW$17</f>
        <v>0</v>
      </c>
      <c r="AF56" s="20" t="str">
        <f ca="1">Master_List!$AW$18</f>
        <v>INDKOM</v>
      </c>
      <c r="AG56" s="20" t="str">
        <f ca="1">Master_List!$AW$19</f>
        <v>J-SLOTTED</v>
      </c>
      <c r="AH56" s="20" t="str">
        <f ca="1">Master_List!$AW$20</f>
        <v>1600A</v>
      </c>
      <c r="AI56" s="20" t="str">
        <f ca="1">Master_List!$AW$21</f>
        <v>LV5080090</v>
      </c>
      <c r="AJ56" s="20" t="str">
        <f ca="1">Master_List!$AW$22</f>
        <v>LVDB TX1</v>
      </c>
      <c r="AK56" s="20">
        <f ca="1">Master_List!$AW$23</f>
        <v>0</v>
      </c>
      <c r="AL56" s="20">
        <f ca="1">Master_List!$AW$24</f>
        <v>0</v>
      </c>
      <c r="AM56" s="20">
        <f ca="1">Master_List!$AW$25</f>
        <v>0</v>
      </c>
      <c r="AN56" s="20">
        <f ca="1">Master_List!$AW$26</f>
        <v>0</v>
      </c>
      <c r="AO56" s="20" t="str">
        <f ca="1">Master_List!$AW$27</f>
        <v>LVDB TX2</v>
      </c>
      <c r="AP56" s="20" t="str">
        <f ca="1">Master_List!$AW$28</f>
        <v>SUNPOWER TECHNOLOGIES</v>
      </c>
      <c r="AQ56" s="20" t="str">
        <f ca="1">Master_List!$AW$29</f>
        <v>SPS 30-10 L</v>
      </c>
      <c r="AR56" s="20" t="str">
        <f ca="1">Master_List!$AW$30</f>
        <v>11193-8527</v>
      </c>
      <c r="AS56" s="20">
        <f ca="1">Master_List!$AW$31</f>
        <v>0</v>
      </c>
      <c r="AT56" s="20">
        <f ca="1">Master_List!$AW$32</f>
        <v>0</v>
      </c>
      <c r="AU56" s="20">
        <f ca="1">Master_List!$AW$33</f>
        <v>0</v>
      </c>
      <c r="AV56" s="20">
        <f ca="1">Master_List!$AW$34</f>
        <v>0</v>
      </c>
      <c r="AW56" s="20">
        <f ca="1">Master_List!$AW$35</f>
        <v>0</v>
      </c>
      <c r="AX56" s="20">
        <f ca="1">Master_List!$AW$36</f>
        <v>0</v>
      </c>
      <c r="AY56" s="20">
        <f ca="1">Master_List!$AW$37</f>
        <v>0</v>
      </c>
      <c r="AZ56" s="20">
        <f ca="1">Master_List!$AW$38</f>
        <v>0</v>
      </c>
      <c r="BA56" s="20">
        <f ca="1">Master_List!$AW$39</f>
        <v>0</v>
      </c>
      <c r="BB56" s="20" t="s">
        <v>2240</v>
      </c>
      <c r="BC56" s="20" t="s">
        <v>2241</v>
      </c>
      <c r="BD56" s="6" t="s">
        <v>1744</v>
      </c>
      <c r="BE56" s="6" t="s">
        <v>1778</v>
      </c>
      <c r="BF56" s="6" t="s">
        <v>1746</v>
      </c>
      <c r="BG56" s="6" t="str">
        <f t="shared" si="0"/>
        <v>C:\Users\aremi\Desktop\REPORT CBM\PO 42289580 - Pahang 11kV SECOND CYCLE AZZAD 2026\RAW MATERIAL\047. TNB BARU (IR+VI)\RAW DATA\IR</v>
      </c>
      <c r="BH56" s="24" t="s">
        <v>577</v>
      </c>
    </row>
    <row r="57" spans="1:60" ht="30" customHeight="1" x14ac:dyDescent="0.25">
      <c r="A57" s="6">
        <v>28</v>
      </c>
      <c r="B57" s="6" t="s">
        <v>1535</v>
      </c>
      <c r="C57" s="6">
        <v>1</v>
      </c>
      <c r="D57" s="6" t="s">
        <v>2244</v>
      </c>
      <c r="E57" s="6">
        <v>28</v>
      </c>
      <c r="F57" s="6" t="str">
        <f ca="1">Master_List!$AW$1</f>
        <v>PERPUSTAKAAN PUSAT</v>
      </c>
      <c r="G57" s="27" t="str">
        <f ca="1">Master_List!$AW$2</f>
        <v>09:30 PM</v>
      </c>
      <c r="H57" s="32" t="str">
        <f ca="1">Master_List!$AW$3</f>
        <v>20/07/2026</v>
      </c>
      <c r="I57" s="28" t="str">
        <f ca="1">Master_List!$AW$4</f>
        <v>28.5</v>
      </c>
      <c r="J57" s="6" t="str">
        <f ca="1">Master_List!$AW$5</f>
        <v>65</v>
      </c>
      <c r="K57" s="6" t="s">
        <v>591</v>
      </c>
      <c r="L57" s="21" t="str">
        <f ca="1">IFERROR(VLOOKUP(B57, Master_List!$A:$I, 2, FALSE), "-")</f>
        <v>JJB 87617</v>
      </c>
      <c r="M57" s="22" t="str">
        <f ca="1">IFERROR(VLOOKUP(B57, Master_List!$A:$I, 3, FALSE), "-")</f>
        <v>WISMA TNB</v>
      </c>
      <c r="N57" s="22" t="str">
        <f ca="1">IFERROR(VLOOKUP(B57, Master_List!$A:$I, 4, FALSE), "-")</f>
        <v>NOT ACCESSIBLE</v>
      </c>
      <c r="O57" s="22" t="str">
        <f ca="1">IFERROR(VLOOKUP(B57, Master_List!$A:$I, 5, FALSE), "-")</f>
        <v>OPEN</v>
      </c>
      <c r="P57" s="22" t="str">
        <f ca="1">IFERROR(VLOOKUP(B57, Master_List!$A:$I, 6, FALSE), "-")</f>
        <v/>
      </c>
      <c r="Q57" s="22" t="str">
        <f ca="1">IFERROR(VLOOKUP(B57, Master_List!$A:$I, 7, FALSE), "-")</f>
        <v/>
      </c>
      <c r="R57" s="22" t="str">
        <f ca="1">IFERROR(VLOOKUP(B57, Master_List!$A:$I, 8, FALSE), "-")</f>
        <v/>
      </c>
      <c r="S57" s="22" t="str">
        <f ca="1">IFERROR(VLOOKUP(B57, Master_List!$A:$I, 9, FALSE), "-")</f>
        <v>24DU738_1015</v>
      </c>
      <c r="T57" s="20" t="str">
        <f ca="1">Master_List!$AW$6</f>
        <v>TOSHIBA</v>
      </c>
      <c r="U57" s="20" t="str">
        <f ca="1">Master_List!$AW$7</f>
        <v>MRMU</v>
      </c>
      <c r="V57" s="20" t="str">
        <f ca="1">Master_List!$AW$8</f>
        <v>12kV</v>
      </c>
      <c r="W57" s="20" t="str">
        <f ca="1">Master_List!$AW$9</f>
        <v>2S1F</v>
      </c>
      <c r="X57" s="20" t="str">
        <f ca="1">Master_List!$AW$10</f>
        <v>MTM</v>
      </c>
      <c r="Y57" s="20" t="str">
        <f ca="1">Master_List!$AW$11</f>
        <v>HERMETICALLY SEAL</v>
      </c>
      <c r="Z57" s="20" t="str">
        <f ca="1">Master_List!$AW$12</f>
        <v>750kVA</v>
      </c>
      <c r="AA57" s="20" t="str">
        <f ca="1">Master_List!$AW$13</f>
        <v>1317</v>
      </c>
      <c r="AB57" s="20">
        <f ca="1">Master_List!$AW$14</f>
        <v>0</v>
      </c>
      <c r="AC57" s="20">
        <f ca="1">Master_List!$AW$15</f>
        <v>0</v>
      </c>
      <c r="AD57" s="20">
        <f ca="1">Master_List!$AW$16</f>
        <v>0</v>
      </c>
      <c r="AE57" s="20">
        <f ca="1">Master_List!$AW$17</f>
        <v>0</v>
      </c>
      <c r="AF57" s="20" t="str">
        <f ca="1">Master_List!$AW$18</f>
        <v>INDKOM</v>
      </c>
      <c r="AG57" s="20" t="str">
        <f ca="1">Master_List!$AW$19</f>
        <v>J-SLOTTED</v>
      </c>
      <c r="AH57" s="20" t="str">
        <f ca="1">Master_List!$AW$20</f>
        <v>1600A</v>
      </c>
      <c r="AI57" s="20" t="str">
        <f ca="1">Master_List!$AW$21</f>
        <v>LV5080090</v>
      </c>
      <c r="AJ57" s="20" t="str">
        <f ca="1">Master_List!$AW$22</f>
        <v>LVDB TX1</v>
      </c>
      <c r="AK57" s="20">
        <f ca="1">Master_List!$AW$23</f>
        <v>0</v>
      </c>
      <c r="AL57" s="20">
        <f ca="1">Master_List!$AW$24</f>
        <v>0</v>
      </c>
      <c r="AM57" s="20">
        <f ca="1">Master_List!$AW$25</f>
        <v>0</v>
      </c>
      <c r="AN57" s="20">
        <f ca="1">Master_List!$AW$26</f>
        <v>0</v>
      </c>
      <c r="AO57" s="20" t="str">
        <f ca="1">Master_List!$AW$27</f>
        <v>LVDB TX2</v>
      </c>
      <c r="AP57" s="20" t="str">
        <f ca="1">Master_List!$AW$28</f>
        <v>SUNPOWER TECHNOLOGIES</v>
      </c>
      <c r="AQ57" s="20" t="str">
        <f ca="1">Master_List!$AW$29</f>
        <v>SPS 30-10 L</v>
      </c>
      <c r="AR57" s="20" t="str">
        <f ca="1">Master_List!$AW$30</f>
        <v>11193-8527</v>
      </c>
      <c r="AS57" s="20">
        <f ca="1">Master_List!$AW$31</f>
        <v>0</v>
      </c>
      <c r="AT57" s="20">
        <f ca="1">Master_List!$AW$32</f>
        <v>0</v>
      </c>
      <c r="AU57" s="20">
        <f ca="1">Master_List!$AW$33</f>
        <v>0</v>
      </c>
      <c r="AV57" s="20">
        <f ca="1">Master_List!$AW$34</f>
        <v>0</v>
      </c>
      <c r="AW57" s="20">
        <f ca="1">Master_List!$AW$35</f>
        <v>0</v>
      </c>
      <c r="AX57" s="20">
        <f ca="1">Master_List!$AW$36</f>
        <v>0</v>
      </c>
      <c r="AY57" s="20">
        <f ca="1">Master_List!$AW$37</f>
        <v>0</v>
      </c>
      <c r="AZ57" s="20">
        <f ca="1">Master_List!$AW$38</f>
        <v>0</v>
      </c>
      <c r="BA57" s="20">
        <f ca="1">Master_List!$AW$39</f>
        <v>0</v>
      </c>
      <c r="BB57" s="20" t="s">
        <v>2240</v>
      </c>
      <c r="BC57" s="20" t="s">
        <v>2241</v>
      </c>
      <c r="BD57" s="6" t="s">
        <v>1744</v>
      </c>
      <c r="BE57" s="6" t="s">
        <v>1778</v>
      </c>
      <c r="BF57" s="6" t="s">
        <v>1748</v>
      </c>
      <c r="BG57" s="6" t="str">
        <f t="shared" si="0"/>
        <v>C:\Users\aremi\Desktop\REPORT CBM\PO 42289580 - Pahang 11kV SECOND CYCLE AZZAD 2026\RAW MATERIAL\047. TNB BARU (IR+VI)\RAW DATA\IR</v>
      </c>
      <c r="BH57" s="24" t="s">
        <v>578</v>
      </c>
    </row>
    <row r="58" spans="1:60" ht="30" customHeight="1" x14ac:dyDescent="0.25">
      <c r="A58" s="6">
        <v>29</v>
      </c>
      <c r="B58" s="6" t="s">
        <v>1536</v>
      </c>
      <c r="C58" s="6">
        <v>1</v>
      </c>
      <c r="D58" s="6" t="s">
        <v>2242</v>
      </c>
      <c r="E58" s="6">
        <v>29</v>
      </c>
      <c r="F58" s="6" t="str">
        <f ca="1">Master_List!$AW$1</f>
        <v>PERPUSTAKAAN PUSAT</v>
      </c>
      <c r="G58" s="27" t="str">
        <f ca="1">Master_List!$AW$2</f>
        <v>09:30 PM</v>
      </c>
      <c r="H58" s="32" t="str">
        <f ca="1">Master_List!$AW$3</f>
        <v>20/07/2026</v>
      </c>
      <c r="I58" s="28" t="str">
        <f ca="1">Master_List!$AW$4</f>
        <v>28.5</v>
      </c>
      <c r="J58" s="6" t="str">
        <f ca="1">Master_List!$AW$5</f>
        <v>65</v>
      </c>
      <c r="K58" s="6" t="s">
        <v>570</v>
      </c>
      <c r="L58" s="21" t="str">
        <f ca="1">IFERROR(VLOOKUP(B58, Master_List!$A:$I, 2, FALSE), "-")</f>
        <v>JJB 87615</v>
      </c>
      <c r="M58" s="22" t="str">
        <f ca="1">IFERROR(VLOOKUP(B58, Master_List!$A:$I, 3, FALSE), "-")</f>
        <v>TX 750KVA</v>
      </c>
      <c r="N58" s="22" t="str">
        <f ca="1">IFERROR(VLOOKUP(B58, Master_List!$A:$I, 4, FALSE), "-")</f>
        <v>NOT ACCESSIBLE</v>
      </c>
      <c r="O58" s="22" t="str">
        <f ca="1">IFERROR(VLOOKUP(B58, Master_List!$A:$I, 5, FALSE), "-")</f>
        <v>CLOSE</v>
      </c>
      <c r="P58" s="22" t="str">
        <f ca="1">IFERROR(VLOOKUP(B58, Master_List!$A:$I, 6, FALSE), "-")</f>
        <v/>
      </c>
      <c r="Q58" s="22" t="str">
        <f ca="1">IFERROR(VLOOKUP(B58, Master_List!$A:$I, 7, FALSE), "-")</f>
        <v/>
      </c>
      <c r="R58" s="22" t="str">
        <f ca="1">IFERROR(VLOOKUP(B58, Master_List!$A:$I, 8, FALSE), "-")</f>
        <v/>
      </c>
      <c r="S58" s="22" t="str">
        <f ca="1">IFERROR(VLOOKUP(B58, Master_List!$A:$I, 9, FALSE), "-")</f>
        <v>24DU738_1015</v>
      </c>
      <c r="T58" s="20" t="str">
        <f ca="1">Master_List!$AW$6</f>
        <v>TOSHIBA</v>
      </c>
      <c r="U58" s="20" t="str">
        <f ca="1">Master_List!$AW$7</f>
        <v>MRMU</v>
      </c>
      <c r="V58" s="20" t="str">
        <f ca="1">Master_List!$AW$8</f>
        <v>12kV</v>
      </c>
      <c r="W58" s="20" t="str">
        <f ca="1">Master_List!$AW$9</f>
        <v>2S1F</v>
      </c>
      <c r="X58" s="20" t="str">
        <f ca="1">Master_List!$AW$10</f>
        <v>MTM</v>
      </c>
      <c r="Y58" s="20" t="str">
        <f ca="1">Master_List!$AW$11</f>
        <v>HERMETICALLY SEAL</v>
      </c>
      <c r="Z58" s="20" t="str">
        <f ca="1">Master_List!$AW$12</f>
        <v>750kVA</v>
      </c>
      <c r="AA58" s="20" t="str">
        <f ca="1">Master_List!$AW$13</f>
        <v>1317</v>
      </c>
      <c r="AB58" s="20">
        <f ca="1">Master_List!$AW$14</f>
        <v>0</v>
      </c>
      <c r="AC58" s="20">
        <f ca="1">Master_List!$AW$15</f>
        <v>0</v>
      </c>
      <c r="AD58" s="20">
        <f ca="1">Master_List!$AW$16</f>
        <v>0</v>
      </c>
      <c r="AE58" s="20">
        <f ca="1">Master_List!$AW$17</f>
        <v>0</v>
      </c>
      <c r="AF58" s="20" t="str">
        <f ca="1">Master_List!$AW$18</f>
        <v>INDKOM</v>
      </c>
      <c r="AG58" s="20" t="str">
        <f ca="1">Master_List!$AW$19</f>
        <v>J-SLOTTED</v>
      </c>
      <c r="AH58" s="20" t="str">
        <f ca="1">Master_List!$AW$20</f>
        <v>1600A</v>
      </c>
      <c r="AI58" s="20" t="str">
        <f ca="1">Master_List!$AW$21</f>
        <v>LV5080090</v>
      </c>
      <c r="AJ58" s="20" t="str">
        <f ca="1">Master_List!$AW$22</f>
        <v>LVDB TX1</v>
      </c>
      <c r="AK58" s="20">
        <f ca="1">Master_List!$AW$23</f>
        <v>0</v>
      </c>
      <c r="AL58" s="20">
        <f ca="1">Master_List!$AW$24</f>
        <v>0</v>
      </c>
      <c r="AM58" s="20">
        <f ca="1">Master_List!$AW$25</f>
        <v>0</v>
      </c>
      <c r="AN58" s="20">
        <f ca="1">Master_List!$AW$26</f>
        <v>0</v>
      </c>
      <c r="AO58" s="20" t="str">
        <f ca="1">Master_List!$AW$27</f>
        <v>LVDB TX2</v>
      </c>
      <c r="AP58" s="20" t="str">
        <f ca="1">Master_List!$AW$28</f>
        <v>SUNPOWER TECHNOLOGIES</v>
      </c>
      <c r="AQ58" s="20" t="str">
        <f ca="1">Master_List!$AW$29</f>
        <v>SPS 30-10 L</v>
      </c>
      <c r="AR58" s="20" t="str">
        <f ca="1">Master_List!$AW$30</f>
        <v>11193-8527</v>
      </c>
      <c r="AS58" s="20">
        <f ca="1">Master_List!$AW$31</f>
        <v>0</v>
      </c>
      <c r="AT58" s="20">
        <f ca="1">Master_List!$AW$32</f>
        <v>0</v>
      </c>
      <c r="AU58" s="20">
        <f ca="1">Master_List!$AW$33</f>
        <v>0</v>
      </c>
      <c r="AV58" s="20">
        <f ca="1">Master_List!$AW$34</f>
        <v>0</v>
      </c>
      <c r="AW58" s="20">
        <f ca="1">Master_List!$AW$35</f>
        <v>0</v>
      </c>
      <c r="AX58" s="20">
        <f ca="1">Master_List!$AW$36</f>
        <v>0</v>
      </c>
      <c r="AY58" s="20">
        <f ca="1">Master_List!$AW$37</f>
        <v>0</v>
      </c>
      <c r="AZ58" s="20">
        <f ca="1">Master_List!$AW$38</f>
        <v>0</v>
      </c>
      <c r="BA58" s="20">
        <f ca="1">Master_List!$AW$39</f>
        <v>0</v>
      </c>
      <c r="BB58" s="20" t="s">
        <v>2240</v>
      </c>
      <c r="BC58" s="20" t="s">
        <v>2241</v>
      </c>
      <c r="BD58" s="6" t="s">
        <v>1744</v>
      </c>
      <c r="BE58" s="6" t="s">
        <v>1779</v>
      </c>
      <c r="BF58" s="6" t="s">
        <v>1746</v>
      </c>
      <c r="BG58" s="6" t="str">
        <f t="shared" si="0"/>
        <v>C:\Users\aremi\Desktop\REPORT CBM\PO 42289580 - Pahang 11kV SECOND CYCLE AZZAD 2026\RAW MATERIAL\047. TNB BARU (IR+VI)\RAW DATA\IR</v>
      </c>
      <c r="BH58" s="24" t="s">
        <v>580</v>
      </c>
    </row>
    <row r="59" spans="1:60" ht="30" customHeight="1" x14ac:dyDescent="0.25">
      <c r="A59" s="6">
        <v>29</v>
      </c>
      <c r="B59" s="6" t="s">
        <v>1536</v>
      </c>
      <c r="C59" s="6">
        <v>1</v>
      </c>
      <c r="D59" s="6" t="s">
        <v>2242</v>
      </c>
      <c r="E59" s="6">
        <v>29</v>
      </c>
      <c r="F59" s="6" t="str">
        <f ca="1">Master_List!$AW$1</f>
        <v>PERPUSTAKAAN PUSAT</v>
      </c>
      <c r="G59" s="27" t="str">
        <f ca="1">Master_List!$AW$2</f>
        <v>09:30 PM</v>
      </c>
      <c r="H59" s="32" t="str">
        <f ca="1">Master_List!$AW$3</f>
        <v>20/07/2026</v>
      </c>
      <c r="I59" s="28" t="str">
        <f ca="1">Master_List!$AW$4</f>
        <v>28.5</v>
      </c>
      <c r="J59" s="6" t="str">
        <f ca="1">Master_List!$AW$5</f>
        <v>65</v>
      </c>
      <c r="K59" s="6" t="s">
        <v>570</v>
      </c>
      <c r="L59" s="21" t="str">
        <f ca="1">IFERROR(VLOOKUP(B59, Master_List!$A:$I, 2, FALSE), "-")</f>
        <v>JJB 87615</v>
      </c>
      <c r="M59" s="22" t="str">
        <f ca="1">IFERROR(VLOOKUP(B59, Master_List!$A:$I, 3, FALSE), "-")</f>
        <v>TX 750KVA</v>
      </c>
      <c r="N59" s="22" t="str">
        <f ca="1">IFERROR(VLOOKUP(B59, Master_List!$A:$I, 4, FALSE), "-")</f>
        <v>NOT ACCESSIBLE</v>
      </c>
      <c r="O59" s="22" t="str">
        <f ca="1">IFERROR(VLOOKUP(B59, Master_List!$A:$I, 5, FALSE), "-")</f>
        <v>CLOSE</v>
      </c>
      <c r="P59" s="22" t="str">
        <f ca="1">IFERROR(VLOOKUP(B59, Master_List!$A:$I, 6, FALSE), "-")</f>
        <v/>
      </c>
      <c r="Q59" s="22" t="str">
        <f ca="1">IFERROR(VLOOKUP(B59, Master_List!$A:$I, 7, FALSE), "-")</f>
        <v/>
      </c>
      <c r="R59" s="22" t="str">
        <f ca="1">IFERROR(VLOOKUP(B59, Master_List!$A:$I, 8, FALSE), "-")</f>
        <v/>
      </c>
      <c r="S59" s="22" t="str">
        <f ca="1">IFERROR(VLOOKUP(B59, Master_List!$A:$I, 9, FALSE), "-")</f>
        <v>24DU738_1015</v>
      </c>
      <c r="T59" s="20" t="str">
        <f ca="1">Master_List!$AW$6</f>
        <v>TOSHIBA</v>
      </c>
      <c r="U59" s="20" t="str">
        <f ca="1">Master_List!$AW$7</f>
        <v>MRMU</v>
      </c>
      <c r="V59" s="20" t="str">
        <f ca="1">Master_List!$AW$8</f>
        <v>12kV</v>
      </c>
      <c r="W59" s="20" t="str">
        <f ca="1">Master_List!$AW$9</f>
        <v>2S1F</v>
      </c>
      <c r="X59" s="20" t="str">
        <f ca="1">Master_List!$AW$10</f>
        <v>MTM</v>
      </c>
      <c r="Y59" s="20" t="str">
        <f ca="1">Master_List!$AW$11</f>
        <v>HERMETICALLY SEAL</v>
      </c>
      <c r="Z59" s="20" t="str">
        <f ca="1">Master_List!$AW$12</f>
        <v>750kVA</v>
      </c>
      <c r="AA59" s="20" t="str">
        <f ca="1">Master_List!$AW$13</f>
        <v>1317</v>
      </c>
      <c r="AB59" s="20">
        <f ca="1">Master_List!$AW$14</f>
        <v>0</v>
      </c>
      <c r="AC59" s="20">
        <f ca="1">Master_List!$AW$15</f>
        <v>0</v>
      </c>
      <c r="AD59" s="20">
        <f ca="1">Master_List!$AW$16</f>
        <v>0</v>
      </c>
      <c r="AE59" s="20">
        <f ca="1">Master_List!$AW$17</f>
        <v>0</v>
      </c>
      <c r="AF59" s="20" t="str">
        <f ca="1">Master_List!$AW$18</f>
        <v>INDKOM</v>
      </c>
      <c r="AG59" s="20" t="str">
        <f ca="1">Master_List!$AW$19</f>
        <v>J-SLOTTED</v>
      </c>
      <c r="AH59" s="20" t="str">
        <f ca="1">Master_List!$AW$20</f>
        <v>1600A</v>
      </c>
      <c r="AI59" s="20" t="str">
        <f ca="1">Master_List!$AW$21</f>
        <v>LV5080090</v>
      </c>
      <c r="AJ59" s="20" t="str">
        <f ca="1">Master_List!$AW$22</f>
        <v>LVDB TX1</v>
      </c>
      <c r="AK59" s="20">
        <f ca="1">Master_List!$AW$23</f>
        <v>0</v>
      </c>
      <c r="AL59" s="20">
        <f ca="1">Master_List!$AW$24</f>
        <v>0</v>
      </c>
      <c r="AM59" s="20">
        <f ca="1">Master_List!$AW$25</f>
        <v>0</v>
      </c>
      <c r="AN59" s="20">
        <f ca="1">Master_List!$AW$26</f>
        <v>0</v>
      </c>
      <c r="AO59" s="20" t="str">
        <f ca="1">Master_List!$AW$27</f>
        <v>LVDB TX2</v>
      </c>
      <c r="AP59" s="20" t="str">
        <f ca="1">Master_List!$AW$28</f>
        <v>SUNPOWER TECHNOLOGIES</v>
      </c>
      <c r="AQ59" s="20" t="str">
        <f ca="1">Master_List!$AW$29</f>
        <v>SPS 30-10 L</v>
      </c>
      <c r="AR59" s="20" t="str">
        <f ca="1">Master_List!$AW$30</f>
        <v>11193-8527</v>
      </c>
      <c r="AS59" s="20">
        <f ca="1">Master_List!$AW$31</f>
        <v>0</v>
      </c>
      <c r="AT59" s="20">
        <f ca="1">Master_List!$AW$32</f>
        <v>0</v>
      </c>
      <c r="AU59" s="20">
        <f ca="1">Master_List!$AW$33</f>
        <v>0</v>
      </c>
      <c r="AV59" s="20">
        <f ca="1">Master_List!$AW$34</f>
        <v>0</v>
      </c>
      <c r="AW59" s="20">
        <f ca="1">Master_List!$AW$35</f>
        <v>0</v>
      </c>
      <c r="AX59" s="20">
        <f ca="1">Master_List!$AW$36</f>
        <v>0</v>
      </c>
      <c r="AY59" s="20">
        <f ca="1">Master_List!$AW$37</f>
        <v>0</v>
      </c>
      <c r="AZ59" s="20">
        <f ca="1">Master_List!$AW$38</f>
        <v>0</v>
      </c>
      <c r="BA59" s="20">
        <f ca="1">Master_List!$AW$39</f>
        <v>0</v>
      </c>
      <c r="BB59" s="20" t="s">
        <v>2240</v>
      </c>
      <c r="BC59" s="20" t="s">
        <v>2241</v>
      </c>
      <c r="BD59" s="6" t="s">
        <v>1744</v>
      </c>
      <c r="BE59" s="6" t="s">
        <v>1779</v>
      </c>
      <c r="BF59" s="6" t="s">
        <v>1748</v>
      </c>
      <c r="BG59" s="6" t="str">
        <f t="shared" si="0"/>
        <v>C:\Users\aremi\Desktop\REPORT CBM\PO 42289580 - Pahang 11kV SECOND CYCLE AZZAD 2026\RAW MATERIAL\047. TNB BARU (IR+VI)\RAW DATA\IR</v>
      </c>
      <c r="BH59" s="24" t="s">
        <v>581</v>
      </c>
    </row>
    <row r="60" spans="1:60" ht="30" customHeight="1" x14ac:dyDescent="0.25">
      <c r="A60" s="6">
        <v>30</v>
      </c>
      <c r="B60" s="6" t="s">
        <v>1536</v>
      </c>
      <c r="C60" s="6">
        <v>1</v>
      </c>
      <c r="D60" s="6" t="s">
        <v>2242</v>
      </c>
      <c r="E60" s="6">
        <v>30</v>
      </c>
      <c r="F60" s="6" t="str">
        <f ca="1">Master_List!$AW$1</f>
        <v>PERPUSTAKAAN PUSAT</v>
      </c>
      <c r="G60" s="27" t="str">
        <f ca="1">Master_List!$AW$2</f>
        <v>09:30 PM</v>
      </c>
      <c r="H60" s="32" t="str">
        <f ca="1">Master_List!$AW$3</f>
        <v>20/07/2026</v>
      </c>
      <c r="I60" s="28" t="str">
        <f ca="1">Master_List!$AW$4</f>
        <v>28.5</v>
      </c>
      <c r="J60" s="6" t="str">
        <f ca="1">Master_List!$AW$5</f>
        <v>65</v>
      </c>
      <c r="K60" s="6" t="s">
        <v>573</v>
      </c>
      <c r="L60" s="21" t="str">
        <f ca="1">IFERROR(VLOOKUP(B60, Master_List!$A:$I, 2, FALSE), "-")</f>
        <v>JJB 87615</v>
      </c>
      <c r="M60" s="22" t="str">
        <f ca="1">IFERROR(VLOOKUP(B60, Master_List!$A:$I, 3, FALSE), "-")</f>
        <v>TX 750KVA</v>
      </c>
      <c r="N60" s="22" t="str">
        <f ca="1">IFERROR(VLOOKUP(B60, Master_List!$A:$I, 4, FALSE), "-")</f>
        <v>NOT ACCESSIBLE</v>
      </c>
      <c r="O60" s="22" t="str">
        <f ca="1">IFERROR(VLOOKUP(B60, Master_List!$A:$I, 5, FALSE), "-")</f>
        <v>CLOSE</v>
      </c>
      <c r="P60" s="22" t="str">
        <f ca="1">IFERROR(VLOOKUP(B60, Master_List!$A:$I, 6, FALSE), "-")</f>
        <v/>
      </c>
      <c r="Q60" s="22" t="str">
        <f ca="1">IFERROR(VLOOKUP(B60, Master_List!$A:$I, 7, FALSE), "-")</f>
        <v/>
      </c>
      <c r="R60" s="22" t="str">
        <f ca="1">IFERROR(VLOOKUP(B60, Master_List!$A:$I, 8, FALSE), "-")</f>
        <v/>
      </c>
      <c r="S60" s="22" t="str">
        <f ca="1">IFERROR(VLOOKUP(B60, Master_List!$A:$I, 9, FALSE), "-")</f>
        <v>24DU738_1015</v>
      </c>
      <c r="T60" s="20" t="str">
        <f ca="1">Master_List!$AW$6</f>
        <v>TOSHIBA</v>
      </c>
      <c r="U60" s="20" t="str">
        <f ca="1">Master_List!$AW$7</f>
        <v>MRMU</v>
      </c>
      <c r="V60" s="20" t="str">
        <f ca="1">Master_List!$AW$8</f>
        <v>12kV</v>
      </c>
      <c r="W60" s="20" t="str">
        <f ca="1">Master_List!$AW$9</f>
        <v>2S1F</v>
      </c>
      <c r="X60" s="20" t="str">
        <f ca="1">Master_List!$AW$10</f>
        <v>MTM</v>
      </c>
      <c r="Y60" s="20" t="str">
        <f ca="1">Master_List!$AW$11</f>
        <v>HERMETICALLY SEAL</v>
      </c>
      <c r="Z60" s="20" t="str">
        <f ca="1">Master_List!$AW$12</f>
        <v>750kVA</v>
      </c>
      <c r="AA60" s="20" t="str">
        <f ca="1">Master_List!$AW$13</f>
        <v>1317</v>
      </c>
      <c r="AB60" s="20">
        <f ca="1">Master_List!$AW$14</f>
        <v>0</v>
      </c>
      <c r="AC60" s="20">
        <f ca="1">Master_List!$AW$15</f>
        <v>0</v>
      </c>
      <c r="AD60" s="20">
        <f ca="1">Master_List!$AW$16</f>
        <v>0</v>
      </c>
      <c r="AE60" s="20">
        <f ca="1">Master_List!$AW$17</f>
        <v>0</v>
      </c>
      <c r="AF60" s="20" t="str">
        <f ca="1">Master_List!$AW$18</f>
        <v>INDKOM</v>
      </c>
      <c r="AG60" s="20" t="str">
        <f ca="1">Master_List!$AW$19</f>
        <v>J-SLOTTED</v>
      </c>
      <c r="AH60" s="20" t="str">
        <f ca="1">Master_List!$AW$20</f>
        <v>1600A</v>
      </c>
      <c r="AI60" s="20" t="str">
        <f ca="1">Master_List!$AW$21</f>
        <v>LV5080090</v>
      </c>
      <c r="AJ60" s="20" t="str">
        <f ca="1">Master_List!$AW$22</f>
        <v>LVDB TX1</v>
      </c>
      <c r="AK60" s="20">
        <f ca="1">Master_List!$AW$23</f>
        <v>0</v>
      </c>
      <c r="AL60" s="20">
        <f ca="1">Master_List!$AW$24</f>
        <v>0</v>
      </c>
      <c r="AM60" s="20">
        <f ca="1">Master_List!$AW$25</f>
        <v>0</v>
      </c>
      <c r="AN60" s="20">
        <f ca="1">Master_List!$AW$26</f>
        <v>0</v>
      </c>
      <c r="AO60" s="20" t="str">
        <f ca="1">Master_List!$AW$27</f>
        <v>LVDB TX2</v>
      </c>
      <c r="AP60" s="20" t="str">
        <f ca="1">Master_List!$AW$28</f>
        <v>SUNPOWER TECHNOLOGIES</v>
      </c>
      <c r="AQ60" s="20" t="str">
        <f ca="1">Master_List!$AW$29</f>
        <v>SPS 30-10 L</v>
      </c>
      <c r="AR60" s="20" t="str">
        <f ca="1">Master_List!$AW$30</f>
        <v>11193-8527</v>
      </c>
      <c r="AS60" s="20">
        <f ca="1">Master_List!$AW$31</f>
        <v>0</v>
      </c>
      <c r="AT60" s="20">
        <f ca="1">Master_List!$AW$32</f>
        <v>0</v>
      </c>
      <c r="AU60" s="20">
        <f ca="1">Master_List!$AW$33</f>
        <v>0</v>
      </c>
      <c r="AV60" s="20">
        <f ca="1">Master_List!$AW$34</f>
        <v>0</v>
      </c>
      <c r="AW60" s="20">
        <f ca="1">Master_List!$AW$35</f>
        <v>0</v>
      </c>
      <c r="AX60" s="20">
        <f ca="1">Master_List!$AW$36</f>
        <v>0</v>
      </c>
      <c r="AY60" s="20">
        <f ca="1">Master_List!$AW$37</f>
        <v>0</v>
      </c>
      <c r="AZ60" s="20">
        <f ca="1">Master_List!$AW$38</f>
        <v>0</v>
      </c>
      <c r="BA60" s="20">
        <f ca="1">Master_List!$AW$39</f>
        <v>0</v>
      </c>
      <c r="BB60" s="20" t="s">
        <v>2240</v>
      </c>
      <c r="BC60" s="20" t="s">
        <v>2241</v>
      </c>
      <c r="BD60" s="6" t="s">
        <v>1744</v>
      </c>
      <c r="BE60" s="6" t="s">
        <v>1780</v>
      </c>
      <c r="BF60" s="6" t="s">
        <v>1746</v>
      </c>
      <c r="BG60" s="6" t="str">
        <f t="shared" si="0"/>
        <v>C:\Users\aremi\Desktop\REPORT CBM\PO 42289580 - Pahang 11kV SECOND CYCLE AZZAD 2026\RAW MATERIAL\047. TNB BARU (IR+VI)\RAW DATA\IR</v>
      </c>
      <c r="BH60" s="24" t="s">
        <v>583</v>
      </c>
    </row>
    <row r="61" spans="1:60" ht="30" customHeight="1" x14ac:dyDescent="0.25">
      <c r="A61" s="6">
        <v>30</v>
      </c>
      <c r="B61" s="6" t="s">
        <v>1536</v>
      </c>
      <c r="C61" s="6">
        <v>1</v>
      </c>
      <c r="D61" s="6" t="s">
        <v>2242</v>
      </c>
      <c r="E61" s="6">
        <v>30</v>
      </c>
      <c r="F61" s="6" t="str">
        <f ca="1">Master_List!$AW$1</f>
        <v>PERPUSTAKAAN PUSAT</v>
      </c>
      <c r="G61" s="27" t="str">
        <f ca="1">Master_List!$AW$2</f>
        <v>09:30 PM</v>
      </c>
      <c r="H61" s="32" t="str">
        <f ca="1">Master_List!$AW$3</f>
        <v>20/07/2026</v>
      </c>
      <c r="I61" s="28" t="str">
        <f ca="1">Master_List!$AW$4</f>
        <v>28.5</v>
      </c>
      <c r="J61" s="6" t="str">
        <f ca="1">Master_List!$AW$5</f>
        <v>65</v>
      </c>
      <c r="K61" s="6" t="s">
        <v>573</v>
      </c>
      <c r="L61" s="21" t="str">
        <f ca="1">IFERROR(VLOOKUP(B61, Master_List!$A:$I, 2, FALSE), "-")</f>
        <v>JJB 87615</v>
      </c>
      <c r="M61" s="22" t="str">
        <f ca="1">IFERROR(VLOOKUP(B61, Master_List!$A:$I, 3, FALSE), "-")</f>
        <v>TX 750KVA</v>
      </c>
      <c r="N61" s="22" t="str">
        <f ca="1">IFERROR(VLOOKUP(B61, Master_List!$A:$I, 4, FALSE), "-")</f>
        <v>NOT ACCESSIBLE</v>
      </c>
      <c r="O61" s="22" t="str">
        <f ca="1">IFERROR(VLOOKUP(B61, Master_List!$A:$I, 5, FALSE), "-")</f>
        <v>CLOSE</v>
      </c>
      <c r="P61" s="22" t="str">
        <f ca="1">IFERROR(VLOOKUP(B61, Master_List!$A:$I, 6, FALSE), "-")</f>
        <v/>
      </c>
      <c r="Q61" s="22" t="str">
        <f ca="1">IFERROR(VLOOKUP(B61, Master_List!$A:$I, 7, FALSE), "-")</f>
        <v/>
      </c>
      <c r="R61" s="22" t="str">
        <f ca="1">IFERROR(VLOOKUP(B61, Master_List!$A:$I, 8, FALSE), "-")</f>
        <v/>
      </c>
      <c r="S61" s="22" t="str">
        <f ca="1">IFERROR(VLOOKUP(B61, Master_List!$A:$I, 9, FALSE), "-")</f>
        <v>24DU738_1015</v>
      </c>
      <c r="T61" s="20" t="str">
        <f ca="1">Master_List!$AW$6</f>
        <v>TOSHIBA</v>
      </c>
      <c r="U61" s="20" t="str">
        <f ca="1">Master_List!$AW$7</f>
        <v>MRMU</v>
      </c>
      <c r="V61" s="20" t="str">
        <f ca="1">Master_List!$AW$8</f>
        <v>12kV</v>
      </c>
      <c r="W61" s="20" t="str">
        <f ca="1">Master_List!$AW$9</f>
        <v>2S1F</v>
      </c>
      <c r="X61" s="20" t="str">
        <f ca="1">Master_List!$AW$10</f>
        <v>MTM</v>
      </c>
      <c r="Y61" s="20" t="str">
        <f ca="1">Master_List!$AW$11</f>
        <v>HERMETICALLY SEAL</v>
      </c>
      <c r="Z61" s="20" t="str">
        <f ca="1">Master_List!$AW$12</f>
        <v>750kVA</v>
      </c>
      <c r="AA61" s="20" t="str">
        <f ca="1">Master_List!$AW$13</f>
        <v>1317</v>
      </c>
      <c r="AB61" s="20">
        <f ca="1">Master_List!$AW$14</f>
        <v>0</v>
      </c>
      <c r="AC61" s="20">
        <f ca="1">Master_List!$AW$15</f>
        <v>0</v>
      </c>
      <c r="AD61" s="20">
        <f ca="1">Master_List!$AW$16</f>
        <v>0</v>
      </c>
      <c r="AE61" s="20">
        <f ca="1">Master_List!$AW$17</f>
        <v>0</v>
      </c>
      <c r="AF61" s="20" t="str">
        <f ca="1">Master_List!$AW$18</f>
        <v>INDKOM</v>
      </c>
      <c r="AG61" s="20" t="str">
        <f ca="1">Master_List!$AW$19</f>
        <v>J-SLOTTED</v>
      </c>
      <c r="AH61" s="20" t="str">
        <f ca="1">Master_List!$AW$20</f>
        <v>1600A</v>
      </c>
      <c r="AI61" s="20" t="str">
        <f ca="1">Master_List!$AW$21</f>
        <v>LV5080090</v>
      </c>
      <c r="AJ61" s="20" t="str">
        <f ca="1">Master_List!$AW$22</f>
        <v>LVDB TX1</v>
      </c>
      <c r="AK61" s="20">
        <f ca="1">Master_List!$AW$23</f>
        <v>0</v>
      </c>
      <c r="AL61" s="20">
        <f ca="1">Master_List!$AW$24</f>
        <v>0</v>
      </c>
      <c r="AM61" s="20">
        <f ca="1">Master_List!$AW$25</f>
        <v>0</v>
      </c>
      <c r="AN61" s="20">
        <f ca="1">Master_List!$AW$26</f>
        <v>0</v>
      </c>
      <c r="AO61" s="20" t="str">
        <f ca="1">Master_List!$AW$27</f>
        <v>LVDB TX2</v>
      </c>
      <c r="AP61" s="20" t="str">
        <f ca="1">Master_List!$AW$28</f>
        <v>SUNPOWER TECHNOLOGIES</v>
      </c>
      <c r="AQ61" s="20" t="str">
        <f ca="1">Master_List!$AW$29</f>
        <v>SPS 30-10 L</v>
      </c>
      <c r="AR61" s="20" t="str">
        <f ca="1">Master_List!$AW$30</f>
        <v>11193-8527</v>
      </c>
      <c r="AS61" s="20">
        <f ca="1">Master_List!$AW$31</f>
        <v>0</v>
      </c>
      <c r="AT61" s="20">
        <f ca="1">Master_List!$AW$32</f>
        <v>0</v>
      </c>
      <c r="AU61" s="20">
        <f ca="1">Master_List!$AW$33</f>
        <v>0</v>
      </c>
      <c r="AV61" s="20">
        <f ca="1">Master_List!$AW$34</f>
        <v>0</v>
      </c>
      <c r="AW61" s="20">
        <f ca="1">Master_List!$AW$35</f>
        <v>0</v>
      </c>
      <c r="AX61" s="20">
        <f ca="1">Master_List!$AW$36</f>
        <v>0</v>
      </c>
      <c r="AY61" s="20">
        <f ca="1">Master_List!$AW$37</f>
        <v>0</v>
      </c>
      <c r="AZ61" s="20">
        <f ca="1">Master_List!$AW$38</f>
        <v>0</v>
      </c>
      <c r="BA61" s="20">
        <f ca="1">Master_List!$AW$39</f>
        <v>0</v>
      </c>
      <c r="BB61" s="20" t="s">
        <v>2240</v>
      </c>
      <c r="BC61" s="20" t="s">
        <v>2241</v>
      </c>
      <c r="BD61" s="6" t="s">
        <v>1744</v>
      </c>
      <c r="BE61" s="6" t="s">
        <v>1780</v>
      </c>
      <c r="BF61" s="6" t="s">
        <v>1748</v>
      </c>
      <c r="BG61" s="6" t="str">
        <f t="shared" si="0"/>
        <v>C:\Users\aremi\Desktop\REPORT CBM\PO 42289580 - Pahang 11kV SECOND CYCLE AZZAD 2026\RAW MATERIAL\047. TNB BARU (IR+VI)\RAW DATA\IR</v>
      </c>
      <c r="BH61" s="24" t="s">
        <v>584</v>
      </c>
    </row>
    <row r="62" spans="1:60" ht="30" customHeight="1" x14ac:dyDescent="0.25">
      <c r="A62" s="6">
        <v>31</v>
      </c>
      <c r="B62" s="6" t="s">
        <v>1536</v>
      </c>
      <c r="C62" s="6">
        <v>1</v>
      </c>
      <c r="D62" s="6" t="s">
        <v>2242</v>
      </c>
      <c r="E62" s="6">
        <v>31</v>
      </c>
      <c r="F62" s="6" t="str">
        <f ca="1">Master_List!$AW$1</f>
        <v>PERPUSTAKAAN PUSAT</v>
      </c>
      <c r="G62" s="27" t="str">
        <f ca="1">Master_List!$AW$2</f>
        <v>09:30 PM</v>
      </c>
      <c r="H62" s="32" t="str">
        <f ca="1">Master_List!$AW$3</f>
        <v>20/07/2026</v>
      </c>
      <c r="I62" s="28" t="str">
        <f ca="1">Master_List!$AW$4</f>
        <v>28.5</v>
      </c>
      <c r="J62" s="6" t="str">
        <f ca="1">Master_List!$AW$5</f>
        <v>65</v>
      </c>
      <c r="K62" s="6" t="s">
        <v>576</v>
      </c>
      <c r="L62" s="21" t="str">
        <f ca="1">IFERROR(VLOOKUP(B62, Master_List!$A:$I, 2, FALSE), "-")</f>
        <v>JJB 87615</v>
      </c>
      <c r="M62" s="22" t="str">
        <f ca="1">IFERROR(VLOOKUP(B62, Master_List!$A:$I, 3, FALSE), "-")</f>
        <v>TX 750KVA</v>
      </c>
      <c r="N62" s="22" t="str">
        <f ca="1">IFERROR(VLOOKUP(B62, Master_List!$A:$I, 4, FALSE), "-")</f>
        <v>NOT ACCESSIBLE</v>
      </c>
      <c r="O62" s="22" t="str">
        <f ca="1">IFERROR(VLOOKUP(B62, Master_List!$A:$I, 5, FALSE), "-")</f>
        <v>CLOSE</v>
      </c>
      <c r="P62" s="22" t="str">
        <f ca="1">IFERROR(VLOOKUP(B62, Master_List!$A:$I, 6, FALSE), "-")</f>
        <v/>
      </c>
      <c r="Q62" s="22" t="str">
        <f ca="1">IFERROR(VLOOKUP(B62, Master_List!$A:$I, 7, FALSE), "-")</f>
        <v/>
      </c>
      <c r="R62" s="22" t="str">
        <f ca="1">IFERROR(VLOOKUP(B62, Master_List!$A:$I, 8, FALSE), "-")</f>
        <v/>
      </c>
      <c r="S62" s="22" t="str">
        <f ca="1">IFERROR(VLOOKUP(B62, Master_List!$A:$I, 9, FALSE), "-")</f>
        <v>24DU738_1015</v>
      </c>
      <c r="T62" s="20" t="str">
        <f ca="1">Master_List!$AW$6</f>
        <v>TOSHIBA</v>
      </c>
      <c r="U62" s="20" t="str">
        <f ca="1">Master_List!$AW$7</f>
        <v>MRMU</v>
      </c>
      <c r="V62" s="20" t="str">
        <f ca="1">Master_List!$AW$8</f>
        <v>12kV</v>
      </c>
      <c r="W62" s="20" t="str">
        <f ca="1">Master_List!$AW$9</f>
        <v>2S1F</v>
      </c>
      <c r="X62" s="20" t="str">
        <f ca="1">Master_List!$AW$10</f>
        <v>MTM</v>
      </c>
      <c r="Y62" s="20" t="str">
        <f ca="1">Master_List!$AW$11</f>
        <v>HERMETICALLY SEAL</v>
      </c>
      <c r="Z62" s="20" t="str">
        <f ca="1">Master_List!$AW$12</f>
        <v>750kVA</v>
      </c>
      <c r="AA62" s="20" t="str">
        <f ca="1">Master_List!$AW$13</f>
        <v>1317</v>
      </c>
      <c r="AB62" s="20">
        <f ca="1">Master_List!$AW$14</f>
        <v>0</v>
      </c>
      <c r="AC62" s="20">
        <f ca="1">Master_List!$AW$15</f>
        <v>0</v>
      </c>
      <c r="AD62" s="20">
        <f ca="1">Master_List!$AW$16</f>
        <v>0</v>
      </c>
      <c r="AE62" s="20">
        <f ca="1">Master_List!$AW$17</f>
        <v>0</v>
      </c>
      <c r="AF62" s="20" t="str">
        <f ca="1">Master_List!$AW$18</f>
        <v>INDKOM</v>
      </c>
      <c r="AG62" s="20" t="str">
        <f ca="1">Master_List!$AW$19</f>
        <v>J-SLOTTED</v>
      </c>
      <c r="AH62" s="20" t="str">
        <f ca="1">Master_List!$AW$20</f>
        <v>1600A</v>
      </c>
      <c r="AI62" s="20" t="str">
        <f ca="1">Master_List!$AW$21</f>
        <v>LV5080090</v>
      </c>
      <c r="AJ62" s="20" t="str">
        <f ca="1">Master_List!$AW$22</f>
        <v>LVDB TX1</v>
      </c>
      <c r="AK62" s="20">
        <f ca="1">Master_List!$AW$23</f>
        <v>0</v>
      </c>
      <c r="AL62" s="20">
        <f ca="1">Master_List!$AW$24</f>
        <v>0</v>
      </c>
      <c r="AM62" s="20">
        <f ca="1">Master_List!$AW$25</f>
        <v>0</v>
      </c>
      <c r="AN62" s="20">
        <f ca="1">Master_List!$AW$26</f>
        <v>0</v>
      </c>
      <c r="AO62" s="20" t="str">
        <f ca="1">Master_List!$AW$27</f>
        <v>LVDB TX2</v>
      </c>
      <c r="AP62" s="20" t="str">
        <f ca="1">Master_List!$AW$28</f>
        <v>SUNPOWER TECHNOLOGIES</v>
      </c>
      <c r="AQ62" s="20" t="str">
        <f ca="1">Master_List!$AW$29</f>
        <v>SPS 30-10 L</v>
      </c>
      <c r="AR62" s="20" t="str">
        <f ca="1">Master_List!$AW$30</f>
        <v>11193-8527</v>
      </c>
      <c r="AS62" s="20">
        <f ca="1">Master_List!$AW$31</f>
        <v>0</v>
      </c>
      <c r="AT62" s="20">
        <f ca="1">Master_List!$AW$32</f>
        <v>0</v>
      </c>
      <c r="AU62" s="20">
        <f ca="1">Master_List!$AW$33</f>
        <v>0</v>
      </c>
      <c r="AV62" s="20">
        <f ca="1">Master_List!$AW$34</f>
        <v>0</v>
      </c>
      <c r="AW62" s="20">
        <f ca="1">Master_List!$AW$35</f>
        <v>0</v>
      </c>
      <c r="AX62" s="20">
        <f ca="1">Master_List!$AW$36</f>
        <v>0</v>
      </c>
      <c r="AY62" s="20">
        <f ca="1">Master_List!$AW$37</f>
        <v>0</v>
      </c>
      <c r="AZ62" s="20">
        <f ca="1">Master_List!$AW$38</f>
        <v>0</v>
      </c>
      <c r="BA62" s="20">
        <f ca="1">Master_List!$AW$39</f>
        <v>0</v>
      </c>
      <c r="BB62" s="20" t="s">
        <v>2240</v>
      </c>
      <c r="BC62" s="20" t="s">
        <v>2241</v>
      </c>
      <c r="BD62" s="6" t="s">
        <v>1744</v>
      </c>
      <c r="BE62" s="6" t="s">
        <v>1781</v>
      </c>
      <c r="BF62" s="6" t="s">
        <v>1746</v>
      </c>
      <c r="BG62" s="6" t="str">
        <f t="shared" si="0"/>
        <v>C:\Users\aremi\Desktop\REPORT CBM\PO 42289580 - Pahang 11kV SECOND CYCLE AZZAD 2026\RAW MATERIAL\047. TNB BARU (IR+VI)\RAW DATA\IR</v>
      </c>
      <c r="BH62" s="24" t="s">
        <v>586</v>
      </c>
    </row>
    <row r="63" spans="1:60" ht="30" customHeight="1" x14ac:dyDescent="0.25">
      <c r="A63" s="6">
        <v>31</v>
      </c>
      <c r="B63" s="6" t="s">
        <v>1536</v>
      </c>
      <c r="C63" s="6">
        <v>1</v>
      </c>
      <c r="D63" s="6" t="s">
        <v>2242</v>
      </c>
      <c r="E63" s="6">
        <v>31</v>
      </c>
      <c r="F63" s="6" t="str">
        <f ca="1">Master_List!$AW$1</f>
        <v>PERPUSTAKAAN PUSAT</v>
      </c>
      <c r="G63" s="27" t="str">
        <f ca="1">Master_List!$AW$2</f>
        <v>09:30 PM</v>
      </c>
      <c r="H63" s="32" t="str">
        <f ca="1">Master_List!$AW$3</f>
        <v>20/07/2026</v>
      </c>
      <c r="I63" s="28" t="str">
        <f ca="1">Master_List!$AW$4</f>
        <v>28.5</v>
      </c>
      <c r="J63" s="6" t="str">
        <f ca="1">Master_List!$AW$5</f>
        <v>65</v>
      </c>
      <c r="K63" s="6" t="s">
        <v>576</v>
      </c>
      <c r="L63" s="21" t="str">
        <f ca="1">IFERROR(VLOOKUP(B63, Master_List!$A:$I, 2, FALSE), "-")</f>
        <v>JJB 87615</v>
      </c>
      <c r="M63" s="22" t="str">
        <f ca="1">IFERROR(VLOOKUP(B63, Master_List!$A:$I, 3, FALSE), "-")</f>
        <v>TX 750KVA</v>
      </c>
      <c r="N63" s="22" t="str">
        <f ca="1">IFERROR(VLOOKUP(B63, Master_List!$A:$I, 4, FALSE), "-")</f>
        <v>NOT ACCESSIBLE</v>
      </c>
      <c r="O63" s="22" t="str">
        <f ca="1">IFERROR(VLOOKUP(B63, Master_List!$A:$I, 5, FALSE), "-")</f>
        <v>CLOSE</v>
      </c>
      <c r="P63" s="22" t="str">
        <f ca="1">IFERROR(VLOOKUP(B63, Master_List!$A:$I, 6, FALSE), "-")</f>
        <v/>
      </c>
      <c r="Q63" s="22" t="str">
        <f ca="1">IFERROR(VLOOKUP(B63, Master_List!$A:$I, 7, FALSE), "-")</f>
        <v/>
      </c>
      <c r="R63" s="22" t="str">
        <f ca="1">IFERROR(VLOOKUP(B63, Master_List!$A:$I, 8, FALSE), "-")</f>
        <v/>
      </c>
      <c r="S63" s="22" t="str">
        <f ca="1">IFERROR(VLOOKUP(B63, Master_List!$A:$I, 9, FALSE), "-")</f>
        <v>24DU738_1015</v>
      </c>
      <c r="T63" s="20" t="str">
        <f ca="1">Master_List!$AW$6</f>
        <v>TOSHIBA</v>
      </c>
      <c r="U63" s="20" t="str">
        <f ca="1">Master_List!$AW$7</f>
        <v>MRMU</v>
      </c>
      <c r="V63" s="20" t="str">
        <f ca="1">Master_List!$AW$8</f>
        <v>12kV</v>
      </c>
      <c r="W63" s="20" t="str">
        <f ca="1">Master_List!$AW$9</f>
        <v>2S1F</v>
      </c>
      <c r="X63" s="20" t="str">
        <f ca="1">Master_List!$AW$10</f>
        <v>MTM</v>
      </c>
      <c r="Y63" s="20" t="str">
        <f ca="1">Master_List!$AW$11</f>
        <v>HERMETICALLY SEAL</v>
      </c>
      <c r="Z63" s="20" t="str">
        <f ca="1">Master_List!$AW$12</f>
        <v>750kVA</v>
      </c>
      <c r="AA63" s="20" t="str">
        <f ca="1">Master_List!$AW$13</f>
        <v>1317</v>
      </c>
      <c r="AB63" s="20">
        <f ca="1">Master_List!$AW$14</f>
        <v>0</v>
      </c>
      <c r="AC63" s="20">
        <f ca="1">Master_List!$AW$15</f>
        <v>0</v>
      </c>
      <c r="AD63" s="20">
        <f ca="1">Master_List!$AW$16</f>
        <v>0</v>
      </c>
      <c r="AE63" s="20">
        <f ca="1">Master_List!$AW$17</f>
        <v>0</v>
      </c>
      <c r="AF63" s="20" t="str">
        <f ca="1">Master_List!$AW$18</f>
        <v>INDKOM</v>
      </c>
      <c r="AG63" s="20" t="str">
        <f ca="1">Master_List!$AW$19</f>
        <v>J-SLOTTED</v>
      </c>
      <c r="AH63" s="20" t="str">
        <f ca="1">Master_List!$AW$20</f>
        <v>1600A</v>
      </c>
      <c r="AI63" s="20" t="str">
        <f ca="1">Master_List!$AW$21</f>
        <v>LV5080090</v>
      </c>
      <c r="AJ63" s="20" t="str">
        <f ca="1">Master_List!$AW$22</f>
        <v>LVDB TX1</v>
      </c>
      <c r="AK63" s="20">
        <f ca="1">Master_List!$AW$23</f>
        <v>0</v>
      </c>
      <c r="AL63" s="20">
        <f ca="1">Master_List!$AW$24</f>
        <v>0</v>
      </c>
      <c r="AM63" s="20">
        <f ca="1">Master_List!$AW$25</f>
        <v>0</v>
      </c>
      <c r="AN63" s="20">
        <f ca="1">Master_List!$AW$26</f>
        <v>0</v>
      </c>
      <c r="AO63" s="20" t="str">
        <f ca="1">Master_List!$AW$27</f>
        <v>LVDB TX2</v>
      </c>
      <c r="AP63" s="20" t="str">
        <f ca="1">Master_List!$AW$28</f>
        <v>SUNPOWER TECHNOLOGIES</v>
      </c>
      <c r="AQ63" s="20" t="str">
        <f ca="1">Master_List!$AW$29</f>
        <v>SPS 30-10 L</v>
      </c>
      <c r="AR63" s="20" t="str">
        <f ca="1">Master_List!$AW$30</f>
        <v>11193-8527</v>
      </c>
      <c r="AS63" s="20">
        <f ca="1">Master_List!$AW$31</f>
        <v>0</v>
      </c>
      <c r="AT63" s="20">
        <f ca="1">Master_List!$AW$32</f>
        <v>0</v>
      </c>
      <c r="AU63" s="20">
        <f ca="1">Master_List!$AW$33</f>
        <v>0</v>
      </c>
      <c r="AV63" s="20">
        <f ca="1">Master_List!$AW$34</f>
        <v>0</v>
      </c>
      <c r="AW63" s="20">
        <f ca="1">Master_List!$AW$35</f>
        <v>0</v>
      </c>
      <c r="AX63" s="20">
        <f ca="1">Master_List!$AW$36</f>
        <v>0</v>
      </c>
      <c r="AY63" s="20">
        <f ca="1">Master_List!$AW$37</f>
        <v>0</v>
      </c>
      <c r="AZ63" s="20">
        <f ca="1">Master_List!$AW$38</f>
        <v>0</v>
      </c>
      <c r="BA63" s="20">
        <f ca="1">Master_List!$AW$39</f>
        <v>0</v>
      </c>
      <c r="BB63" s="20" t="s">
        <v>2240</v>
      </c>
      <c r="BC63" s="20" t="s">
        <v>2241</v>
      </c>
      <c r="BD63" s="6" t="s">
        <v>1744</v>
      </c>
      <c r="BE63" s="6" t="s">
        <v>1781</v>
      </c>
      <c r="BF63" s="6" t="s">
        <v>1748</v>
      </c>
      <c r="BG63" s="6" t="str">
        <f t="shared" si="0"/>
        <v>C:\Users\aremi\Desktop\REPORT CBM\PO 42289580 - Pahang 11kV SECOND CYCLE AZZAD 2026\RAW MATERIAL\047. TNB BARU (IR+VI)\RAW DATA\IR</v>
      </c>
      <c r="BH63" s="24" t="s">
        <v>587</v>
      </c>
    </row>
    <row r="64" spans="1:60" ht="30" customHeight="1" x14ac:dyDescent="0.25">
      <c r="A64" s="6">
        <v>32</v>
      </c>
      <c r="B64" s="6" t="s">
        <v>1536</v>
      </c>
      <c r="C64" s="6">
        <v>1</v>
      </c>
      <c r="D64" s="6" t="s">
        <v>2242</v>
      </c>
      <c r="E64" s="6">
        <v>32</v>
      </c>
      <c r="F64" s="6" t="str">
        <f ca="1">Master_List!$AW$1</f>
        <v>PERPUSTAKAAN PUSAT</v>
      </c>
      <c r="G64" s="27" t="str">
        <f ca="1">Master_List!$AW$2</f>
        <v>09:30 PM</v>
      </c>
      <c r="H64" s="32" t="str">
        <f ca="1">Master_List!$AW$3</f>
        <v>20/07/2026</v>
      </c>
      <c r="I64" s="28" t="str">
        <f ca="1">Master_List!$AW$4</f>
        <v>28.5</v>
      </c>
      <c r="J64" s="6" t="str">
        <f ca="1">Master_List!$AW$5</f>
        <v>65</v>
      </c>
      <c r="K64" s="6" t="s">
        <v>579</v>
      </c>
      <c r="L64" s="21" t="str">
        <f ca="1">IFERROR(VLOOKUP(B64, Master_List!$A:$I, 2, FALSE), "-")</f>
        <v>JJB 87615</v>
      </c>
      <c r="M64" s="22" t="str">
        <f ca="1">IFERROR(VLOOKUP(B64, Master_List!$A:$I, 3, FALSE), "-")</f>
        <v>TX 750KVA</v>
      </c>
      <c r="N64" s="22" t="str">
        <f ca="1">IFERROR(VLOOKUP(B64, Master_List!$A:$I, 4, FALSE), "-")</f>
        <v>NOT ACCESSIBLE</v>
      </c>
      <c r="O64" s="22" t="str">
        <f ca="1">IFERROR(VLOOKUP(B64, Master_List!$A:$I, 5, FALSE), "-")</f>
        <v>CLOSE</v>
      </c>
      <c r="P64" s="22" t="str">
        <f ca="1">IFERROR(VLOOKUP(B64, Master_List!$A:$I, 6, FALSE), "-")</f>
        <v/>
      </c>
      <c r="Q64" s="22" t="str">
        <f ca="1">IFERROR(VLOOKUP(B64, Master_List!$A:$I, 7, FALSE), "-")</f>
        <v/>
      </c>
      <c r="R64" s="22" t="str">
        <f ca="1">IFERROR(VLOOKUP(B64, Master_List!$A:$I, 8, FALSE), "-")</f>
        <v/>
      </c>
      <c r="S64" s="22" t="str">
        <f ca="1">IFERROR(VLOOKUP(B64, Master_List!$A:$I, 9, FALSE), "-")</f>
        <v>24DU738_1015</v>
      </c>
      <c r="T64" s="20" t="str">
        <f ca="1">Master_List!$AW$6</f>
        <v>TOSHIBA</v>
      </c>
      <c r="U64" s="20" t="str">
        <f ca="1">Master_List!$AW$7</f>
        <v>MRMU</v>
      </c>
      <c r="V64" s="20" t="str">
        <f ca="1">Master_List!$AW$8</f>
        <v>12kV</v>
      </c>
      <c r="W64" s="20" t="str">
        <f ca="1">Master_List!$AW$9</f>
        <v>2S1F</v>
      </c>
      <c r="X64" s="20" t="str">
        <f ca="1">Master_List!$AW$10</f>
        <v>MTM</v>
      </c>
      <c r="Y64" s="20" t="str">
        <f ca="1">Master_List!$AW$11</f>
        <v>HERMETICALLY SEAL</v>
      </c>
      <c r="Z64" s="20" t="str">
        <f ca="1">Master_List!$AW$12</f>
        <v>750kVA</v>
      </c>
      <c r="AA64" s="20" t="str">
        <f ca="1">Master_List!$AW$13</f>
        <v>1317</v>
      </c>
      <c r="AB64" s="20">
        <f ca="1">Master_List!$AW$14</f>
        <v>0</v>
      </c>
      <c r="AC64" s="20">
        <f ca="1">Master_List!$AW$15</f>
        <v>0</v>
      </c>
      <c r="AD64" s="20">
        <f ca="1">Master_List!$AW$16</f>
        <v>0</v>
      </c>
      <c r="AE64" s="20">
        <f ca="1">Master_List!$AW$17</f>
        <v>0</v>
      </c>
      <c r="AF64" s="20" t="str">
        <f ca="1">Master_List!$AW$18</f>
        <v>INDKOM</v>
      </c>
      <c r="AG64" s="20" t="str">
        <f ca="1">Master_List!$AW$19</f>
        <v>J-SLOTTED</v>
      </c>
      <c r="AH64" s="20" t="str">
        <f ca="1">Master_List!$AW$20</f>
        <v>1600A</v>
      </c>
      <c r="AI64" s="20" t="str">
        <f ca="1">Master_List!$AW$21</f>
        <v>LV5080090</v>
      </c>
      <c r="AJ64" s="20" t="str">
        <f ca="1">Master_List!$AW$22</f>
        <v>LVDB TX1</v>
      </c>
      <c r="AK64" s="20">
        <f ca="1">Master_List!$AW$23</f>
        <v>0</v>
      </c>
      <c r="AL64" s="20">
        <f ca="1">Master_List!$AW$24</f>
        <v>0</v>
      </c>
      <c r="AM64" s="20">
        <f ca="1">Master_List!$AW$25</f>
        <v>0</v>
      </c>
      <c r="AN64" s="20">
        <f ca="1">Master_List!$AW$26</f>
        <v>0</v>
      </c>
      <c r="AO64" s="20" t="str">
        <f ca="1">Master_List!$AW$27</f>
        <v>LVDB TX2</v>
      </c>
      <c r="AP64" s="20" t="str">
        <f ca="1">Master_List!$AW$28</f>
        <v>SUNPOWER TECHNOLOGIES</v>
      </c>
      <c r="AQ64" s="20" t="str">
        <f ca="1">Master_List!$AW$29</f>
        <v>SPS 30-10 L</v>
      </c>
      <c r="AR64" s="20" t="str">
        <f ca="1">Master_List!$AW$30</f>
        <v>11193-8527</v>
      </c>
      <c r="AS64" s="20">
        <f ca="1">Master_List!$AW$31</f>
        <v>0</v>
      </c>
      <c r="AT64" s="20">
        <f ca="1">Master_List!$AW$32</f>
        <v>0</v>
      </c>
      <c r="AU64" s="20">
        <f ca="1">Master_List!$AW$33</f>
        <v>0</v>
      </c>
      <c r="AV64" s="20">
        <f ca="1">Master_List!$AW$34</f>
        <v>0</v>
      </c>
      <c r="AW64" s="20">
        <f ca="1">Master_List!$AW$35</f>
        <v>0</v>
      </c>
      <c r="AX64" s="20">
        <f ca="1">Master_List!$AW$36</f>
        <v>0</v>
      </c>
      <c r="AY64" s="20">
        <f ca="1">Master_List!$AW$37</f>
        <v>0</v>
      </c>
      <c r="AZ64" s="20">
        <f ca="1">Master_List!$AW$38</f>
        <v>0</v>
      </c>
      <c r="BA64" s="20">
        <f ca="1">Master_List!$AW$39</f>
        <v>0</v>
      </c>
      <c r="BB64" s="20" t="s">
        <v>2240</v>
      </c>
      <c r="BC64" s="20" t="s">
        <v>2241</v>
      </c>
      <c r="BD64" s="6" t="s">
        <v>1744</v>
      </c>
      <c r="BE64" s="6" t="s">
        <v>1782</v>
      </c>
      <c r="BF64" s="6" t="s">
        <v>1746</v>
      </c>
      <c r="BG64" s="6" t="str">
        <f t="shared" si="0"/>
        <v>C:\Users\aremi\Desktop\REPORT CBM\PO 42289580 - Pahang 11kV SECOND CYCLE AZZAD 2026\RAW MATERIAL\047. TNB BARU (IR+VI)\RAW DATA\IR</v>
      </c>
      <c r="BH64" s="24" t="s">
        <v>589</v>
      </c>
    </row>
    <row r="65" spans="1:60" ht="30" customHeight="1" x14ac:dyDescent="0.25">
      <c r="A65" s="6">
        <v>32</v>
      </c>
      <c r="B65" s="6" t="s">
        <v>1536</v>
      </c>
      <c r="C65" s="6">
        <v>1</v>
      </c>
      <c r="D65" s="6" t="s">
        <v>2242</v>
      </c>
      <c r="E65" s="6">
        <v>32</v>
      </c>
      <c r="F65" s="6" t="str">
        <f ca="1">Master_List!$AW$1</f>
        <v>PERPUSTAKAAN PUSAT</v>
      </c>
      <c r="G65" s="27" t="str">
        <f ca="1">Master_List!$AW$2</f>
        <v>09:30 PM</v>
      </c>
      <c r="H65" s="32" t="str">
        <f ca="1">Master_List!$AW$3</f>
        <v>20/07/2026</v>
      </c>
      <c r="I65" s="28" t="str">
        <f ca="1">Master_List!$AW$4</f>
        <v>28.5</v>
      </c>
      <c r="J65" s="6" t="str">
        <f ca="1">Master_List!$AW$5</f>
        <v>65</v>
      </c>
      <c r="K65" s="6" t="s">
        <v>579</v>
      </c>
      <c r="L65" s="21" t="str">
        <f ca="1">IFERROR(VLOOKUP(B65, Master_List!$A:$I, 2, FALSE), "-")</f>
        <v>JJB 87615</v>
      </c>
      <c r="M65" s="22" t="str">
        <f ca="1">IFERROR(VLOOKUP(B65, Master_List!$A:$I, 3, FALSE), "-")</f>
        <v>TX 750KVA</v>
      </c>
      <c r="N65" s="22" t="str">
        <f ca="1">IFERROR(VLOOKUP(B65, Master_List!$A:$I, 4, FALSE), "-")</f>
        <v>NOT ACCESSIBLE</v>
      </c>
      <c r="O65" s="22" t="str">
        <f ca="1">IFERROR(VLOOKUP(B65, Master_List!$A:$I, 5, FALSE), "-")</f>
        <v>CLOSE</v>
      </c>
      <c r="P65" s="22" t="str">
        <f ca="1">IFERROR(VLOOKUP(B65, Master_List!$A:$I, 6, FALSE), "-")</f>
        <v/>
      </c>
      <c r="Q65" s="22" t="str">
        <f ca="1">IFERROR(VLOOKUP(B65, Master_List!$A:$I, 7, FALSE), "-")</f>
        <v/>
      </c>
      <c r="R65" s="22" t="str">
        <f ca="1">IFERROR(VLOOKUP(B65, Master_List!$A:$I, 8, FALSE), "-")</f>
        <v/>
      </c>
      <c r="S65" s="22" t="str">
        <f ca="1">IFERROR(VLOOKUP(B65, Master_List!$A:$I, 9, FALSE), "-")</f>
        <v>24DU738_1015</v>
      </c>
      <c r="T65" s="20" t="str">
        <f ca="1">Master_List!$AW$6</f>
        <v>TOSHIBA</v>
      </c>
      <c r="U65" s="20" t="str">
        <f ca="1">Master_List!$AW$7</f>
        <v>MRMU</v>
      </c>
      <c r="V65" s="20" t="str">
        <f ca="1">Master_List!$AW$8</f>
        <v>12kV</v>
      </c>
      <c r="W65" s="20" t="str">
        <f ca="1">Master_List!$AW$9</f>
        <v>2S1F</v>
      </c>
      <c r="X65" s="20" t="str">
        <f ca="1">Master_List!$AW$10</f>
        <v>MTM</v>
      </c>
      <c r="Y65" s="20" t="str">
        <f ca="1">Master_List!$AW$11</f>
        <v>HERMETICALLY SEAL</v>
      </c>
      <c r="Z65" s="20" t="str">
        <f ca="1">Master_List!$AW$12</f>
        <v>750kVA</v>
      </c>
      <c r="AA65" s="20" t="str">
        <f ca="1">Master_List!$AW$13</f>
        <v>1317</v>
      </c>
      <c r="AB65" s="20">
        <f ca="1">Master_List!$AW$14</f>
        <v>0</v>
      </c>
      <c r="AC65" s="20">
        <f ca="1">Master_List!$AW$15</f>
        <v>0</v>
      </c>
      <c r="AD65" s="20">
        <f ca="1">Master_List!$AW$16</f>
        <v>0</v>
      </c>
      <c r="AE65" s="20">
        <f ca="1">Master_List!$AW$17</f>
        <v>0</v>
      </c>
      <c r="AF65" s="20" t="str">
        <f ca="1">Master_List!$AW$18</f>
        <v>INDKOM</v>
      </c>
      <c r="AG65" s="20" t="str">
        <f ca="1">Master_List!$AW$19</f>
        <v>J-SLOTTED</v>
      </c>
      <c r="AH65" s="20" t="str">
        <f ca="1">Master_List!$AW$20</f>
        <v>1600A</v>
      </c>
      <c r="AI65" s="20" t="str">
        <f ca="1">Master_List!$AW$21</f>
        <v>LV5080090</v>
      </c>
      <c r="AJ65" s="20" t="str">
        <f ca="1">Master_List!$AW$22</f>
        <v>LVDB TX1</v>
      </c>
      <c r="AK65" s="20">
        <f ca="1">Master_List!$AW$23</f>
        <v>0</v>
      </c>
      <c r="AL65" s="20">
        <f ca="1">Master_List!$AW$24</f>
        <v>0</v>
      </c>
      <c r="AM65" s="20">
        <f ca="1">Master_List!$AW$25</f>
        <v>0</v>
      </c>
      <c r="AN65" s="20">
        <f ca="1">Master_List!$AW$26</f>
        <v>0</v>
      </c>
      <c r="AO65" s="20" t="str">
        <f ca="1">Master_List!$AW$27</f>
        <v>LVDB TX2</v>
      </c>
      <c r="AP65" s="20" t="str">
        <f ca="1">Master_List!$AW$28</f>
        <v>SUNPOWER TECHNOLOGIES</v>
      </c>
      <c r="AQ65" s="20" t="str">
        <f ca="1">Master_List!$AW$29</f>
        <v>SPS 30-10 L</v>
      </c>
      <c r="AR65" s="20" t="str">
        <f ca="1">Master_List!$AW$30</f>
        <v>11193-8527</v>
      </c>
      <c r="AS65" s="20">
        <f ca="1">Master_List!$AW$31</f>
        <v>0</v>
      </c>
      <c r="AT65" s="20">
        <f ca="1">Master_List!$AW$32</f>
        <v>0</v>
      </c>
      <c r="AU65" s="20">
        <f ca="1">Master_List!$AW$33</f>
        <v>0</v>
      </c>
      <c r="AV65" s="20">
        <f ca="1">Master_List!$AW$34</f>
        <v>0</v>
      </c>
      <c r="AW65" s="20">
        <f ca="1">Master_List!$AW$35</f>
        <v>0</v>
      </c>
      <c r="AX65" s="20">
        <f ca="1">Master_List!$AW$36</f>
        <v>0</v>
      </c>
      <c r="AY65" s="20">
        <f ca="1">Master_List!$AW$37</f>
        <v>0</v>
      </c>
      <c r="AZ65" s="20">
        <f ca="1">Master_List!$AW$38</f>
        <v>0</v>
      </c>
      <c r="BA65" s="20">
        <f ca="1">Master_List!$AW$39</f>
        <v>0</v>
      </c>
      <c r="BB65" s="20" t="s">
        <v>2240</v>
      </c>
      <c r="BC65" s="20" t="s">
        <v>2241</v>
      </c>
      <c r="BD65" s="6" t="s">
        <v>1744</v>
      </c>
      <c r="BE65" s="6" t="s">
        <v>1782</v>
      </c>
      <c r="BF65" s="6" t="s">
        <v>1748</v>
      </c>
      <c r="BG65" s="6" t="str">
        <f t="shared" si="0"/>
        <v>C:\Users\aremi\Desktop\REPORT CBM\PO 42289580 - Pahang 11kV SECOND CYCLE AZZAD 2026\RAW MATERIAL\047. TNB BARU (IR+VI)\RAW DATA\IR</v>
      </c>
      <c r="BH65" s="24" t="s">
        <v>590</v>
      </c>
    </row>
    <row r="66" spans="1:60" ht="30" customHeight="1" x14ac:dyDescent="0.25">
      <c r="A66" s="6">
        <v>33</v>
      </c>
      <c r="B66" s="6" t="s">
        <v>1536</v>
      </c>
      <c r="C66" s="6">
        <v>1</v>
      </c>
      <c r="D66" s="6" t="s">
        <v>2242</v>
      </c>
      <c r="E66" s="6">
        <v>33</v>
      </c>
      <c r="F66" s="6" t="str">
        <f ca="1">Master_List!$AW$1</f>
        <v>PERPUSTAKAAN PUSAT</v>
      </c>
      <c r="G66" s="27" t="str">
        <f ca="1">Master_List!$AW$2</f>
        <v>09:30 PM</v>
      </c>
      <c r="H66" s="32" t="str">
        <f ca="1">Master_List!$AW$3</f>
        <v>20/07/2026</v>
      </c>
      <c r="I66" s="28" t="str">
        <f ca="1">Master_List!$AW$4</f>
        <v>28.5</v>
      </c>
      <c r="J66" s="6" t="str">
        <f ca="1">Master_List!$AW$5</f>
        <v>65</v>
      </c>
      <c r="K66" s="6" t="s">
        <v>582</v>
      </c>
      <c r="L66" s="21" t="str">
        <f ca="1">IFERROR(VLOOKUP(B66, Master_List!$A:$I, 2, FALSE), "-")</f>
        <v>JJB 87615</v>
      </c>
      <c r="M66" s="22" t="str">
        <f ca="1">IFERROR(VLOOKUP(B66, Master_List!$A:$I, 3, FALSE), "-")</f>
        <v>TX 750KVA</v>
      </c>
      <c r="N66" s="22" t="str">
        <f ca="1">IFERROR(VLOOKUP(B66, Master_List!$A:$I, 4, FALSE), "-")</f>
        <v>NOT ACCESSIBLE</v>
      </c>
      <c r="O66" s="22" t="str">
        <f ca="1">IFERROR(VLOOKUP(B66, Master_List!$A:$I, 5, FALSE), "-")</f>
        <v>CLOSE</v>
      </c>
      <c r="P66" s="22" t="str">
        <f ca="1">IFERROR(VLOOKUP(B66, Master_List!$A:$I, 6, FALSE), "-")</f>
        <v/>
      </c>
      <c r="Q66" s="22" t="str">
        <f ca="1">IFERROR(VLOOKUP(B66, Master_List!$A:$I, 7, FALSE), "-")</f>
        <v/>
      </c>
      <c r="R66" s="22" t="str">
        <f ca="1">IFERROR(VLOOKUP(B66, Master_List!$A:$I, 8, FALSE), "-")</f>
        <v/>
      </c>
      <c r="S66" s="22" t="str">
        <f ca="1">IFERROR(VLOOKUP(B66, Master_List!$A:$I, 9, FALSE), "-")</f>
        <v>24DU738_1015</v>
      </c>
      <c r="T66" s="20" t="str">
        <f ca="1">Master_List!$AW$6</f>
        <v>TOSHIBA</v>
      </c>
      <c r="U66" s="20" t="str">
        <f ca="1">Master_List!$AW$7</f>
        <v>MRMU</v>
      </c>
      <c r="V66" s="20" t="str">
        <f ca="1">Master_List!$AW$8</f>
        <v>12kV</v>
      </c>
      <c r="W66" s="20" t="str">
        <f ca="1">Master_List!$AW$9</f>
        <v>2S1F</v>
      </c>
      <c r="X66" s="20" t="str">
        <f ca="1">Master_List!$AW$10</f>
        <v>MTM</v>
      </c>
      <c r="Y66" s="20" t="str">
        <f ca="1">Master_List!$AW$11</f>
        <v>HERMETICALLY SEAL</v>
      </c>
      <c r="Z66" s="20" t="str">
        <f ca="1">Master_List!$AW$12</f>
        <v>750kVA</v>
      </c>
      <c r="AA66" s="20" t="str">
        <f ca="1">Master_List!$AW$13</f>
        <v>1317</v>
      </c>
      <c r="AB66" s="20">
        <f ca="1">Master_List!$AW$14</f>
        <v>0</v>
      </c>
      <c r="AC66" s="20">
        <f ca="1">Master_List!$AW$15</f>
        <v>0</v>
      </c>
      <c r="AD66" s="20">
        <f ca="1">Master_List!$AW$16</f>
        <v>0</v>
      </c>
      <c r="AE66" s="20">
        <f ca="1">Master_List!$AW$17</f>
        <v>0</v>
      </c>
      <c r="AF66" s="20" t="str">
        <f ca="1">Master_List!$AW$18</f>
        <v>INDKOM</v>
      </c>
      <c r="AG66" s="20" t="str">
        <f ca="1">Master_List!$AW$19</f>
        <v>J-SLOTTED</v>
      </c>
      <c r="AH66" s="20" t="str">
        <f ca="1">Master_List!$AW$20</f>
        <v>1600A</v>
      </c>
      <c r="AI66" s="20" t="str">
        <f ca="1">Master_List!$AW$21</f>
        <v>LV5080090</v>
      </c>
      <c r="AJ66" s="20" t="str">
        <f ca="1">Master_List!$AW$22</f>
        <v>LVDB TX1</v>
      </c>
      <c r="AK66" s="20">
        <f ca="1">Master_List!$AW$23</f>
        <v>0</v>
      </c>
      <c r="AL66" s="20">
        <f ca="1">Master_List!$AW$24</f>
        <v>0</v>
      </c>
      <c r="AM66" s="20">
        <f ca="1">Master_List!$AW$25</f>
        <v>0</v>
      </c>
      <c r="AN66" s="20">
        <f ca="1">Master_List!$AW$26</f>
        <v>0</v>
      </c>
      <c r="AO66" s="20" t="str">
        <f ca="1">Master_List!$AW$27</f>
        <v>LVDB TX2</v>
      </c>
      <c r="AP66" s="20" t="str">
        <f ca="1">Master_List!$AW$28</f>
        <v>SUNPOWER TECHNOLOGIES</v>
      </c>
      <c r="AQ66" s="20" t="str">
        <f ca="1">Master_List!$AW$29</f>
        <v>SPS 30-10 L</v>
      </c>
      <c r="AR66" s="20" t="str">
        <f ca="1">Master_List!$AW$30</f>
        <v>11193-8527</v>
      </c>
      <c r="AS66" s="20">
        <f ca="1">Master_List!$AW$31</f>
        <v>0</v>
      </c>
      <c r="AT66" s="20">
        <f ca="1">Master_List!$AW$32</f>
        <v>0</v>
      </c>
      <c r="AU66" s="20">
        <f ca="1">Master_List!$AW$33</f>
        <v>0</v>
      </c>
      <c r="AV66" s="20">
        <f ca="1">Master_List!$AW$34</f>
        <v>0</v>
      </c>
      <c r="AW66" s="20">
        <f ca="1">Master_List!$AW$35</f>
        <v>0</v>
      </c>
      <c r="AX66" s="20">
        <f ca="1">Master_List!$AW$36</f>
        <v>0</v>
      </c>
      <c r="AY66" s="20">
        <f ca="1">Master_List!$AW$37</f>
        <v>0</v>
      </c>
      <c r="AZ66" s="20">
        <f ca="1">Master_List!$AW$38</f>
        <v>0</v>
      </c>
      <c r="BA66" s="20">
        <f ca="1">Master_List!$AW$39</f>
        <v>0</v>
      </c>
      <c r="BB66" s="20" t="s">
        <v>2240</v>
      </c>
      <c r="BC66" s="20" t="s">
        <v>2241</v>
      </c>
      <c r="BD66" s="6" t="s">
        <v>1744</v>
      </c>
      <c r="BE66" s="6" t="s">
        <v>1783</v>
      </c>
      <c r="BF66" s="6" t="s">
        <v>1746</v>
      </c>
      <c r="BG66" s="6" t="str">
        <f t="shared" si="0"/>
        <v>C:\Users\aremi\Desktop\REPORT CBM\PO 42289580 - Pahang 11kV SECOND CYCLE AZZAD 2026\RAW MATERIAL\047. TNB BARU (IR+VI)\RAW DATA\IR</v>
      </c>
      <c r="BH66" s="24" t="s">
        <v>592</v>
      </c>
    </row>
    <row r="67" spans="1:60" ht="30" customHeight="1" x14ac:dyDescent="0.25">
      <c r="A67" s="6">
        <v>33</v>
      </c>
      <c r="B67" s="6" t="s">
        <v>1536</v>
      </c>
      <c r="C67" s="6">
        <v>1</v>
      </c>
      <c r="D67" s="6" t="s">
        <v>2242</v>
      </c>
      <c r="E67" s="6">
        <v>33</v>
      </c>
      <c r="F67" s="6" t="str">
        <f ca="1">Master_List!$AW$1</f>
        <v>PERPUSTAKAAN PUSAT</v>
      </c>
      <c r="G67" s="27" t="str">
        <f ca="1">Master_List!$AW$2</f>
        <v>09:30 PM</v>
      </c>
      <c r="H67" s="32" t="str">
        <f ca="1">Master_List!$AW$3</f>
        <v>20/07/2026</v>
      </c>
      <c r="I67" s="28" t="str">
        <f ca="1">Master_List!$AW$4</f>
        <v>28.5</v>
      </c>
      <c r="J67" s="6" t="str">
        <f ca="1">Master_List!$AW$5</f>
        <v>65</v>
      </c>
      <c r="K67" s="6" t="s">
        <v>582</v>
      </c>
      <c r="L67" s="21" t="str">
        <f ca="1">IFERROR(VLOOKUP(B67, Master_List!$A:$I, 2, FALSE), "-")</f>
        <v>JJB 87615</v>
      </c>
      <c r="M67" s="22" t="str">
        <f ca="1">IFERROR(VLOOKUP(B67, Master_List!$A:$I, 3, FALSE), "-")</f>
        <v>TX 750KVA</v>
      </c>
      <c r="N67" s="22" t="str">
        <f ca="1">IFERROR(VLOOKUP(B67, Master_List!$A:$I, 4, FALSE), "-")</f>
        <v>NOT ACCESSIBLE</v>
      </c>
      <c r="O67" s="22" t="str">
        <f ca="1">IFERROR(VLOOKUP(B67, Master_List!$A:$I, 5, FALSE), "-")</f>
        <v>CLOSE</v>
      </c>
      <c r="P67" s="22" t="str">
        <f ca="1">IFERROR(VLOOKUP(B67, Master_List!$A:$I, 6, FALSE), "-")</f>
        <v/>
      </c>
      <c r="Q67" s="22" t="str">
        <f ca="1">IFERROR(VLOOKUP(B67, Master_List!$A:$I, 7, FALSE), "-")</f>
        <v/>
      </c>
      <c r="R67" s="22" t="str">
        <f ca="1">IFERROR(VLOOKUP(B67, Master_List!$A:$I, 8, FALSE), "-")</f>
        <v/>
      </c>
      <c r="S67" s="22" t="str">
        <f ca="1">IFERROR(VLOOKUP(B67, Master_List!$A:$I, 9, FALSE), "-")</f>
        <v>24DU738_1015</v>
      </c>
      <c r="T67" s="20" t="str">
        <f ca="1">Master_List!$AW$6</f>
        <v>TOSHIBA</v>
      </c>
      <c r="U67" s="20" t="str">
        <f ca="1">Master_List!$AW$7</f>
        <v>MRMU</v>
      </c>
      <c r="V67" s="20" t="str">
        <f ca="1">Master_List!$AW$8</f>
        <v>12kV</v>
      </c>
      <c r="W67" s="20" t="str">
        <f ca="1">Master_List!$AW$9</f>
        <v>2S1F</v>
      </c>
      <c r="X67" s="20" t="str">
        <f ca="1">Master_List!$AW$10</f>
        <v>MTM</v>
      </c>
      <c r="Y67" s="20" t="str">
        <f ca="1">Master_List!$AW$11</f>
        <v>HERMETICALLY SEAL</v>
      </c>
      <c r="Z67" s="20" t="str">
        <f ca="1">Master_List!$AW$12</f>
        <v>750kVA</v>
      </c>
      <c r="AA67" s="20" t="str">
        <f ca="1">Master_List!$AW$13</f>
        <v>1317</v>
      </c>
      <c r="AB67" s="20">
        <f ca="1">Master_List!$AW$14</f>
        <v>0</v>
      </c>
      <c r="AC67" s="20">
        <f ca="1">Master_List!$AW$15</f>
        <v>0</v>
      </c>
      <c r="AD67" s="20">
        <f ca="1">Master_List!$AW$16</f>
        <v>0</v>
      </c>
      <c r="AE67" s="20">
        <f ca="1">Master_List!$AW$17</f>
        <v>0</v>
      </c>
      <c r="AF67" s="20" t="str">
        <f ca="1">Master_List!$AW$18</f>
        <v>INDKOM</v>
      </c>
      <c r="AG67" s="20" t="str">
        <f ca="1">Master_List!$AW$19</f>
        <v>J-SLOTTED</v>
      </c>
      <c r="AH67" s="20" t="str">
        <f ca="1">Master_List!$AW$20</f>
        <v>1600A</v>
      </c>
      <c r="AI67" s="20" t="str">
        <f ca="1">Master_List!$AW$21</f>
        <v>LV5080090</v>
      </c>
      <c r="AJ67" s="20" t="str">
        <f ca="1">Master_List!$AW$22</f>
        <v>LVDB TX1</v>
      </c>
      <c r="AK67" s="20">
        <f ca="1">Master_List!$AW$23</f>
        <v>0</v>
      </c>
      <c r="AL67" s="20">
        <f ca="1">Master_List!$AW$24</f>
        <v>0</v>
      </c>
      <c r="AM67" s="20">
        <f ca="1">Master_List!$AW$25</f>
        <v>0</v>
      </c>
      <c r="AN67" s="20">
        <f ca="1">Master_List!$AW$26</f>
        <v>0</v>
      </c>
      <c r="AO67" s="20" t="str">
        <f ca="1">Master_List!$AW$27</f>
        <v>LVDB TX2</v>
      </c>
      <c r="AP67" s="20" t="str">
        <f ca="1">Master_List!$AW$28</f>
        <v>SUNPOWER TECHNOLOGIES</v>
      </c>
      <c r="AQ67" s="20" t="str">
        <f ca="1">Master_List!$AW$29</f>
        <v>SPS 30-10 L</v>
      </c>
      <c r="AR67" s="20" t="str">
        <f ca="1">Master_List!$AW$30</f>
        <v>11193-8527</v>
      </c>
      <c r="AS67" s="20">
        <f ca="1">Master_List!$AW$31</f>
        <v>0</v>
      </c>
      <c r="AT67" s="20">
        <f ca="1">Master_List!$AW$32</f>
        <v>0</v>
      </c>
      <c r="AU67" s="20">
        <f ca="1">Master_List!$AW$33</f>
        <v>0</v>
      </c>
      <c r="AV67" s="20">
        <f ca="1">Master_List!$AW$34</f>
        <v>0</v>
      </c>
      <c r="AW67" s="20">
        <f ca="1">Master_List!$AW$35</f>
        <v>0</v>
      </c>
      <c r="AX67" s="20">
        <f ca="1">Master_List!$AW$36</f>
        <v>0</v>
      </c>
      <c r="AY67" s="20">
        <f ca="1">Master_List!$AW$37</f>
        <v>0</v>
      </c>
      <c r="AZ67" s="20">
        <f ca="1">Master_List!$AW$38</f>
        <v>0</v>
      </c>
      <c r="BA67" s="20">
        <f ca="1">Master_List!$AW$39</f>
        <v>0</v>
      </c>
      <c r="BB67" s="20" t="s">
        <v>2240</v>
      </c>
      <c r="BC67" s="20" t="s">
        <v>2241</v>
      </c>
      <c r="BD67" s="6" t="s">
        <v>1744</v>
      </c>
      <c r="BE67" s="6" t="s">
        <v>1783</v>
      </c>
      <c r="BF67" s="6" t="s">
        <v>1748</v>
      </c>
      <c r="BG67" s="6" t="str">
        <f t="shared" ref="BG67:BG130" si="1">BG66</f>
        <v>C:\Users\aremi\Desktop\REPORT CBM\PO 42289580 - Pahang 11kV SECOND CYCLE AZZAD 2026\RAW MATERIAL\047. TNB BARU (IR+VI)\RAW DATA\IR</v>
      </c>
      <c r="BH67" s="24" t="s">
        <v>593</v>
      </c>
    </row>
    <row r="68" spans="1:60" ht="30" customHeight="1" x14ac:dyDescent="0.25">
      <c r="A68" s="6">
        <v>34</v>
      </c>
      <c r="B68" s="6" t="s">
        <v>1536</v>
      </c>
      <c r="C68" s="6">
        <v>1</v>
      </c>
      <c r="D68" s="6" t="s">
        <v>2242</v>
      </c>
      <c r="E68" s="6">
        <v>34</v>
      </c>
      <c r="F68" s="6" t="str">
        <f ca="1">Master_List!$AW$1</f>
        <v>PERPUSTAKAAN PUSAT</v>
      </c>
      <c r="G68" s="27" t="str">
        <f ca="1">Master_List!$AW$2</f>
        <v>09:30 PM</v>
      </c>
      <c r="H68" s="32" t="str">
        <f ca="1">Master_List!$AW$3</f>
        <v>20/07/2026</v>
      </c>
      <c r="I68" s="28" t="str">
        <f ca="1">Master_List!$AW$4</f>
        <v>28.5</v>
      </c>
      <c r="J68" s="6" t="str">
        <f ca="1">Master_List!$AW$5</f>
        <v>65</v>
      </c>
      <c r="K68" s="6" t="s">
        <v>585</v>
      </c>
      <c r="L68" s="21" t="str">
        <f ca="1">IFERROR(VLOOKUP(B68, Master_List!$A:$I, 2, FALSE), "-")</f>
        <v>JJB 87615</v>
      </c>
      <c r="M68" s="22" t="str">
        <f ca="1">IFERROR(VLOOKUP(B68, Master_List!$A:$I, 3, FALSE), "-")</f>
        <v>TX 750KVA</v>
      </c>
      <c r="N68" s="22" t="str">
        <f ca="1">IFERROR(VLOOKUP(B68, Master_List!$A:$I, 4, FALSE), "-")</f>
        <v>NOT ACCESSIBLE</v>
      </c>
      <c r="O68" s="22" t="str">
        <f ca="1">IFERROR(VLOOKUP(B68, Master_List!$A:$I, 5, FALSE), "-")</f>
        <v>CLOSE</v>
      </c>
      <c r="P68" s="22" t="str">
        <f ca="1">IFERROR(VLOOKUP(B68, Master_List!$A:$I, 6, FALSE), "-")</f>
        <v/>
      </c>
      <c r="Q68" s="22" t="str">
        <f ca="1">IFERROR(VLOOKUP(B68, Master_List!$A:$I, 7, FALSE), "-")</f>
        <v/>
      </c>
      <c r="R68" s="22" t="str">
        <f ca="1">IFERROR(VLOOKUP(B68, Master_List!$A:$I, 8, FALSE), "-")</f>
        <v/>
      </c>
      <c r="S68" s="22" t="str">
        <f ca="1">IFERROR(VLOOKUP(B68, Master_List!$A:$I, 9, FALSE), "-")</f>
        <v>24DU738_1015</v>
      </c>
      <c r="T68" s="20" t="str">
        <f ca="1">Master_List!$AW$6</f>
        <v>TOSHIBA</v>
      </c>
      <c r="U68" s="20" t="str">
        <f ca="1">Master_List!$AW$7</f>
        <v>MRMU</v>
      </c>
      <c r="V68" s="20" t="str">
        <f ca="1">Master_List!$AW$8</f>
        <v>12kV</v>
      </c>
      <c r="W68" s="20" t="str">
        <f ca="1">Master_List!$AW$9</f>
        <v>2S1F</v>
      </c>
      <c r="X68" s="20" t="str">
        <f ca="1">Master_List!$AW$10</f>
        <v>MTM</v>
      </c>
      <c r="Y68" s="20" t="str">
        <f ca="1">Master_List!$AW$11</f>
        <v>HERMETICALLY SEAL</v>
      </c>
      <c r="Z68" s="20" t="str">
        <f ca="1">Master_List!$AW$12</f>
        <v>750kVA</v>
      </c>
      <c r="AA68" s="20" t="str">
        <f ca="1">Master_List!$AW$13</f>
        <v>1317</v>
      </c>
      <c r="AB68" s="20">
        <f ca="1">Master_List!$AW$14</f>
        <v>0</v>
      </c>
      <c r="AC68" s="20">
        <f ca="1">Master_List!$AW$15</f>
        <v>0</v>
      </c>
      <c r="AD68" s="20">
        <f ca="1">Master_List!$AW$16</f>
        <v>0</v>
      </c>
      <c r="AE68" s="20">
        <f ca="1">Master_List!$AW$17</f>
        <v>0</v>
      </c>
      <c r="AF68" s="20" t="str">
        <f ca="1">Master_List!$AW$18</f>
        <v>INDKOM</v>
      </c>
      <c r="AG68" s="20" t="str">
        <f ca="1">Master_List!$AW$19</f>
        <v>J-SLOTTED</v>
      </c>
      <c r="AH68" s="20" t="str">
        <f ca="1">Master_List!$AW$20</f>
        <v>1600A</v>
      </c>
      <c r="AI68" s="20" t="str">
        <f ca="1">Master_List!$AW$21</f>
        <v>LV5080090</v>
      </c>
      <c r="AJ68" s="20" t="str">
        <f ca="1">Master_List!$AW$22</f>
        <v>LVDB TX1</v>
      </c>
      <c r="AK68" s="20">
        <f ca="1">Master_List!$AW$23</f>
        <v>0</v>
      </c>
      <c r="AL68" s="20">
        <f ca="1">Master_List!$AW$24</f>
        <v>0</v>
      </c>
      <c r="AM68" s="20">
        <f ca="1">Master_List!$AW$25</f>
        <v>0</v>
      </c>
      <c r="AN68" s="20">
        <f ca="1">Master_List!$AW$26</f>
        <v>0</v>
      </c>
      <c r="AO68" s="20" t="str">
        <f ca="1">Master_List!$AW$27</f>
        <v>LVDB TX2</v>
      </c>
      <c r="AP68" s="20" t="str">
        <f ca="1">Master_List!$AW$28</f>
        <v>SUNPOWER TECHNOLOGIES</v>
      </c>
      <c r="AQ68" s="20" t="str">
        <f ca="1">Master_List!$AW$29</f>
        <v>SPS 30-10 L</v>
      </c>
      <c r="AR68" s="20" t="str">
        <f ca="1">Master_List!$AW$30</f>
        <v>11193-8527</v>
      </c>
      <c r="AS68" s="20">
        <f ca="1">Master_List!$AW$31</f>
        <v>0</v>
      </c>
      <c r="AT68" s="20">
        <f ca="1">Master_List!$AW$32</f>
        <v>0</v>
      </c>
      <c r="AU68" s="20">
        <f ca="1">Master_List!$AW$33</f>
        <v>0</v>
      </c>
      <c r="AV68" s="20">
        <f ca="1">Master_List!$AW$34</f>
        <v>0</v>
      </c>
      <c r="AW68" s="20">
        <f ca="1">Master_List!$AW$35</f>
        <v>0</v>
      </c>
      <c r="AX68" s="20">
        <f ca="1">Master_List!$AW$36</f>
        <v>0</v>
      </c>
      <c r="AY68" s="20">
        <f ca="1">Master_List!$AW$37</f>
        <v>0</v>
      </c>
      <c r="AZ68" s="20">
        <f ca="1">Master_List!$AW$38</f>
        <v>0</v>
      </c>
      <c r="BA68" s="20">
        <f ca="1">Master_List!$AW$39</f>
        <v>0</v>
      </c>
      <c r="BB68" s="20" t="s">
        <v>2240</v>
      </c>
      <c r="BC68" s="20" t="s">
        <v>2241</v>
      </c>
      <c r="BD68" s="6" t="s">
        <v>1744</v>
      </c>
      <c r="BE68" s="6" t="s">
        <v>1784</v>
      </c>
      <c r="BF68" s="6" t="s">
        <v>1746</v>
      </c>
      <c r="BG68" s="6" t="str">
        <f t="shared" si="1"/>
        <v>C:\Users\aremi\Desktop\REPORT CBM\PO 42289580 - Pahang 11kV SECOND CYCLE AZZAD 2026\RAW MATERIAL\047. TNB BARU (IR+VI)\RAW DATA\IR</v>
      </c>
      <c r="BH68" s="24" t="s">
        <v>595</v>
      </c>
    </row>
    <row r="69" spans="1:60" ht="30" customHeight="1" x14ac:dyDescent="0.25">
      <c r="A69" s="6">
        <v>34</v>
      </c>
      <c r="B69" s="6" t="s">
        <v>1536</v>
      </c>
      <c r="C69" s="6">
        <v>1</v>
      </c>
      <c r="D69" s="6" t="s">
        <v>2242</v>
      </c>
      <c r="E69" s="6">
        <v>34</v>
      </c>
      <c r="F69" s="6" t="str">
        <f ca="1">Master_List!$AW$1</f>
        <v>PERPUSTAKAAN PUSAT</v>
      </c>
      <c r="G69" s="27" t="str">
        <f ca="1">Master_List!$AW$2</f>
        <v>09:30 PM</v>
      </c>
      <c r="H69" s="32" t="str">
        <f ca="1">Master_List!$AW$3</f>
        <v>20/07/2026</v>
      </c>
      <c r="I69" s="28" t="str">
        <f ca="1">Master_List!$AW$4</f>
        <v>28.5</v>
      </c>
      <c r="J69" s="6" t="str">
        <f ca="1">Master_List!$AW$5</f>
        <v>65</v>
      </c>
      <c r="K69" s="6" t="s">
        <v>585</v>
      </c>
      <c r="L69" s="21" t="str">
        <f ca="1">IFERROR(VLOOKUP(B69, Master_List!$A:$I, 2, FALSE), "-")</f>
        <v>JJB 87615</v>
      </c>
      <c r="M69" s="22" t="str">
        <f ca="1">IFERROR(VLOOKUP(B69, Master_List!$A:$I, 3, FALSE), "-")</f>
        <v>TX 750KVA</v>
      </c>
      <c r="N69" s="22" t="str">
        <f ca="1">IFERROR(VLOOKUP(B69, Master_List!$A:$I, 4, FALSE), "-")</f>
        <v>NOT ACCESSIBLE</v>
      </c>
      <c r="O69" s="22" t="str">
        <f ca="1">IFERROR(VLOOKUP(B69, Master_List!$A:$I, 5, FALSE), "-")</f>
        <v>CLOSE</v>
      </c>
      <c r="P69" s="22" t="str">
        <f ca="1">IFERROR(VLOOKUP(B69, Master_List!$A:$I, 6, FALSE), "-")</f>
        <v/>
      </c>
      <c r="Q69" s="22" t="str">
        <f ca="1">IFERROR(VLOOKUP(B69, Master_List!$A:$I, 7, FALSE), "-")</f>
        <v/>
      </c>
      <c r="R69" s="22" t="str">
        <f ca="1">IFERROR(VLOOKUP(B69, Master_List!$A:$I, 8, FALSE), "-")</f>
        <v/>
      </c>
      <c r="S69" s="22" t="str">
        <f ca="1">IFERROR(VLOOKUP(B69, Master_List!$A:$I, 9, FALSE), "-")</f>
        <v>24DU738_1015</v>
      </c>
      <c r="T69" s="20" t="str">
        <f ca="1">Master_List!$AW$6</f>
        <v>TOSHIBA</v>
      </c>
      <c r="U69" s="20" t="str">
        <f ca="1">Master_List!$AW$7</f>
        <v>MRMU</v>
      </c>
      <c r="V69" s="20" t="str">
        <f ca="1">Master_List!$AW$8</f>
        <v>12kV</v>
      </c>
      <c r="W69" s="20" t="str">
        <f ca="1">Master_List!$AW$9</f>
        <v>2S1F</v>
      </c>
      <c r="X69" s="20" t="str">
        <f ca="1">Master_List!$AW$10</f>
        <v>MTM</v>
      </c>
      <c r="Y69" s="20" t="str">
        <f ca="1">Master_List!$AW$11</f>
        <v>HERMETICALLY SEAL</v>
      </c>
      <c r="Z69" s="20" t="str">
        <f ca="1">Master_List!$AW$12</f>
        <v>750kVA</v>
      </c>
      <c r="AA69" s="20" t="str">
        <f ca="1">Master_List!$AW$13</f>
        <v>1317</v>
      </c>
      <c r="AB69" s="20">
        <f ca="1">Master_List!$AW$14</f>
        <v>0</v>
      </c>
      <c r="AC69" s="20">
        <f ca="1">Master_List!$AW$15</f>
        <v>0</v>
      </c>
      <c r="AD69" s="20">
        <f ca="1">Master_List!$AW$16</f>
        <v>0</v>
      </c>
      <c r="AE69" s="20">
        <f ca="1">Master_List!$AW$17</f>
        <v>0</v>
      </c>
      <c r="AF69" s="20" t="str">
        <f ca="1">Master_List!$AW$18</f>
        <v>INDKOM</v>
      </c>
      <c r="AG69" s="20" t="str">
        <f ca="1">Master_List!$AW$19</f>
        <v>J-SLOTTED</v>
      </c>
      <c r="AH69" s="20" t="str">
        <f ca="1">Master_List!$AW$20</f>
        <v>1600A</v>
      </c>
      <c r="AI69" s="20" t="str">
        <f ca="1">Master_List!$AW$21</f>
        <v>LV5080090</v>
      </c>
      <c r="AJ69" s="20" t="str">
        <f ca="1">Master_List!$AW$22</f>
        <v>LVDB TX1</v>
      </c>
      <c r="AK69" s="20">
        <f ca="1">Master_List!$AW$23</f>
        <v>0</v>
      </c>
      <c r="AL69" s="20">
        <f ca="1">Master_List!$AW$24</f>
        <v>0</v>
      </c>
      <c r="AM69" s="20">
        <f ca="1">Master_List!$AW$25</f>
        <v>0</v>
      </c>
      <c r="AN69" s="20">
        <f ca="1">Master_List!$AW$26</f>
        <v>0</v>
      </c>
      <c r="AO69" s="20" t="str">
        <f ca="1">Master_List!$AW$27</f>
        <v>LVDB TX2</v>
      </c>
      <c r="AP69" s="20" t="str">
        <f ca="1">Master_List!$AW$28</f>
        <v>SUNPOWER TECHNOLOGIES</v>
      </c>
      <c r="AQ69" s="20" t="str">
        <f ca="1">Master_List!$AW$29</f>
        <v>SPS 30-10 L</v>
      </c>
      <c r="AR69" s="20" t="str">
        <f ca="1">Master_List!$AW$30</f>
        <v>11193-8527</v>
      </c>
      <c r="AS69" s="20">
        <f ca="1">Master_List!$AW$31</f>
        <v>0</v>
      </c>
      <c r="AT69" s="20">
        <f ca="1">Master_List!$AW$32</f>
        <v>0</v>
      </c>
      <c r="AU69" s="20">
        <f ca="1">Master_List!$AW$33</f>
        <v>0</v>
      </c>
      <c r="AV69" s="20">
        <f ca="1">Master_List!$AW$34</f>
        <v>0</v>
      </c>
      <c r="AW69" s="20">
        <f ca="1">Master_List!$AW$35</f>
        <v>0</v>
      </c>
      <c r="AX69" s="20">
        <f ca="1">Master_List!$AW$36</f>
        <v>0</v>
      </c>
      <c r="AY69" s="20">
        <f ca="1">Master_List!$AW$37</f>
        <v>0</v>
      </c>
      <c r="AZ69" s="20">
        <f ca="1">Master_List!$AW$38</f>
        <v>0</v>
      </c>
      <c r="BA69" s="20">
        <f ca="1">Master_List!$AW$39</f>
        <v>0</v>
      </c>
      <c r="BB69" s="20" t="s">
        <v>2240</v>
      </c>
      <c r="BC69" s="20" t="s">
        <v>2241</v>
      </c>
      <c r="BD69" s="6" t="s">
        <v>1744</v>
      </c>
      <c r="BE69" s="6" t="s">
        <v>1784</v>
      </c>
      <c r="BF69" s="6" t="s">
        <v>1748</v>
      </c>
      <c r="BG69" s="6" t="str">
        <f t="shared" si="1"/>
        <v>C:\Users\aremi\Desktop\REPORT CBM\PO 42289580 - Pahang 11kV SECOND CYCLE AZZAD 2026\RAW MATERIAL\047. TNB BARU (IR+VI)\RAW DATA\IR</v>
      </c>
      <c r="BH69" s="24" t="s">
        <v>596</v>
      </c>
    </row>
    <row r="70" spans="1:60" ht="30" customHeight="1" x14ac:dyDescent="0.25">
      <c r="A70" s="6">
        <v>35</v>
      </c>
      <c r="B70" s="6" t="s">
        <v>1536</v>
      </c>
      <c r="C70" s="6">
        <v>1</v>
      </c>
      <c r="D70" s="6" t="s">
        <v>2243</v>
      </c>
      <c r="E70" s="6">
        <v>35</v>
      </c>
      <c r="F70" s="6" t="str">
        <f ca="1">Master_List!$AW$1</f>
        <v>PERPUSTAKAAN PUSAT</v>
      </c>
      <c r="G70" s="27" t="str">
        <f ca="1">Master_List!$AW$2</f>
        <v>09:30 PM</v>
      </c>
      <c r="H70" s="32" t="str">
        <f ca="1">Master_List!$AW$3</f>
        <v>20/07/2026</v>
      </c>
      <c r="I70" s="28" t="str">
        <f ca="1">Master_List!$AW$4</f>
        <v>28.5</v>
      </c>
      <c r="J70" s="6" t="str">
        <f ca="1">Master_List!$AW$5</f>
        <v>65</v>
      </c>
      <c r="K70" s="6" t="s">
        <v>588</v>
      </c>
      <c r="L70" s="21" t="str">
        <f ca="1">IFERROR(VLOOKUP(B70, Master_List!$A:$I, 2, FALSE), "-")</f>
        <v>JJB 87615</v>
      </c>
      <c r="M70" s="22" t="str">
        <f ca="1">IFERROR(VLOOKUP(B70, Master_List!$A:$I, 3, FALSE), "-")</f>
        <v>TX 750KVA</v>
      </c>
      <c r="N70" s="22" t="str">
        <f ca="1">IFERROR(VLOOKUP(B70, Master_List!$A:$I, 4, FALSE), "-")</f>
        <v>NOT ACCESSIBLE</v>
      </c>
      <c r="O70" s="22" t="str">
        <f ca="1">IFERROR(VLOOKUP(B70, Master_List!$A:$I, 5, FALSE), "-")</f>
        <v>CLOSE</v>
      </c>
      <c r="P70" s="22" t="str">
        <f ca="1">IFERROR(VLOOKUP(B70, Master_List!$A:$I, 6, FALSE), "-")</f>
        <v/>
      </c>
      <c r="Q70" s="22" t="str">
        <f ca="1">IFERROR(VLOOKUP(B70, Master_List!$A:$I, 7, FALSE), "-")</f>
        <v/>
      </c>
      <c r="R70" s="22" t="str">
        <f ca="1">IFERROR(VLOOKUP(B70, Master_List!$A:$I, 8, FALSE), "-")</f>
        <v/>
      </c>
      <c r="S70" s="22" t="str">
        <f ca="1">IFERROR(VLOOKUP(B70, Master_List!$A:$I, 9, FALSE), "-")</f>
        <v>24DU738_1015</v>
      </c>
      <c r="T70" s="20" t="str">
        <f ca="1">Master_List!$AW$6</f>
        <v>TOSHIBA</v>
      </c>
      <c r="U70" s="20" t="str">
        <f ca="1">Master_List!$AW$7</f>
        <v>MRMU</v>
      </c>
      <c r="V70" s="20" t="str">
        <f ca="1">Master_List!$AW$8</f>
        <v>12kV</v>
      </c>
      <c r="W70" s="20" t="str">
        <f ca="1">Master_List!$AW$9</f>
        <v>2S1F</v>
      </c>
      <c r="X70" s="20" t="str">
        <f ca="1">Master_List!$AW$10</f>
        <v>MTM</v>
      </c>
      <c r="Y70" s="20" t="str">
        <f ca="1">Master_List!$AW$11</f>
        <v>HERMETICALLY SEAL</v>
      </c>
      <c r="Z70" s="20" t="str">
        <f ca="1">Master_List!$AW$12</f>
        <v>750kVA</v>
      </c>
      <c r="AA70" s="20" t="str">
        <f ca="1">Master_List!$AW$13</f>
        <v>1317</v>
      </c>
      <c r="AB70" s="20">
        <f ca="1">Master_List!$AW$14</f>
        <v>0</v>
      </c>
      <c r="AC70" s="20">
        <f ca="1">Master_List!$AW$15</f>
        <v>0</v>
      </c>
      <c r="AD70" s="20">
        <f ca="1">Master_List!$AW$16</f>
        <v>0</v>
      </c>
      <c r="AE70" s="20">
        <f ca="1">Master_List!$AW$17</f>
        <v>0</v>
      </c>
      <c r="AF70" s="20" t="str">
        <f ca="1">Master_List!$AW$18</f>
        <v>INDKOM</v>
      </c>
      <c r="AG70" s="20" t="str">
        <f ca="1">Master_List!$AW$19</f>
        <v>J-SLOTTED</v>
      </c>
      <c r="AH70" s="20" t="str">
        <f ca="1">Master_List!$AW$20</f>
        <v>1600A</v>
      </c>
      <c r="AI70" s="20" t="str">
        <f ca="1">Master_List!$AW$21</f>
        <v>LV5080090</v>
      </c>
      <c r="AJ70" s="20" t="str">
        <f ca="1">Master_List!$AW$22</f>
        <v>LVDB TX1</v>
      </c>
      <c r="AK70" s="20">
        <f ca="1">Master_List!$AW$23</f>
        <v>0</v>
      </c>
      <c r="AL70" s="20">
        <f ca="1">Master_List!$AW$24</f>
        <v>0</v>
      </c>
      <c r="AM70" s="20">
        <f ca="1">Master_List!$AW$25</f>
        <v>0</v>
      </c>
      <c r="AN70" s="20">
        <f ca="1">Master_List!$AW$26</f>
        <v>0</v>
      </c>
      <c r="AO70" s="20" t="str">
        <f ca="1">Master_List!$AW$27</f>
        <v>LVDB TX2</v>
      </c>
      <c r="AP70" s="20" t="str">
        <f ca="1">Master_List!$AW$28</f>
        <v>SUNPOWER TECHNOLOGIES</v>
      </c>
      <c r="AQ70" s="20" t="str">
        <f ca="1">Master_List!$AW$29</f>
        <v>SPS 30-10 L</v>
      </c>
      <c r="AR70" s="20" t="str">
        <f ca="1">Master_List!$AW$30</f>
        <v>11193-8527</v>
      </c>
      <c r="AS70" s="20">
        <f ca="1">Master_List!$AW$31</f>
        <v>0</v>
      </c>
      <c r="AT70" s="20">
        <f ca="1">Master_List!$AW$32</f>
        <v>0</v>
      </c>
      <c r="AU70" s="20">
        <f ca="1">Master_List!$AW$33</f>
        <v>0</v>
      </c>
      <c r="AV70" s="20">
        <f ca="1">Master_List!$AW$34</f>
        <v>0</v>
      </c>
      <c r="AW70" s="20">
        <f ca="1">Master_List!$AW$35</f>
        <v>0</v>
      </c>
      <c r="AX70" s="20">
        <f ca="1">Master_List!$AW$36</f>
        <v>0</v>
      </c>
      <c r="AY70" s="20">
        <f ca="1">Master_List!$AW$37</f>
        <v>0</v>
      </c>
      <c r="AZ70" s="20">
        <f ca="1">Master_List!$AW$38</f>
        <v>0</v>
      </c>
      <c r="BA70" s="20">
        <f ca="1">Master_List!$AW$39</f>
        <v>0</v>
      </c>
      <c r="BB70" s="20" t="s">
        <v>2240</v>
      </c>
      <c r="BC70" s="20" t="s">
        <v>2241</v>
      </c>
      <c r="BD70" s="6" t="s">
        <v>1744</v>
      </c>
      <c r="BE70" s="6" t="s">
        <v>1785</v>
      </c>
      <c r="BF70" s="6" t="s">
        <v>1746</v>
      </c>
      <c r="BG70" s="6" t="str">
        <f t="shared" si="1"/>
        <v>C:\Users\aremi\Desktop\REPORT CBM\PO 42289580 - Pahang 11kV SECOND CYCLE AZZAD 2026\RAW MATERIAL\047. TNB BARU (IR+VI)\RAW DATA\IR</v>
      </c>
      <c r="BH70" s="24" t="s">
        <v>597</v>
      </c>
    </row>
    <row r="71" spans="1:60" ht="30" customHeight="1" x14ac:dyDescent="0.25">
      <c r="A71" s="6">
        <v>35</v>
      </c>
      <c r="B71" s="6" t="s">
        <v>1536</v>
      </c>
      <c r="C71" s="6">
        <v>1</v>
      </c>
      <c r="D71" s="6" t="s">
        <v>2243</v>
      </c>
      <c r="E71" s="6">
        <v>35</v>
      </c>
      <c r="F71" s="6" t="str">
        <f ca="1">Master_List!$AW$1</f>
        <v>PERPUSTAKAAN PUSAT</v>
      </c>
      <c r="G71" s="27" t="str">
        <f ca="1">Master_List!$AW$2</f>
        <v>09:30 PM</v>
      </c>
      <c r="H71" s="32" t="str">
        <f ca="1">Master_List!$AW$3</f>
        <v>20/07/2026</v>
      </c>
      <c r="I71" s="28" t="str">
        <f ca="1">Master_List!$AW$4</f>
        <v>28.5</v>
      </c>
      <c r="J71" s="6" t="str">
        <f ca="1">Master_List!$AW$5</f>
        <v>65</v>
      </c>
      <c r="K71" s="6" t="s">
        <v>588</v>
      </c>
      <c r="L71" s="21" t="str">
        <f ca="1">IFERROR(VLOOKUP(B71, Master_List!$A:$I, 2, FALSE), "-")</f>
        <v>JJB 87615</v>
      </c>
      <c r="M71" s="22" t="str">
        <f ca="1">IFERROR(VLOOKUP(B71, Master_List!$A:$I, 3, FALSE), "-")</f>
        <v>TX 750KVA</v>
      </c>
      <c r="N71" s="22" t="str">
        <f ca="1">IFERROR(VLOOKUP(B71, Master_List!$A:$I, 4, FALSE), "-")</f>
        <v>NOT ACCESSIBLE</v>
      </c>
      <c r="O71" s="22" t="str">
        <f ca="1">IFERROR(VLOOKUP(B71, Master_List!$A:$I, 5, FALSE), "-")</f>
        <v>CLOSE</v>
      </c>
      <c r="P71" s="22" t="str">
        <f ca="1">IFERROR(VLOOKUP(B71, Master_List!$A:$I, 6, FALSE), "-")</f>
        <v/>
      </c>
      <c r="Q71" s="22" t="str">
        <f ca="1">IFERROR(VLOOKUP(B71, Master_List!$A:$I, 7, FALSE), "-")</f>
        <v/>
      </c>
      <c r="R71" s="22" t="str">
        <f ca="1">IFERROR(VLOOKUP(B71, Master_List!$A:$I, 8, FALSE), "-")</f>
        <v/>
      </c>
      <c r="S71" s="22" t="str">
        <f ca="1">IFERROR(VLOOKUP(B71, Master_List!$A:$I, 9, FALSE), "-")</f>
        <v>24DU738_1015</v>
      </c>
      <c r="T71" s="20" t="str">
        <f ca="1">Master_List!$AW$6</f>
        <v>TOSHIBA</v>
      </c>
      <c r="U71" s="20" t="str">
        <f ca="1">Master_List!$AW$7</f>
        <v>MRMU</v>
      </c>
      <c r="V71" s="20" t="str">
        <f ca="1">Master_List!$AW$8</f>
        <v>12kV</v>
      </c>
      <c r="W71" s="20" t="str">
        <f ca="1">Master_List!$AW$9</f>
        <v>2S1F</v>
      </c>
      <c r="X71" s="20" t="str">
        <f ca="1">Master_List!$AW$10</f>
        <v>MTM</v>
      </c>
      <c r="Y71" s="20" t="str">
        <f ca="1">Master_List!$AW$11</f>
        <v>HERMETICALLY SEAL</v>
      </c>
      <c r="Z71" s="20" t="str">
        <f ca="1">Master_List!$AW$12</f>
        <v>750kVA</v>
      </c>
      <c r="AA71" s="20" t="str">
        <f ca="1">Master_List!$AW$13</f>
        <v>1317</v>
      </c>
      <c r="AB71" s="20">
        <f ca="1">Master_List!$AW$14</f>
        <v>0</v>
      </c>
      <c r="AC71" s="20">
        <f ca="1">Master_List!$AW$15</f>
        <v>0</v>
      </c>
      <c r="AD71" s="20">
        <f ca="1">Master_List!$AW$16</f>
        <v>0</v>
      </c>
      <c r="AE71" s="20">
        <f ca="1">Master_List!$AW$17</f>
        <v>0</v>
      </c>
      <c r="AF71" s="20" t="str">
        <f ca="1">Master_List!$AW$18</f>
        <v>INDKOM</v>
      </c>
      <c r="AG71" s="20" t="str">
        <f ca="1">Master_List!$AW$19</f>
        <v>J-SLOTTED</v>
      </c>
      <c r="AH71" s="20" t="str">
        <f ca="1">Master_List!$AW$20</f>
        <v>1600A</v>
      </c>
      <c r="AI71" s="20" t="str">
        <f ca="1">Master_List!$AW$21</f>
        <v>LV5080090</v>
      </c>
      <c r="AJ71" s="20" t="str">
        <f ca="1">Master_List!$AW$22</f>
        <v>LVDB TX1</v>
      </c>
      <c r="AK71" s="20">
        <f ca="1">Master_List!$AW$23</f>
        <v>0</v>
      </c>
      <c r="AL71" s="20">
        <f ca="1">Master_List!$AW$24</f>
        <v>0</v>
      </c>
      <c r="AM71" s="20">
        <f ca="1">Master_List!$AW$25</f>
        <v>0</v>
      </c>
      <c r="AN71" s="20">
        <f ca="1">Master_List!$AW$26</f>
        <v>0</v>
      </c>
      <c r="AO71" s="20" t="str">
        <f ca="1">Master_List!$AW$27</f>
        <v>LVDB TX2</v>
      </c>
      <c r="AP71" s="20" t="str">
        <f ca="1">Master_List!$AW$28</f>
        <v>SUNPOWER TECHNOLOGIES</v>
      </c>
      <c r="AQ71" s="20" t="str">
        <f ca="1">Master_List!$AW$29</f>
        <v>SPS 30-10 L</v>
      </c>
      <c r="AR71" s="20" t="str">
        <f ca="1">Master_List!$AW$30</f>
        <v>11193-8527</v>
      </c>
      <c r="AS71" s="20">
        <f ca="1">Master_List!$AW$31</f>
        <v>0</v>
      </c>
      <c r="AT71" s="20">
        <f ca="1">Master_List!$AW$32</f>
        <v>0</v>
      </c>
      <c r="AU71" s="20">
        <f ca="1">Master_List!$AW$33</f>
        <v>0</v>
      </c>
      <c r="AV71" s="20">
        <f ca="1">Master_List!$AW$34</f>
        <v>0</v>
      </c>
      <c r="AW71" s="20">
        <f ca="1">Master_List!$AW$35</f>
        <v>0</v>
      </c>
      <c r="AX71" s="20">
        <f ca="1">Master_List!$AW$36</f>
        <v>0</v>
      </c>
      <c r="AY71" s="20">
        <f ca="1">Master_List!$AW$37</f>
        <v>0</v>
      </c>
      <c r="AZ71" s="20">
        <f ca="1">Master_List!$AW$38</f>
        <v>0</v>
      </c>
      <c r="BA71" s="20">
        <f ca="1">Master_List!$AW$39</f>
        <v>0</v>
      </c>
      <c r="BB71" s="20" t="s">
        <v>2240</v>
      </c>
      <c r="BC71" s="20" t="s">
        <v>2241</v>
      </c>
      <c r="BD71" s="6" t="s">
        <v>1744</v>
      </c>
      <c r="BE71" s="6" t="s">
        <v>1785</v>
      </c>
      <c r="BF71" s="6" t="s">
        <v>1748</v>
      </c>
      <c r="BG71" s="6" t="str">
        <f t="shared" si="1"/>
        <v>C:\Users\aremi\Desktop\REPORT CBM\PO 42289580 - Pahang 11kV SECOND CYCLE AZZAD 2026\RAW MATERIAL\047. TNB BARU (IR+VI)\RAW DATA\IR</v>
      </c>
      <c r="BH71" s="24" t="s">
        <v>598</v>
      </c>
    </row>
    <row r="72" spans="1:60" ht="30" customHeight="1" x14ac:dyDescent="0.25">
      <c r="A72" s="6">
        <v>36</v>
      </c>
      <c r="B72" s="6" t="s">
        <v>1536</v>
      </c>
      <c r="C72" s="6">
        <v>1</v>
      </c>
      <c r="D72" s="6" t="s">
        <v>2244</v>
      </c>
      <c r="E72" s="6">
        <v>36</v>
      </c>
      <c r="F72" s="6" t="str">
        <f ca="1">Master_List!$AW$1</f>
        <v>PERPUSTAKAAN PUSAT</v>
      </c>
      <c r="G72" s="27" t="str">
        <f ca="1">Master_List!$AW$2</f>
        <v>09:30 PM</v>
      </c>
      <c r="H72" s="32" t="str">
        <f ca="1">Master_List!$AW$3</f>
        <v>20/07/2026</v>
      </c>
      <c r="I72" s="28" t="str">
        <f ca="1">Master_List!$AW$4</f>
        <v>28.5</v>
      </c>
      <c r="J72" s="6" t="str">
        <f ca="1">Master_List!$AW$5</f>
        <v>65</v>
      </c>
      <c r="K72" s="6" t="s">
        <v>591</v>
      </c>
      <c r="L72" s="21" t="str">
        <f ca="1">IFERROR(VLOOKUP(B72, Master_List!$A:$I, 2, FALSE), "-")</f>
        <v>JJB 87615</v>
      </c>
      <c r="M72" s="22" t="str">
        <f ca="1">IFERROR(VLOOKUP(B72, Master_List!$A:$I, 3, FALSE), "-")</f>
        <v>TX 750KVA</v>
      </c>
      <c r="N72" s="22" t="str">
        <f ca="1">IFERROR(VLOOKUP(B72, Master_List!$A:$I, 4, FALSE), "-")</f>
        <v>NOT ACCESSIBLE</v>
      </c>
      <c r="O72" s="22" t="str">
        <f ca="1">IFERROR(VLOOKUP(B72, Master_List!$A:$I, 5, FALSE), "-")</f>
        <v>CLOSE</v>
      </c>
      <c r="P72" s="22" t="str">
        <f ca="1">IFERROR(VLOOKUP(B72, Master_List!$A:$I, 6, FALSE), "-")</f>
        <v/>
      </c>
      <c r="Q72" s="22" t="str">
        <f ca="1">IFERROR(VLOOKUP(B72, Master_List!$A:$I, 7, FALSE), "-")</f>
        <v/>
      </c>
      <c r="R72" s="22" t="str">
        <f ca="1">IFERROR(VLOOKUP(B72, Master_List!$A:$I, 8, FALSE), "-")</f>
        <v/>
      </c>
      <c r="S72" s="22" t="str">
        <f ca="1">IFERROR(VLOOKUP(B72, Master_List!$A:$I, 9, FALSE), "-")</f>
        <v>24DU738_1015</v>
      </c>
      <c r="T72" s="20" t="str">
        <f ca="1">Master_List!$AW$6</f>
        <v>TOSHIBA</v>
      </c>
      <c r="U72" s="20" t="str">
        <f ca="1">Master_List!$AW$7</f>
        <v>MRMU</v>
      </c>
      <c r="V72" s="20" t="str">
        <f ca="1">Master_List!$AW$8</f>
        <v>12kV</v>
      </c>
      <c r="W72" s="20" t="str">
        <f ca="1">Master_List!$AW$9</f>
        <v>2S1F</v>
      </c>
      <c r="X72" s="20" t="str">
        <f ca="1">Master_List!$AW$10</f>
        <v>MTM</v>
      </c>
      <c r="Y72" s="20" t="str">
        <f ca="1">Master_List!$AW$11</f>
        <v>HERMETICALLY SEAL</v>
      </c>
      <c r="Z72" s="20" t="str">
        <f ca="1">Master_List!$AW$12</f>
        <v>750kVA</v>
      </c>
      <c r="AA72" s="20" t="str">
        <f ca="1">Master_List!$AW$13</f>
        <v>1317</v>
      </c>
      <c r="AB72" s="20">
        <f ca="1">Master_List!$AW$14</f>
        <v>0</v>
      </c>
      <c r="AC72" s="20">
        <f ca="1">Master_List!$AW$15</f>
        <v>0</v>
      </c>
      <c r="AD72" s="20">
        <f ca="1">Master_List!$AW$16</f>
        <v>0</v>
      </c>
      <c r="AE72" s="20">
        <f ca="1">Master_List!$AW$17</f>
        <v>0</v>
      </c>
      <c r="AF72" s="20" t="str">
        <f ca="1">Master_List!$AW$18</f>
        <v>INDKOM</v>
      </c>
      <c r="AG72" s="20" t="str">
        <f ca="1">Master_List!$AW$19</f>
        <v>J-SLOTTED</v>
      </c>
      <c r="AH72" s="20" t="str">
        <f ca="1">Master_List!$AW$20</f>
        <v>1600A</v>
      </c>
      <c r="AI72" s="20" t="str">
        <f ca="1">Master_List!$AW$21</f>
        <v>LV5080090</v>
      </c>
      <c r="AJ72" s="20" t="str">
        <f ca="1">Master_List!$AW$22</f>
        <v>LVDB TX1</v>
      </c>
      <c r="AK72" s="20">
        <f ca="1">Master_List!$AW$23</f>
        <v>0</v>
      </c>
      <c r="AL72" s="20">
        <f ca="1">Master_List!$AW$24</f>
        <v>0</v>
      </c>
      <c r="AM72" s="20">
        <f ca="1">Master_List!$AW$25</f>
        <v>0</v>
      </c>
      <c r="AN72" s="20">
        <f ca="1">Master_List!$AW$26</f>
        <v>0</v>
      </c>
      <c r="AO72" s="20" t="str">
        <f ca="1">Master_List!$AW$27</f>
        <v>LVDB TX2</v>
      </c>
      <c r="AP72" s="20" t="str">
        <f ca="1">Master_List!$AW$28</f>
        <v>SUNPOWER TECHNOLOGIES</v>
      </c>
      <c r="AQ72" s="20" t="str">
        <f ca="1">Master_List!$AW$29</f>
        <v>SPS 30-10 L</v>
      </c>
      <c r="AR72" s="20" t="str">
        <f ca="1">Master_List!$AW$30</f>
        <v>11193-8527</v>
      </c>
      <c r="AS72" s="20">
        <f ca="1">Master_List!$AW$31</f>
        <v>0</v>
      </c>
      <c r="AT72" s="20">
        <f ca="1">Master_List!$AW$32</f>
        <v>0</v>
      </c>
      <c r="AU72" s="20">
        <f ca="1">Master_List!$AW$33</f>
        <v>0</v>
      </c>
      <c r="AV72" s="20">
        <f ca="1">Master_List!$AW$34</f>
        <v>0</v>
      </c>
      <c r="AW72" s="20">
        <f ca="1">Master_List!$AW$35</f>
        <v>0</v>
      </c>
      <c r="AX72" s="20">
        <f ca="1">Master_List!$AW$36</f>
        <v>0</v>
      </c>
      <c r="AY72" s="20">
        <f ca="1">Master_List!$AW$37</f>
        <v>0</v>
      </c>
      <c r="AZ72" s="20">
        <f ca="1">Master_List!$AW$38</f>
        <v>0</v>
      </c>
      <c r="BA72" s="20">
        <f ca="1">Master_List!$AW$39</f>
        <v>0</v>
      </c>
      <c r="BB72" s="20" t="s">
        <v>2240</v>
      </c>
      <c r="BC72" s="20" t="s">
        <v>2241</v>
      </c>
      <c r="BD72" s="6" t="s">
        <v>1744</v>
      </c>
      <c r="BE72" s="6" t="s">
        <v>1786</v>
      </c>
      <c r="BF72" s="6" t="s">
        <v>1746</v>
      </c>
      <c r="BG72" s="6" t="str">
        <f t="shared" si="1"/>
        <v>C:\Users\aremi\Desktop\REPORT CBM\PO 42289580 - Pahang 11kV SECOND CYCLE AZZAD 2026\RAW MATERIAL\047. TNB BARU (IR+VI)\RAW DATA\IR</v>
      </c>
      <c r="BH72" s="24" t="s">
        <v>599</v>
      </c>
    </row>
    <row r="73" spans="1:60" ht="30" customHeight="1" x14ac:dyDescent="0.25">
      <c r="A73" s="6">
        <v>36</v>
      </c>
      <c r="B73" s="6" t="s">
        <v>1536</v>
      </c>
      <c r="C73" s="6">
        <v>1</v>
      </c>
      <c r="D73" s="6" t="s">
        <v>2244</v>
      </c>
      <c r="E73" s="6">
        <v>36</v>
      </c>
      <c r="F73" s="6" t="str">
        <f ca="1">Master_List!$AW$1</f>
        <v>PERPUSTAKAAN PUSAT</v>
      </c>
      <c r="G73" s="27" t="str">
        <f ca="1">Master_List!$AW$2</f>
        <v>09:30 PM</v>
      </c>
      <c r="H73" s="32" t="str">
        <f ca="1">Master_List!$AW$3</f>
        <v>20/07/2026</v>
      </c>
      <c r="I73" s="28" t="str">
        <f ca="1">Master_List!$AW$4</f>
        <v>28.5</v>
      </c>
      <c r="J73" s="6" t="str">
        <f ca="1">Master_List!$AW$5</f>
        <v>65</v>
      </c>
      <c r="K73" s="6" t="s">
        <v>591</v>
      </c>
      <c r="L73" s="21" t="str">
        <f ca="1">IFERROR(VLOOKUP(B73, Master_List!$A:$I, 2, FALSE), "-")</f>
        <v>JJB 87615</v>
      </c>
      <c r="M73" s="22" t="str">
        <f ca="1">IFERROR(VLOOKUP(B73, Master_List!$A:$I, 3, FALSE), "-")</f>
        <v>TX 750KVA</v>
      </c>
      <c r="N73" s="22" t="str">
        <f ca="1">IFERROR(VLOOKUP(B73, Master_List!$A:$I, 4, FALSE), "-")</f>
        <v>NOT ACCESSIBLE</v>
      </c>
      <c r="O73" s="22" t="str">
        <f ca="1">IFERROR(VLOOKUP(B73, Master_List!$A:$I, 5, FALSE), "-")</f>
        <v>CLOSE</v>
      </c>
      <c r="P73" s="22" t="str">
        <f ca="1">IFERROR(VLOOKUP(B73, Master_List!$A:$I, 6, FALSE), "-")</f>
        <v/>
      </c>
      <c r="Q73" s="22" t="str">
        <f ca="1">IFERROR(VLOOKUP(B73, Master_List!$A:$I, 7, FALSE), "-")</f>
        <v/>
      </c>
      <c r="R73" s="22" t="str">
        <f ca="1">IFERROR(VLOOKUP(B73, Master_List!$A:$I, 8, FALSE), "-")</f>
        <v/>
      </c>
      <c r="S73" s="22" t="str">
        <f ca="1">IFERROR(VLOOKUP(B73, Master_List!$A:$I, 9, FALSE), "-")</f>
        <v>24DU738_1015</v>
      </c>
      <c r="T73" s="20" t="str">
        <f ca="1">Master_List!$AW$6</f>
        <v>TOSHIBA</v>
      </c>
      <c r="U73" s="20" t="str">
        <f ca="1">Master_List!$AW$7</f>
        <v>MRMU</v>
      </c>
      <c r="V73" s="20" t="str">
        <f ca="1">Master_List!$AW$8</f>
        <v>12kV</v>
      </c>
      <c r="W73" s="20" t="str">
        <f ca="1">Master_List!$AW$9</f>
        <v>2S1F</v>
      </c>
      <c r="X73" s="20" t="str">
        <f ca="1">Master_List!$AW$10</f>
        <v>MTM</v>
      </c>
      <c r="Y73" s="20" t="str">
        <f ca="1">Master_List!$AW$11</f>
        <v>HERMETICALLY SEAL</v>
      </c>
      <c r="Z73" s="20" t="str">
        <f ca="1">Master_List!$AW$12</f>
        <v>750kVA</v>
      </c>
      <c r="AA73" s="20" t="str">
        <f ca="1">Master_List!$AW$13</f>
        <v>1317</v>
      </c>
      <c r="AB73" s="20">
        <f ca="1">Master_List!$AW$14</f>
        <v>0</v>
      </c>
      <c r="AC73" s="20">
        <f ca="1">Master_List!$AW$15</f>
        <v>0</v>
      </c>
      <c r="AD73" s="20">
        <f ca="1">Master_List!$AW$16</f>
        <v>0</v>
      </c>
      <c r="AE73" s="20">
        <f ca="1">Master_List!$AW$17</f>
        <v>0</v>
      </c>
      <c r="AF73" s="20" t="str">
        <f ca="1">Master_List!$AW$18</f>
        <v>INDKOM</v>
      </c>
      <c r="AG73" s="20" t="str">
        <f ca="1">Master_List!$AW$19</f>
        <v>J-SLOTTED</v>
      </c>
      <c r="AH73" s="20" t="str">
        <f ca="1">Master_List!$AW$20</f>
        <v>1600A</v>
      </c>
      <c r="AI73" s="20" t="str">
        <f ca="1">Master_List!$AW$21</f>
        <v>LV5080090</v>
      </c>
      <c r="AJ73" s="20" t="str">
        <f ca="1">Master_List!$AW$22</f>
        <v>LVDB TX1</v>
      </c>
      <c r="AK73" s="20">
        <f ca="1">Master_List!$AW$23</f>
        <v>0</v>
      </c>
      <c r="AL73" s="20">
        <f ca="1">Master_List!$AW$24</f>
        <v>0</v>
      </c>
      <c r="AM73" s="20">
        <f ca="1">Master_List!$AW$25</f>
        <v>0</v>
      </c>
      <c r="AN73" s="20">
        <f ca="1">Master_List!$AW$26</f>
        <v>0</v>
      </c>
      <c r="AO73" s="20" t="str">
        <f ca="1">Master_List!$AW$27</f>
        <v>LVDB TX2</v>
      </c>
      <c r="AP73" s="20" t="str">
        <f ca="1">Master_List!$AW$28</f>
        <v>SUNPOWER TECHNOLOGIES</v>
      </c>
      <c r="AQ73" s="20" t="str">
        <f ca="1">Master_List!$AW$29</f>
        <v>SPS 30-10 L</v>
      </c>
      <c r="AR73" s="20" t="str">
        <f ca="1">Master_List!$AW$30</f>
        <v>11193-8527</v>
      </c>
      <c r="AS73" s="20">
        <f ca="1">Master_List!$AW$31</f>
        <v>0</v>
      </c>
      <c r="AT73" s="20">
        <f ca="1">Master_List!$AW$32</f>
        <v>0</v>
      </c>
      <c r="AU73" s="20">
        <f ca="1">Master_List!$AW$33</f>
        <v>0</v>
      </c>
      <c r="AV73" s="20">
        <f ca="1">Master_List!$AW$34</f>
        <v>0</v>
      </c>
      <c r="AW73" s="20">
        <f ca="1">Master_List!$AW$35</f>
        <v>0</v>
      </c>
      <c r="AX73" s="20">
        <f ca="1">Master_List!$AW$36</f>
        <v>0</v>
      </c>
      <c r="AY73" s="20">
        <f ca="1">Master_List!$AW$37</f>
        <v>0</v>
      </c>
      <c r="AZ73" s="20">
        <f ca="1">Master_List!$AW$38</f>
        <v>0</v>
      </c>
      <c r="BA73" s="20">
        <f ca="1">Master_List!$AW$39</f>
        <v>0</v>
      </c>
      <c r="BB73" s="20" t="s">
        <v>2240</v>
      </c>
      <c r="BC73" s="20" t="s">
        <v>2241</v>
      </c>
      <c r="BD73" s="6" t="s">
        <v>1744</v>
      </c>
      <c r="BE73" s="6" t="s">
        <v>1786</v>
      </c>
      <c r="BF73" s="6" t="s">
        <v>1748</v>
      </c>
      <c r="BG73" s="6" t="str">
        <f t="shared" si="1"/>
        <v>C:\Users\aremi\Desktop\REPORT CBM\PO 42289580 - Pahang 11kV SECOND CYCLE AZZAD 2026\RAW MATERIAL\047. TNB BARU (IR+VI)\RAW DATA\IR</v>
      </c>
      <c r="BH73" s="24" t="s">
        <v>600</v>
      </c>
    </row>
    <row r="74" spans="1:60" ht="30" customHeight="1" x14ac:dyDescent="0.25">
      <c r="A74" s="6">
        <v>37</v>
      </c>
      <c r="B74" s="6" t="s">
        <v>1537</v>
      </c>
      <c r="C74" s="6">
        <v>1</v>
      </c>
      <c r="D74" s="6" t="s">
        <v>2242</v>
      </c>
      <c r="E74" s="6">
        <v>37</v>
      </c>
      <c r="F74" s="6" t="str">
        <f ca="1">Master_List!$AW$1</f>
        <v>PERPUSTAKAAN PUSAT</v>
      </c>
      <c r="G74" s="27" t="str">
        <f ca="1">Master_List!$AW$2</f>
        <v>09:30 PM</v>
      </c>
      <c r="H74" s="32" t="str">
        <f ca="1">Master_List!$AW$3</f>
        <v>20/07/2026</v>
      </c>
      <c r="I74" s="28" t="str">
        <f ca="1">Master_List!$AW$4</f>
        <v>28.5</v>
      </c>
      <c r="J74" s="6" t="str">
        <f ca="1">Master_List!$AW$5</f>
        <v>65</v>
      </c>
      <c r="K74" s="6" t="s">
        <v>570</v>
      </c>
      <c r="L74" s="21" t="str">
        <f ca="1">IFERROR(VLOOKUP(B74, Master_List!$A:$I, 2, FALSE), "-")</f>
        <v/>
      </c>
      <c r="M74" s="22" t="str">
        <f ca="1">IFERROR(VLOOKUP(B74, Master_List!$A:$I, 3, FALSE), "-")</f>
        <v/>
      </c>
      <c r="N74" s="22" t="str">
        <f ca="1">IFERROR(VLOOKUP(B74, Master_List!$A:$I, 4, FALSE), "-")</f>
        <v/>
      </c>
      <c r="O74" s="22" t="str">
        <f ca="1">IFERROR(VLOOKUP(B74, Master_List!$A:$I, 5, FALSE), "-")</f>
        <v/>
      </c>
      <c r="P74" s="22" t="str">
        <f ca="1">IFERROR(VLOOKUP(B74, Master_List!$A:$I, 6, FALSE), "-")</f>
        <v/>
      </c>
      <c r="Q74" s="22" t="str">
        <f ca="1">IFERROR(VLOOKUP(B74, Master_List!$A:$I, 7, FALSE), "-")</f>
        <v/>
      </c>
      <c r="R74" s="22" t="str">
        <f ca="1">IFERROR(VLOOKUP(B74, Master_List!$A:$I, 8, FALSE), "-")</f>
        <v/>
      </c>
      <c r="S74" s="22" t="str">
        <f ca="1">IFERROR(VLOOKUP(B74, Master_List!$A:$I, 9, FALSE), "-")</f>
        <v>24DU738_1015</v>
      </c>
      <c r="T74" s="20" t="str">
        <f ca="1">Master_List!$AW$6</f>
        <v>TOSHIBA</v>
      </c>
      <c r="U74" s="20" t="str">
        <f ca="1">Master_List!$AW$7</f>
        <v>MRMU</v>
      </c>
      <c r="V74" s="20" t="str">
        <f ca="1">Master_List!$AW$8</f>
        <v>12kV</v>
      </c>
      <c r="W74" s="20" t="str">
        <f ca="1">Master_List!$AW$9</f>
        <v>2S1F</v>
      </c>
      <c r="X74" s="20" t="str">
        <f ca="1">Master_List!$AW$10</f>
        <v>MTM</v>
      </c>
      <c r="Y74" s="20" t="str">
        <f ca="1">Master_List!$AW$11</f>
        <v>HERMETICALLY SEAL</v>
      </c>
      <c r="Z74" s="20" t="str">
        <f ca="1">Master_List!$AW$12</f>
        <v>750kVA</v>
      </c>
      <c r="AA74" s="20" t="str">
        <f ca="1">Master_List!$AW$13</f>
        <v>1317</v>
      </c>
      <c r="AB74" s="20">
        <f ca="1">Master_List!$AW$14</f>
        <v>0</v>
      </c>
      <c r="AC74" s="20">
        <f ca="1">Master_List!$AW$15</f>
        <v>0</v>
      </c>
      <c r="AD74" s="20">
        <f ca="1">Master_List!$AW$16</f>
        <v>0</v>
      </c>
      <c r="AE74" s="20">
        <f ca="1">Master_List!$AW$17</f>
        <v>0</v>
      </c>
      <c r="AF74" s="20" t="str">
        <f ca="1">Master_List!$AW$18</f>
        <v>INDKOM</v>
      </c>
      <c r="AG74" s="20" t="str">
        <f ca="1">Master_List!$AW$19</f>
        <v>J-SLOTTED</v>
      </c>
      <c r="AH74" s="20" t="str">
        <f ca="1">Master_List!$AW$20</f>
        <v>1600A</v>
      </c>
      <c r="AI74" s="20" t="str">
        <f ca="1">Master_List!$AW$21</f>
        <v>LV5080090</v>
      </c>
      <c r="AJ74" s="20" t="str">
        <f ca="1">Master_List!$AW$22</f>
        <v>LVDB TX1</v>
      </c>
      <c r="AK74" s="20">
        <f ca="1">Master_List!$AW$23</f>
        <v>0</v>
      </c>
      <c r="AL74" s="20">
        <f ca="1">Master_List!$AW$24</f>
        <v>0</v>
      </c>
      <c r="AM74" s="20">
        <f ca="1">Master_List!$AW$25</f>
        <v>0</v>
      </c>
      <c r="AN74" s="20">
        <f ca="1">Master_List!$AW$26</f>
        <v>0</v>
      </c>
      <c r="AO74" s="20" t="str">
        <f ca="1">Master_List!$AW$27</f>
        <v>LVDB TX2</v>
      </c>
      <c r="AP74" s="20" t="str">
        <f ca="1">Master_List!$AW$28</f>
        <v>SUNPOWER TECHNOLOGIES</v>
      </c>
      <c r="AQ74" s="20" t="str">
        <f ca="1">Master_List!$AW$29</f>
        <v>SPS 30-10 L</v>
      </c>
      <c r="AR74" s="20" t="str">
        <f ca="1">Master_List!$AW$30</f>
        <v>11193-8527</v>
      </c>
      <c r="AS74" s="20">
        <f ca="1">Master_List!$AW$31</f>
        <v>0</v>
      </c>
      <c r="AT74" s="20">
        <f ca="1">Master_List!$AW$32</f>
        <v>0</v>
      </c>
      <c r="AU74" s="20">
        <f ca="1">Master_List!$AW$33</f>
        <v>0</v>
      </c>
      <c r="AV74" s="20">
        <f ca="1">Master_List!$AW$34</f>
        <v>0</v>
      </c>
      <c r="AW74" s="20">
        <f ca="1">Master_List!$AW$35</f>
        <v>0</v>
      </c>
      <c r="AX74" s="20">
        <f ca="1">Master_List!$AW$36</f>
        <v>0</v>
      </c>
      <c r="AY74" s="20">
        <f ca="1">Master_List!$AW$37</f>
        <v>0</v>
      </c>
      <c r="AZ74" s="20">
        <f ca="1">Master_List!$AW$38</f>
        <v>0</v>
      </c>
      <c r="BA74" s="20">
        <f ca="1">Master_List!$AW$39</f>
        <v>0</v>
      </c>
      <c r="BB74" s="20" t="s">
        <v>2240</v>
      </c>
      <c r="BC74" s="20" t="s">
        <v>2241</v>
      </c>
      <c r="BD74" s="6" t="s">
        <v>1744</v>
      </c>
      <c r="BE74" s="6" t="s">
        <v>1787</v>
      </c>
      <c r="BF74" s="6" t="s">
        <v>1746</v>
      </c>
      <c r="BG74" s="6" t="str">
        <f t="shared" si="1"/>
        <v>C:\Users\aremi\Desktop\REPORT CBM\PO 42289580 - Pahang 11kV SECOND CYCLE AZZAD 2026\RAW MATERIAL\047. TNB BARU (IR+VI)\RAW DATA\IR</v>
      </c>
      <c r="BH74" s="24" t="s">
        <v>601</v>
      </c>
    </row>
    <row r="75" spans="1:60" ht="30" customHeight="1" x14ac:dyDescent="0.25">
      <c r="A75" s="6">
        <v>37</v>
      </c>
      <c r="B75" s="6" t="s">
        <v>1537</v>
      </c>
      <c r="C75" s="6">
        <v>1</v>
      </c>
      <c r="D75" s="6" t="s">
        <v>2242</v>
      </c>
      <c r="E75" s="6">
        <v>37</v>
      </c>
      <c r="F75" s="6" t="str">
        <f ca="1">Master_List!$AW$1</f>
        <v>PERPUSTAKAAN PUSAT</v>
      </c>
      <c r="G75" s="27" t="str">
        <f ca="1">Master_List!$AW$2</f>
        <v>09:30 PM</v>
      </c>
      <c r="H75" s="32" t="str">
        <f ca="1">Master_List!$AW$3</f>
        <v>20/07/2026</v>
      </c>
      <c r="I75" s="28" t="str">
        <f ca="1">Master_List!$AW$4</f>
        <v>28.5</v>
      </c>
      <c r="J75" s="6" t="str">
        <f ca="1">Master_List!$AW$5</f>
        <v>65</v>
      </c>
      <c r="K75" s="6" t="s">
        <v>570</v>
      </c>
      <c r="L75" s="21" t="str">
        <f ca="1">IFERROR(VLOOKUP(B75, Master_List!$A:$I, 2, FALSE), "-")</f>
        <v/>
      </c>
      <c r="M75" s="22" t="str">
        <f ca="1">IFERROR(VLOOKUP(B75, Master_List!$A:$I, 3, FALSE), "-")</f>
        <v/>
      </c>
      <c r="N75" s="22" t="str">
        <f ca="1">IFERROR(VLOOKUP(B75, Master_List!$A:$I, 4, FALSE), "-")</f>
        <v/>
      </c>
      <c r="O75" s="22" t="str">
        <f ca="1">IFERROR(VLOOKUP(B75, Master_List!$A:$I, 5, FALSE), "-")</f>
        <v/>
      </c>
      <c r="P75" s="22" t="str">
        <f ca="1">IFERROR(VLOOKUP(B75, Master_List!$A:$I, 6, FALSE), "-")</f>
        <v/>
      </c>
      <c r="Q75" s="22" t="str">
        <f ca="1">IFERROR(VLOOKUP(B75, Master_List!$A:$I, 7, FALSE), "-")</f>
        <v/>
      </c>
      <c r="R75" s="22" t="str">
        <f ca="1">IFERROR(VLOOKUP(B75, Master_List!$A:$I, 8, FALSE), "-")</f>
        <v/>
      </c>
      <c r="S75" s="22" t="str">
        <f ca="1">IFERROR(VLOOKUP(B75, Master_List!$A:$I, 9, FALSE), "-")</f>
        <v>24DU738_1015</v>
      </c>
      <c r="T75" s="20" t="str">
        <f ca="1">Master_List!$AW$6</f>
        <v>TOSHIBA</v>
      </c>
      <c r="U75" s="20" t="str">
        <f ca="1">Master_List!$AW$7</f>
        <v>MRMU</v>
      </c>
      <c r="V75" s="20" t="str">
        <f ca="1">Master_List!$AW$8</f>
        <v>12kV</v>
      </c>
      <c r="W75" s="20" t="str">
        <f ca="1">Master_List!$AW$9</f>
        <v>2S1F</v>
      </c>
      <c r="X75" s="20" t="str">
        <f ca="1">Master_List!$AW$10</f>
        <v>MTM</v>
      </c>
      <c r="Y75" s="20" t="str">
        <f ca="1">Master_List!$AW$11</f>
        <v>HERMETICALLY SEAL</v>
      </c>
      <c r="Z75" s="20" t="str">
        <f ca="1">Master_List!$AW$12</f>
        <v>750kVA</v>
      </c>
      <c r="AA75" s="20" t="str">
        <f ca="1">Master_List!$AW$13</f>
        <v>1317</v>
      </c>
      <c r="AB75" s="20">
        <f ca="1">Master_List!$AW$14</f>
        <v>0</v>
      </c>
      <c r="AC75" s="20">
        <f ca="1">Master_List!$AW$15</f>
        <v>0</v>
      </c>
      <c r="AD75" s="20">
        <f ca="1">Master_List!$AW$16</f>
        <v>0</v>
      </c>
      <c r="AE75" s="20">
        <f ca="1">Master_List!$AW$17</f>
        <v>0</v>
      </c>
      <c r="AF75" s="20" t="str">
        <f ca="1">Master_List!$AW$18</f>
        <v>INDKOM</v>
      </c>
      <c r="AG75" s="20" t="str">
        <f ca="1">Master_List!$AW$19</f>
        <v>J-SLOTTED</v>
      </c>
      <c r="AH75" s="20" t="str">
        <f ca="1">Master_List!$AW$20</f>
        <v>1600A</v>
      </c>
      <c r="AI75" s="20" t="str">
        <f ca="1">Master_List!$AW$21</f>
        <v>LV5080090</v>
      </c>
      <c r="AJ75" s="20" t="str">
        <f ca="1">Master_List!$AW$22</f>
        <v>LVDB TX1</v>
      </c>
      <c r="AK75" s="20">
        <f ca="1">Master_List!$AW$23</f>
        <v>0</v>
      </c>
      <c r="AL75" s="20">
        <f ca="1">Master_List!$AW$24</f>
        <v>0</v>
      </c>
      <c r="AM75" s="20">
        <f ca="1">Master_List!$AW$25</f>
        <v>0</v>
      </c>
      <c r="AN75" s="20">
        <f ca="1">Master_List!$AW$26</f>
        <v>0</v>
      </c>
      <c r="AO75" s="20" t="str">
        <f ca="1">Master_List!$AW$27</f>
        <v>LVDB TX2</v>
      </c>
      <c r="AP75" s="20" t="str">
        <f ca="1">Master_List!$AW$28</f>
        <v>SUNPOWER TECHNOLOGIES</v>
      </c>
      <c r="AQ75" s="20" t="str">
        <f ca="1">Master_List!$AW$29</f>
        <v>SPS 30-10 L</v>
      </c>
      <c r="AR75" s="20" t="str">
        <f ca="1">Master_List!$AW$30</f>
        <v>11193-8527</v>
      </c>
      <c r="AS75" s="20">
        <f ca="1">Master_List!$AW$31</f>
        <v>0</v>
      </c>
      <c r="AT75" s="20">
        <f ca="1">Master_List!$AW$32</f>
        <v>0</v>
      </c>
      <c r="AU75" s="20">
        <f ca="1">Master_List!$AW$33</f>
        <v>0</v>
      </c>
      <c r="AV75" s="20">
        <f ca="1">Master_List!$AW$34</f>
        <v>0</v>
      </c>
      <c r="AW75" s="20">
        <f ca="1">Master_List!$AW$35</f>
        <v>0</v>
      </c>
      <c r="AX75" s="20">
        <f ca="1">Master_List!$AW$36</f>
        <v>0</v>
      </c>
      <c r="AY75" s="20">
        <f ca="1">Master_List!$AW$37</f>
        <v>0</v>
      </c>
      <c r="AZ75" s="20">
        <f ca="1">Master_List!$AW$38</f>
        <v>0</v>
      </c>
      <c r="BA75" s="20">
        <f ca="1">Master_List!$AW$39</f>
        <v>0</v>
      </c>
      <c r="BB75" s="20" t="s">
        <v>2240</v>
      </c>
      <c r="BC75" s="20" t="s">
        <v>2241</v>
      </c>
      <c r="BD75" s="6" t="s">
        <v>1744</v>
      </c>
      <c r="BE75" s="6" t="s">
        <v>1787</v>
      </c>
      <c r="BF75" s="6" t="s">
        <v>1748</v>
      </c>
      <c r="BG75" s="6" t="str">
        <f t="shared" si="1"/>
        <v>C:\Users\aremi\Desktop\REPORT CBM\PO 42289580 - Pahang 11kV SECOND CYCLE AZZAD 2026\RAW MATERIAL\047. TNB BARU (IR+VI)\RAW DATA\IR</v>
      </c>
      <c r="BH75" s="24" t="s">
        <v>602</v>
      </c>
    </row>
    <row r="76" spans="1:60" ht="30" customHeight="1" x14ac:dyDescent="0.25">
      <c r="A76" s="6">
        <v>38</v>
      </c>
      <c r="B76" s="6" t="s">
        <v>1537</v>
      </c>
      <c r="C76" s="6">
        <v>1</v>
      </c>
      <c r="D76" s="6" t="s">
        <v>2242</v>
      </c>
      <c r="E76" s="6">
        <v>38</v>
      </c>
      <c r="F76" s="6" t="str">
        <f ca="1">Master_List!$AW$1</f>
        <v>PERPUSTAKAAN PUSAT</v>
      </c>
      <c r="G76" s="27" t="str">
        <f ca="1">Master_List!$AW$2</f>
        <v>09:30 PM</v>
      </c>
      <c r="H76" s="32" t="str">
        <f ca="1">Master_List!$AW$3</f>
        <v>20/07/2026</v>
      </c>
      <c r="I76" s="28" t="str">
        <f ca="1">Master_List!$AW$4</f>
        <v>28.5</v>
      </c>
      <c r="J76" s="6" t="str">
        <f ca="1">Master_List!$AW$5</f>
        <v>65</v>
      </c>
      <c r="K76" s="6" t="s">
        <v>573</v>
      </c>
      <c r="L76" s="21" t="str">
        <f ca="1">IFERROR(VLOOKUP(B76, Master_List!$A:$I, 2, FALSE), "-")</f>
        <v/>
      </c>
      <c r="M76" s="22" t="str">
        <f ca="1">IFERROR(VLOOKUP(B76, Master_List!$A:$I, 3, FALSE), "-")</f>
        <v/>
      </c>
      <c r="N76" s="22" t="str">
        <f ca="1">IFERROR(VLOOKUP(B76, Master_List!$A:$I, 4, FALSE), "-")</f>
        <v/>
      </c>
      <c r="O76" s="22" t="str">
        <f ca="1">IFERROR(VLOOKUP(B76, Master_List!$A:$I, 5, FALSE), "-")</f>
        <v/>
      </c>
      <c r="P76" s="22" t="str">
        <f ca="1">IFERROR(VLOOKUP(B76, Master_List!$A:$I, 6, FALSE), "-")</f>
        <v/>
      </c>
      <c r="Q76" s="22" t="str">
        <f ca="1">IFERROR(VLOOKUP(B76, Master_List!$A:$I, 7, FALSE), "-")</f>
        <v/>
      </c>
      <c r="R76" s="22" t="str">
        <f ca="1">IFERROR(VLOOKUP(B76, Master_List!$A:$I, 8, FALSE), "-")</f>
        <v/>
      </c>
      <c r="S76" s="22" t="str">
        <f ca="1">IFERROR(VLOOKUP(B76, Master_List!$A:$I, 9, FALSE), "-")</f>
        <v>24DU738_1015</v>
      </c>
      <c r="T76" s="20" t="str">
        <f ca="1">Master_List!$AW$6</f>
        <v>TOSHIBA</v>
      </c>
      <c r="U76" s="20" t="str">
        <f ca="1">Master_List!$AW$7</f>
        <v>MRMU</v>
      </c>
      <c r="V76" s="20" t="str">
        <f ca="1">Master_List!$AW$8</f>
        <v>12kV</v>
      </c>
      <c r="W76" s="20" t="str">
        <f ca="1">Master_List!$AW$9</f>
        <v>2S1F</v>
      </c>
      <c r="X76" s="20" t="str">
        <f ca="1">Master_List!$AW$10</f>
        <v>MTM</v>
      </c>
      <c r="Y76" s="20" t="str">
        <f ca="1">Master_List!$AW$11</f>
        <v>HERMETICALLY SEAL</v>
      </c>
      <c r="Z76" s="20" t="str">
        <f ca="1">Master_List!$AW$12</f>
        <v>750kVA</v>
      </c>
      <c r="AA76" s="20" t="str">
        <f ca="1">Master_List!$AW$13</f>
        <v>1317</v>
      </c>
      <c r="AB76" s="20">
        <f ca="1">Master_List!$AW$14</f>
        <v>0</v>
      </c>
      <c r="AC76" s="20">
        <f ca="1">Master_List!$AW$15</f>
        <v>0</v>
      </c>
      <c r="AD76" s="20">
        <f ca="1">Master_List!$AW$16</f>
        <v>0</v>
      </c>
      <c r="AE76" s="20">
        <f ca="1">Master_List!$AW$17</f>
        <v>0</v>
      </c>
      <c r="AF76" s="20" t="str">
        <f ca="1">Master_List!$AW$18</f>
        <v>INDKOM</v>
      </c>
      <c r="AG76" s="20" t="str">
        <f ca="1">Master_List!$AW$19</f>
        <v>J-SLOTTED</v>
      </c>
      <c r="AH76" s="20" t="str">
        <f ca="1">Master_List!$AW$20</f>
        <v>1600A</v>
      </c>
      <c r="AI76" s="20" t="str">
        <f ca="1">Master_List!$AW$21</f>
        <v>LV5080090</v>
      </c>
      <c r="AJ76" s="20" t="str">
        <f ca="1">Master_List!$AW$22</f>
        <v>LVDB TX1</v>
      </c>
      <c r="AK76" s="20">
        <f ca="1">Master_List!$AW$23</f>
        <v>0</v>
      </c>
      <c r="AL76" s="20">
        <f ca="1">Master_List!$AW$24</f>
        <v>0</v>
      </c>
      <c r="AM76" s="20">
        <f ca="1">Master_List!$AW$25</f>
        <v>0</v>
      </c>
      <c r="AN76" s="20">
        <f ca="1">Master_List!$AW$26</f>
        <v>0</v>
      </c>
      <c r="AO76" s="20" t="str">
        <f ca="1">Master_List!$AW$27</f>
        <v>LVDB TX2</v>
      </c>
      <c r="AP76" s="20" t="str">
        <f ca="1">Master_List!$AW$28</f>
        <v>SUNPOWER TECHNOLOGIES</v>
      </c>
      <c r="AQ76" s="20" t="str">
        <f ca="1">Master_List!$AW$29</f>
        <v>SPS 30-10 L</v>
      </c>
      <c r="AR76" s="20" t="str">
        <f ca="1">Master_List!$AW$30</f>
        <v>11193-8527</v>
      </c>
      <c r="AS76" s="20">
        <f ca="1">Master_List!$AW$31</f>
        <v>0</v>
      </c>
      <c r="AT76" s="20">
        <f ca="1">Master_List!$AW$32</f>
        <v>0</v>
      </c>
      <c r="AU76" s="20">
        <f ca="1">Master_List!$AW$33</f>
        <v>0</v>
      </c>
      <c r="AV76" s="20">
        <f ca="1">Master_List!$AW$34</f>
        <v>0</v>
      </c>
      <c r="AW76" s="20">
        <f ca="1">Master_List!$AW$35</f>
        <v>0</v>
      </c>
      <c r="AX76" s="20">
        <f ca="1">Master_List!$AW$36</f>
        <v>0</v>
      </c>
      <c r="AY76" s="20">
        <f ca="1">Master_List!$AW$37</f>
        <v>0</v>
      </c>
      <c r="AZ76" s="20">
        <f ca="1">Master_List!$AW$38</f>
        <v>0</v>
      </c>
      <c r="BA76" s="20">
        <f ca="1">Master_List!$AW$39</f>
        <v>0</v>
      </c>
      <c r="BB76" s="20" t="s">
        <v>2240</v>
      </c>
      <c r="BC76" s="20" t="s">
        <v>2241</v>
      </c>
      <c r="BD76" s="6" t="s">
        <v>1744</v>
      </c>
      <c r="BE76" s="6" t="s">
        <v>1788</v>
      </c>
      <c r="BF76" s="6" t="s">
        <v>1746</v>
      </c>
      <c r="BG76" s="6" t="str">
        <f t="shared" si="1"/>
        <v>C:\Users\aremi\Desktop\REPORT CBM\PO 42289580 - Pahang 11kV SECOND CYCLE AZZAD 2026\RAW MATERIAL\047. TNB BARU (IR+VI)\RAW DATA\IR</v>
      </c>
      <c r="BH76" s="24" t="s">
        <v>603</v>
      </c>
    </row>
    <row r="77" spans="1:60" ht="30" customHeight="1" x14ac:dyDescent="0.25">
      <c r="A77" s="6">
        <v>38</v>
      </c>
      <c r="B77" s="6" t="s">
        <v>1537</v>
      </c>
      <c r="C77" s="6">
        <v>1</v>
      </c>
      <c r="D77" s="6" t="s">
        <v>2242</v>
      </c>
      <c r="E77" s="6">
        <v>38</v>
      </c>
      <c r="F77" s="6" t="str">
        <f ca="1">Master_List!$AW$1</f>
        <v>PERPUSTAKAAN PUSAT</v>
      </c>
      <c r="G77" s="27" t="str">
        <f ca="1">Master_List!$AW$2</f>
        <v>09:30 PM</v>
      </c>
      <c r="H77" s="32" t="str">
        <f ca="1">Master_List!$AW$3</f>
        <v>20/07/2026</v>
      </c>
      <c r="I77" s="28" t="str">
        <f ca="1">Master_List!$AW$4</f>
        <v>28.5</v>
      </c>
      <c r="J77" s="6" t="str">
        <f ca="1">Master_List!$AW$5</f>
        <v>65</v>
      </c>
      <c r="K77" s="6" t="s">
        <v>573</v>
      </c>
      <c r="L77" s="21" t="str">
        <f ca="1">IFERROR(VLOOKUP(B77, Master_List!$A:$I, 2, FALSE), "-")</f>
        <v/>
      </c>
      <c r="M77" s="22" t="str">
        <f ca="1">IFERROR(VLOOKUP(B77, Master_List!$A:$I, 3, FALSE), "-")</f>
        <v/>
      </c>
      <c r="N77" s="22" t="str">
        <f ca="1">IFERROR(VLOOKUP(B77, Master_List!$A:$I, 4, FALSE), "-")</f>
        <v/>
      </c>
      <c r="O77" s="22" t="str">
        <f ca="1">IFERROR(VLOOKUP(B77, Master_List!$A:$I, 5, FALSE), "-")</f>
        <v/>
      </c>
      <c r="P77" s="22" t="str">
        <f ca="1">IFERROR(VLOOKUP(B77, Master_List!$A:$I, 6, FALSE), "-")</f>
        <v/>
      </c>
      <c r="Q77" s="22" t="str">
        <f ca="1">IFERROR(VLOOKUP(B77, Master_List!$A:$I, 7, FALSE), "-")</f>
        <v/>
      </c>
      <c r="R77" s="22" t="str">
        <f ca="1">IFERROR(VLOOKUP(B77, Master_List!$A:$I, 8, FALSE), "-")</f>
        <v/>
      </c>
      <c r="S77" s="22" t="str">
        <f ca="1">IFERROR(VLOOKUP(B77, Master_List!$A:$I, 9, FALSE), "-")</f>
        <v>24DU738_1015</v>
      </c>
      <c r="T77" s="20" t="str">
        <f ca="1">Master_List!$AW$6</f>
        <v>TOSHIBA</v>
      </c>
      <c r="U77" s="20" t="str">
        <f ca="1">Master_List!$AW$7</f>
        <v>MRMU</v>
      </c>
      <c r="V77" s="20" t="str">
        <f ca="1">Master_List!$AW$8</f>
        <v>12kV</v>
      </c>
      <c r="W77" s="20" t="str">
        <f ca="1">Master_List!$AW$9</f>
        <v>2S1F</v>
      </c>
      <c r="X77" s="20" t="str">
        <f ca="1">Master_List!$AW$10</f>
        <v>MTM</v>
      </c>
      <c r="Y77" s="20" t="str">
        <f ca="1">Master_List!$AW$11</f>
        <v>HERMETICALLY SEAL</v>
      </c>
      <c r="Z77" s="20" t="str">
        <f ca="1">Master_List!$AW$12</f>
        <v>750kVA</v>
      </c>
      <c r="AA77" s="20" t="str">
        <f ca="1">Master_List!$AW$13</f>
        <v>1317</v>
      </c>
      <c r="AB77" s="20">
        <f ca="1">Master_List!$AW$14</f>
        <v>0</v>
      </c>
      <c r="AC77" s="20">
        <f ca="1">Master_List!$AW$15</f>
        <v>0</v>
      </c>
      <c r="AD77" s="20">
        <f ca="1">Master_List!$AW$16</f>
        <v>0</v>
      </c>
      <c r="AE77" s="20">
        <f ca="1">Master_List!$AW$17</f>
        <v>0</v>
      </c>
      <c r="AF77" s="20" t="str">
        <f ca="1">Master_List!$AW$18</f>
        <v>INDKOM</v>
      </c>
      <c r="AG77" s="20" t="str">
        <f ca="1">Master_List!$AW$19</f>
        <v>J-SLOTTED</v>
      </c>
      <c r="AH77" s="20" t="str">
        <f ca="1">Master_List!$AW$20</f>
        <v>1600A</v>
      </c>
      <c r="AI77" s="20" t="str">
        <f ca="1">Master_List!$AW$21</f>
        <v>LV5080090</v>
      </c>
      <c r="AJ77" s="20" t="str">
        <f ca="1">Master_List!$AW$22</f>
        <v>LVDB TX1</v>
      </c>
      <c r="AK77" s="20">
        <f ca="1">Master_List!$AW$23</f>
        <v>0</v>
      </c>
      <c r="AL77" s="20">
        <f ca="1">Master_List!$AW$24</f>
        <v>0</v>
      </c>
      <c r="AM77" s="20">
        <f ca="1">Master_List!$AW$25</f>
        <v>0</v>
      </c>
      <c r="AN77" s="20">
        <f ca="1">Master_List!$AW$26</f>
        <v>0</v>
      </c>
      <c r="AO77" s="20" t="str">
        <f ca="1">Master_List!$AW$27</f>
        <v>LVDB TX2</v>
      </c>
      <c r="AP77" s="20" t="str">
        <f ca="1">Master_List!$AW$28</f>
        <v>SUNPOWER TECHNOLOGIES</v>
      </c>
      <c r="AQ77" s="20" t="str">
        <f ca="1">Master_List!$AW$29</f>
        <v>SPS 30-10 L</v>
      </c>
      <c r="AR77" s="20" t="str">
        <f ca="1">Master_List!$AW$30</f>
        <v>11193-8527</v>
      </c>
      <c r="AS77" s="20">
        <f ca="1">Master_List!$AW$31</f>
        <v>0</v>
      </c>
      <c r="AT77" s="20">
        <f ca="1">Master_List!$AW$32</f>
        <v>0</v>
      </c>
      <c r="AU77" s="20">
        <f ca="1">Master_List!$AW$33</f>
        <v>0</v>
      </c>
      <c r="AV77" s="20">
        <f ca="1">Master_List!$AW$34</f>
        <v>0</v>
      </c>
      <c r="AW77" s="20">
        <f ca="1">Master_List!$AW$35</f>
        <v>0</v>
      </c>
      <c r="AX77" s="20">
        <f ca="1">Master_List!$AW$36</f>
        <v>0</v>
      </c>
      <c r="AY77" s="20">
        <f ca="1">Master_List!$AW$37</f>
        <v>0</v>
      </c>
      <c r="AZ77" s="20">
        <f ca="1">Master_List!$AW$38</f>
        <v>0</v>
      </c>
      <c r="BA77" s="20">
        <f ca="1">Master_List!$AW$39</f>
        <v>0</v>
      </c>
      <c r="BB77" s="20" t="s">
        <v>2240</v>
      </c>
      <c r="BC77" s="20" t="s">
        <v>2241</v>
      </c>
      <c r="BD77" s="6" t="s">
        <v>1744</v>
      </c>
      <c r="BE77" s="6" t="s">
        <v>1788</v>
      </c>
      <c r="BF77" s="6" t="s">
        <v>1748</v>
      </c>
      <c r="BG77" s="6" t="str">
        <f t="shared" si="1"/>
        <v>C:\Users\aremi\Desktop\REPORT CBM\PO 42289580 - Pahang 11kV SECOND CYCLE AZZAD 2026\RAW MATERIAL\047. TNB BARU (IR+VI)\RAW DATA\IR</v>
      </c>
      <c r="BH77" s="24" t="s">
        <v>604</v>
      </c>
    </row>
    <row r="78" spans="1:60" ht="30" customHeight="1" x14ac:dyDescent="0.25">
      <c r="A78" s="6">
        <v>39</v>
      </c>
      <c r="B78" s="6" t="s">
        <v>1537</v>
      </c>
      <c r="C78" s="6">
        <v>1</v>
      </c>
      <c r="D78" s="6" t="s">
        <v>2242</v>
      </c>
      <c r="E78" s="6">
        <v>39</v>
      </c>
      <c r="F78" s="6" t="str">
        <f ca="1">Master_List!$AW$1</f>
        <v>PERPUSTAKAAN PUSAT</v>
      </c>
      <c r="G78" s="27" t="str">
        <f ca="1">Master_List!$AW$2</f>
        <v>09:30 PM</v>
      </c>
      <c r="H78" s="32" t="str">
        <f ca="1">Master_List!$AW$3</f>
        <v>20/07/2026</v>
      </c>
      <c r="I78" s="28" t="str">
        <f ca="1">Master_List!$AW$4</f>
        <v>28.5</v>
      </c>
      <c r="J78" s="6" t="str">
        <f ca="1">Master_List!$AW$5</f>
        <v>65</v>
      </c>
      <c r="K78" s="6" t="s">
        <v>576</v>
      </c>
      <c r="L78" s="21" t="str">
        <f ca="1">IFERROR(VLOOKUP(B78, Master_List!$A:$I, 2, FALSE), "-")</f>
        <v/>
      </c>
      <c r="M78" s="22" t="str">
        <f ca="1">IFERROR(VLOOKUP(B78, Master_List!$A:$I, 3, FALSE), "-")</f>
        <v/>
      </c>
      <c r="N78" s="22" t="str">
        <f ca="1">IFERROR(VLOOKUP(B78, Master_List!$A:$I, 4, FALSE), "-")</f>
        <v/>
      </c>
      <c r="O78" s="22" t="str">
        <f ca="1">IFERROR(VLOOKUP(B78, Master_List!$A:$I, 5, FALSE), "-")</f>
        <v/>
      </c>
      <c r="P78" s="22" t="str">
        <f ca="1">IFERROR(VLOOKUP(B78, Master_List!$A:$I, 6, FALSE), "-")</f>
        <v/>
      </c>
      <c r="Q78" s="22" t="str">
        <f ca="1">IFERROR(VLOOKUP(B78, Master_List!$A:$I, 7, FALSE), "-")</f>
        <v/>
      </c>
      <c r="R78" s="22" t="str">
        <f ca="1">IFERROR(VLOOKUP(B78, Master_List!$A:$I, 8, FALSE), "-")</f>
        <v/>
      </c>
      <c r="S78" s="22" t="str">
        <f ca="1">IFERROR(VLOOKUP(B78, Master_List!$A:$I, 9, FALSE), "-")</f>
        <v>24DU738_1015</v>
      </c>
      <c r="T78" s="20" t="str">
        <f ca="1">Master_List!$AW$6</f>
        <v>TOSHIBA</v>
      </c>
      <c r="U78" s="20" t="str">
        <f ca="1">Master_List!$AW$7</f>
        <v>MRMU</v>
      </c>
      <c r="V78" s="20" t="str">
        <f ca="1">Master_List!$AW$8</f>
        <v>12kV</v>
      </c>
      <c r="W78" s="20" t="str">
        <f ca="1">Master_List!$AW$9</f>
        <v>2S1F</v>
      </c>
      <c r="X78" s="20" t="str">
        <f ca="1">Master_List!$AW$10</f>
        <v>MTM</v>
      </c>
      <c r="Y78" s="20" t="str">
        <f ca="1">Master_List!$AW$11</f>
        <v>HERMETICALLY SEAL</v>
      </c>
      <c r="Z78" s="20" t="str">
        <f ca="1">Master_List!$AW$12</f>
        <v>750kVA</v>
      </c>
      <c r="AA78" s="20" t="str">
        <f ca="1">Master_List!$AW$13</f>
        <v>1317</v>
      </c>
      <c r="AB78" s="20">
        <f ca="1">Master_List!$AW$14</f>
        <v>0</v>
      </c>
      <c r="AC78" s="20">
        <f ca="1">Master_List!$AW$15</f>
        <v>0</v>
      </c>
      <c r="AD78" s="20">
        <f ca="1">Master_List!$AW$16</f>
        <v>0</v>
      </c>
      <c r="AE78" s="20">
        <f ca="1">Master_List!$AW$17</f>
        <v>0</v>
      </c>
      <c r="AF78" s="20" t="str">
        <f ca="1">Master_List!$AW$18</f>
        <v>INDKOM</v>
      </c>
      <c r="AG78" s="20" t="str">
        <f ca="1">Master_List!$AW$19</f>
        <v>J-SLOTTED</v>
      </c>
      <c r="AH78" s="20" t="str">
        <f ca="1">Master_List!$AW$20</f>
        <v>1600A</v>
      </c>
      <c r="AI78" s="20" t="str">
        <f ca="1">Master_List!$AW$21</f>
        <v>LV5080090</v>
      </c>
      <c r="AJ78" s="20" t="str">
        <f ca="1">Master_List!$AW$22</f>
        <v>LVDB TX1</v>
      </c>
      <c r="AK78" s="20">
        <f ca="1">Master_List!$AW$23</f>
        <v>0</v>
      </c>
      <c r="AL78" s="20">
        <f ca="1">Master_List!$AW$24</f>
        <v>0</v>
      </c>
      <c r="AM78" s="20">
        <f ca="1">Master_List!$AW$25</f>
        <v>0</v>
      </c>
      <c r="AN78" s="20">
        <f ca="1">Master_List!$AW$26</f>
        <v>0</v>
      </c>
      <c r="AO78" s="20" t="str">
        <f ca="1">Master_List!$AW$27</f>
        <v>LVDB TX2</v>
      </c>
      <c r="AP78" s="20" t="str">
        <f ca="1">Master_List!$AW$28</f>
        <v>SUNPOWER TECHNOLOGIES</v>
      </c>
      <c r="AQ78" s="20" t="str">
        <f ca="1">Master_List!$AW$29</f>
        <v>SPS 30-10 L</v>
      </c>
      <c r="AR78" s="20" t="str">
        <f ca="1">Master_List!$AW$30</f>
        <v>11193-8527</v>
      </c>
      <c r="AS78" s="20">
        <f ca="1">Master_List!$AW$31</f>
        <v>0</v>
      </c>
      <c r="AT78" s="20">
        <f ca="1">Master_List!$AW$32</f>
        <v>0</v>
      </c>
      <c r="AU78" s="20">
        <f ca="1">Master_List!$AW$33</f>
        <v>0</v>
      </c>
      <c r="AV78" s="20">
        <f ca="1">Master_List!$AW$34</f>
        <v>0</v>
      </c>
      <c r="AW78" s="20">
        <f ca="1">Master_List!$AW$35</f>
        <v>0</v>
      </c>
      <c r="AX78" s="20">
        <f ca="1">Master_List!$AW$36</f>
        <v>0</v>
      </c>
      <c r="AY78" s="20">
        <f ca="1">Master_List!$AW$37</f>
        <v>0</v>
      </c>
      <c r="AZ78" s="20">
        <f ca="1">Master_List!$AW$38</f>
        <v>0</v>
      </c>
      <c r="BA78" s="20">
        <f ca="1">Master_List!$AW$39</f>
        <v>0</v>
      </c>
      <c r="BB78" s="20" t="s">
        <v>2240</v>
      </c>
      <c r="BC78" s="20" t="s">
        <v>2241</v>
      </c>
      <c r="BD78" s="6" t="s">
        <v>1744</v>
      </c>
      <c r="BE78" s="6" t="s">
        <v>1789</v>
      </c>
      <c r="BF78" s="6" t="s">
        <v>1746</v>
      </c>
      <c r="BG78" s="6" t="str">
        <f t="shared" si="1"/>
        <v>C:\Users\aremi\Desktop\REPORT CBM\PO 42289580 - Pahang 11kV SECOND CYCLE AZZAD 2026\RAW MATERIAL\047. TNB BARU (IR+VI)\RAW DATA\IR</v>
      </c>
      <c r="BH78" s="24" t="s">
        <v>605</v>
      </c>
    </row>
    <row r="79" spans="1:60" ht="30" customHeight="1" x14ac:dyDescent="0.25">
      <c r="A79" s="6">
        <v>39</v>
      </c>
      <c r="B79" s="6" t="s">
        <v>1537</v>
      </c>
      <c r="C79" s="6">
        <v>1</v>
      </c>
      <c r="D79" s="6" t="s">
        <v>2242</v>
      </c>
      <c r="E79" s="6">
        <v>39</v>
      </c>
      <c r="F79" s="6" t="str">
        <f ca="1">Master_List!$AW$1</f>
        <v>PERPUSTAKAAN PUSAT</v>
      </c>
      <c r="G79" s="27" t="str">
        <f ca="1">Master_List!$AW$2</f>
        <v>09:30 PM</v>
      </c>
      <c r="H79" s="32" t="str">
        <f ca="1">Master_List!$AW$3</f>
        <v>20/07/2026</v>
      </c>
      <c r="I79" s="28" t="str">
        <f ca="1">Master_List!$AW$4</f>
        <v>28.5</v>
      </c>
      <c r="J79" s="6" t="str">
        <f ca="1">Master_List!$AW$5</f>
        <v>65</v>
      </c>
      <c r="K79" s="6" t="s">
        <v>576</v>
      </c>
      <c r="L79" s="21" t="str">
        <f ca="1">IFERROR(VLOOKUP(B79, Master_List!$A:$I, 2, FALSE), "-")</f>
        <v/>
      </c>
      <c r="M79" s="22" t="str">
        <f ca="1">IFERROR(VLOOKUP(B79, Master_List!$A:$I, 3, FALSE), "-")</f>
        <v/>
      </c>
      <c r="N79" s="22" t="str">
        <f ca="1">IFERROR(VLOOKUP(B79, Master_List!$A:$I, 4, FALSE), "-")</f>
        <v/>
      </c>
      <c r="O79" s="22" t="str">
        <f ca="1">IFERROR(VLOOKUP(B79, Master_List!$A:$I, 5, FALSE), "-")</f>
        <v/>
      </c>
      <c r="P79" s="22" t="str">
        <f ca="1">IFERROR(VLOOKUP(B79, Master_List!$A:$I, 6, FALSE), "-")</f>
        <v/>
      </c>
      <c r="Q79" s="22" t="str">
        <f ca="1">IFERROR(VLOOKUP(B79, Master_List!$A:$I, 7, FALSE), "-")</f>
        <v/>
      </c>
      <c r="R79" s="22" t="str">
        <f ca="1">IFERROR(VLOOKUP(B79, Master_List!$A:$I, 8, FALSE), "-")</f>
        <v/>
      </c>
      <c r="S79" s="22" t="str">
        <f ca="1">IFERROR(VLOOKUP(B79, Master_List!$A:$I, 9, FALSE), "-")</f>
        <v>24DU738_1015</v>
      </c>
      <c r="T79" s="20" t="str">
        <f ca="1">Master_List!$AW$6</f>
        <v>TOSHIBA</v>
      </c>
      <c r="U79" s="20" t="str">
        <f ca="1">Master_List!$AW$7</f>
        <v>MRMU</v>
      </c>
      <c r="V79" s="20" t="str">
        <f ca="1">Master_List!$AW$8</f>
        <v>12kV</v>
      </c>
      <c r="W79" s="20" t="str">
        <f ca="1">Master_List!$AW$9</f>
        <v>2S1F</v>
      </c>
      <c r="X79" s="20" t="str">
        <f ca="1">Master_List!$AW$10</f>
        <v>MTM</v>
      </c>
      <c r="Y79" s="20" t="str">
        <f ca="1">Master_List!$AW$11</f>
        <v>HERMETICALLY SEAL</v>
      </c>
      <c r="Z79" s="20" t="str">
        <f ca="1">Master_List!$AW$12</f>
        <v>750kVA</v>
      </c>
      <c r="AA79" s="20" t="str">
        <f ca="1">Master_List!$AW$13</f>
        <v>1317</v>
      </c>
      <c r="AB79" s="20">
        <f ca="1">Master_List!$AW$14</f>
        <v>0</v>
      </c>
      <c r="AC79" s="20">
        <f ca="1">Master_List!$AW$15</f>
        <v>0</v>
      </c>
      <c r="AD79" s="20">
        <f ca="1">Master_List!$AW$16</f>
        <v>0</v>
      </c>
      <c r="AE79" s="20">
        <f ca="1">Master_List!$AW$17</f>
        <v>0</v>
      </c>
      <c r="AF79" s="20" t="str">
        <f ca="1">Master_List!$AW$18</f>
        <v>INDKOM</v>
      </c>
      <c r="AG79" s="20" t="str">
        <f ca="1">Master_List!$AW$19</f>
        <v>J-SLOTTED</v>
      </c>
      <c r="AH79" s="20" t="str">
        <f ca="1">Master_List!$AW$20</f>
        <v>1600A</v>
      </c>
      <c r="AI79" s="20" t="str">
        <f ca="1">Master_List!$AW$21</f>
        <v>LV5080090</v>
      </c>
      <c r="AJ79" s="20" t="str">
        <f ca="1">Master_List!$AW$22</f>
        <v>LVDB TX1</v>
      </c>
      <c r="AK79" s="20">
        <f ca="1">Master_List!$AW$23</f>
        <v>0</v>
      </c>
      <c r="AL79" s="20">
        <f ca="1">Master_List!$AW$24</f>
        <v>0</v>
      </c>
      <c r="AM79" s="20">
        <f ca="1">Master_List!$AW$25</f>
        <v>0</v>
      </c>
      <c r="AN79" s="20">
        <f ca="1">Master_List!$AW$26</f>
        <v>0</v>
      </c>
      <c r="AO79" s="20" t="str">
        <f ca="1">Master_List!$AW$27</f>
        <v>LVDB TX2</v>
      </c>
      <c r="AP79" s="20" t="str">
        <f ca="1">Master_List!$AW$28</f>
        <v>SUNPOWER TECHNOLOGIES</v>
      </c>
      <c r="AQ79" s="20" t="str">
        <f ca="1">Master_List!$AW$29</f>
        <v>SPS 30-10 L</v>
      </c>
      <c r="AR79" s="20" t="str">
        <f ca="1">Master_List!$AW$30</f>
        <v>11193-8527</v>
      </c>
      <c r="AS79" s="20">
        <f ca="1">Master_List!$AW$31</f>
        <v>0</v>
      </c>
      <c r="AT79" s="20">
        <f ca="1">Master_List!$AW$32</f>
        <v>0</v>
      </c>
      <c r="AU79" s="20">
        <f ca="1">Master_List!$AW$33</f>
        <v>0</v>
      </c>
      <c r="AV79" s="20">
        <f ca="1">Master_List!$AW$34</f>
        <v>0</v>
      </c>
      <c r="AW79" s="20">
        <f ca="1">Master_List!$AW$35</f>
        <v>0</v>
      </c>
      <c r="AX79" s="20">
        <f ca="1">Master_List!$AW$36</f>
        <v>0</v>
      </c>
      <c r="AY79" s="20">
        <f ca="1">Master_List!$AW$37</f>
        <v>0</v>
      </c>
      <c r="AZ79" s="20">
        <f ca="1">Master_List!$AW$38</f>
        <v>0</v>
      </c>
      <c r="BA79" s="20">
        <f ca="1">Master_List!$AW$39</f>
        <v>0</v>
      </c>
      <c r="BB79" s="20" t="s">
        <v>2240</v>
      </c>
      <c r="BC79" s="20" t="s">
        <v>2241</v>
      </c>
      <c r="BD79" s="6" t="s">
        <v>1744</v>
      </c>
      <c r="BE79" s="6" t="s">
        <v>1789</v>
      </c>
      <c r="BF79" s="6" t="s">
        <v>1748</v>
      </c>
      <c r="BG79" s="6" t="str">
        <f t="shared" si="1"/>
        <v>C:\Users\aremi\Desktop\REPORT CBM\PO 42289580 - Pahang 11kV SECOND CYCLE AZZAD 2026\RAW MATERIAL\047. TNB BARU (IR+VI)\RAW DATA\IR</v>
      </c>
      <c r="BH79" s="24" t="s">
        <v>606</v>
      </c>
    </row>
    <row r="80" spans="1:60" ht="30" customHeight="1" x14ac:dyDescent="0.25">
      <c r="A80" s="6">
        <v>40</v>
      </c>
      <c r="B80" s="6" t="s">
        <v>1537</v>
      </c>
      <c r="C80" s="6">
        <v>1</v>
      </c>
      <c r="D80" s="6" t="s">
        <v>2242</v>
      </c>
      <c r="E80" s="6">
        <v>40</v>
      </c>
      <c r="F80" s="6" t="str">
        <f ca="1">Master_List!$AW$1</f>
        <v>PERPUSTAKAAN PUSAT</v>
      </c>
      <c r="G80" s="27" t="str">
        <f ca="1">Master_List!$AW$2</f>
        <v>09:30 PM</v>
      </c>
      <c r="H80" s="32" t="str">
        <f ca="1">Master_List!$AW$3</f>
        <v>20/07/2026</v>
      </c>
      <c r="I80" s="28" t="str">
        <f ca="1">Master_List!$AW$4</f>
        <v>28.5</v>
      </c>
      <c r="J80" s="6" t="str">
        <f ca="1">Master_List!$AW$5</f>
        <v>65</v>
      </c>
      <c r="K80" s="6" t="s">
        <v>579</v>
      </c>
      <c r="L80" s="21" t="str">
        <f ca="1">IFERROR(VLOOKUP(B80, Master_List!$A:$I, 2, FALSE), "-")</f>
        <v/>
      </c>
      <c r="M80" s="22" t="str">
        <f ca="1">IFERROR(VLOOKUP(B80, Master_List!$A:$I, 3, FALSE), "-")</f>
        <v/>
      </c>
      <c r="N80" s="22" t="str">
        <f ca="1">IFERROR(VLOOKUP(B80, Master_List!$A:$I, 4, FALSE), "-")</f>
        <v/>
      </c>
      <c r="O80" s="22" t="str">
        <f ca="1">IFERROR(VLOOKUP(B80, Master_List!$A:$I, 5, FALSE), "-")</f>
        <v/>
      </c>
      <c r="P80" s="22" t="str">
        <f ca="1">IFERROR(VLOOKUP(B80, Master_List!$A:$I, 6, FALSE), "-")</f>
        <v/>
      </c>
      <c r="Q80" s="22" t="str">
        <f ca="1">IFERROR(VLOOKUP(B80, Master_List!$A:$I, 7, FALSE), "-")</f>
        <v/>
      </c>
      <c r="R80" s="22" t="str">
        <f ca="1">IFERROR(VLOOKUP(B80, Master_List!$A:$I, 8, FALSE), "-")</f>
        <v/>
      </c>
      <c r="S80" s="22" t="str">
        <f ca="1">IFERROR(VLOOKUP(B80, Master_List!$A:$I, 9, FALSE), "-")</f>
        <v>24DU738_1015</v>
      </c>
      <c r="T80" s="20" t="str">
        <f ca="1">Master_List!$AW$6</f>
        <v>TOSHIBA</v>
      </c>
      <c r="U80" s="20" t="str">
        <f ca="1">Master_List!$AW$7</f>
        <v>MRMU</v>
      </c>
      <c r="V80" s="20" t="str">
        <f ca="1">Master_List!$AW$8</f>
        <v>12kV</v>
      </c>
      <c r="W80" s="20" t="str">
        <f ca="1">Master_List!$AW$9</f>
        <v>2S1F</v>
      </c>
      <c r="X80" s="20" t="str">
        <f ca="1">Master_List!$AW$10</f>
        <v>MTM</v>
      </c>
      <c r="Y80" s="20" t="str">
        <f ca="1">Master_List!$AW$11</f>
        <v>HERMETICALLY SEAL</v>
      </c>
      <c r="Z80" s="20" t="str">
        <f ca="1">Master_List!$AW$12</f>
        <v>750kVA</v>
      </c>
      <c r="AA80" s="20" t="str">
        <f ca="1">Master_List!$AW$13</f>
        <v>1317</v>
      </c>
      <c r="AB80" s="20">
        <f ca="1">Master_List!$AW$14</f>
        <v>0</v>
      </c>
      <c r="AC80" s="20">
        <f ca="1">Master_List!$AW$15</f>
        <v>0</v>
      </c>
      <c r="AD80" s="20">
        <f ca="1">Master_List!$AW$16</f>
        <v>0</v>
      </c>
      <c r="AE80" s="20">
        <f ca="1">Master_List!$AW$17</f>
        <v>0</v>
      </c>
      <c r="AF80" s="20" t="str">
        <f ca="1">Master_List!$AW$18</f>
        <v>INDKOM</v>
      </c>
      <c r="AG80" s="20" t="str">
        <f ca="1">Master_List!$AW$19</f>
        <v>J-SLOTTED</v>
      </c>
      <c r="AH80" s="20" t="str">
        <f ca="1">Master_List!$AW$20</f>
        <v>1600A</v>
      </c>
      <c r="AI80" s="20" t="str">
        <f ca="1">Master_List!$AW$21</f>
        <v>LV5080090</v>
      </c>
      <c r="AJ80" s="20" t="str">
        <f ca="1">Master_List!$AW$22</f>
        <v>LVDB TX1</v>
      </c>
      <c r="AK80" s="20">
        <f ca="1">Master_List!$AW$23</f>
        <v>0</v>
      </c>
      <c r="AL80" s="20">
        <f ca="1">Master_List!$AW$24</f>
        <v>0</v>
      </c>
      <c r="AM80" s="20">
        <f ca="1">Master_List!$AW$25</f>
        <v>0</v>
      </c>
      <c r="AN80" s="20">
        <f ca="1">Master_List!$AW$26</f>
        <v>0</v>
      </c>
      <c r="AO80" s="20" t="str">
        <f ca="1">Master_List!$AW$27</f>
        <v>LVDB TX2</v>
      </c>
      <c r="AP80" s="20" t="str">
        <f ca="1">Master_List!$AW$28</f>
        <v>SUNPOWER TECHNOLOGIES</v>
      </c>
      <c r="AQ80" s="20" t="str">
        <f ca="1">Master_List!$AW$29</f>
        <v>SPS 30-10 L</v>
      </c>
      <c r="AR80" s="20" t="str">
        <f ca="1">Master_List!$AW$30</f>
        <v>11193-8527</v>
      </c>
      <c r="AS80" s="20">
        <f ca="1">Master_List!$AW$31</f>
        <v>0</v>
      </c>
      <c r="AT80" s="20">
        <f ca="1">Master_List!$AW$32</f>
        <v>0</v>
      </c>
      <c r="AU80" s="20">
        <f ca="1">Master_List!$AW$33</f>
        <v>0</v>
      </c>
      <c r="AV80" s="20">
        <f ca="1">Master_List!$AW$34</f>
        <v>0</v>
      </c>
      <c r="AW80" s="20">
        <f ca="1">Master_List!$AW$35</f>
        <v>0</v>
      </c>
      <c r="AX80" s="20">
        <f ca="1">Master_List!$AW$36</f>
        <v>0</v>
      </c>
      <c r="AY80" s="20">
        <f ca="1">Master_List!$AW$37</f>
        <v>0</v>
      </c>
      <c r="AZ80" s="20">
        <f ca="1">Master_List!$AW$38</f>
        <v>0</v>
      </c>
      <c r="BA80" s="20">
        <f ca="1">Master_List!$AW$39</f>
        <v>0</v>
      </c>
      <c r="BB80" s="20" t="s">
        <v>2240</v>
      </c>
      <c r="BC80" s="20" t="s">
        <v>2241</v>
      </c>
      <c r="BD80" s="6" t="s">
        <v>1744</v>
      </c>
      <c r="BE80" s="6" t="s">
        <v>1790</v>
      </c>
      <c r="BF80" s="6" t="s">
        <v>1746</v>
      </c>
      <c r="BG80" s="6" t="str">
        <f t="shared" si="1"/>
        <v>C:\Users\aremi\Desktop\REPORT CBM\PO 42289580 - Pahang 11kV SECOND CYCLE AZZAD 2026\RAW MATERIAL\047. TNB BARU (IR+VI)\RAW DATA\IR</v>
      </c>
      <c r="BH80" s="24" t="s">
        <v>607</v>
      </c>
    </row>
    <row r="81" spans="1:60" ht="30" customHeight="1" x14ac:dyDescent="0.25">
      <c r="A81" s="6">
        <v>40</v>
      </c>
      <c r="B81" s="6" t="s">
        <v>1537</v>
      </c>
      <c r="C81" s="6">
        <v>1</v>
      </c>
      <c r="D81" s="6" t="s">
        <v>2242</v>
      </c>
      <c r="E81" s="6">
        <v>40</v>
      </c>
      <c r="F81" s="6" t="str">
        <f ca="1">Master_List!$AW$1</f>
        <v>PERPUSTAKAAN PUSAT</v>
      </c>
      <c r="G81" s="27" t="str">
        <f ca="1">Master_List!$AW$2</f>
        <v>09:30 PM</v>
      </c>
      <c r="H81" s="32" t="str">
        <f ca="1">Master_List!$AW$3</f>
        <v>20/07/2026</v>
      </c>
      <c r="I81" s="28" t="str">
        <f ca="1">Master_List!$AW$4</f>
        <v>28.5</v>
      </c>
      <c r="J81" s="6" t="str">
        <f ca="1">Master_List!$AW$5</f>
        <v>65</v>
      </c>
      <c r="K81" s="6" t="s">
        <v>579</v>
      </c>
      <c r="L81" s="21" t="str">
        <f ca="1">IFERROR(VLOOKUP(B81, Master_List!$A:$I, 2, FALSE), "-")</f>
        <v/>
      </c>
      <c r="M81" s="22" t="str">
        <f ca="1">IFERROR(VLOOKUP(B81, Master_List!$A:$I, 3, FALSE), "-")</f>
        <v/>
      </c>
      <c r="N81" s="22" t="str">
        <f ca="1">IFERROR(VLOOKUP(B81, Master_List!$A:$I, 4, FALSE), "-")</f>
        <v/>
      </c>
      <c r="O81" s="22" t="str">
        <f ca="1">IFERROR(VLOOKUP(B81, Master_List!$A:$I, 5, FALSE), "-")</f>
        <v/>
      </c>
      <c r="P81" s="22" t="str">
        <f ca="1">IFERROR(VLOOKUP(B81, Master_List!$A:$I, 6, FALSE), "-")</f>
        <v/>
      </c>
      <c r="Q81" s="22" t="str">
        <f ca="1">IFERROR(VLOOKUP(B81, Master_List!$A:$I, 7, FALSE), "-")</f>
        <v/>
      </c>
      <c r="R81" s="22" t="str">
        <f ca="1">IFERROR(VLOOKUP(B81, Master_List!$A:$I, 8, FALSE), "-")</f>
        <v/>
      </c>
      <c r="S81" s="22" t="str">
        <f ca="1">IFERROR(VLOOKUP(B81, Master_List!$A:$I, 9, FALSE), "-")</f>
        <v>24DU738_1015</v>
      </c>
      <c r="T81" s="20" t="str">
        <f ca="1">Master_List!$AW$6</f>
        <v>TOSHIBA</v>
      </c>
      <c r="U81" s="20" t="str">
        <f ca="1">Master_List!$AW$7</f>
        <v>MRMU</v>
      </c>
      <c r="V81" s="20" t="str">
        <f ca="1">Master_List!$AW$8</f>
        <v>12kV</v>
      </c>
      <c r="W81" s="20" t="str">
        <f ca="1">Master_List!$AW$9</f>
        <v>2S1F</v>
      </c>
      <c r="X81" s="20" t="str">
        <f ca="1">Master_List!$AW$10</f>
        <v>MTM</v>
      </c>
      <c r="Y81" s="20" t="str">
        <f ca="1">Master_List!$AW$11</f>
        <v>HERMETICALLY SEAL</v>
      </c>
      <c r="Z81" s="20" t="str">
        <f ca="1">Master_List!$AW$12</f>
        <v>750kVA</v>
      </c>
      <c r="AA81" s="20" t="str">
        <f ca="1">Master_List!$AW$13</f>
        <v>1317</v>
      </c>
      <c r="AB81" s="20">
        <f ca="1">Master_List!$AW$14</f>
        <v>0</v>
      </c>
      <c r="AC81" s="20">
        <f ca="1">Master_List!$AW$15</f>
        <v>0</v>
      </c>
      <c r="AD81" s="20">
        <f ca="1">Master_List!$AW$16</f>
        <v>0</v>
      </c>
      <c r="AE81" s="20">
        <f ca="1">Master_List!$AW$17</f>
        <v>0</v>
      </c>
      <c r="AF81" s="20" t="str">
        <f ca="1">Master_List!$AW$18</f>
        <v>INDKOM</v>
      </c>
      <c r="AG81" s="20" t="str">
        <f ca="1">Master_List!$AW$19</f>
        <v>J-SLOTTED</v>
      </c>
      <c r="AH81" s="20" t="str">
        <f ca="1">Master_List!$AW$20</f>
        <v>1600A</v>
      </c>
      <c r="AI81" s="20" t="str">
        <f ca="1">Master_List!$AW$21</f>
        <v>LV5080090</v>
      </c>
      <c r="AJ81" s="20" t="str">
        <f ca="1">Master_List!$AW$22</f>
        <v>LVDB TX1</v>
      </c>
      <c r="AK81" s="20">
        <f ca="1">Master_List!$AW$23</f>
        <v>0</v>
      </c>
      <c r="AL81" s="20">
        <f ca="1">Master_List!$AW$24</f>
        <v>0</v>
      </c>
      <c r="AM81" s="20">
        <f ca="1">Master_List!$AW$25</f>
        <v>0</v>
      </c>
      <c r="AN81" s="20">
        <f ca="1">Master_List!$AW$26</f>
        <v>0</v>
      </c>
      <c r="AO81" s="20" t="str">
        <f ca="1">Master_List!$AW$27</f>
        <v>LVDB TX2</v>
      </c>
      <c r="AP81" s="20" t="str">
        <f ca="1">Master_List!$AW$28</f>
        <v>SUNPOWER TECHNOLOGIES</v>
      </c>
      <c r="AQ81" s="20" t="str">
        <f ca="1">Master_List!$AW$29</f>
        <v>SPS 30-10 L</v>
      </c>
      <c r="AR81" s="20" t="str">
        <f ca="1">Master_List!$AW$30</f>
        <v>11193-8527</v>
      </c>
      <c r="AS81" s="20">
        <f ca="1">Master_List!$AW$31</f>
        <v>0</v>
      </c>
      <c r="AT81" s="20">
        <f ca="1">Master_List!$AW$32</f>
        <v>0</v>
      </c>
      <c r="AU81" s="20">
        <f ca="1">Master_List!$AW$33</f>
        <v>0</v>
      </c>
      <c r="AV81" s="20">
        <f ca="1">Master_List!$AW$34</f>
        <v>0</v>
      </c>
      <c r="AW81" s="20">
        <f ca="1">Master_List!$AW$35</f>
        <v>0</v>
      </c>
      <c r="AX81" s="20">
        <f ca="1">Master_List!$AW$36</f>
        <v>0</v>
      </c>
      <c r="AY81" s="20">
        <f ca="1">Master_List!$AW$37</f>
        <v>0</v>
      </c>
      <c r="AZ81" s="20">
        <f ca="1">Master_List!$AW$38</f>
        <v>0</v>
      </c>
      <c r="BA81" s="20">
        <f ca="1">Master_List!$AW$39</f>
        <v>0</v>
      </c>
      <c r="BB81" s="20" t="s">
        <v>2240</v>
      </c>
      <c r="BC81" s="20" t="s">
        <v>2241</v>
      </c>
      <c r="BD81" s="6" t="s">
        <v>1744</v>
      </c>
      <c r="BE81" s="6" t="s">
        <v>1790</v>
      </c>
      <c r="BF81" s="6" t="s">
        <v>1748</v>
      </c>
      <c r="BG81" s="6" t="str">
        <f t="shared" si="1"/>
        <v>C:\Users\aremi\Desktop\REPORT CBM\PO 42289580 - Pahang 11kV SECOND CYCLE AZZAD 2026\RAW MATERIAL\047. TNB BARU (IR+VI)\RAW DATA\IR</v>
      </c>
      <c r="BH81" s="24" t="s">
        <v>608</v>
      </c>
    </row>
    <row r="82" spans="1:60" ht="30" customHeight="1" x14ac:dyDescent="0.25">
      <c r="A82" s="6">
        <v>41</v>
      </c>
      <c r="B82" s="6" t="s">
        <v>1537</v>
      </c>
      <c r="C82" s="6">
        <v>1</v>
      </c>
      <c r="D82" s="6" t="s">
        <v>2242</v>
      </c>
      <c r="E82" s="6">
        <v>41</v>
      </c>
      <c r="F82" s="6" t="str">
        <f ca="1">Master_List!$AW$1</f>
        <v>PERPUSTAKAAN PUSAT</v>
      </c>
      <c r="G82" s="27" t="str">
        <f ca="1">Master_List!$AW$2</f>
        <v>09:30 PM</v>
      </c>
      <c r="H82" s="32" t="str">
        <f ca="1">Master_List!$AW$3</f>
        <v>20/07/2026</v>
      </c>
      <c r="I82" s="28" t="str">
        <f ca="1">Master_List!$AW$4</f>
        <v>28.5</v>
      </c>
      <c r="J82" s="6" t="str">
        <f ca="1">Master_List!$AW$5</f>
        <v>65</v>
      </c>
      <c r="K82" s="6" t="s">
        <v>582</v>
      </c>
      <c r="L82" s="21" t="str">
        <f ca="1">IFERROR(VLOOKUP(B82, Master_List!$A:$I, 2, FALSE), "-")</f>
        <v/>
      </c>
      <c r="M82" s="22" t="str">
        <f ca="1">IFERROR(VLOOKUP(B82, Master_List!$A:$I, 3, FALSE), "-")</f>
        <v/>
      </c>
      <c r="N82" s="22" t="str">
        <f ca="1">IFERROR(VLOOKUP(B82, Master_List!$A:$I, 4, FALSE), "-")</f>
        <v/>
      </c>
      <c r="O82" s="22" t="str">
        <f ca="1">IFERROR(VLOOKUP(B82, Master_List!$A:$I, 5, FALSE), "-")</f>
        <v/>
      </c>
      <c r="P82" s="22" t="str">
        <f ca="1">IFERROR(VLOOKUP(B82, Master_List!$A:$I, 6, FALSE), "-")</f>
        <v/>
      </c>
      <c r="Q82" s="22" t="str">
        <f ca="1">IFERROR(VLOOKUP(B82, Master_List!$A:$I, 7, FALSE), "-")</f>
        <v/>
      </c>
      <c r="R82" s="22" t="str">
        <f ca="1">IFERROR(VLOOKUP(B82, Master_List!$A:$I, 8, FALSE), "-")</f>
        <v/>
      </c>
      <c r="S82" s="22" t="str">
        <f ca="1">IFERROR(VLOOKUP(B82, Master_List!$A:$I, 9, FALSE), "-")</f>
        <v>24DU738_1015</v>
      </c>
      <c r="T82" s="20" t="str">
        <f ca="1">Master_List!$AW$6</f>
        <v>TOSHIBA</v>
      </c>
      <c r="U82" s="20" t="str">
        <f ca="1">Master_List!$AW$7</f>
        <v>MRMU</v>
      </c>
      <c r="V82" s="20" t="str">
        <f ca="1">Master_List!$AW$8</f>
        <v>12kV</v>
      </c>
      <c r="W82" s="20" t="str">
        <f ca="1">Master_List!$AW$9</f>
        <v>2S1F</v>
      </c>
      <c r="X82" s="20" t="str">
        <f ca="1">Master_List!$AW$10</f>
        <v>MTM</v>
      </c>
      <c r="Y82" s="20" t="str">
        <f ca="1">Master_List!$AW$11</f>
        <v>HERMETICALLY SEAL</v>
      </c>
      <c r="Z82" s="20" t="str">
        <f ca="1">Master_List!$AW$12</f>
        <v>750kVA</v>
      </c>
      <c r="AA82" s="20" t="str">
        <f ca="1">Master_List!$AW$13</f>
        <v>1317</v>
      </c>
      <c r="AB82" s="20">
        <f ca="1">Master_List!$AW$14</f>
        <v>0</v>
      </c>
      <c r="AC82" s="20">
        <f ca="1">Master_List!$AW$15</f>
        <v>0</v>
      </c>
      <c r="AD82" s="20">
        <f ca="1">Master_List!$AW$16</f>
        <v>0</v>
      </c>
      <c r="AE82" s="20">
        <f ca="1">Master_List!$AW$17</f>
        <v>0</v>
      </c>
      <c r="AF82" s="20" t="str">
        <f ca="1">Master_List!$AW$18</f>
        <v>INDKOM</v>
      </c>
      <c r="AG82" s="20" t="str">
        <f ca="1">Master_List!$AW$19</f>
        <v>J-SLOTTED</v>
      </c>
      <c r="AH82" s="20" t="str">
        <f ca="1">Master_List!$AW$20</f>
        <v>1600A</v>
      </c>
      <c r="AI82" s="20" t="str">
        <f ca="1">Master_List!$AW$21</f>
        <v>LV5080090</v>
      </c>
      <c r="AJ82" s="20" t="str">
        <f ca="1">Master_List!$AW$22</f>
        <v>LVDB TX1</v>
      </c>
      <c r="AK82" s="20">
        <f ca="1">Master_List!$AW$23</f>
        <v>0</v>
      </c>
      <c r="AL82" s="20">
        <f ca="1">Master_List!$AW$24</f>
        <v>0</v>
      </c>
      <c r="AM82" s="20">
        <f ca="1">Master_List!$AW$25</f>
        <v>0</v>
      </c>
      <c r="AN82" s="20">
        <f ca="1">Master_List!$AW$26</f>
        <v>0</v>
      </c>
      <c r="AO82" s="20" t="str">
        <f ca="1">Master_List!$AW$27</f>
        <v>LVDB TX2</v>
      </c>
      <c r="AP82" s="20" t="str">
        <f ca="1">Master_List!$AW$28</f>
        <v>SUNPOWER TECHNOLOGIES</v>
      </c>
      <c r="AQ82" s="20" t="str">
        <f ca="1">Master_List!$AW$29</f>
        <v>SPS 30-10 L</v>
      </c>
      <c r="AR82" s="20" t="str">
        <f ca="1">Master_List!$AW$30</f>
        <v>11193-8527</v>
      </c>
      <c r="AS82" s="20">
        <f ca="1">Master_List!$AW$31</f>
        <v>0</v>
      </c>
      <c r="AT82" s="20">
        <f ca="1">Master_List!$AW$32</f>
        <v>0</v>
      </c>
      <c r="AU82" s="20">
        <f ca="1">Master_List!$AW$33</f>
        <v>0</v>
      </c>
      <c r="AV82" s="20">
        <f ca="1">Master_List!$AW$34</f>
        <v>0</v>
      </c>
      <c r="AW82" s="20">
        <f ca="1">Master_List!$AW$35</f>
        <v>0</v>
      </c>
      <c r="AX82" s="20">
        <f ca="1">Master_List!$AW$36</f>
        <v>0</v>
      </c>
      <c r="AY82" s="20">
        <f ca="1">Master_List!$AW$37</f>
        <v>0</v>
      </c>
      <c r="AZ82" s="20">
        <f ca="1">Master_List!$AW$38</f>
        <v>0</v>
      </c>
      <c r="BA82" s="20">
        <f ca="1">Master_List!$AW$39</f>
        <v>0</v>
      </c>
      <c r="BB82" s="20" t="s">
        <v>2240</v>
      </c>
      <c r="BC82" s="20" t="s">
        <v>2241</v>
      </c>
      <c r="BD82" s="6" t="s">
        <v>1744</v>
      </c>
      <c r="BE82" s="6" t="s">
        <v>1791</v>
      </c>
      <c r="BF82" s="6" t="s">
        <v>1746</v>
      </c>
      <c r="BG82" s="6" t="str">
        <f t="shared" si="1"/>
        <v>C:\Users\aremi\Desktop\REPORT CBM\PO 42289580 - Pahang 11kV SECOND CYCLE AZZAD 2026\RAW MATERIAL\047. TNB BARU (IR+VI)\RAW DATA\IR</v>
      </c>
      <c r="BH82" s="24" t="s">
        <v>609</v>
      </c>
    </row>
    <row r="83" spans="1:60" ht="30" customHeight="1" x14ac:dyDescent="0.25">
      <c r="A83" s="6">
        <v>41</v>
      </c>
      <c r="B83" s="6" t="s">
        <v>1537</v>
      </c>
      <c r="C83" s="6">
        <v>1</v>
      </c>
      <c r="D83" s="6" t="s">
        <v>2242</v>
      </c>
      <c r="E83" s="6">
        <v>41</v>
      </c>
      <c r="F83" s="6" t="str">
        <f ca="1">Master_List!$AW$1</f>
        <v>PERPUSTAKAAN PUSAT</v>
      </c>
      <c r="G83" s="27" t="str">
        <f ca="1">Master_List!$AW$2</f>
        <v>09:30 PM</v>
      </c>
      <c r="H83" s="32" t="str">
        <f ca="1">Master_List!$AW$3</f>
        <v>20/07/2026</v>
      </c>
      <c r="I83" s="28" t="str">
        <f ca="1">Master_List!$AW$4</f>
        <v>28.5</v>
      </c>
      <c r="J83" s="6" t="str">
        <f ca="1">Master_List!$AW$5</f>
        <v>65</v>
      </c>
      <c r="K83" s="6" t="s">
        <v>582</v>
      </c>
      <c r="L83" s="21" t="str">
        <f ca="1">IFERROR(VLOOKUP(B83, Master_List!$A:$I, 2, FALSE), "-")</f>
        <v/>
      </c>
      <c r="M83" s="22" t="str">
        <f ca="1">IFERROR(VLOOKUP(B83, Master_List!$A:$I, 3, FALSE), "-")</f>
        <v/>
      </c>
      <c r="N83" s="22" t="str">
        <f ca="1">IFERROR(VLOOKUP(B83, Master_List!$A:$I, 4, FALSE), "-")</f>
        <v/>
      </c>
      <c r="O83" s="22" t="str">
        <f ca="1">IFERROR(VLOOKUP(B83, Master_List!$A:$I, 5, FALSE), "-")</f>
        <v/>
      </c>
      <c r="P83" s="22" t="str">
        <f ca="1">IFERROR(VLOOKUP(B83, Master_List!$A:$I, 6, FALSE), "-")</f>
        <v/>
      </c>
      <c r="Q83" s="22" t="str">
        <f ca="1">IFERROR(VLOOKUP(B83, Master_List!$A:$I, 7, FALSE), "-")</f>
        <v/>
      </c>
      <c r="R83" s="22" t="str">
        <f ca="1">IFERROR(VLOOKUP(B83, Master_List!$A:$I, 8, FALSE), "-")</f>
        <v/>
      </c>
      <c r="S83" s="22" t="str">
        <f ca="1">IFERROR(VLOOKUP(B83, Master_List!$A:$I, 9, FALSE), "-")</f>
        <v>24DU738_1015</v>
      </c>
      <c r="T83" s="20" t="str">
        <f ca="1">Master_List!$AW$6</f>
        <v>TOSHIBA</v>
      </c>
      <c r="U83" s="20" t="str">
        <f ca="1">Master_List!$AW$7</f>
        <v>MRMU</v>
      </c>
      <c r="V83" s="20" t="str">
        <f ca="1">Master_List!$AW$8</f>
        <v>12kV</v>
      </c>
      <c r="W83" s="20" t="str">
        <f ca="1">Master_List!$AW$9</f>
        <v>2S1F</v>
      </c>
      <c r="X83" s="20" t="str">
        <f ca="1">Master_List!$AW$10</f>
        <v>MTM</v>
      </c>
      <c r="Y83" s="20" t="str">
        <f ca="1">Master_List!$AW$11</f>
        <v>HERMETICALLY SEAL</v>
      </c>
      <c r="Z83" s="20" t="str">
        <f ca="1">Master_List!$AW$12</f>
        <v>750kVA</v>
      </c>
      <c r="AA83" s="20" t="str">
        <f ca="1">Master_List!$AW$13</f>
        <v>1317</v>
      </c>
      <c r="AB83" s="20">
        <f ca="1">Master_List!$AW$14</f>
        <v>0</v>
      </c>
      <c r="AC83" s="20">
        <f ca="1">Master_List!$AW$15</f>
        <v>0</v>
      </c>
      <c r="AD83" s="20">
        <f ca="1">Master_List!$AW$16</f>
        <v>0</v>
      </c>
      <c r="AE83" s="20">
        <f ca="1">Master_List!$AW$17</f>
        <v>0</v>
      </c>
      <c r="AF83" s="20" t="str">
        <f ca="1">Master_List!$AW$18</f>
        <v>INDKOM</v>
      </c>
      <c r="AG83" s="20" t="str">
        <f ca="1">Master_List!$AW$19</f>
        <v>J-SLOTTED</v>
      </c>
      <c r="AH83" s="20" t="str">
        <f ca="1">Master_List!$AW$20</f>
        <v>1600A</v>
      </c>
      <c r="AI83" s="20" t="str">
        <f ca="1">Master_List!$AW$21</f>
        <v>LV5080090</v>
      </c>
      <c r="AJ83" s="20" t="str">
        <f ca="1">Master_List!$AW$22</f>
        <v>LVDB TX1</v>
      </c>
      <c r="AK83" s="20">
        <f ca="1">Master_List!$AW$23</f>
        <v>0</v>
      </c>
      <c r="AL83" s="20">
        <f ca="1">Master_List!$AW$24</f>
        <v>0</v>
      </c>
      <c r="AM83" s="20">
        <f ca="1">Master_List!$AW$25</f>
        <v>0</v>
      </c>
      <c r="AN83" s="20">
        <f ca="1">Master_List!$AW$26</f>
        <v>0</v>
      </c>
      <c r="AO83" s="20" t="str">
        <f ca="1">Master_List!$AW$27</f>
        <v>LVDB TX2</v>
      </c>
      <c r="AP83" s="20" t="str">
        <f ca="1">Master_List!$AW$28</f>
        <v>SUNPOWER TECHNOLOGIES</v>
      </c>
      <c r="AQ83" s="20" t="str">
        <f ca="1">Master_List!$AW$29</f>
        <v>SPS 30-10 L</v>
      </c>
      <c r="AR83" s="20" t="str">
        <f ca="1">Master_List!$AW$30</f>
        <v>11193-8527</v>
      </c>
      <c r="AS83" s="20">
        <f ca="1">Master_List!$AW$31</f>
        <v>0</v>
      </c>
      <c r="AT83" s="20">
        <f ca="1">Master_List!$AW$32</f>
        <v>0</v>
      </c>
      <c r="AU83" s="20">
        <f ca="1">Master_List!$AW$33</f>
        <v>0</v>
      </c>
      <c r="AV83" s="20">
        <f ca="1">Master_List!$AW$34</f>
        <v>0</v>
      </c>
      <c r="AW83" s="20">
        <f ca="1">Master_List!$AW$35</f>
        <v>0</v>
      </c>
      <c r="AX83" s="20">
        <f ca="1">Master_List!$AW$36</f>
        <v>0</v>
      </c>
      <c r="AY83" s="20">
        <f ca="1">Master_List!$AW$37</f>
        <v>0</v>
      </c>
      <c r="AZ83" s="20">
        <f ca="1">Master_List!$AW$38</f>
        <v>0</v>
      </c>
      <c r="BA83" s="20">
        <f ca="1">Master_List!$AW$39</f>
        <v>0</v>
      </c>
      <c r="BB83" s="20" t="s">
        <v>2240</v>
      </c>
      <c r="BC83" s="20" t="s">
        <v>2241</v>
      </c>
      <c r="BD83" s="6" t="s">
        <v>1744</v>
      </c>
      <c r="BE83" s="6" t="s">
        <v>1791</v>
      </c>
      <c r="BF83" s="6" t="s">
        <v>1748</v>
      </c>
      <c r="BG83" s="6" t="str">
        <f t="shared" si="1"/>
        <v>C:\Users\aremi\Desktop\REPORT CBM\PO 42289580 - Pahang 11kV SECOND CYCLE AZZAD 2026\RAW MATERIAL\047. TNB BARU (IR+VI)\RAW DATA\IR</v>
      </c>
      <c r="BH83" s="24" t="s">
        <v>610</v>
      </c>
    </row>
    <row r="84" spans="1:60" ht="30" customHeight="1" x14ac:dyDescent="0.25">
      <c r="A84" s="6">
        <v>42</v>
      </c>
      <c r="B84" s="6" t="s">
        <v>1537</v>
      </c>
      <c r="C84" s="6">
        <v>1</v>
      </c>
      <c r="D84" s="6" t="s">
        <v>2242</v>
      </c>
      <c r="E84" s="6">
        <v>42</v>
      </c>
      <c r="F84" s="6" t="str">
        <f ca="1">Master_List!$AW$1</f>
        <v>PERPUSTAKAAN PUSAT</v>
      </c>
      <c r="G84" s="27" t="str">
        <f ca="1">Master_List!$AW$2</f>
        <v>09:30 PM</v>
      </c>
      <c r="H84" s="32" t="str">
        <f ca="1">Master_List!$AW$3</f>
        <v>20/07/2026</v>
      </c>
      <c r="I84" s="28" t="str">
        <f ca="1">Master_List!$AW$4</f>
        <v>28.5</v>
      </c>
      <c r="J84" s="6" t="str">
        <f ca="1">Master_List!$AW$5</f>
        <v>65</v>
      </c>
      <c r="K84" s="6" t="s">
        <v>585</v>
      </c>
      <c r="L84" s="21" t="str">
        <f ca="1">IFERROR(VLOOKUP(B84, Master_List!$A:$I, 2, FALSE), "-")</f>
        <v/>
      </c>
      <c r="M84" s="22" t="str">
        <f ca="1">IFERROR(VLOOKUP(B84, Master_List!$A:$I, 3, FALSE), "-")</f>
        <v/>
      </c>
      <c r="N84" s="22" t="str">
        <f ca="1">IFERROR(VLOOKUP(B84, Master_List!$A:$I, 4, FALSE), "-")</f>
        <v/>
      </c>
      <c r="O84" s="22" t="str">
        <f ca="1">IFERROR(VLOOKUP(B84, Master_List!$A:$I, 5, FALSE), "-")</f>
        <v/>
      </c>
      <c r="P84" s="22" t="str">
        <f ca="1">IFERROR(VLOOKUP(B84, Master_List!$A:$I, 6, FALSE), "-")</f>
        <v/>
      </c>
      <c r="Q84" s="22" t="str">
        <f ca="1">IFERROR(VLOOKUP(B84, Master_List!$A:$I, 7, FALSE), "-")</f>
        <v/>
      </c>
      <c r="R84" s="22" t="str">
        <f ca="1">IFERROR(VLOOKUP(B84, Master_List!$A:$I, 8, FALSE), "-")</f>
        <v/>
      </c>
      <c r="S84" s="22" t="str">
        <f ca="1">IFERROR(VLOOKUP(B84, Master_List!$A:$I, 9, FALSE), "-")</f>
        <v>24DU738_1015</v>
      </c>
      <c r="T84" s="20" t="str">
        <f ca="1">Master_List!$AW$6</f>
        <v>TOSHIBA</v>
      </c>
      <c r="U84" s="20" t="str">
        <f ca="1">Master_List!$AW$7</f>
        <v>MRMU</v>
      </c>
      <c r="V84" s="20" t="str">
        <f ca="1">Master_List!$AW$8</f>
        <v>12kV</v>
      </c>
      <c r="W84" s="20" t="str">
        <f ca="1">Master_List!$AW$9</f>
        <v>2S1F</v>
      </c>
      <c r="X84" s="20" t="str">
        <f ca="1">Master_List!$AW$10</f>
        <v>MTM</v>
      </c>
      <c r="Y84" s="20" t="str">
        <f ca="1">Master_List!$AW$11</f>
        <v>HERMETICALLY SEAL</v>
      </c>
      <c r="Z84" s="20" t="str">
        <f ca="1">Master_List!$AW$12</f>
        <v>750kVA</v>
      </c>
      <c r="AA84" s="20" t="str">
        <f ca="1">Master_List!$AW$13</f>
        <v>1317</v>
      </c>
      <c r="AB84" s="20">
        <f ca="1">Master_List!$AW$14</f>
        <v>0</v>
      </c>
      <c r="AC84" s="20">
        <f ca="1">Master_List!$AW$15</f>
        <v>0</v>
      </c>
      <c r="AD84" s="20">
        <f ca="1">Master_List!$AW$16</f>
        <v>0</v>
      </c>
      <c r="AE84" s="20">
        <f ca="1">Master_List!$AW$17</f>
        <v>0</v>
      </c>
      <c r="AF84" s="20" t="str">
        <f ca="1">Master_List!$AW$18</f>
        <v>INDKOM</v>
      </c>
      <c r="AG84" s="20" t="str">
        <f ca="1">Master_List!$AW$19</f>
        <v>J-SLOTTED</v>
      </c>
      <c r="AH84" s="20" t="str">
        <f ca="1">Master_List!$AW$20</f>
        <v>1600A</v>
      </c>
      <c r="AI84" s="20" t="str">
        <f ca="1">Master_List!$AW$21</f>
        <v>LV5080090</v>
      </c>
      <c r="AJ84" s="20" t="str">
        <f ca="1">Master_List!$AW$22</f>
        <v>LVDB TX1</v>
      </c>
      <c r="AK84" s="20">
        <f ca="1">Master_List!$AW$23</f>
        <v>0</v>
      </c>
      <c r="AL84" s="20">
        <f ca="1">Master_List!$AW$24</f>
        <v>0</v>
      </c>
      <c r="AM84" s="20">
        <f ca="1">Master_List!$AW$25</f>
        <v>0</v>
      </c>
      <c r="AN84" s="20">
        <f ca="1">Master_List!$AW$26</f>
        <v>0</v>
      </c>
      <c r="AO84" s="20" t="str">
        <f ca="1">Master_List!$AW$27</f>
        <v>LVDB TX2</v>
      </c>
      <c r="AP84" s="20" t="str">
        <f ca="1">Master_List!$AW$28</f>
        <v>SUNPOWER TECHNOLOGIES</v>
      </c>
      <c r="AQ84" s="20" t="str">
        <f ca="1">Master_List!$AW$29</f>
        <v>SPS 30-10 L</v>
      </c>
      <c r="AR84" s="20" t="str">
        <f ca="1">Master_List!$AW$30</f>
        <v>11193-8527</v>
      </c>
      <c r="AS84" s="20">
        <f ca="1">Master_List!$AW$31</f>
        <v>0</v>
      </c>
      <c r="AT84" s="20">
        <f ca="1">Master_List!$AW$32</f>
        <v>0</v>
      </c>
      <c r="AU84" s="20">
        <f ca="1">Master_List!$AW$33</f>
        <v>0</v>
      </c>
      <c r="AV84" s="20">
        <f ca="1">Master_List!$AW$34</f>
        <v>0</v>
      </c>
      <c r="AW84" s="20">
        <f ca="1">Master_List!$AW$35</f>
        <v>0</v>
      </c>
      <c r="AX84" s="20">
        <f ca="1">Master_List!$AW$36</f>
        <v>0</v>
      </c>
      <c r="AY84" s="20">
        <f ca="1">Master_List!$AW$37</f>
        <v>0</v>
      </c>
      <c r="AZ84" s="20">
        <f ca="1">Master_List!$AW$38</f>
        <v>0</v>
      </c>
      <c r="BA84" s="20">
        <f ca="1">Master_List!$AW$39</f>
        <v>0</v>
      </c>
      <c r="BB84" s="20" t="s">
        <v>2240</v>
      </c>
      <c r="BC84" s="20" t="s">
        <v>2241</v>
      </c>
      <c r="BD84" s="6" t="s">
        <v>1744</v>
      </c>
      <c r="BE84" s="6" t="s">
        <v>1792</v>
      </c>
      <c r="BF84" s="6" t="s">
        <v>1746</v>
      </c>
      <c r="BG84" s="6" t="str">
        <f t="shared" si="1"/>
        <v>C:\Users\aremi\Desktop\REPORT CBM\PO 42289580 - Pahang 11kV SECOND CYCLE AZZAD 2026\RAW MATERIAL\047. TNB BARU (IR+VI)\RAW DATA\IR</v>
      </c>
      <c r="BH84" s="24" t="s">
        <v>612</v>
      </c>
    </row>
    <row r="85" spans="1:60" ht="30" customHeight="1" x14ac:dyDescent="0.25">
      <c r="A85" s="6">
        <v>42</v>
      </c>
      <c r="B85" s="6" t="s">
        <v>1537</v>
      </c>
      <c r="C85" s="6">
        <v>1</v>
      </c>
      <c r="D85" s="6" t="s">
        <v>2242</v>
      </c>
      <c r="E85" s="6">
        <v>42</v>
      </c>
      <c r="F85" s="6" t="str">
        <f ca="1">Master_List!$AW$1</f>
        <v>PERPUSTAKAAN PUSAT</v>
      </c>
      <c r="G85" s="27" t="str">
        <f ca="1">Master_List!$AW$2</f>
        <v>09:30 PM</v>
      </c>
      <c r="H85" s="32" t="str">
        <f ca="1">Master_List!$AW$3</f>
        <v>20/07/2026</v>
      </c>
      <c r="I85" s="28" t="str">
        <f ca="1">Master_List!$AW$4</f>
        <v>28.5</v>
      </c>
      <c r="J85" s="6" t="str">
        <f ca="1">Master_List!$AW$5</f>
        <v>65</v>
      </c>
      <c r="K85" s="6" t="s">
        <v>585</v>
      </c>
      <c r="L85" s="21" t="str">
        <f ca="1">IFERROR(VLOOKUP(B85, Master_List!$A:$I, 2, FALSE), "-")</f>
        <v/>
      </c>
      <c r="M85" s="22" t="str">
        <f ca="1">IFERROR(VLOOKUP(B85, Master_List!$A:$I, 3, FALSE), "-")</f>
        <v/>
      </c>
      <c r="N85" s="22" t="str">
        <f ca="1">IFERROR(VLOOKUP(B85, Master_List!$A:$I, 4, FALSE), "-")</f>
        <v/>
      </c>
      <c r="O85" s="22" t="str">
        <f ca="1">IFERROR(VLOOKUP(B85, Master_List!$A:$I, 5, FALSE), "-")</f>
        <v/>
      </c>
      <c r="P85" s="22" t="str">
        <f ca="1">IFERROR(VLOOKUP(B85, Master_List!$A:$I, 6, FALSE), "-")</f>
        <v/>
      </c>
      <c r="Q85" s="22" t="str">
        <f ca="1">IFERROR(VLOOKUP(B85, Master_List!$A:$I, 7, FALSE), "-")</f>
        <v/>
      </c>
      <c r="R85" s="22" t="str">
        <f ca="1">IFERROR(VLOOKUP(B85, Master_List!$A:$I, 8, FALSE), "-")</f>
        <v/>
      </c>
      <c r="S85" s="22" t="str">
        <f ca="1">IFERROR(VLOOKUP(B85, Master_List!$A:$I, 9, FALSE), "-")</f>
        <v>24DU738_1015</v>
      </c>
      <c r="T85" s="20" t="str">
        <f ca="1">Master_List!$AW$6</f>
        <v>TOSHIBA</v>
      </c>
      <c r="U85" s="20" t="str">
        <f ca="1">Master_List!$AW$7</f>
        <v>MRMU</v>
      </c>
      <c r="V85" s="20" t="str">
        <f ca="1">Master_List!$AW$8</f>
        <v>12kV</v>
      </c>
      <c r="W85" s="20" t="str">
        <f ca="1">Master_List!$AW$9</f>
        <v>2S1F</v>
      </c>
      <c r="X85" s="20" t="str">
        <f ca="1">Master_List!$AW$10</f>
        <v>MTM</v>
      </c>
      <c r="Y85" s="20" t="str">
        <f ca="1">Master_List!$AW$11</f>
        <v>HERMETICALLY SEAL</v>
      </c>
      <c r="Z85" s="20" t="str">
        <f ca="1">Master_List!$AW$12</f>
        <v>750kVA</v>
      </c>
      <c r="AA85" s="20" t="str">
        <f ca="1">Master_List!$AW$13</f>
        <v>1317</v>
      </c>
      <c r="AB85" s="20">
        <f ca="1">Master_List!$AW$14</f>
        <v>0</v>
      </c>
      <c r="AC85" s="20">
        <f ca="1">Master_List!$AW$15</f>
        <v>0</v>
      </c>
      <c r="AD85" s="20">
        <f ca="1">Master_List!$AW$16</f>
        <v>0</v>
      </c>
      <c r="AE85" s="20">
        <f ca="1">Master_List!$AW$17</f>
        <v>0</v>
      </c>
      <c r="AF85" s="20" t="str">
        <f ca="1">Master_List!$AW$18</f>
        <v>INDKOM</v>
      </c>
      <c r="AG85" s="20" t="str">
        <f ca="1">Master_List!$AW$19</f>
        <v>J-SLOTTED</v>
      </c>
      <c r="AH85" s="20" t="str">
        <f ca="1">Master_List!$AW$20</f>
        <v>1600A</v>
      </c>
      <c r="AI85" s="20" t="str">
        <f ca="1">Master_List!$AW$21</f>
        <v>LV5080090</v>
      </c>
      <c r="AJ85" s="20" t="str">
        <f ca="1">Master_List!$AW$22</f>
        <v>LVDB TX1</v>
      </c>
      <c r="AK85" s="20">
        <f ca="1">Master_List!$AW$23</f>
        <v>0</v>
      </c>
      <c r="AL85" s="20">
        <f ca="1">Master_List!$AW$24</f>
        <v>0</v>
      </c>
      <c r="AM85" s="20">
        <f ca="1">Master_List!$AW$25</f>
        <v>0</v>
      </c>
      <c r="AN85" s="20">
        <f ca="1">Master_List!$AW$26</f>
        <v>0</v>
      </c>
      <c r="AO85" s="20" t="str">
        <f ca="1">Master_List!$AW$27</f>
        <v>LVDB TX2</v>
      </c>
      <c r="AP85" s="20" t="str">
        <f ca="1">Master_List!$AW$28</f>
        <v>SUNPOWER TECHNOLOGIES</v>
      </c>
      <c r="AQ85" s="20" t="str">
        <f ca="1">Master_List!$AW$29</f>
        <v>SPS 30-10 L</v>
      </c>
      <c r="AR85" s="20" t="str">
        <f ca="1">Master_List!$AW$30</f>
        <v>11193-8527</v>
      </c>
      <c r="AS85" s="20">
        <f ca="1">Master_List!$AW$31</f>
        <v>0</v>
      </c>
      <c r="AT85" s="20">
        <f ca="1">Master_List!$AW$32</f>
        <v>0</v>
      </c>
      <c r="AU85" s="20">
        <f ca="1">Master_List!$AW$33</f>
        <v>0</v>
      </c>
      <c r="AV85" s="20">
        <f ca="1">Master_List!$AW$34</f>
        <v>0</v>
      </c>
      <c r="AW85" s="20">
        <f ca="1">Master_List!$AW$35</f>
        <v>0</v>
      </c>
      <c r="AX85" s="20">
        <f ca="1">Master_List!$AW$36</f>
        <v>0</v>
      </c>
      <c r="AY85" s="20">
        <f ca="1">Master_List!$AW$37</f>
        <v>0</v>
      </c>
      <c r="AZ85" s="20">
        <f ca="1">Master_List!$AW$38</f>
        <v>0</v>
      </c>
      <c r="BA85" s="20">
        <f ca="1">Master_List!$AW$39</f>
        <v>0</v>
      </c>
      <c r="BB85" s="20" t="s">
        <v>2240</v>
      </c>
      <c r="BC85" s="20" t="s">
        <v>2241</v>
      </c>
      <c r="BD85" s="6" t="s">
        <v>1744</v>
      </c>
      <c r="BE85" s="6" t="s">
        <v>1792</v>
      </c>
      <c r="BF85" s="6" t="s">
        <v>1748</v>
      </c>
      <c r="BG85" s="6" t="str">
        <f t="shared" si="1"/>
        <v>C:\Users\aremi\Desktop\REPORT CBM\PO 42289580 - Pahang 11kV SECOND CYCLE AZZAD 2026\RAW MATERIAL\047. TNB BARU (IR+VI)\RAW DATA\IR</v>
      </c>
      <c r="BH85" s="24" t="s">
        <v>613</v>
      </c>
    </row>
    <row r="86" spans="1:60" ht="30" customHeight="1" x14ac:dyDescent="0.25">
      <c r="A86" s="6">
        <v>43</v>
      </c>
      <c r="B86" s="6" t="s">
        <v>1537</v>
      </c>
      <c r="C86" s="6">
        <v>1</v>
      </c>
      <c r="D86" s="6" t="s">
        <v>2243</v>
      </c>
      <c r="E86" s="6">
        <v>43</v>
      </c>
      <c r="F86" s="6" t="str">
        <f ca="1">Master_List!$AW$1</f>
        <v>PERPUSTAKAAN PUSAT</v>
      </c>
      <c r="G86" s="27" t="str">
        <f ca="1">Master_List!$AW$2</f>
        <v>09:30 PM</v>
      </c>
      <c r="H86" s="32" t="str">
        <f ca="1">Master_List!$AW$3</f>
        <v>20/07/2026</v>
      </c>
      <c r="I86" s="28" t="str">
        <f ca="1">Master_List!$AW$4</f>
        <v>28.5</v>
      </c>
      <c r="J86" s="6" t="str">
        <f ca="1">Master_List!$AW$5</f>
        <v>65</v>
      </c>
      <c r="K86" s="6" t="s">
        <v>588</v>
      </c>
      <c r="L86" s="21" t="str">
        <f ca="1">IFERROR(VLOOKUP(B86, Master_List!$A:$I, 2, FALSE), "-")</f>
        <v/>
      </c>
      <c r="M86" s="22" t="str">
        <f ca="1">IFERROR(VLOOKUP(B86, Master_List!$A:$I, 3, FALSE), "-")</f>
        <v/>
      </c>
      <c r="N86" s="22" t="str">
        <f ca="1">IFERROR(VLOOKUP(B86, Master_List!$A:$I, 4, FALSE), "-")</f>
        <v/>
      </c>
      <c r="O86" s="22" t="str">
        <f ca="1">IFERROR(VLOOKUP(B86, Master_List!$A:$I, 5, FALSE), "-")</f>
        <v/>
      </c>
      <c r="P86" s="22" t="str">
        <f ca="1">IFERROR(VLOOKUP(B86, Master_List!$A:$I, 6, FALSE), "-")</f>
        <v/>
      </c>
      <c r="Q86" s="22" t="str">
        <f ca="1">IFERROR(VLOOKUP(B86, Master_List!$A:$I, 7, FALSE), "-")</f>
        <v/>
      </c>
      <c r="R86" s="22" t="str">
        <f ca="1">IFERROR(VLOOKUP(B86, Master_List!$A:$I, 8, FALSE), "-")</f>
        <v/>
      </c>
      <c r="S86" s="22" t="str">
        <f ca="1">IFERROR(VLOOKUP(B86, Master_List!$A:$I, 9, FALSE), "-")</f>
        <v>24DU738_1015</v>
      </c>
      <c r="T86" s="20" t="str">
        <f ca="1">Master_List!$AW$6</f>
        <v>TOSHIBA</v>
      </c>
      <c r="U86" s="20" t="str">
        <f ca="1">Master_List!$AW$7</f>
        <v>MRMU</v>
      </c>
      <c r="V86" s="20" t="str">
        <f ca="1">Master_List!$AW$8</f>
        <v>12kV</v>
      </c>
      <c r="W86" s="20" t="str">
        <f ca="1">Master_List!$AW$9</f>
        <v>2S1F</v>
      </c>
      <c r="X86" s="20" t="str">
        <f ca="1">Master_List!$AW$10</f>
        <v>MTM</v>
      </c>
      <c r="Y86" s="20" t="str">
        <f ca="1">Master_List!$AW$11</f>
        <v>HERMETICALLY SEAL</v>
      </c>
      <c r="Z86" s="20" t="str">
        <f ca="1">Master_List!$AW$12</f>
        <v>750kVA</v>
      </c>
      <c r="AA86" s="20" t="str">
        <f ca="1">Master_List!$AW$13</f>
        <v>1317</v>
      </c>
      <c r="AB86" s="20">
        <f ca="1">Master_List!$AW$14</f>
        <v>0</v>
      </c>
      <c r="AC86" s="20">
        <f ca="1">Master_List!$AW$15</f>
        <v>0</v>
      </c>
      <c r="AD86" s="20">
        <f ca="1">Master_List!$AW$16</f>
        <v>0</v>
      </c>
      <c r="AE86" s="20">
        <f ca="1">Master_List!$AW$17</f>
        <v>0</v>
      </c>
      <c r="AF86" s="20" t="str">
        <f ca="1">Master_List!$AW$18</f>
        <v>INDKOM</v>
      </c>
      <c r="AG86" s="20" t="str">
        <f ca="1">Master_List!$AW$19</f>
        <v>J-SLOTTED</v>
      </c>
      <c r="AH86" s="20" t="str">
        <f ca="1">Master_List!$AW$20</f>
        <v>1600A</v>
      </c>
      <c r="AI86" s="20" t="str">
        <f ca="1">Master_List!$AW$21</f>
        <v>LV5080090</v>
      </c>
      <c r="AJ86" s="20" t="str">
        <f ca="1">Master_List!$AW$22</f>
        <v>LVDB TX1</v>
      </c>
      <c r="AK86" s="20">
        <f ca="1">Master_List!$AW$23</f>
        <v>0</v>
      </c>
      <c r="AL86" s="20">
        <f ca="1">Master_List!$AW$24</f>
        <v>0</v>
      </c>
      <c r="AM86" s="20">
        <f ca="1">Master_List!$AW$25</f>
        <v>0</v>
      </c>
      <c r="AN86" s="20">
        <f ca="1">Master_List!$AW$26</f>
        <v>0</v>
      </c>
      <c r="AO86" s="20" t="str">
        <f ca="1">Master_List!$AW$27</f>
        <v>LVDB TX2</v>
      </c>
      <c r="AP86" s="20" t="str">
        <f ca="1">Master_List!$AW$28</f>
        <v>SUNPOWER TECHNOLOGIES</v>
      </c>
      <c r="AQ86" s="20" t="str">
        <f ca="1">Master_List!$AW$29</f>
        <v>SPS 30-10 L</v>
      </c>
      <c r="AR86" s="20" t="str">
        <f ca="1">Master_List!$AW$30</f>
        <v>11193-8527</v>
      </c>
      <c r="AS86" s="20">
        <f ca="1">Master_List!$AW$31</f>
        <v>0</v>
      </c>
      <c r="AT86" s="20">
        <f ca="1">Master_List!$AW$32</f>
        <v>0</v>
      </c>
      <c r="AU86" s="20">
        <f ca="1">Master_List!$AW$33</f>
        <v>0</v>
      </c>
      <c r="AV86" s="20">
        <f ca="1">Master_List!$AW$34</f>
        <v>0</v>
      </c>
      <c r="AW86" s="20">
        <f ca="1">Master_List!$AW$35</f>
        <v>0</v>
      </c>
      <c r="AX86" s="20">
        <f ca="1">Master_List!$AW$36</f>
        <v>0</v>
      </c>
      <c r="AY86" s="20">
        <f ca="1">Master_List!$AW$37</f>
        <v>0</v>
      </c>
      <c r="AZ86" s="20">
        <f ca="1">Master_List!$AW$38</f>
        <v>0</v>
      </c>
      <c r="BA86" s="20">
        <f ca="1">Master_List!$AW$39</f>
        <v>0</v>
      </c>
      <c r="BB86" s="20" t="s">
        <v>2240</v>
      </c>
      <c r="BC86" s="20" t="s">
        <v>2241</v>
      </c>
      <c r="BD86" s="6" t="s">
        <v>1744</v>
      </c>
      <c r="BE86" s="6" t="s">
        <v>1793</v>
      </c>
      <c r="BF86" s="6" t="s">
        <v>1746</v>
      </c>
      <c r="BG86" s="6" t="str">
        <f t="shared" si="1"/>
        <v>C:\Users\aremi\Desktop\REPORT CBM\PO 42289580 - Pahang 11kV SECOND CYCLE AZZAD 2026\RAW MATERIAL\047. TNB BARU (IR+VI)\RAW DATA\IR</v>
      </c>
      <c r="BH86" s="24" t="s">
        <v>614</v>
      </c>
    </row>
    <row r="87" spans="1:60" ht="30" customHeight="1" x14ac:dyDescent="0.25">
      <c r="A87" s="6">
        <v>43</v>
      </c>
      <c r="B87" s="6" t="s">
        <v>1537</v>
      </c>
      <c r="C87" s="6">
        <v>1</v>
      </c>
      <c r="D87" s="6" t="s">
        <v>2243</v>
      </c>
      <c r="E87" s="6">
        <v>43</v>
      </c>
      <c r="F87" s="6" t="str">
        <f ca="1">Master_List!$AW$1</f>
        <v>PERPUSTAKAAN PUSAT</v>
      </c>
      <c r="G87" s="27" t="str">
        <f ca="1">Master_List!$AW$2</f>
        <v>09:30 PM</v>
      </c>
      <c r="H87" s="32" t="str">
        <f ca="1">Master_List!$AW$3</f>
        <v>20/07/2026</v>
      </c>
      <c r="I87" s="28" t="str">
        <f ca="1">Master_List!$AW$4</f>
        <v>28.5</v>
      </c>
      <c r="J87" s="6" t="str">
        <f ca="1">Master_List!$AW$5</f>
        <v>65</v>
      </c>
      <c r="K87" s="6" t="s">
        <v>588</v>
      </c>
      <c r="L87" s="21" t="str">
        <f ca="1">IFERROR(VLOOKUP(B87, Master_List!$A:$I, 2, FALSE), "-")</f>
        <v/>
      </c>
      <c r="M87" s="22" t="str">
        <f ca="1">IFERROR(VLOOKUP(B87, Master_List!$A:$I, 3, FALSE), "-")</f>
        <v/>
      </c>
      <c r="N87" s="22" t="str">
        <f ca="1">IFERROR(VLOOKUP(B87, Master_List!$A:$I, 4, FALSE), "-")</f>
        <v/>
      </c>
      <c r="O87" s="22" t="str">
        <f ca="1">IFERROR(VLOOKUP(B87, Master_List!$A:$I, 5, FALSE), "-")</f>
        <v/>
      </c>
      <c r="P87" s="22" t="str">
        <f ca="1">IFERROR(VLOOKUP(B87, Master_List!$A:$I, 6, FALSE), "-")</f>
        <v/>
      </c>
      <c r="Q87" s="22" t="str">
        <f ca="1">IFERROR(VLOOKUP(B87, Master_List!$A:$I, 7, FALSE), "-")</f>
        <v/>
      </c>
      <c r="R87" s="22" t="str">
        <f ca="1">IFERROR(VLOOKUP(B87, Master_List!$A:$I, 8, FALSE), "-")</f>
        <v/>
      </c>
      <c r="S87" s="22" t="str">
        <f ca="1">IFERROR(VLOOKUP(B87, Master_List!$A:$I, 9, FALSE), "-")</f>
        <v>24DU738_1015</v>
      </c>
      <c r="T87" s="20" t="str">
        <f ca="1">Master_List!$AW$6</f>
        <v>TOSHIBA</v>
      </c>
      <c r="U87" s="20" t="str">
        <f ca="1">Master_List!$AW$7</f>
        <v>MRMU</v>
      </c>
      <c r="V87" s="20" t="str">
        <f ca="1">Master_List!$AW$8</f>
        <v>12kV</v>
      </c>
      <c r="W87" s="20" t="str">
        <f ca="1">Master_List!$AW$9</f>
        <v>2S1F</v>
      </c>
      <c r="X87" s="20" t="str">
        <f ca="1">Master_List!$AW$10</f>
        <v>MTM</v>
      </c>
      <c r="Y87" s="20" t="str">
        <f ca="1">Master_List!$AW$11</f>
        <v>HERMETICALLY SEAL</v>
      </c>
      <c r="Z87" s="20" t="str">
        <f ca="1">Master_List!$AW$12</f>
        <v>750kVA</v>
      </c>
      <c r="AA87" s="20" t="str">
        <f ca="1">Master_List!$AW$13</f>
        <v>1317</v>
      </c>
      <c r="AB87" s="20">
        <f ca="1">Master_List!$AW$14</f>
        <v>0</v>
      </c>
      <c r="AC87" s="20">
        <f ca="1">Master_List!$AW$15</f>
        <v>0</v>
      </c>
      <c r="AD87" s="20">
        <f ca="1">Master_List!$AW$16</f>
        <v>0</v>
      </c>
      <c r="AE87" s="20">
        <f ca="1">Master_List!$AW$17</f>
        <v>0</v>
      </c>
      <c r="AF87" s="20" t="str">
        <f ca="1">Master_List!$AW$18</f>
        <v>INDKOM</v>
      </c>
      <c r="AG87" s="20" t="str">
        <f ca="1">Master_List!$AW$19</f>
        <v>J-SLOTTED</v>
      </c>
      <c r="AH87" s="20" t="str">
        <f ca="1">Master_List!$AW$20</f>
        <v>1600A</v>
      </c>
      <c r="AI87" s="20" t="str">
        <f ca="1">Master_List!$AW$21</f>
        <v>LV5080090</v>
      </c>
      <c r="AJ87" s="20" t="str">
        <f ca="1">Master_List!$AW$22</f>
        <v>LVDB TX1</v>
      </c>
      <c r="AK87" s="20">
        <f ca="1">Master_List!$AW$23</f>
        <v>0</v>
      </c>
      <c r="AL87" s="20">
        <f ca="1">Master_List!$AW$24</f>
        <v>0</v>
      </c>
      <c r="AM87" s="20">
        <f ca="1">Master_List!$AW$25</f>
        <v>0</v>
      </c>
      <c r="AN87" s="20">
        <f ca="1">Master_List!$AW$26</f>
        <v>0</v>
      </c>
      <c r="AO87" s="20" t="str">
        <f ca="1">Master_List!$AW$27</f>
        <v>LVDB TX2</v>
      </c>
      <c r="AP87" s="20" t="str">
        <f ca="1">Master_List!$AW$28</f>
        <v>SUNPOWER TECHNOLOGIES</v>
      </c>
      <c r="AQ87" s="20" t="str">
        <f ca="1">Master_List!$AW$29</f>
        <v>SPS 30-10 L</v>
      </c>
      <c r="AR87" s="20" t="str">
        <f ca="1">Master_List!$AW$30</f>
        <v>11193-8527</v>
      </c>
      <c r="AS87" s="20">
        <f ca="1">Master_List!$AW$31</f>
        <v>0</v>
      </c>
      <c r="AT87" s="20">
        <f ca="1">Master_List!$AW$32</f>
        <v>0</v>
      </c>
      <c r="AU87" s="20">
        <f ca="1">Master_List!$AW$33</f>
        <v>0</v>
      </c>
      <c r="AV87" s="20">
        <f ca="1">Master_List!$AW$34</f>
        <v>0</v>
      </c>
      <c r="AW87" s="20">
        <f ca="1">Master_List!$AW$35</f>
        <v>0</v>
      </c>
      <c r="AX87" s="20">
        <f ca="1">Master_List!$AW$36</f>
        <v>0</v>
      </c>
      <c r="AY87" s="20">
        <f ca="1">Master_List!$AW$37</f>
        <v>0</v>
      </c>
      <c r="AZ87" s="20">
        <f ca="1">Master_List!$AW$38</f>
        <v>0</v>
      </c>
      <c r="BA87" s="20">
        <f ca="1">Master_List!$AW$39</f>
        <v>0</v>
      </c>
      <c r="BB87" s="20" t="s">
        <v>2240</v>
      </c>
      <c r="BC87" s="20" t="s">
        <v>2241</v>
      </c>
      <c r="BD87" s="6" t="s">
        <v>1744</v>
      </c>
      <c r="BE87" s="6" t="s">
        <v>1793</v>
      </c>
      <c r="BF87" s="6" t="s">
        <v>1748</v>
      </c>
      <c r="BG87" s="6" t="str">
        <f t="shared" si="1"/>
        <v>C:\Users\aremi\Desktop\REPORT CBM\PO 42289580 - Pahang 11kV SECOND CYCLE AZZAD 2026\RAW MATERIAL\047. TNB BARU (IR+VI)\RAW DATA\IR</v>
      </c>
      <c r="BH87" s="24" t="s">
        <v>615</v>
      </c>
    </row>
    <row r="88" spans="1:60" ht="30" customHeight="1" x14ac:dyDescent="0.25">
      <c r="A88" s="6">
        <v>44</v>
      </c>
      <c r="B88" s="6" t="s">
        <v>1537</v>
      </c>
      <c r="C88" s="6">
        <v>1</v>
      </c>
      <c r="D88" s="6" t="s">
        <v>2244</v>
      </c>
      <c r="E88" s="6">
        <v>44</v>
      </c>
      <c r="F88" s="6" t="str">
        <f ca="1">Master_List!$AW$1</f>
        <v>PERPUSTAKAAN PUSAT</v>
      </c>
      <c r="G88" s="27" t="str">
        <f ca="1">Master_List!$AW$2</f>
        <v>09:30 PM</v>
      </c>
      <c r="H88" s="32" t="str">
        <f ca="1">Master_List!$AW$3</f>
        <v>20/07/2026</v>
      </c>
      <c r="I88" s="28" t="str">
        <f ca="1">Master_List!$AW$4</f>
        <v>28.5</v>
      </c>
      <c r="J88" s="6" t="str">
        <f ca="1">Master_List!$AW$5</f>
        <v>65</v>
      </c>
      <c r="K88" s="6" t="s">
        <v>591</v>
      </c>
      <c r="L88" s="21" t="str">
        <f ca="1">IFERROR(VLOOKUP(B88, Master_List!$A:$I, 2, FALSE), "-")</f>
        <v/>
      </c>
      <c r="M88" s="22" t="str">
        <f ca="1">IFERROR(VLOOKUP(B88, Master_List!$A:$I, 3, FALSE), "-")</f>
        <v/>
      </c>
      <c r="N88" s="22" t="str">
        <f ca="1">IFERROR(VLOOKUP(B88, Master_List!$A:$I, 4, FALSE), "-")</f>
        <v/>
      </c>
      <c r="O88" s="22" t="str">
        <f ca="1">IFERROR(VLOOKUP(B88, Master_List!$A:$I, 5, FALSE), "-")</f>
        <v/>
      </c>
      <c r="P88" s="22" t="str">
        <f ca="1">IFERROR(VLOOKUP(B88, Master_List!$A:$I, 6, FALSE), "-")</f>
        <v/>
      </c>
      <c r="Q88" s="22" t="str">
        <f ca="1">IFERROR(VLOOKUP(B88, Master_List!$A:$I, 7, FALSE), "-")</f>
        <v/>
      </c>
      <c r="R88" s="22" t="str">
        <f ca="1">IFERROR(VLOOKUP(B88, Master_List!$A:$I, 8, FALSE), "-")</f>
        <v/>
      </c>
      <c r="S88" s="22" t="str">
        <f ca="1">IFERROR(VLOOKUP(B88, Master_List!$A:$I, 9, FALSE), "-")</f>
        <v>24DU738_1015</v>
      </c>
      <c r="T88" s="20" t="str">
        <f ca="1">Master_List!$AW$6</f>
        <v>TOSHIBA</v>
      </c>
      <c r="U88" s="20" t="str">
        <f ca="1">Master_List!$AW$7</f>
        <v>MRMU</v>
      </c>
      <c r="V88" s="20" t="str">
        <f ca="1">Master_List!$AW$8</f>
        <v>12kV</v>
      </c>
      <c r="W88" s="20" t="str">
        <f ca="1">Master_List!$AW$9</f>
        <v>2S1F</v>
      </c>
      <c r="X88" s="20" t="str">
        <f ca="1">Master_List!$AW$10</f>
        <v>MTM</v>
      </c>
      <c r="Y88" s="20" t="str">
        <f ca="1">Master_List!$AW$11</f>
        <v>HERMETICALLY SEAL</v>
      </c>
      <c r="Z88" s="20" t="str">
        <f ca="1">Master_List!$AW$12</f>
        <v>750kVA</v>
      </c>
      <c r="AA88" s="20" t="str">
        <f ca="1">Master_List!$AW$13</f>
        <v>1317</v>
      </c>
      <c r="AB88" s="20">
        <f ca="1">Master_List!$AW$14</f>
        <v>0</v>
      </c>
      <c r="AC88" s="20">
        <f ca="1">Master_List!$AW$15</f>
        <v>0</v>
      </c>
      <c r="AD88" s="20">
        <f ca="1">Master_List!$AW$16</f>
        <v>0</v>
      </c>
      <c r="AE88" s="20">
        <f ca="1">Master_List!$AW$17</f>
        <v>0</v>
      </c>
      <c r="AF88" s="20" t="str">
        <f ca="1">Master_List!$AW$18</f>
        <v>INDKOM</v>
      </c>
      <c r="AG88" s="20" t="str">
        <f ca="1">Master_List!$AW$19</f>
        <v>J-SLOTTED</v>
      </c>
      <c r="AH88" s="20" t="str">
        <f ca="1">Master_List!$AW$20</f>
        <v>1600A</v>
      </c>
      <c r="AI88" s="20" t="str">
        <f ca="1">Master_List!$AW$21</f>
        <v>LV5080090</v>
      </c>
      <c r="AJ88" s="20" t="str">
        <f ca="1">Master_List!$AW$22</f>
        <v>LVDB TX1</v>
      </c>
      <c r="AK88" s="20">
        <f ca="1">Master_List!$AW$23</f>
        <v>0</v>
      </c>
      <c r="AL88" s="20">
        <f ca="1">Master_List!$AW$24</f>
        <v>0</v>
      </c>
      <c r="AM88" s="20">
        <f ca="1">Master_List!$AW$25</f>
        <v>0</v>
      </c>
      <c r="AN88" s="20">
        <f ca="1">Master_List!$AW$26</f>
        <v>0</v>
      </c>
      <c r="AO88" s="20" t="str">
        <f ca="1">Master_List!$AW$27</f>
        <v>LVDB TX2</v>
      </c>
      <c r="AP88" s="20" t="str">
        <f ca="1">Master_List!$AW$28</f>
        <v>SUNPOWER TECHNOLOGIES</v>
      </c>
      <c r="AQ88" s="20" t="str">
        <f ca="1">Master_List!$AW$29</f>
        <v>SPS 30-10 L</v>
      </c>
      <c r="AR88" s="20" t="str">
        <f ca="1">Master_List!$AW$30</f>
        <v>11193-8527</v>
      </c>
      <c r="AS88" s="20">
        <f ca="1">Master_List!$AW$31</f>
        <v>0</v>
      </c>
      <c r="AT88" s="20">
        <f ca="1">Master_List!$AW$32</f>
        <v>0</v>
      </c>
      <c r="AU88" s="20">
        <f ca="1">Master_List!$AW$33</f>
        <v>0</v>
      </c>
      <c r="AV88" s="20">
        <f ca="1">Master_List!$AW$34</f>
        <v>0</v>
      </c>
      <c r="AW88" s="20">
        <f ca="1">Master_List!$AW$35</f>
        <v>0</v>
      </c>
      <c r="AX88" s="20">
        <f ca="1">Master_List!$AW$36</f>
        <v>0</v>
      </c>
      <c r="AY88" s="20">
        <f ca="1">Master_List!$AW$37</f>
        <v>0</v>
      </c>
      <c r="AZ88" s="20">
        <f ca="1">Master_List!$AW$38</f>
        <v>0</v>
      </c>
      <c r="BA88" s="20">
        <f ca="1">Master_List!$AW$39</f>
        <v>0</v>
      </c>
      <c r="BB88" s="20" t="s">
        <v>2240</v>
      </c>
      <c r="BC88" s="20" t="s">
        <v>2241</v>
      </c>
      <c r="BD88" s="6" t="s">
        <v>1744</v>
      </c>
      <c r="BE88" s="6" t="s">
        <v>1794</v>
      </c>
      <c r="BF88" s="6" t="s">
        <v>1746</v>
      </c>
      <c r="BG88" s="6" t="str">
        <f t="shared" si="1"/>
        <v>C:\Users\aremi\Desktop\REPORT CBM\PO 42289580 - Pahang 11kV SECOND CYCLE AZZAD 2026\RAW MATERIAL\047. TNB BARU (IR+VI)\RAW DATA\IR</v>
      </c>
      <c r="BH88" s="24" t="s">
        <v>616</v>
      </c>
    </row>
    <row r="89" spans="1:60" ht="30" customHeight="1" x14ac:dyDescent="0.25">
      <c r="A89" s="6">
        <v>44</v>
      </c>
      <c r="B89" s="6" t="s">
        <v>1537</v>
      </c>
      <c r="C89" s="6">
        <v>1</v>
      </c>
      <c r="D89" s="6" t="s">
        <v>2244</v>
      </c>
      <c r="E89" s="6">
        <v>44</v>
      </c>
      <c r="F89" s="6" t="str">
        <f ca="1">Master_List!$AW$1</f>
        <v>PERPUSTAKAAN PUSAT</v>
      </c>
      <c r="G89" s="27" t="str">
        <f ca="1">Master_List!$AW$2</f>
        <v>09:30 PM</v>
      </c>
      <c r="H89" s="32" t="str">
        <f ca="1">Master_List!$AW$3</f>
        <v>20/07/2026</v>
      </c>
      <c r="I89" s="28" t="str">
        <f ca="1">Master_List!$AW$4</f>
        <v>28.5</v>
      </c>
      <c r="J89" s="6" t="str">
        <f ca="1">Master_List!$AW$5</f>
        <v>65</v>
      </c>
      <c r="K89" s="6" t="s">
        <v>591</v>
      </c>
      <c r="L89" s="21" t="str">
        <f ca="1">IFERROR(VLOOKUP(B89, Master_List!$A:$I, 2, FALSE), "-")</f>
        <v/>
      </c>
      <c r="M89" s="22" t="str">
        <f ca="1">IFERROR(VLOOKUP(B89, Master_List!$A:$I, 3, FALSE), "-")</f>
        <v/>
      </c>
      <c r="N89" s="22" t="str">
        <f ca="1">IFERROR(VLOOKUP(B89, Master_List!$A:$I, 4, FALSE), "-")</f>
        <v/>
      </c>
      <c r="O89" s="22" t="str">
        <f ca="1">IFERROR(VLOOKUP(B89, Master_List!$A:$I, 5, FALSE), "-")</f>
        <v/>
      </c>
      <c r="P89" s="22" t="str">
        <f ca="1">IFERROR(VLOOKUP(B89, Master_List!$A:$I, 6, FALSE), "-")</f>
        <v/>
      </c>
      <c r="Q89" s="22" t="str">
        <f ca="1">IFERROR(VLOOKUP(B89, Master_List!$A:$I, 7, FALSE), "-")</f>
        <v/>
      </c>
      <c r="R89" s="22" t="str">
        <f ca="1">IFERROR(VLOOKUP(B89, Master_List!$A:$I, 8, FALSE), "-")</f>
        <v/>
      </c>
      <c r="S89" s="22" t="str">
        <f ca="1">IFERROR(VLOOKUP(B89, Master_List!$A:$I, 9, FALSE), "-")</f>
        <v>24DU738_1015</v>
      </c>
      <c r="T89" s="20" t="str">
        <f ca="1">Master_List!$AW$6</f>
        <v>TOSHIBA</v>
      </c>
      <c r="U89" s="20" t="str">
        <f ca="1">Master_List!$AW$7</f>
        <v>MRMU</v>
      </c>
      <c r="V89" s="20" t="str">
        <f ca="1">Master_List!$AW$8</f>
        <v>12kV</v>
      </c>
      <c r="W89" s="20" t="str">
        <f ca="1">Master_List!$AW$9</f>
        <v>2S1F</v>
      </c>
      <c r="X89" s="20" t="str">
        <f ca="1">Master_List!$AW$10</f>
        <v>MTM</v>
      </c>
      <c r="Y89" s="20" t="str">
        <f ca="1">Master_List!$AW$11</f>
        <v>HERMETICALLY SEAL</v>
      </c>
      <c r="Z89" s="20" t="str">
        <f ca="1">Master_List!$AW$12</f>
        <v>750kVA</v>
      </c>
      <c r="AA89" s="20" t="str">
        <f ca="1">Master_List!$AW$13</f>
        <v>1317</v>
      </c>
      <c r="AB89" s="20">
        <f ca="1">Master_List!$AW$14</f>
        <v>0</v>
      </c>
      <c r="AC89" s="20">
        <f ca="1">Master_List!$AW$15</f>
        <v>0</v>
      </c>
      <c r="AD89" s="20">
        <f ca="1">Master_List!$AW$16</f>
        <v>0</v>
      </c>
      <c r="AE89" s="20">
        <f ca="1">Master_List!$AW$17</f>
        <v>0</v>
      </c>
      <c r="AF89" s="20" t="str">
        <f ca="1">Master_List!$AW$18</f>
        <v>INDKOM</v>
      </c>
      <c r="AG89" s="20" t="str">
        <f ca="1">Master_List!$AW$19</f>
        <v>J-SLOTTED</v>
      </c>
      <c r="AH89" s="20" t="str">
        <f ca="1">Master_List!$AW$20</f>
        <v>1600A</v>
      </c>
      <c r="AI89" s="20" t="str">
        <f ca="1">Master_List!$AW$21</f>
        <v>LV5080090</v>
      </c>
      <c r="AJ89" s="20" t="str">
        <f ca="1">Master_List!$AW$22</f>
        <v>LVDB TX1</v>
      </c>
      <c r="AK89" s="20">
        <f ca="1">Master_List!$AW$23</f>
        <v>0</v>
      </c>
      <c r="AL89" s="20">
        <f ca="1">Master_List!$AW$24</f>
        <v>0</v>
      </c>
      <c r="AM89" s="20">
        <f ca="1">Master_List!$AW$25</f>
        <v>0</v>
      </c>
      <c r="AN89" s="20">
        <f ca="1">Master_List!$AW$26</f>
        <v>0</v>
      </c>
      <c r="AO89" s="20" t="str">
        <f ca="1">Master_List!$AW$27</f>
        <v>LVDB TX2</v>
      </c>
      <c r="AP89" s="20" t="str">
        <f ca="1">Master_List!$AW$28</f>
        <v>SUNPOWER TECHNOLOGIES</v>
      </c>
      <c r="AQ89" s="20" t="str">
        <f ca="1">Master_List!$AW$29</f>
        <v>SPS 30-10 L</v>
      </c>
      <c r="AR89" s="20" t="str">
        <f ca="1">Master_List!$AW$30</f>
        <v>11193-8527</v>
      </c>
      <c r="AS89" s="20">
        <f ca="1">Master_List!$AW$31</f>
        <v>0</v>
      </c>
      <c r="AT89" s="20">
        <f ca="1">Master_List!$AW$32</f>
        <v>0</v>
      </c>
      <c r="AU89" s="20">
        <f ca="1">Master_List!$AW$33</f>
        <v>0</v>
      </c>
      <c r="AV89" s="20">
        <f ca="1">Master_List!$AW$34</f>
        <v>0</v>
      </c>
      <c r="AW89" s="20">
        <f ca="1">Master_List!$AW$35</f>
        <v>0</v>
      </c>
      <c r="AX89" s="20">
        <f ca="1">Master_List!$AW$36</f>
        <v>0</v>
      </c>
      <c r="AY89" s="20">
        <f ca="1">Master_List!$AW$37</f>
        <v>0</v>
      </c>
      <c r="AZ89" s="20">
        <f ca="1">Master_List!$AW$38</f>
        <v>0</v>
      </c>
      <c r="BA89" s="20">
        <f ca="1">Master_List!$AW$39</f>
        <v>0</v>
      </c>
      <c r="BB89" s="20" t="s">
        <v>2240</v>
      </c>
      <c r="BC89" s="20" t="s">
        <v>2241</v>
      </c>
      <c r="BD89" s="6" t="s">
        <v>1744</v>
      </c>
      <c r="BE89" s="6" t="s">
        <v>1794</v>
      </c>
      <c r="BF89" s="6" t="s">
        <v>1748</v>
      </c>
      <c r="BG89" s="6" t="str">
        <f t="shared" si="1"/>
        <v>C:\Users\aremi\Desktop\REPORT CBM\PO 42289580 - Pahang 11kV SECOND CYCLE AZZAD 2026\RAW MATERIAL\047. TNB BARU (IR+VI)\RAW DATA\IR</v>
      </c>
      <c r="BH89" s="24" t="s">
        <v>617</v>
      </c>
    </row>
    <row r="90" spans="1:60" ht="30" customHeight="1" x14ac:dyDescent="0.25">
      <c r="A90" s="6">
        <v>45</v>
      </c>
      <c r="B90" s="6" t="s">
        <v>1542</v>
      </c>
      <c r="C90" s="6">
        <v>1</v>
      </c>
      <c r="D90" s="6" t="s">
        <v>2242</v>
      </c>
      <c r="E90" s="6">
        <v>45</v>
      </c>
      <c r="F90" s="6" t="str">
        <f ca="1">Master_List!$AW$1</f>
        <v>PERPUSTAKAAN PUSAT</v>
      </c>
      <c r="G90" s="27" t="str">
        <f ca="1">Master_List!$AW$2</f>
        <v>09:30 PM</v>
      </c>
      <c r="H90" s="32" t="str">
        <f ca="1">Master_List!$AW$3</f>
        <v>20/07/2026</v>
      </c>
      <c r="I90" s="28" t="str">
        <f ca="1">Master_List!$AW$4</f>
        <v>28.5</v>
      </c>
      <c r="J90" s="6" t="str">
        <f ca="1">Master_List!$AW$5</f>
        <v>65</v>
      </c>
      <c r="K90" s="6" t="s">
        <v>570</v>
      </c>
      <c r="L90" s="21" t="str">
        <f ca="1">IFERROR(VLOOKUP(B90, Master_List!$A:$I, 2, FALSE), "-")</f>
        <v/>
      </c>
      <c r="M90" s="22" t="str">
        <f ca="1">IFERROR(VLOOKUP(B90, Master_List!$A:$I, 3, FALSE), "-")</f>
        <v/>
      </c>
      <c r="N90" s="22" t="str">
        <f ca="1">IFERROR(VLOOKUP(B90, Master_List!$A:$I, 4, FALSE), "-")</f>
        <v/>
      </c>
      <c r="O90" s="22" t="str">
        <f ca="1">IFERROR(VLOOKUP(B90, Master_List!$A:$I, 5, FALSE), "-")</f>
        <v/>
      </c>
      <c r="P90" s="22" t="str">
        <f ca="1">IFERROR(VLOOKUP(B90, Master_List!$A:$I, 6, FALSE), "-")</f>
        <v/>
      </c>
      <c r="Q90" s="22" t="str">
        <f ca="1">IFERROR(VLOOKUP(B90, Master_List!$A:$I, 7, FALSE), "-")</f>
        <v/>
      </c>
      <c r="R90" s="22" t="str">
        <f ca="1">IFERROR(VLOOKUP(B90, Master_List!$A:$I, 8, FALSE), "-")</f>
        <v/>
      </c>
      <c r="S90" s="22" t="str">
        <f ca="1">IFERROR(VLOOKUP(B90, Master_List!$A:$I, 9, FALSE), "-")</f>
        <v/>
      </c>
      <c r="T90" s="20" t="str">
        <f ca="1">Master_List!$AW$6</f>
        <v>TOSHIBA</v>
      </c>
      <c r="U90" s="20" t="str">
        <f ca="1">Master_List!$AW$7</f>
        <v>MRMU</v>
      </c>
      <c r="V90" s="20" t="str">
        <f ca="1">Master_List!$AW$8</f>
        <v>12kV</v>
      </c>
      <c r="W90" s="20" t="str">
        <f ca="1">Master_List!$AW$9</f>
        <v>2S1F</v>
      </c>
      <c r="X90" s="20" t="str">
        <f ca="1">Master_List!$AW$10</f>
        <v>MTM</v>
      </c>
      <c r="Y90" s="20" t="str">
        <f ca="1">Master_List!$AW$11</f>
        <v>HERMETICALLY SEAL</v>
      </c>
      <c r="Z90" s="20" t="str">
        <f ca="1">Master_List!$AW$12</f>
        <v>750kVA</v>
      </c>
      <c r="AA90" s="20" t="str">
        <f ca="1">Master_List!$AW$13</f>
        <v>1317</v>
      </c>
      <c r="AB90" s="20">
        <f ca="1">Master_List!$AW$14</f>
        <v>0</v>
      </c>
      <c r="AC90" s="20">
        <f ca="1">Master_List!$AW$15</f>
        <v>0</v>
      </c>
      <c r="AD90" s="20">
        <f ca="1">Master_List!$AW$16</f>
        <v>0</v>
      </c>
      <c r="AE90" s="20">
        <f ca="1">Master_List!$AW$17</f>
        <v>0</v>
      </c>
      <c r="AF90" s="20" t="str">
        <f ca="1">Master_List!$AW$18</f>
        <v>INDKOM</v>
      </c>
      <c r="AG90" s="20" t="str">
        <f ca="1">Master_List!$AW$19</f>
        <v>J-SLOTTED</v>
      </c>
      <c r="AH90" s="20" t="str">
        <f ca="1">Master_List!$AW$20</f>
        <v>1600A</v>
      </c>
      <c r="AI90" s="20" t="str">
        <f ca="1">Master_List!$AW$21</f>
        <v>LV5080090</v>
      </c>
      <c r="AJ90" s="20" t="str">
        <f ca="1">Master_List!$AW$22</f>
        <v>LVDB TX1</v>
      </c>
      <c r="AK90" s="20">
        <f ca="1">Master_List!$AW$23</f>
        <v>0</v>
      </c>
      <c r="AL90" s="20">
        <f ca="1">Master_List!$AW$24</f>
        <v>0</v>
      </c>
      <c r="AM90" s="20">
        <f ca="1">Master_List!$AW$25</f>
        <v>0</v>
      </c>
      <c r="AN90" s="20">
        <f ca="1">Master_List!$AW$26</f>
        <v>0</v>
      </c>
      <c r="AO90" s="20" t="str">
        <f ca="1">Master_List!$AW$27</f>
        <v>LVDB TX2</v>
      </c>
      <c r="AP90" s="20" t="str">
        <f ca="1">Master_List!$AW$28</f>
        <v>SUNPOWER TECHNOLOGIES</v>
      </c>
      <c r="AQ90" s="20" t="str">
        <f ca="1">Master_List!$AW$29</f>
        <v>SPS 30-10 L</v>
      </c>
      <c r="AR90" s="20" t="str">
        <f ca="1">Master_List!$AW$30</f>
        <v>11193-8527</v>
      </c>
      <c r="AS90" s="20">
        <f ca="1">Master_List!$AW$31</f>
        <v>0</v>
      </c>
      <c r="AT90" s="20">
        <f ca="1">Master_List!$AW$32</f>
        <v>0</v>
      </c>
      <c r="AU90" s="20">
        <f ca="1">Master_List!$AW$33</f>
        <v>0</v>
      </c>
      <c r="AV90" s="20">
        <f ca="1">Master_List!$AW$34</f>
        <v>0</v>
      </c>
      <c r="AW90" s="20">
        <f ca="1">Master_List!$AW$35</f>
        <v>0</v>
      </c>
      <c r="AX90" s="20">
        <f ca="1">Master_List!$AW$36</f>
        <v>0</v>
      </c>
      <c r="AY90" s="20">
        <f ca="1">Master_List!$AW$37</f>
        <v>0</v>
      </c>
      <c r="AZ90" s="20">
        <f ca="1">Master_List!$AW$38</f>
        <v>0</v>
      </c>
      <c r="BA90" s="20">
        <f ca="1">Master_List!$AW$39</f>
        <v>0</v>
      </c>
      <c r="BB90" s="20" t="s">
        <v>2240</v>
      </c>
      <c r="BC90" s="20" t="s">
        <v>2241</v>
      </c>
      <c r="BD90" s="6" t="s">
        <v>1744</v>
      </c>
      <c r="BE90" s="6" t="s">
        <v>1795</v>
      </c>
      <c r="BF90" s="6" t="s">
        <v>1746</v>
      </c>
      <c r="BG90" s="6" t="str">
        <f t="shared" si="1"/>
        <v>C:\Users\aremi\Desktop\REPORT CBM\PO 42289580 - Pahang 11kV SECOND CYCLE AZZAD 2026\RAW MATERIAL\047. TNB BARU (IR+VI)\RAW DATA\IR</v>
      </c>
      <c r="BH90" s="24" t="s">
        <v>618</v>
      </c>
    </row>
    <row r="91" spans="1:60" ht="30" customHeight="1" x14ac:dyDescent="0.25">
      <c r="A91" s="6">
        <v>45</v>
      </c>
      <c r="B91" s="6" t="s">
        <v>1542</v>
      </c>
      <c r="C91" s="6">
        <v>1</v>
      </c>
      <c r="D91" s="6" t="s">
        <v>2242</v>
      </c>
      <c r="E91" s="6">
        <v>45</v>
      </c>
      <c r="F91" s="6" t="str">
        <f ca="1">Master_List!$AW$1</f>
        <v>PERPUSTAKAAN PUSAT</v>
      </c>
      <c r="G91" s="27" t="str">
        <f ca="1">Master_List!$AW$2</f>
        <v>09:30 PM</v>
      </c>
      <c r="H91" s="32" t="str">
        <f ca="1">Master_List!$AW$3</f>
        <v>20/07/2026</v>
      </c>
      <c r="I91" s="28" t="str">
        <f ca="1">Master_List!$AW$4</f>
        <v>28.5</v>
      </c>
      <c r="J91" s="6" t="str">
        <f ca="1">Master_List!$AW$5</f>
        <v>65</v>
      </c>
      <c r="K91" s="6" t="s">
        <v>570</v>
      </c>
      <c r="L91" s="21" t="str">
        <f ca="1">IFERROR(VLOOKUP(B91, Master_List!$A:$I, 2, FALSE), "-")</f>
        <v/>
      </c>
      <c r="M91" s="22" t="str">
        <f ca="1">IFERROR(VLOOKUP(B91, Master_List!$A:$I, 3, FALSE), "-")</f>
        <v/>
      </c>
      <c r="N91" s="22" t="str">
        <f ca="1">IFERROR(VLOOKUP(B91, Master_List!$A:$I, 4, FALSE), "-")</f>
        <v/>
      </c>
      <c r="O91" s="22" t="str">
        <f ca="1">IFERROR(VLOOKUP(B91, Master_List!$A:$I, 5, FALSE), "-")</f>
        <v/>
      </c>
      <c r="P91" s="22" t="str">
        <f ca="1">IFERROR(VLOOKUP(B91, Master_List!$A:$I, 6, FALSE), "-")</f>
        <v/>
      </c>
      <c r="Q91" s="22" t="str">
        <f ca="1">IFERROR(VLOOKUP(B91, Master_List!$A:$I, 7, FALSE), "-")</f>
        <v/>
      </c>
      <c r="R91" s="22" t="str">
        <f ca="1">IFERROR(VLOOKUP(B91, Master_List!$A:$I, 8, FALSE), "-")</f>
        <v/>
      </c>
      <c r="S91" s="22" t="str">
        <f ca="1">IFERROR(VLOOKUP(B91, Master_List!$A:$I, 9, FALSE), "-")</f>
        <v/>
      </c>
      <c r="T91" s="20" t="str">
        <f ca="1">Master_List!$AW$6</f>
        <v>TOSHIBA</v>
      </c>
      <c r="U91" s="20" t="str">
        <f ca="1">Master_List!$AW$7</f>
        <v>MRMU</v>
      </c>
      <c r="V91" s="20" t="str">
        <f ca="1">Master_List!$AW$8</f>
        <v>12kV</v>
      </c>
      <c r="W91" s="20" t="str">
        <f ca="1">Master_List!$AW$9</f>
        <v>2S1F</v>
      </c>
      <c r="X91" s="20" t="str">
        <f ca="1">Master_List!$AW$10</f>
        <v>MTM</v>
      </c>
      <c r="Y91" s="20" t="str">
        <f ca="1">Master_List!$AW$11</f>
        <v>HERMETICALLY SEAL</v>
      </c>
      <c r="Z91" s="20" t="str">
        <f ca="1">Master_List!$AW$12</f>
        <v>750kVA</v>
      </c>
      <c r="AA91" s="20" t="str">
        <f ca="1">Master_List!$AW$13</f>
        <v>1317</v>
      </c>
      <c r="AB91" s="20">
        <f ca="1">Master_List!$AW$14</f>
        <v>0</v>
      </c>
      <c r="AC91" s="20">
        <f ca="1">Master_List!$AW$15</f>
        <v>0</v>
      </c>
      <c r="AD91" s="20">
        <f ca="1">Master_List!$AW$16</f>
        <v>0</v>
      </c>
      <c r="AE91" s="20">
        <f ca="1">Master_List!$AW$17</f>
        <v>0</v>
      </c>
      <c r="AF91" s="20" t="str">
        <f ca="1">Master_List!$AW$18</f>
        <v>INDKOM</v>
      </c>
      <c r="AG91" s="20" t="str">
        <f ca="1">Master_List!$AW$19</f>
        <v>J-SLOTTED</v>
      </c>
      <c r="AH91" s="20" t="str">
        <f ca="1">Master_List!$AW$20</f>
        <v>1600A</v>
      </c>
      <c r="AI91" s="20" t="str">
        <f ca="1">Master_List!$AW$21</f>
        <v>LV5080090</v>
      </c>
      <c r="AJ91" s="20" t="str">
        <f ca="1">Master_List!$AW$22</f>
        <v>LVDB TX1</v>
      </c>
      <c r="AK91" s="20">
        <f ca="1">Master_List!$AW$23</f>
        <v>0</v>
      </c>
      <c r="AL91" s="20">
        <f ca="1">Master_List!$AW$24</f>
        <v>0</v>
      </c>
      <c r="AM91" s="20">
        <f ca="1">Master_List!$AW$25</f>
        <v>0</v>
      </c>
      <c r="AN91" s="20">
        <f ca="1">Master_List!$AW$26</f>
        <v>0</v>
      </c>
      <c r="AO91" s="20" t="str">
        <f ca="1">Master_List!$AW$27</f>
        <v>LVDB TX2</v>
      </c>
      <c r="AP91" s="20" t="str">
        <f ca="1">Master_List!$AW$28</f>
        <v>SUNPOWER TECHNOLOGIES</v>
      </c>
      <c r="AQ91" s="20" t="str">
        <f ca="1">Master_List!$AW$29</f>
        <v>SPS 30-10 L</v>
      </c>
      <c r="AR91" s="20" t="str">
        <f ca="1">Master_List!$AW$30</f>
        <v>11193-8527</v>
      </c>
      <c r="AS91" s="20">
        <f ca="1">Master_List!$AW$31</f>
        <v>0</v>
      </c>
      <c r="AT91" s="20">
        <f ca="1">Master_List!$AW$32</f>
        <v>0</v>
      </c>
      <c r="AU91" s="20">
        <f ca="1">Master_List!$AW$33</f>
        <v>0</v>
      </c>
      <c r="AV91" s="20">
        <f ca="1">Master_List!$AW$34</f>
        <v>0</v>
      </c>
      <c r="AW91" s="20">
        <f ca="1">Master_List!$AW$35</f>
        <v>0</v>
      </c>
      <c r="AX91" s="20">
        <f ca="1">Master_List!$AW$36</f>
        <v>0</v>
      </c>
      <c r="AY91" s="20">
        <f ca="1">Master_List!$AW$37</f>
        <v>0</v>
      </c>
      <c r="AZ91" s="20">
        <f ca="1">Master_List!$AW$38</f>
        <v>0</v>
      </c>
      <c r="BA91" s="20">
        <f ca="1">Master_List!$AW$39</f>
        <v>0</v>
      </c>
      <c r="BB91" s="20" t="s">
        <v>2240</v>
      </c>
      <c r="BC91" s="20" t="s">
        <v>2241</v>
      </c>
      <c r="BD91" s="6" t="s">
        <v>1744</v>
      </c>
      <c r="BE91" s="6" t="s">
        <v>1795</v>
      </c>
      <c r="BF91" s="6" t="s">
        <v>1748</v>
      </c>
      <c r="BG91" s="6" t="str">
        <f t="shared" si="1"/>
        <v>C:\Users\aremi\Desktop\REPORT CBM\PO 42289580 - Pahang 11kV SECOND CYCLE AZZAD 2026\RAW MATERIAL\047. TNB BARU (IR+VI)\RAW DATA\IR</v>
      </c>
      <c r="BH91" s="24" t="s">
        <v>619</v>
      </c>
    </row>
    <row r="92" spans="1:60" ht="30" customHeight="1" x14ac:dyDescent="0.25">
      <c r="A92" s="6">
        <v>46</v>
      </c>
      <c r="B92" s="6" t="s">
        <v>1542</v>
      </c>
      <c r="C92" s="6">
        <v>1</v>
      </c>
      <c r="D92" s="6" t="s">
        <v>2242</v>
      </c>
      <c r="E92" s="6">
        <v>46</v>
      </c>
      <c r="F92" s="6" t="str">
        <f ca="1">Master_List!$AW$1</f>
        <v>PERPUSTAKAAN PUSAT</v>
      </c>
      <c r="G92" s="27" t="str">
        <f ca="1">Master_List!$AW$2</f>
        <v>09:30 PM</v>
      </c>
      <c r="H92" s="32" t="str">
        <f ca="1">Master_List!$AW$3</f>
        <v>20/07/2026</v>
      </c>
      <c r="I92" s="28" t="str">
        <f ca="1">Master_List!$AW$4</f>
        <v>28.5</v>
      </c>
      <c r="J92" s="6" t="str">
        <f ca="1">Master_List!$AW$5</f>
        <v>65</v>
      </c>
      <c r="K92" s="6" t="s">
        <v>573</v>
      </c>
      <c r="L92" s="21" t="str">
        <f ca="1">IFERROR(VLOOKUP(B92, Master_List!$A:$I, 2, FALSE), "-")</f>
        <v/>
      </c>
      <c r="M92" s="22" t="str">
        <f ca="1">IFERROR(VLOOKUP(B92, Master_List!$A:$I, 3, FALSE), "-")</f>
        <v/>
      </c>
      <c r="N92" s="22" t="str">
        <f ca="1">IFERROR(VLOOKUP(B92, Master_List!$A:$I, 4, FALSE), "-")</f>
        <v/>
      </c>
      <c r="O92" s="22" t="str">
        <f ca="1">IFERROR(VLOOKUP(B92, Master_List!$A:$I, 5, FALSE), "-")</f>
        <v/>
      </c>
      <c r="P92" s="22" t="str">
        <f ca="1">IFERROR(VLOOKUP(B92, Master_List!$A:$I, 6, FALSE), "-")</f>
        <v/>
      </c>
      <c r="Q92" s="22" t="str">
        <f ca="1">IFERROR(VLOOKUP(B92, Master_List!$A:$I, 7, FALSE), "-")</f>
        <v/>
      </c>
      <c r="R92" s="22" t="str">
        <f ca="1">IFERROR(VLOOKUP(B92, Master_List!$A:$I, 8, FALSE), "-")</f>
        <v/>
      </c>
      <c r="S92" s="22" t="str">
        <f ca="1">IFERROR(VLOOKUP(B92, Master_List!$A:$I, 9, FALSE), "-")</f>
        <v/>
      </c>
      <c r="T92" s="20" t="str">
        <f ca="1">Master_List!$AW$6</f>
        <v>TOSHIBA</v>
      </c>
      <c r="U92" s="20" t="str">
        <f ca="1">Master_List!$AW$7</f>
        <v>MRMU</v>
      </c>
      <c r="V92" s="20" t="str">
        <f ca="1">Master_List!$AW$8</f>
        <v>12kV</v>
      </c>
      <c r="W92" s="20" t="str">
        <f ca="1">Master_List!$AW$9</f>
        <v>2S1F</v>
      </c>
      <c r="X92" s="20" t="str">
        <f ca="1">Master_List!$AW$10</f>
        <v>MTM</v>
      </c>
      <c r="Y92" s="20" t="str">
        <f ca="1">Master_List!$AW$11</f>
        <v>HERMETICALLY SEAL</v>
      </c>
      <c r="Z92" s="20" t="str">
        <f ca="1">Master_List!$AW$12</f>
        <v>750kVA</v>
      </c>
      <c r="AA92" s="20" t="str">
        <f ca="1">Master_List!$AW$13</f>
        <v>1317</v>
      </c>
      <c r="AB92" s="20">
        <f ca="1">Master_List!$AW$14</f>
        <v>0</v>
      </c>
      <c r="AC92" s="20">
        <f ca="1">Master_List!$AW$15</f>
        <v>0</v>
      </c>
      <c r="AD92" s="20">
        <f ca="1">Master_List!$AW$16</f>
        <v>0</v>
      </c>
      <c r="AE92" s="20">
        <f ca="1">Master_List!$AW$17</f>
        <v>0</v>
      </c>
      <c r="AF92" s="20" t="str">
        <f ca="1">Master_List!$AW$18</f>
        <v>INDKOM</v>
      </c>
      <c r="AG92" s="20" t="str">
        <f ca="1">Master_List!$AW$19</f>
        <v>J-SLOTTED</v>
      </c>
      <c r="AH92" s="20" t="str">
        <f ca="1">Master_List!$AW$20</f>
        <v>1600A</v>
      </c>
      <c r="AI92" s="20" t="str">
        <f ca="1">Master_List!$AW$21</f>
        <v>LV5080090</v>
      </c>
      <c r="AJ92" s="20" t="str">
        <f ca="1">Master_List!$AW$22</f>
        <v>LVDB TX1</v>
      </c>
      <c r="AK92" s="20">
        <f ca="1">Master_List!$AW$23</f>
        <v>0</v>
      </c>
      <c r="AL92" s="20">
        <f ca="1">Master_List!$AW$24</f>
        <v>0</v>
      </c>
      <c r="AM92" s="20">
        <f ca="1">Master_List!$AW$25</f>
        <v>0</v>
      </c>
      <c r="AN92" s="20">
        <f ca="1">Master_List!$AW$26</f>
        <v>0</v>
      </c>
      <c r="AO92" s="20" t="str">
        <f ca="1">Master_List!$AW$27</f>
        <v>LVDB TX2</v>
      </c>
      <c r="AP92" s="20" t="str">
        <f ca="1">Master_List!$AW$28</f>
        <v>SUNPOWER TECHNOLOGIES</v>
      </c>
      <c r="AQ92" s="20" t="str">
        <f ca="1">Master_List!$AW$29</f>
        <v>SPS 30-10 L</v>
      </c>
      <c r="AR92" s="20" t="str">
        <f ca="1">Master_List!$AW$30</f>
        <v>11193-8527</v>
      </c>
      <c r="AS92" s="20">
        <f ca="1">Master_List!$AW$31</f>
        <v>0</v>
      </c>
      <c r="AT92" s="20">
        <f ca="1">Master_List!$AW$32</f>
        <v>0</v>
      </c>
      <c r="AU92" s="20">
        <f ca="1">Master_List!$AW$33</f>
        <v>0</v>
      </c>
      <c r="AV92" s="20">
        <f ca="1">Master_List!$AW$34</f>
        <v>0</v>
      </c>
      <c r="AW92" s="20">
        <f ca="1">Master_List!$AW$35</f>
        <v>0</v>
      </c>
      <c r="AX92" s="20">
        <f ca="1">Master_List!$AW$36</f>
        <v>0</v>
      </c>
      <c r="AY92" s="20">
        <f ca="1">Master_List!$AW$37</f>
        <v>0</v>
      </c>
      <c r="AZ92" s="20">
        <f ca="1">Master_List!$AW$38</f>
        <v>0</v>
      </c>
      <c r="BA92" s="20">
        <f ca="1">Master_List!$AW$39</f>
        <v>0</v>
      </c>
      <c r="BB92" s="20" t="s">
        <v>2240</v>
      </c>
      <c r="BC92" s="20" t="s">
        <v>2241</v>
      </c>
      <c r="BD92" s="6" t="s">
        <v>1744</v>
      </c>
      <c r="BE92" s="6" t="s">
        <v>1796</v>
      </c>
      <c r="BF92" s="6" t="s">
        <v>1746</v>
      </c>
      <c r="BG92" s="6" t="str">
        <f t="shared" si="1"/>
        <v>C:\Users\aremi\Desktop\REPORT CBM\PO 42289580 - Pahang 11kV SECOND CYCLE AZZAD 2026\RAW MATERIAL\047. TNB BARU (IR+VI)\RAW DATA\IR</v>
      </c>
      <c r="BH92" s="24" t="s">
        <v>620</v>
      </c>
    </row>
    <row r="93" spans="1:60" ht="30" customHeight="1" x14ac:dyDescent="0.25">
      <c r="A93" s="6">
        <v>46</v>
      </c>
      <c r="B93" s="6" t="s">
        <v>1542</v>
      </c>
      <c r="C93" s="6">
        <v>1</v>
      </c>
      <c r="D93" s="6" t="s">
        <v>2242</v>
      </c>
      <c r="E93" s="6">
        <v>46</v>
      </c>
      <c r="F93" s="6" t="str">
        <f ca="1">Master_List!$AW$1</f>
        <v>PERPUSTAKAAN PUSAT</v>
      </c>
      <c r="G93" s="27" t="str">
        <f ca="1">Master_List!$AW$2</f>
        <v>09:30 PM</v>
      </c>
      <c r="H93" s="32" t="str">
        <f ca="1">Master_List!$AW$3</f>
        <v>20/07/2026</v>
      </c>
      <c r="I93" s="28" t="str">
        <f ca="1">Master_List!$AW$4</f>
        <v>28.5</v>
      </c>
      <c r="J93" s="6" t="str">
        <f ca="1">Master_List!$AW$5</f>
        <v>65</v>
      </c>
      <c r="K93" s="6" t="s">
        <v>573</v>
      </c>
      <c r="L93" s="21" t="str">
        <f ca="1">IFERROR(VLOOKUP(B93, Master_List!$A:$I, 2, FALSE), "-")</f>
        <v/>
      </c>
      <c r="M93" s="22" t="str">
        <f ca="1">IFERROR(VLOOKUP(B93, Master_List!$A:$I, 3, FALSE), "-")</f>
        <v/>
      </c>
      <c r="N93" s="22" t="str">
        <f ca="1">IFERROR(VLOOKUP(B93, Master_List!$A:$I, 4, FALSE), "-")</f>
        <v/>
      </c>
      <c r="O93" s="22" t="str">
        <f ca="1">IFERROR(VLOOKUP(B93, Master_List!$A:$I, 5, FALSE), "-")</f>
        <v/>
      </c>
      <c r="P93" s="22" t="str">
        <f ca="1">IFERROR(VLOOKUP(B93, Master_List!$A:$I, 6, FALSE), "-")</f>
        <v/>
      </c>
      <c r="Q93" s="22" t="str">
        <f ca="1">IFERROR(VLOOKUP(B93, Master_List!$A:$I, 7, FALSE), "-")</f>
        <v/>
      </c>
      <c r="R93" s="22" t="str">
        <f ca="1">IFERROR(VLOOKUP(B93, Master_List!$A:$I, 8, FALSE), "-")</f>
        <v/>
      </c>
      <c r="S93" s="22" t="str">
        <f ca="1">IFERROR(VLOOKUP(B93, Master_List!$A:$I, 9, FALSE), "-")</f>
        <v/>
      </c>
      <c r="T93" s="20" t="str">
        <f ca="1">Master_List!$AW$6</f>
        <v>TOSHIBA</v>
      </c>
      <c r="U93" s="20" t="str">
        <f ca="1">Master_List!$AW$7</f>
        <v>MRMU</v>
      </c>
      <c r="V93" s="20" t="str">
        <f ca="1">Master_List!$AW$8</f>
        <v>12kV</v>
      </c>
      <c r="W93" s="20" t="str">
        <f ca="1">Master_List!$AW$9</f>
        <v>2S1F</v>
      </c>
      <c r="X93" s="20" t="str">
        <f ca="1">Master_List!$AW$10</f>
        <v>MTM</v>
      </c>
      <c r="Y93" s="20" t="str">
        <f ca="1">Master_List!$AW$11</f>
        <v>HERMETICALLY SEAL</v>
      </c>
      <c r="Z93" s="20" t="str">
        <f ca="1">Master_List!$AW$12</f>
        <v>750kVA</v>
      </c>
      <c r="AA93" s="20" t="str">
        <f ca="1">Master_List!$AW$13</f>
        <v>1317</v>
      </c>
      <c r="AB93" s="20">
        <f ca="1">Master_List!$AW$14</f>
        <v>0</v>
      </c>
      <c r="AC93" s="20">
        <f ca="1">Master_List!$AW$15</f>
        <v>0</v>
      </c>
      <c r="AD93" s="20">
        <f ca="1">Master_List!$AW$16</f>
        <v>0</v>
      </c>
      <c r="AE93" s="20">
        <f ca="1">Master_List!$AW$17</f>
        <v>0</v>
      </c>
      <c r="AF93" s="20" t="str">
        <f ca="1">Master_List!$AW$18</f>
        <v>INDKOM</v>
      </c>
      <c r="AG93" s="20" t="str">
        <f ca="1">Master_List!$AW$19</f>
        <v>J-SLOTTED</v>
      </c>
      <c r="AH93" s="20" t="str">
        <f ca="1">Master_List!$AW$20</f>
        <v>1600A</v>
      </c>
      <c r="AI93" s="20" t="str">
        <f ca="1">Master_List!$AW$21</f>
        <v>LV5080090</v>
      </c>
      <c r="AJ93" s="20" t="str">
        <f ca="1">Master_List!$AW$22</f>
        <v>LVDB TX1</v>
      </c>
      <c r="AK93" s="20">
        <f ca="1">Master_List!$AW$23</f>
        <v>0</v>
      </c>
      <c r="AL93" s="20">
        <f ca="1">Master_List!$AW$24</f>
        <v>0</v>
      </c>
      <c r="AM93" s="20">
        <f ca="1">Master_List!$AW$25</f>
        <v>0</v>
      </c>
      <c r="AN93" s="20">
        <f ca="1">Master_List!$AW$26</f>
        <v>0</v>
      </c>
      <c r="AO93" s="20" t="str">
        <f ca="1">Master_List!$AW$27</f>
        <v>LVDB TX2</v>
      </c>
      <c r="AP93" s="20" t="str">
        <f ca="1">Master_List!$AW$28</f>
        <v>SUNPOWER TECHNOLOGIES</v>
      </c>
      <c r="AQ93" s="20" t="str">
        <f ca="1">Master_List!$AW$29</f>
        <v>SPS 30-10 L</v>
      </c>
      <c r="AR93" s="20" t="str">
        <f ca="1">Master_List!$AW$30</f>
        <v>11193-8527</v>
      </c>
      <c r="AS93" s="20">
        <f ca="1">Master_List!$AW$31</f>
        <v>0</v>
      </c>
      <c r="AT93" s="20">
        <f ca="1">Master_List!$AW$32</f>
        <v>0</v>
      </c>
      <c r="AU93" s="20">
        <f ca="1">Master_List!$AW$33</f>
        <v>0</v>
      </c>
      <c r="AV93" s="20">
        <f ca="1">Master_List!$AW$34</f>
        <v>0</v>
      </c>
      <c r="AW93" s="20">
        <f ca="1">Master_List!$AW$35</f>
        <v>0</v>
      </c>
      <c r="AX93" s="20">
        <f ca="1">Master_List!$AW$36</f>
        <v>0</v>
      </c>
      <c r="AY93" s="20">
        <f ca="1">Master_List!$AW$37</f>
        <v>0</v>
      </c>
      <c r="AZ93" s="20">
        <f ca="1">Master_List!$AW$38</f>
        <v>0</v>
      </c>
      <c r="BA93" s="20">
        <f ca="1">Master_List!$AW$39</f>
        <v>0</v>
      </c>
      <c r="BB93" s="20" t="s">
        <v>2240</v>
      </c>
      <c r="BC93" s="20" t="s">
        <v>2241</v>
      </c>
      <c r="BD93" s="6" t="s">
        <v>1744</v>
      </c>
      <c r="BE93" s="6" t="s">
        <v>1796</v>
      </c>
      <c r="BF93" s="6" t="s">
        <v>1748</v>
      </c>
      <c r="BG93" s="6" t="str">
        <f t="shared" si="1"/>
        <v>C:\Users\aremi\Desktop\REPORT CBM\PO 42289580 - Pahang 11kV SECOND CYCLE AZZAD 2026\RAW MATERIAL\047. TNB BARU (IR+VI)\RAW DATA\IR</v>
      </c>
      <c r="BH93" s="24" t="s">
        <v>621</v>
      </c>
    </row>
    <row r="94" spans="1:60" ht="30" customHeight="1" x14ac:dyDescent="0.25">
      <c r="A94" s="6">
        <v>47</v>
      </c>
      <c r="B94" s="6" t="s">
        <v>1542</v>
      </c>
      <c r="C94" s="6">
        <v>1</v>
      </c>
      <c r="D94" s="6" t="s">
        <v>2242</v>
      </c>
      <c r="E94" s="6">
        <v>47</v>
      </c>
      <c r="F94" s="6" t="str">
        <f ca="1">Master_List!$AW$1</f>
        <v>PERPUSTAKAAN PUSAT</v>
      </c>
      <c r="G94" s="27" t="str">
        <f ca="1">Master_List!$AW$2</f>
        <v>09:30 PM</v>
      </c>
      <c r="H94" s="32" t="str">
        <f ca="1">Master_List!$AW$3</f>
        <v>20/07/2026</v>
      </c>
      <c r="I94" s="28" t="str">
        <f ca="1">Master_List!$AW$4</f>
        <v>28.5</v>
      </c>
      <c r="J94" s="6" t="str">
        <f ca="1">Master_List!$AW$5</f>
        <v>65</v>
      </c>
      <c r="K94" s="6" t="s">
        <v>576</v>
      </c>
      <c r="L94" s="21" t="str">
        <f ca="1">IFERROR(VLOOKUP(B94, Master_List!$A:$I, 2, FALSE), "-")</f>
        <v/>
      </c>
      <c r="M94" s="22" t="str">
        <f ca="1">IFERROR(VLOOKUP(B94, Master_List!$A:$I, 3, FALSE), "-")</f>
        <v/>
      </c>
      <c r="N94" s="22" t="str">
        <f ca="1">IFERROR(VLOOKUP(B94, Master_List!$A:$I, 4, FALSE), "-")</f>
        <v/>
      </c>
      <c r="O94" s="22" t="str">
        <f ca="1">IFERROR(VLOOKUP(B94, Master_List!$A:$I, 5, FALSE), "-")</f>
        <v/>
      </c>
      <c r="P94" s="22" t="str">
        <f ca="1">IFERROR(VLOOKUP(B94, Master_List!$A:$I, 6, FALSE), "-")</f>
        <v/>
      </c>
      <c r="Q94" s="22" t="str">
        <f ca="1">IFERROR(VLOOKUP(B94, Master_List!$A:$I, 7, FALSE), "-")</f>
        <v/>
      </c>
      <c r="R94" s="22" t="str">
        <f ca="1">IFERROR(VLOOKUP(B94, Master_List!$A:$I, 8, FALSE), "-")</f>
        <v/>
      </c>
      <c r="S94" s="22" t="str">
        <f ca="1">IFERROR(VLOOKUP(B94, Master_List!$A:$I, 9, FALSE), "-")</f>
        <v/>
      </c>
      <c r="T94" s="20" t="str">
        <f ca="1">Master_List!$AW$6</f>
        <v>TOSHIBA</v>
      </c>
      <c r="U94" s="20" t="str">
        <f ca="1">Master_List!$AW$7</f>
        <v>MRMU</v>
      </c>
      <c r="V94" s="20" t="str">
        <f ca="1">Master_List!$AW$8</f>
        <v>12kV</v>
      </c>
      <c r="W94" s="20" t="str">
        <f ca="1">Master_List!$AW$9</f>
        <v>2S1F</v>
      </c>
      <c r="X94" s="20" t="str">
        <f ca="1">Master_List!$AW$10</f>
        <v>MTM</v>
      </c>
      <c r="Y94" s="20" t="str">
        <f ca="1">Master_List!$AW$11</f>
        <v>HERMETICALLY SEAL</v>
      </c>
      <c r="Z94" s="20" t="str">
        <f ca="1">Master_List!$AW$12</f>
        <v>750kVA</v>
      </c>
      <c r="AA94" s="20" t="str">
        <f ca="1">Master_List!$AW$13</f>
        <v>1317</v>
      </c>
      <c r="AB94" s="20">
        <f ca="1">Master_List!$AW$14</f>
        <v>0</v>
      </c>
      <c r="AC94" s="20">
        <f ca="1">Master_List!$AW$15</f>
        <v>0</v>
      </c>
      <c r="AD94" s="20">
        <f ca="1">Master_List!$AW$16</f>
        <v>0</v>
      </c>
      <c r="AE94" s="20">
        <f ca="1">Master_List!$AW$17</f>
        <v>0</v>
      </c>
      <c r="AF94" s="20" t="str">
        <f ca="1">Master_List!$AW$18</f>
        <v>INDKOM</v>
      </c>
      <c r="AG94" s="20" t="str">
        <f ca="1">Master_List!$AW$19</f>
        <v>J-SLOTTED</v>
      </c>
      <c r="AH94" s="20" t="str">
        <f ca="1">Master_List!$AW$20</f>
        <v>1600A</v>
      </c>
      <c r="AI94" s="20" t="str">
        <f ca="1">Master_List!$AW$21</f>
        <v>LV5080090</v>
      </c>
      <c r="AJ94" s="20" t="str">
        <f ca="1">Master_List!$AW$22</f>
        <v>LVDB TX1</v>
      </c>
      <c r="AK94" s="20">
        <f ca="1">Master_List!$AW$23</f>
        <v>0</v>
      </c>
      <c r="AL94" s="20">
        <f ca="1">Master_List!$AW$24</f>
        <v>0</v>
      </c>
      <c r="AM94" s="20">
        <f ca="1">Master_List!$AW$25</f>
        <v>0</v>
      </c>
      <c r="AN94" s="20">
        <f ca="1">Master_List!$AW$26</f>
        <v>0</v>
      </c>
      <c r="AO94" s="20" t="str">
        <f ca="1">Master_List!$AW$27</f>
        <v>LVDB TX2</v>
      </c>
      <c r="AP94" s="20" t="str">
        <f ca="1">Master_List!$AW$28</f>
        <v>SUNPOWER TECHNOLOGIES</v>
      </c>
      <c r="AQ94" s="20" t="str">
        <f ca="1">Master_List!$AW$29</f>
        <v>SPS 30-10 L</v>
      </c>
      <c r="AR94" s="20" t="str">
        <f ca="1">Master_List!$AW$30</f>
        <v>11193-8527</v>
      </c>
      <c r="AS94" s="20">
        <f ca="1">Master_List!$AW$31</f>
        <v>0</v>
      </c>
      <c r="AT94" s="20">
        <f ca="1">Master_List!$AW$32</f>
        <v>0</v>
      </c>
      <c r="AU94" s="20">
        <f ca="1">Master_List!$AW$33</f>
        <v>0</v>
      </c>
      <c r="AV94" s="20">
        <f ca="1">Master_List!$AW$34</f>
        <v>0</v>
      </c>
      <c r="AW94" s="20">
        <f ca="1">Master_List!$AW$35</f>
        <v>0</v>
      </c>
      <c r="AX94" s="20">
        <f ca="1">Master_List!$AW$36</f>
        <v>0</v>
      </c>
      <c r="AY94" s="20">
        <f ca="1">Master_List!$AW$37</f>
        <v>0</v>
      </c>
      <c r="AZ94" s="20">
        <f ca="1">Master_List!$AW$38</f>
        <v>0</v>
      </c>
      <c r="BA94" s="20">
        <f ca="1">Master_List!$AW$39</f>
        <v>0</v>
      </c>
      <c r="BB94" s="20" t="s">
        <v>2240</v>
      </c>
      <c r="BC94" s="20" t="s">
        <v>2241</v>
      </c>
      <c r="BD94" s="6" t="s">
        <v>1744</v>
      </c>
      <c r="BE94" s="6" t="s">
        <v>1797</v>
      </c>
      <c r="BF94" s="6" t="s">
        <v>1746</v>
      </c>
      <c r="BG94" s="6" t="str">
        <f t="shared" si="1"/>
        <v>C:\Users\aremi\Desktop\REPORT CBM\PO 42289580 - Pahang 11kV SECOND CYCLE AZZAD 2026\RAW MATERIAL\047. TNB BARU (IR+VI)\RAW DATA\IR</v>
      </c>
      <c r="BH94" s="24" t="s">
        <v>622</v>
      </c>
    </row>
    <row r="95" spans="1:60" ht="30" customHeight="1" x14ac:dyDescent="0.25">
      <c r="A95" s="6">
        <v>47</v>
      </c>
      <c r="B95" s="6" t="s">
        <v>1542</v>
      </c>
      <c r="C95" s="6">
        <v>1</v>
      </c>
      <c r="D95" s="6" t="s">
        <v>2242</v>
      </c>
      <c r="E95" s="6">
        <v>47</v>
      </c>
      <c r="F95" s="6" t="str">
        <f ca="1">Master_List!$AW$1</f>
        <v>PERPUSTAKAAN PUSAT</v>
      </c>
      <c r="G95" s="27" t="str">
        <f ca="1">Master_List!$AW$2</f>
        <v>09:30 PM</v>
      </c>
      <c r="H95" s="32" t="str">
        <f ca="1">Master_List!$AW$3</f>
        <v>20/07/2026</v>
      </c>
      <c r="I95" s="28" t="str">
        <f ca="1">Master_List!$AW$4</f>
        <v>28.5</v>
      </c>
      <c r="J95" s="6" t="str">
        <f ca="1">Master_List!$AW$5</f>
        <v>65</v>
      </c>
      <c r="K95" s="6" t="s">
        <v>576</v>
      </c>
      <c r="L95" s="21" t="str">
        <f ca="1">IFERROR(VLOOKUP(B95, Master_List!$A:$I, 2, FALSE), "-")</f>
        <v/>
      </c>
      <c r="M95" s="22" t="str">
        <f ca="1">IFERROR(VLOOKUP(B95, Master_List!$A:$I, 3, FALSE), "-")</f>
        <v/>
      </c>
      <c r="N95" s="22" t="str">
        <f ca="1">IFERROR(VLOOKUP(B95, Master_List!$A:$I, 4, FALSE), "-")</f>
        <v/>
      </c>
      <c r="O95" s="22" t="str">
        <f ca="1">IFERROR(VLOOKUP(B95, Master_List!$A:$I, 5, FALSE), "-")</f>
        <v/>
      </c>
      <c r="P95" s="22" t="str">
        <f ca="1">IFERROR(VLOOKUP(B95, Master_List!$A:$I, 6, FALSE), "-")</f>
        <v/>
      </c>
      <c r="Q95" s="22" t="str">
        <f ca="1">IFERROR(VLOOKUP(B95, Master_List!$A:$I, 7, FALSE), "-")</f>
        <v/>
      </c>
      <c r="R95" s="22" t="str">
        <f ca="1">IFERROR(VLOOKUP(B95, Master_List!$A:$I, 8, FALSE), "-")</f>
        <v/>
      </c>
      <c r="S95" s="22" t="str">
        <f ca="1">IFERROR(VLOOKUP(B95, Master_List!$A:$I, 9, FALSE), "-")</f>
        <v/>
      </c>
      <c r="T95" s="20" t="str">
        <f ca="1">Master_List!$AW$6</f>
        <v>TOSHIBA</v>
      </c>
      <c r="U95" s="20" t="str">
        <f ca="1">Master_List!$AW$7</f>
        <v>MRMU</v>
      </c>
      <c r="V95" s="20" t="str">
        <f ca="1">Master_List!$AW$8</f>
        <v>12kV</v>
      </c>
      <c r="W95" s="20" t="str">
        <f ca="1">Master_List!$AW$9</f>
        <v>2S1F</v>
      </c>
      <c r="X95" s="20" t="str">
        <f ca="1">Master_List!$AW$10</f>
        <v>MTM</v>
      </c>
      <c r="Y95" s="20" t="str">
        <f ca="1">Master_List!$AW$11</f>
        <v>HERMETICALLY SEAL</v>
      </c>
      <c r="Z95" s="20" t="str">
        <f ca="1">Master_List!$AW$12</f>
        <v>750kVA</v>
      </c>
      <c r="AA95" s="20" t="str">
        <f ca="1">Master_List!$AW$13</f>
        <v>1317</v>
      </c>
      <c r="AB95" s="20">
        <f ca="1">Master_List!$AW$14</f>
        <v>0</v>
      </c>
      <c r="AC95" s="20">
        <f ca="1">Master_List!$AW$15</f>
        <v>0</v>
      </c>
      <c r="AD95" s="20">
        <f ca="1">Master_List!$AW$16</f>
        <v>0</v>
      </c>
      <c r="AE95" s="20">
        <f ca="1">Master_List!$AW$17</f>
        <v>0</v>
      </c>
      <c r="AF95" s="20" t="str">
        <f ca="1">Master_List!$AW$18</f>
        <v>INDKOM</v>
      </c>
      <c r="AG95" s="20" t="str">
        <f ca="1">Master_List!$AW$19</f>
        <v>J-SLOTTED</v>
      </c>
      <c r="AH95" s="20" t="str">
        <f ca="1">Master_List!$AW$20</f>
        <v>1600A</v>
      </c>
      <c r="AI95" s="20" t="str">
        <f ca="1">Master_List!$AW$21</f>
        <v>LV5080090</v>
      </c>
      <c r="AJ95" s="20" t="str">
        <f ca="1">Master_List!$AW$22</f>
        <v>LVDB TX1</v>
      </c>
      <c r="AK95" s="20">
        <f ca="1">Master_List!$AW$23</f>
        <v>0</v>
      </c>
      <c r="AL95" s="20">
        <f ca="1">Master_List!$AW$24</f>
        <v>0</v>
      </c>
      <c r="AM95" s="20">
        <f ca="1">Master_List!$AW$25</f>
        <v>0</v>
      </c>
      <c r="AN95" s="20">
        <f ca="1">Master_List!$AW$26</f>
        <v>0</v>
      </c>
      <c r="AO95" s="20" t="str">
        <f ca="1">Master_List!$AW$27</f>
        <v>LVDB TX2</v>
      </c>
      <c r="AP95" s="20" t="str">
        <f ca="1">Master_List!$AW$28</f>
        <v>SUNPOWER TECHNOLOGIES</v>
      </c>
      <c r="AQ95" s="20" t="str">
        <f ca="1">Master_List!$AW$29</f>
        <v>SPS 30-10 L</v>
      </c>
      <c r="AR95" s="20" t="str">
        <f ca="1">Master_List!$AW$30</f>
        <v>11193-8527</v>
      </c>
      <c r="AS95" s="20">
        <f ca="1">Master_List!$AW$31</f>
        <v>0</v>
      </c>
      <c r="AT95" s="20">
        <f ca="1">Master_List!$AW$32</f>
        <v>0</v>
      </c>
      <c r="AU95" s="20">
        <f ca="1">Master_List!$AW$33</f>
        <v>0</v>
      </c>
      <c r="AV95" s="20">
        <f ca="1">Master_List!$AW$34</f>
        <v>0</v>
      </c>
      <c r="AW95" s="20">
        <f ca="1">Master_List!$AW$35</f>
        <v>0</v>
      </c>
      <c r="AX95" s="20">
        <f ca="1">Master_List!$AW$36</f>
        <v>0</v>
      </c>
      <c r="AY95" s="20">
        <f ca="1">Master_List!$AW$37</f>
        <v>0</v>
      </c>
      <c r="AZ95" s="20">
        <f ca="1">Master_List!$AW$38</f>
        <v>0</v>
      </c>
      <c r="BA95" s="20">
        <f ca="1">Master_List!$AW$39</f>
        <v>0</v>
      </c>
      <c r="BB95" s="20" t="s">
        <v>2240</v>
      </c>
      <c r="BC95" s="20" t="s">
        <v>2241</v>
      </c>
      <c r="BD95" s="6" t="s">
        <v>1744</v>
      </c>
      <c r="BE95" s="6" t="s">
        <v>1797</v>
      </c>
      <c r="BF95" s="6" t="s">
        <v>1748</v>
      </c>
      <c r="BG95" s="6" t="str">
        <f t="shared" si="1"/>
        <v>C:\Users\aremi\Desktop\REPORT CBM\PO 42289580 - Pahang 11kV SECOND CYCLE AZZAD 2026\RAW MATERIAL\047. TNB BARU (IR+VI)\RAW DATA\IR</v>
      </c>
      <c r="BH95" s="24" t="s">
        <v>623</v>
      </c>
    </row>
    <row r="96" spans="1:60" ht="30" customHeight="1" x14ac:dyDescent="0.25">
      <c r="A96" s="6">
        <v>48</v>
      </c>
      <c r="B96" s="6" t="s">
        <v>1542</v>
      </c>
      <c r="C96" s="6">
        <v>1</v>
      </c>
      <c r="D96" s="6" t="s">
        <v>2242</v>
      </c>
      <c r="E96" s="6">
        <v>48</v>
      </c>
      <c r="F96" s="6" t="str">
        <f ca="1">Master_List!$AW$1</f>
        <v>PERPUSTAKAAN PUSAT</v>
      </c>
      <c r="G96" s="27" t="str">
        <f ca="1">Master_List!$AW$2</f>
        <v>09:30 PM</v>
      </c>
      <c r="H96" s="32" t="str">
        <f ca="1">Master_List!$AW$3</f>
        <v>20/07/2026</v>
      </c>
      <c r="I96" s="28" t="str">
        <f ca="1">Master_List!$AW$4</f>
        <v>28.5</v>
      </c>
      <c r="J96" s="6" t="str">
        <f ca="1">Master_List!$AW$5</f>
        <v>65</v>
      </c>
      <c r="K96" s="6" t="s">
        <v>579</v>
      </c>
      <c r="L96" s="21" t="str">
        <f ca="1">IFERROR(VLOOKUP(B96, Master_List!$A:$I, 2, FALSE), "-")</f>
        <v/>
      </c>
      <c r="M96" s="22" t="str">
        <f ca="1">IFERROR(VLOOKUP(B96, Master_List!$A:$I, 3, FALSE), "-")</f>
        <v/>
      </c>
      <c r="N96" s="22" t="str">
        <f ca="1">IFERROR(VLOOKUP(B96, Master_List!$A:$I, 4, FALSE), "-")</f>
        <v/>
      </c>
      <c r="O96" s="22" t="str">
        <f ca="1">IFERROR(VLOOKUP(B96, Master_List!$A:$I, 5, FALSE), "-")</f>
        <v/>
      </c>
      <c r="P96" s="22" t="str">
        <f ca="1">IFERROR(VLOOKUP(B96, Master_List!$A:$I, 6, FALSE), "-")</f>
        <v/>
      </c>
      <c r="Q96" s="22" t="str">
        <f ca="1">IFERROR(VLOOKUP(B96, Master_List!$A:$I, 7, FALSE), "-")</f>
        <v/>
      </c>
      <c r="R96" s="22" t="str">
        <f ca="1">IFERROR(VLOOKUP(B96, Master_List!$A:$I, 8, FALSE), "-")</f>
        <v/>
      </c>
      <c r="S96" s="22" t="str">
        <f ca="1">IFERROR(VLOOKUP(B96, Master_List!$A:$I, 9, FALSE), "-")</f>
        <v/>
      </c>
      <c r="T96" s="20" t="str">
        <f ca="1">Master_List!$AW$6</f>
        <v>TOSHIBA</v>
      </c>
      <c r="U96" s="20" t="str">
        <f ca="1">Master_List!$AW$7</f>
        <v>MRMU</v>
      </c>
      <c r="V96" s="20" t="str">
        <f ca="1">Master_List!$AW$8</f>
        <v>12kV</v>
      </c>
      <c r="W96" s="20" t="str">
        <f ca="1">Master_List!$AW$9</f>
        <v>2S1F</v>
      </c>
      <c r="X96" s="20" t="str">
        <f ca="1">Master_List!$AW$10</f>
        <v>MTM</v>
      </c>
      <c r="Y96" s="20" t="str">
        <f ca="1">Master_List!$AW$11</f>
        <v>HERMETICALLY SEAL</v>
      </c>
      <c r="Z96" s="20" t="str">
        <f ca="1">Master_List!$AW$12</f>
        <v>750kVA</v>
      </c>
      <c r="AA96" s="20" t="str">
        <f ca="1">Master_List!$AW$13</f>
        <v>1317</v>
      </c>
      <c r="AB96" s="20">
        <f ca="1">Master_List!$AW$14</f>
        <v>0</v>
      </c>
      <c r="AC96" s="20">
        <f ca="1">Master_List!$AW$15</f>
        <v>0</v>
      </c>
      <c r="AD96" s="20">
        <f ca="1">Master_List!$AW$16</f>
        <v>0</v>
      </c>
      <c r="AE96" s="20">
        <f ca="1">Master_List!$AW$17</f>
        <v>0</v>
      </c>
      <c r="AF96" s="20" t="str">
        <f ca="1">Master_List!$AW$18</f>
        <v>INDKOM</v>
      </c>
      <c r="AG96" s="20" t="str">
        <f ca="1">Master_List!$AW$19</f>
        <v>J-SLOTTED</v>
      </c>
      <c r="AH96" s="20" t="str">
        <f ca="1">Master_List!$AW$20</f>
        <v>1600A</v>
      </c>
      <c r="AI96" s="20" t="str">
        <f ca="1">Master_List!$AW$21</f>
        <v>LV5080090</v>
      </c>
      <c r="AJ96" s="20" t="str">
        <f ca="1">Master_List!$AW$22</f>
        <v>LVDB TX1</v>
      </c>
      <c r="AK96" s="20">
        <f ca="1">Master_List!$AW$23</f>
        <v>0</v>
      </c>
      <c r="AL96" s="20">
        <f ca="1">Master_List!$AW$24</f>
        <v>0</v>
      </c>
      <c r="AM96" s="20">
        <f ca="1">Master_List!$AW$25</f>
        <v>0</v>
      </c>
      <c r="AN96" s="20">
        <f ca="1">Master_List!$AW$26</f>
        <v>0</v>
      </c>
      <c r="AO96" s="20" t="str">
        <f ca="1">Master_List!$AW$27</f>
        <v>LVDB TX2</v>
      </c>
      <c r="AP96" s="20" t="str">
        <f ca="1">Master_List!$AW$28</f>
        <v>SUNPOWER TECHNOLOGIES</v>
      </c>
      <c r="AQ96" s="20" t="str">
        <f ca="1">Master_List!$AW$29</f>
        <v>SPS 30-10 L</v>
      </c>
      <c r="AR96" s="20" t="str">
        <f ca="1">Master_List!$AW$30</f>
        <v>11193-8527</v>
      </c>
      <c r="AS96" s="20">
        <f ca="1">Master_List!$AW$31</f>
        <v>0</v>
      </c>
      <c r="AT96" s="20">
        <f ca="1">Master_List!$AW$32</f>
        <v>0</v>
      </c>
      <c r="AU96" s="20">
        <f ca="1">Master_List!$AW$33</f>
        <v>0</v>
      </c>
      <c r="AV96" s="20">
        <f ca="1">Master_List!$AW$34</f>
        <v>0</v>
      </c>
      <c r="AW96" s="20">
        <f ca="1">Master_List!$AW$35</f>
        <v>0</v>
      </c>
      <c r="AX96" s="20">
        <f ca="1">Master_List!$AW$36</f>
        <v>0</v>
      </c>
      <c r="AY96" s="20">
        <f ca="1">Master_List!$AW$37</f>
        <v>0</v>
      </c>
      <c r="AZ96" s="20">
        <f ca="1">Master_List!$AW$38</f>
        <v>0</v>
      </c>
      <c r="BA96" s="20">
        <f ca="1">Master_List!$AW$39</f>
        <v>0</v>
      </c>
      <c r="BB96" s="20" t="s">
        <v>2240</v>
      </c>
      <c r="BC96" s="20" t="s">
        <v>2241</v>
      </c>
      <c r="BD96" s="6" t="s">
        <v>1744</v>
      </c>
      <c r="BE96" s="6" t="s">
        <v>1798</v>
      </c>
      <c r="BF96" s="6" t="s">
        <v>1746</v>
      </c>
      <c r="BG96" s="6" t="str">
        <f t="shared" si="1"/>
        <v>C:\Users\aremi\Desktop\REPORT CBM\PO 42289580 - Pahang 11kV SECOND CYCLE AZZAD 2026\RAW MATERIAL\047. TNB BARU (IR+VI)\RAW DATA\IR</v>
      </c>
      <c r="BH96" s="24" t="s">
        <v>624</v>
      </c>
    </row>
    <row r="97" spans="1:60" ht="30" customHeight="1" x14ac:dyDescent="0.25">
      <c r="A97" s="6">
        <v>48</v>
      </c>
      <c r="B97" s="6" t="s">
        <v>1542</v>
      </c>
      <c r="C97" s="6">
        <v>1</v>
      </c>
      <c r="D97" s="6" t="s">
        <v>2242</v>
      </c>
      <c r="E97" s="6">
        <v>48</v>
      </c>
      <c r="F97" s="6" t="str">
        <f ca="1">Master_List!$AW$1</f>
        <v>PERPUSTAKAAN PUSAT</v>
      </c>
      <c r="G97" s="27" t="str">
        <f ca="1">Master_List!$AW$2</f>
        <v>09:30 PM</v>
      </c>
      <c r="H97" s="32" t="str">
        <f ca="1">Master_List!$AW$3</f>
        <v>20/07/2026</v>
      </c>
      <c r="I97" s="28" t="str">
        <f ca="1">Master_List!$AW$4</f>
        <v>28.5</v>
      </c>
      <c r="J97" s="6" t="str">
        <f ca="1">Master_List!$AW$5</f>
        <v>65</v>
      </c>
      <c r="K97" s="6" t="s">
        <v>579</v>
      </c>
      <c r="L97" s="21" t="str">
        <f ca="1">IFERROR(VLOOKUP(B97, Master_List!$A:$I, 2, FALSE), "-")</f>
        <v/>
      </c>
      <c r="M97" s="22" t="str">
        <f ca="1">IFERROR(VLOOKUP(B97, Master_List!$A:$I, 3, FALSE), "-")</f>
        <v/>
      </c>
      <c r="N97" s="22" t="str">
        <f ca="1">IFERROR(VLOOKUP(B97, Master_List!$A:$I, 4, FALSE), "-")</f>
        <v/>
      </c>
      <c r="O97" s="22" t="str">
        <f ca="1">IFERROR(VLOOKUP(B97, Master_List!$A:$I, 5, FALSE), "-")</f>
        <v/>
      </c>
      <c r="P97" s="22" t="str">
        <f ca="1">IFERROR(VLOOKUP(B97, Master_List!$A:$I, 6, FALSE), "-")</f>
        <v/>
      </c>
      <c r="Q97" s="22" t="str">
        <f ca="1">IFERROR(VLOOKUP(B97, Master_List!$A:$I, 7, FALSE), "-")</f>
        <v/>
      </c>
      <c r="R97" s="22" t="str">
        <f ca="1">IFERROR(VLOOKUP(B97, Master_List!$A:$I, 8, FALSE), "-")</f>
        <v/>
      </c>
      <c r="S97" s="22" t="str">
        <f ca="1">IFERROR(VLOOKUP(B97, Master_List!$A:$I, 9, FALSE), "-")</f>
        <v/>
      </c>
      <c r="T97" s="20" t="str">
        <f ca="1">Master_List!$AW$6</f>
        <v>TOSHIBA</v>
      </c>
      <c r="U97" s="20" t="str">
        <f ca="1">Master_List!$AW$7</f>
        <v>MRMU</v>
      </c>
      <c r="V97" s="20" t="str">
        <f ca="1">Master_List!$AW$8</f>
        <v>12kV</v>
      </c>
      <c r="W97" s="20" t="str">
        <f ca="1">Master_List!$AW$9</f>
        <v>2S1F</v>
      </c>
      <c r="X97" s="20" t="str">
        <f ca="1">Master_List!$AW$10</f>
        <v>MTM</v>
      </c>
      <c r="Y97" s="20" t="str">
        <f ca="1">Master_List!$AW$11</f>
        <v>HERMETICALLY SEAL</v>
      </c>
      <c r="Z97" s="20" t="str">
        <f ca="1">Master_List!$AW$12</f>
        <v>750kVA</v>
      </c>
      <c r="AA97" s="20" t="str">
        <f ca="1">Master_List!$AW$13</f>
        <v>1317</v>
      </c>
      <c r="AB97" s="20">
        <f ca="1">Master_List!$AW$14</f>
        <v>0</v>
      </c>
      <c r="AC97" s="20">
        <f ca="1">Master_List!$AW$15</f>
        <v>0</v>
      </c>
      <c r="AD97" s="20">
        <f ca="1">Master_List!$AW$16</f>
        <v>0</v>
      </c>
      <c r="AE97" s="20">
        <f ca="1">Master_List!$AW$17</f>
        <v>0</v>
      </c>
      <c r="AF97" s="20" t="str">
        <f ca="1">Master_List!$AW$18</f>
        <v>INDKOM</v>
      </c>
      <c r="AG97" s="20" t="str">
        <f ca="1">Master_List!$AW$19</f>
        <v>J-SLOTTED</v>
      </c>
      <c r="AH97" s="20" t="str">
        <f ca="1">Master_List!$AW$20</f>
        <v>1600A</v>
      </c>
      <c r="AI97" s="20" t="str">
        <f ca="1">Master_List!$AW$21</f>
        <v>LV5080090</v>
      </c>
      <c r="AJ97" s="20" t="str">
        <f ca="1">Master_List!$AW$22</f>
        <v>LVDB TX1</v>
      </c>
      <c r="AK97" s="20">
        <f ca="1">Master_List!$AW$23</f>
        <v>0</v>
      </c>
      <c r="AL97" s="20">
        <f ca="1">Master_List!$AW$24</f>
        <v>0</v>
      </c>
      <c r="AM97" s="20">
        <f ca="1">Master_List!$AW$25</f>
        <v>0</v>
      </c>
      <c r="AN97" s="20">
        <f ca="1">Master_List!$AW$26</f>
        <v>0</v>
      </c>
      <c r="AO97" s="20" t="str">
        <f ca="1">Master_List!$AW$27</f>
        <v>LVDB TX2</v>
      </c>
      <c r="AP97" s="20" t="str">
        <f ca="1">Master_List!$AW$28</f>
        <v>SUNPOWER TECHNOLOGIES</v>
      </c>
      <c r="AQ97" s="20" t="str">
        <f ca="1">Master_List!$AW$29</f>
        <v>SPS 30-10 L</v>
      </c>
      <c r="AR97" s="20" t="str">
        <f ca="1">Master_List!$AW$30</f>
        <v>11193-8527</v>
      </c>
      <c r="AS97" s="20">
        <f ca="1">Master_List!$AW$31</f>
        <v>0</v>
      </c>
      <c r="AT97" s="20">
        <f ca="1">Master_List!$AW$32</f>
        <v>0</v>
      </c>
      <c r="AU97" s="20">
        <f ca="1">Master_List!$AW$33</f>
        <v>0</v>
      </c>
      <c r="AV97" s="20">
        <f ca="1">Master_List!$AW$34</f>
        <v>0</v>
      </c>
      <c r="AW97" s="20">
        <f ca="1">Master_List!$AW$35</f>
        <v>0</v>
      </c>
      <c r="AX97" s="20">
        <f ca="1">Master_List!$AW$36</f>
        <v>0</v>
      </c>
      <c r="AY97" s="20">
        <f ca="1">Master_List!$AW$37</f>
        <v>0</v>
      </c>
      <c r="AZ97" s="20">
        <f ca="1">Master_List!$AW$38</f>
        <v>0</v>
      </c>
      <c r="BA97" s="20">
        <f ca="1">Master_List!$AW$39</f>
        <v>0</v>
      </c>
      <c r="BB97" s="20" t="s">
        <v>2240</v>
      </c>
      <c r="BC97" s="20" t="s">
        <v>2241</v>
      </c>
      <c r="BD97" s="6" t="s">
        <v>1744</v>
      </c>
      <c r="BE97" s="6" t="s">
        <v>1798</v>
      </c>
      <c r="BF97" s="6" t="s">
        <v>1748</v>
      </c>
      <c r="BG97" s="6" t="str">
        <f t="shared" si="1"/>
        <v>C:\Users\aremi\Desktop\REPORT CBM\PO 42289580 - Pahang 11kV SECOND CYCLE AZZAD 2026\RAW MATERIAL\047. TNB BARU (IR+VI)\RAW DATA\IR</v>
      </c>
      <c r="BH97" s="24" t="s">
        <v>625</v>
      </c>
    </row>
    <row r="98" spans="1:60" ht="30" customHeight="1" x14ac:dyDescent="0.25">
      <c r="A98" s="6">
        <v>49</v>
      </c>
      <c r="B98" s="6" t="s">
        <v>1542</v>
      </c>
      <c r="C98" s="6">
        <v>1</v>
      </c>
      <c r="D98" s="6" t="s">
        <v>2242</v>
      </c>
      <c r="E98" s="6">
        <v>49</v>
      </c>
      <c r="F98" s="6" t="str">
        <f ca="1">Master_List!$AW$1</f>
        <v>PERPUSTAKAAN PUSAT</v>
      </c>
      <c r="G98" s="27" t="str">
        <f ca="1">Master_List!$AW$2</f>
        <v>09:30 PM</v>
      </c>
      <c r="H98" s="32" t="str">
        <f ca="1">Master_List!$AW$3</f>
        <v>20/07/2026</v>
      </c>
      <c r="I98" s="28" t="str">
        <f ca="1">Master_List!$AW$4</f>
        <v>28.5</v>
      </c>
      <c r="J98" s="6" t="str">
        <f ca="1">Master_List!$AW$5</f>
        <v>65</v>
      </c>
      <c r="K98" s="6" t="s">
        <v>582</v>
      </c>
      <c r="L98" s="21" t="str">
        <f ca="1">IFERROR(VLOOKUP(B98, Master_List!$A:$I, 2, FALSE), "-")</f>
        <v/>
      </c>
      <c r="M98" s="22" t="str">
        <f ca="1">IFERROR(VLOOKUP(B98, Master_List!$A:$I, 3, FALSE), "-")</f>
        <v/>
      </c>
      <c r="N98" s="22" t="str">
        <f ca="1">IFERROR(VLOOKUP(B98, Master_List!$A:$I, 4, FALSE), "-")</f>
        <v/>
      </c>
      <c r="O98" s="22" t="str">
        <f ca="1">IFERROR(VLOOKUP(B98, Master_List!$A:$I, 5, FALSE), "-")</f>
        <v/>
      </c>
      <c r="P98" s="22" t="str">
        <f ca="1">IFERROR(VLOOKUP(B98, Master_List!$A:$I, 6, FALSE), "-")</f>
        <v/>
      </c>
      <c r="Q98" s="22" t="str">
        <f ca="1">IFERROR(VLOOKUP(B98, Master_List!$A:$I, 7, FALSE), "-")</f>
        <v/>
      </c>
      <c r="R98" s="22" t="str">
        <f ca="1">IFERROR(VLOOKUP(B98, Master_List!$A:$I, 8, FALSE), "-")</f>
        <v/>
      </c>
      <c r="S98" s="22" t="str">
        <f ca="1">IFERROR(VLOOKUP(B98, Master_List!$A:$I, 9, FALSE), "-")</f>
        <v/>
      </c>
      <c r="T98" s="20" t="str">
        <f ca="1">Master_List!$AW$6</f>
        <v>TOSHIBA</v>
      </c>
      <c r="U98" s="20" t="str">
        <f ca="1">Master_List!$AW$7</f>
        <v>MRMU</v>
      </c>
      <c r="V98" s="20" t="str">
        <f ca="1">Master_List!$AW$8</f>
        <v>12kV</v>
      </c>
      <c r="W98" s="20" t="str">
        <f ca="1">Master_List!$AW$9</f>
        <v>2S1F</v>
      </c>
      <c r="X98" s="20" t="str">
        <f ca="1">Master_List!$AW$10</f>
        <v>MTM</v>
      </c>
      <c r="Y98" s="20" t="str">
        <f ca="1">Master_List!$AW$11</f>
        <v>HERMETICALLY SEAL</v>
      </c>
      <c r="Z98" s="20" t="str">
        <f ca="1">Master_List!$AW$12</f>
        <v>750kVA</v>
      </c>
      <c r="AA98" s="20" t="str">
        <f ca="1">Master_List!$AW$13</f>
        <v>1317</v>
      </c>
      <c r="AB98" s="20">
        <f ca="1">Master_List!$AW$14</f>
        <v>0</v>
      </c>
      <c r="AC98" s="20">
        <f ca="1">Master_List!$AW$15</f>
        <v>0</v>
      </c>
      <c r="AD98" s="20">
        <f ca="1">Master_List!$AW$16</f>
        <v>0</v>
      </c>
      <c r="AE98" s="20">
        <f ca="1">Master_List!$AW$17</f>
        <v>0</v>
      </c>
      <c r="AF98" s="20" t="str">
        <f ca="1">Master_List!$AW$18</f>
        <v>INDKOM</v>
      </c>
      <c r="AG98" s="20" t="str">
        <f ca="1">Master_List!$AW$19</f>
        <v>J-SLOTTED</v>
      </c>
      <c r="AH98" s="20" t="str">
        <f ca="1">Master_List!$AW$20</f>
        <v>1600A</v>
      </c>
      <c r="AI98" s="20" t="str">
        <f ca="1">Master_List!$AW$21</f>
        <v>LV5080090</v>
      </c>
      <c r="AJ98" s="20" t="str">
        <f ca="1">Master_List!$AW$22</f>
        <v>LVDB TX1</v>
      </c>
      <c r="AK98" s="20">
        <f ca="1">Master_List!$AW$23</f>
        <v>0</v>
      </c>
      <c r="AL98" s="20">
        <f ca="1">Master_List!$AW$24</f>
        <v>0</v>
      </c>
      <c r="AM98" s="20">
        <f ca="1">Master_List!$AW$25</f>
        <v>0</v>
      </c>
      <c r="AN98" s="20">
        <f ca="1">Master_List!$AW$26</f>
        <v>0</v>
      </c>
      <c r="AO98" s="20" t="str">
        <f ca="1">Master_List!$AW$27</f>
        <v>LVDB TX2</v>
      </c>
      <c r="AP98" s="20" t="str">
        <f ca="1">Master_List!$AW$28</f>
        <v>SUNPOWER TECHNOLOGIES</v>
      </c>
      <c r="AQ98" s="20" t="str">
        <f ca="1">Master_List!$AW$29</f>
        <v>SPS 30-10 L</v>
      </c>
      <c r="AR98" s="20" t="str">
        <f ca="1">Master_List!$AW$30</f>
        <v>11193-8527</v>
      </c>
      <c r="AS98" s="20">
        <f ca="1">Master_List!$AW$31</f>
        <v>0</v>
      </c>
      <c r="AT98" s="20">
        <f ca="1">Master_List!$AW$32</f>
        <v>0</v>
      </c>
      <c r="AU98" s="20">
        <f ca="1">Master_List!$AW$33</f>
        <v>0</v>
      </c>
      <c r="AV98" s="20">
        <f ca="1">Master_List!$AW$34</f>
        <v>0</v>
      </c>
      <c r="AW98" s="20">
        <f ca="1">Master_List!$AW$35</f>
        <v>0</v>
      </c>
      <c r="AX98" s="20">
        <f ca="1">Master_List!$AW$36</f>
        <v>0</v>
      </c>
      <c r="AY98" s="20">
        <f ca="1">Master_List!$AW$37</f>
        <v>0</v>
      </c>
      <c r="AZ98" s="20">
        <f ca="1">Master_List!$AW$38</f>
        <v>0</v>
      </c>
      <c r="BA98" s="20">
        <f ca="1">Master_List!$AW$39</f>
        <v>0</v>
      </c>
      <c r="BB98" s="20" t="s">
        <v>2240</v>
      </c>
      <c r="BC98" s="20" t="s">
        <v>2241</v>
      </c>
      <c r="BD98" s="6" t="s">
        <v>1744</v>
      </c>
      <c r="BE98" s="6" t="s">
        <v>1799</v>
      </c>
      <c r="BF98" s="6" t="s">
        <v>1746</v>
      </c>
      <c r="BG98" s="6" t="str">
        <f t="shared" si="1"/>
        <v>C:\Users\aremi\Desktop\REPORT CBM\PO 42289580 - Pahang 11kV SECOND CYCLE AZZAD 2026\RAW MATERIAL\047. TNB BARU (IR+VI)\RAW DATA\IR</v>
      </c>
      <c r="BH98" s="24" t="s">
        <v>626</v>
      </c>
    </row>
    <row r="99" spans="1:60" ht="30" customHeight="1" x14ac:dyDescent="0.25">
      <c r="A99" s="6">
        <v>49</v>
      </c>
      <c r="B99" s="6" t="s">
        <v>1542</v>
      </c>
      <c r="C99" s="6">
        <v>1</v>
      </c>
      <c r="D99" s="6" t="s">
        <v>2242</v>
      </c>
      <c r="E99" s="6">
        <v>49</v>
      </c>
      <c r="F99" s="6" t="str">
        <f ca="1">Master_List!$AW$1</f>
        <v>PERPUSTAKAAN PUSAT</v>
      </c>
      <c r="G99" s="27" t="str">
        <f ca="1">Master_List!$AW$2</f>
        <v>09:30 PM</v>
      </c>
      <c r="H99" s="32" t="str">
        <f ca="1">Master_List!$AW$3</f>
        <v>20/07/2026</v>
      </c>
      <c r="I99" s="28" t="str">
        <f ca="1">Master_List!$AW$4</f>
        <v>28.5</v>
      </c>
      <c r="J99" s="6" t="str">
        <f ca="1">Master_List!$AW$5</f>
        <v>65</v>
      </c>
      <c r="K99" s="6" t="s">
        <v>582</v>
      </c>
      <c r="L99" s="21" t="str">
        <f ca="1">IFERROR(VLOOKUP(B99, Master_List!$A:$I, 2, FALSE), "-")</f>
        <v/>
      </c>
      <c r="M99" s="22" t="str">
        <f ca="1">IFERROR(VLOOKUP(B99, Master_List!$A:$I, 3, FALSE), "-")</f>
        <v/>
      </c>
      <c r="N99" s="22" t="str">
        <f ca="1">IFERROR(VLOOKUP(B99, Master_List!$A:$I, 4, FALSE), "-")</f>
        <v/>
      </c>
      <c r="O99" s="22" t="str">
        <f ca="1">IFERROR(VLOOKUP(B99, Master_List!$A:$I, 5, FALSE), "-")</f>
        <v/>
      </c>
      <c r="P99" s="22" t="str">
        <f ca="1">IFERROR(VLOOKUP(B99, Master_List!$A:$I, 6, FALSE), "-")</f>
        <v/>
      </c>
      <c r="Q99" s="22" t="str">
        <f ca="1">IFERROR(VLOOKUP(B99, Master_List!$A:$I, 7, FALSE), "-")</f>
        <v/>
      </c>
      <c r="R99" s="22" t="str">
        <f ca="1">IFERROR(VLOOKUP(B99, Master_List!$A:$I, 8, FALSE), "-")</f>
        <v/>
      </c>
      <c r="S99" s="22" t="str">
        <f ca="1">IFERROR(VLOOKUP(B99, Master_List!$A:$I, 9, FALSE), "-")</f>
        <v/>
      </c>
      <c r="T99" s="20" t="str">
        <f ca="1">Master_List!$AW$6</f>
        <v>TOSHIBA</v>
      </c>
      <c r="U99" s="20" t="str">
        <f ca="1">Master_List!$AW$7</f>
        <v>MRMU</v>
      </c>
      <c r="V99" s="20" t="str">
        <f ca="1">Master_List!$AW$8</f>
        <v>12kV</v>
      </c>
      <c r="W99" s="20" t="str">
        <f ca="1">Master_List!$AW$9</f>
        <v>2S1F</v>
      </c>
      <c r="X99" s="20" t="str">
        <f ca="1">Master_List!$AW$10</f>
        <v>MTM</v>
      </c>
      <c r="Y99" s="20" t="str">
        <f ca="1">Master_List!$AW$11</f>
        <v>HERMETICALLY SEAL</v>
      </c>
      <c r="Z99" s="20" t="str">
        <f ca="1">Master_List!$AW$12</f>
        <v>750kVA</v>
      </c>
      <c r="AA99" s="20" t="str">
        <f ca="1">Master_List!$AW$13</f>
        <v>1317</v>
      </c>
      <c r="AB99" s="20">
        <f ca="1">Master_List!$AW$14</f>
        <v>0</v>
      </c>
      <c r="AC99" s="20">
        <f ca="1">Master_List!$AW$15</f>
        <v>0</v>
      </c>
      <c r="AD99" s="20">
        <f ca="1">Master_List!$AW$16</f>
        <v>0</v>
      </c>
      <c r="AE99" s="20">
        <f ca="1">Master_List!$AW$17</f>
        <v>0</v>
      </c>
      <c r="AF99" s="20" t="str">
        <f ca="1">Master_List!$AW$18</f>
        <v>INDKOM</v>
      </c>
      <c r="AG99" s="20" t="str">
        <f ca="1">Master_List!$AW$19</f>
        <v>J-SLOTTED</v>
      </c>
      <c r="AH99" s="20" t="str">
        <f ca="1">Master_List!$AW$20</f>
        <v>1600A</v>
      </c>
      <c r="AI99" s="20" t="str">
        <f ca="1">Master_List!$AW$21</f>
        <v>LV5080090</v>
      </c>
      <c r="AJ99" s="20" t="str">
        <f ca="1">Master_List!$AW$22</f>
        <v>LVDB TX1</v>
      </c>
      <c r="AK99" s="20">
        <f ca="1">Master_List!$AW$23</f>
        <v>0</v>
      </c>
      <c r="AL99" s="20">
        <f ca="1">Master_List!$AW$24</f>
        <v>0</v>
      </c>
      <c r="AM99" s="20">
        <f ca="1">Master_List!$AW$25</f>
        <v>0</v>
      </c>
      <c r="AN99" s="20">
        <f ca="1">Master_List!$AW$26</f>
        <v>0</v>
      </c>
      <c r="AO99" s="20" t="str">
        <f ca="1">Master_List!$AW$27</f>
        <v>LVDB TX2</v>
      </c>
      <c r="AP99" s="20" t="str">
        <f ca="1">Master_List!$AW$28</f>
        <v>SUNPOWER TECHNOLOGIES</v>
      </c>
      <c r="AQ99" s="20" t="str">
        <f ca="1">Master_List!$AW$29</f>
        <v>SPS 30-10 L</v>
      </c>
      <c r="AR99" s="20" t="str">
        <f ca="1">Master_List!$AW$30</f>
        <v>11193-8527</v>
      </c>
      <c r="AS99" s="20">
        <f ca="1">Master_List!$AW$31</f>
        <v>0</v>
      </c>
      <c r="AT99" s="20">
        <f ca="1">Master_List!$AW$32</f>
        <v>0</v>
      </c>
      <c r="AU99" s="20">
        <f ca="1">Master_List!$AW$33</f>
        <v>0</v>
      </c>
      <c r="AV99" s="20">
        <f ca="1">Master_List!$AW$34</f>
        <v>0</v>
      </c>
      <c r="AW99" s="20">
        <f ca="1">Master_List!$AW$35</f>
        <v>0</v>
      </c>
      <c r="AX99" s="20">
        <f ca="1">Master_List!$AW$36</f>
        <v>0</v>
      </c>
      <c r="AY99" s="20">
        <f ca="1">Master_List!$AW$37</f>
        <v>0</v>
      </c>
      <c r="AZ99" s="20">
        <f ca="1">Master_List!$AW$38</f>
        <v>0</v>
      </c>
      <c r="BA99" s="20">
        <f ca="1">Master_List!$AW$39</f>
        <v>0</v>
      </c>
      <c r="BB99" s="20" t="s">
        <v>2240</v>
      </c>
      <c r="BC99" s="20" t="s">
        <v>2241</v>
      </c>
      <c r="BD99" s="6" t="s">
        <v>1744</v>
      </c>
      <c r="BE99" s="6" t="s">
        <v>1799</v>
      </c>
      <c r="BF99" s="6" t="s">
        <v>1748</v>
      </c>
      <c r="BG99" s="6" t="str">
        <f t="shared" si="1"/>
        <v>C:\Users\aremi\Desktop\REPORT CBM\PO 42289580 - Pahang 11kV SECOND CYCLE AZZAD 2026\RAW MATERIAL\047. TNB BARU (IR+VI)\RAW DATA\IR</v>
      </c>
      <c r="BH99" s="24" t="s">
        <v>627</v>
      </c>
    </row>
    <row r="100" spans="1:60" ht="30" customHeight="1" x14ac:dyDescent="0.25">
      <c r="A100" s="6">
        <v>50</v>
      </c>
      <c r="B100" s="6" t="s">
        <v>1542</v>
      </c>
      <c r="C100" s="6">
        <v>1</v>
      </c>
      <c r="D100" s="6" t="s">
        <v>2242</v>
      </c>
      <c r="E100" s="6">
        <v>50</v>
      </c>
      <c r="F100" s="6" t="str">
        <f ca="1">Master_List!$AW$1</f>
        <v>PERPUSTAKAAN PUSAT</v>
      </c>
      <c r="G100" s="27" t="str">
        <f ca="1">Master_List!$AW$2</f>
        <v>09:30 PM</v>
      </c>
      <c r="H100" s="32" t="str">
        <f ca="1">Master_List!$AW$3</f>
        <v>20/07/2026</v>
      </c>
      <c r="I100" s="28" t="str">
        <f ca="1">Master_List!$AW$4</f>
        <v>28.5</v>
      </c>
      <c r="J100" s="6" t="str">
        <f ca="1">Master_List!$AW$5</f>
        <v>65</v>
      </c>
      <c r="K100" s="6" t="s">
        <v>585</v>
      </c>
      <c r="L100" s="21" t="str">
        <f ca="1">IFERROR(VLOOKUP(B100, Master_List!$A:$I, 2, FALSE), "-")</f>
        <v/>
      </c>
      <c r="M100" s="22" t="str">
        <f ca="1">IFERROR(VLOOKUP(B100, Master_List!$A:$I, 3, FALSE), "-")</f>
        <v/>
      </c>
      <c r="N100" s="22" t="str">
        <f ca="1">IFERROR(VLOOKUP(B100, Master_List!$A:$I, 4, FALSE), "-")</f>
        <v/>
      </c>
      <c r="O100" s="22" t="str">
        <f ca="1">IFERROR(VLOOKUP(B100, Master_List!$A:$I, 5, FALSE), "-")</f>
        <v/>
      </c>
      <c r="P100" s="22" t="str">
        <f ca="1">IFERROR(VLOOKUP(B100, Master_List!$A:$I, 6, FALSE), "-")</f>
        <v/>
      </c>
      <c r="Q100" s="22" t="str">
        <f ca="1">IFERROR(VLOOKUP(B100, Master_List!$A:$I, 7, FALSE), "-")</f>
        <v/>
      </c>
      <c r="R100" s="22" t="str">
        <f ca="1">IFERROR(VLOOKUP(B100, Master_List!$A:$I, 8, FALSE), "-")</f>
        <v/>
      </c>
      <c r="S100" s="22" t="str">
        <f ca="1">IFERROR(VLOOKUP(B100, Master_List!$A:$I, 9, FALSE), "-")</f>
        <v/>
      </c>
      <c r="T100" s="20" t="str">
        <f ca="1">Master_List!$AW$6</f>
        <v>TOSHIBA</v>
      </c>
      <c r="U100" s="20" t="str">
        <f ca="1">Master_List!$AW$7</f>
        <v>MRMU</v>
      </c>
      <c r="V100" s="20" t="str">
        <f ca="1">Master_List!$AW$8</f>
        <v>12kV</v>
      </c>
      <c r="W100" s="20" t="str">
        <f ca="1">Master_List!$AW$9</f>
        <v>2S1F</v>
      </c>
      <c r="X100" s="20" t="str">
        <f ca="1">Master_List!$AW$10</f>
        <v>MTM</v>
      </c>
      <c r="Y100" s="20" t="str">
        <f ca="1">Master_List!$AW$11</f>
        <v>HERMETICALLY SEAL</v>
      </c>
      <c r="Z100" s="20" t="str">
        <f ca="1">Master_List!$AW$12</f>
        <v>750kVA</v>
      </c>
      <c r="AA100" s="20" t="str">
        <f ca="1">Master_List!$AW$13</f>
        <v>1317</v>
      </c>
      <c r="AB100" s="20">
        <f ca="1">Master_List!$AW$14</f>
        <v>0</v>
      </c>
      <c r="AC100" s="20">
        <f ca="1">Master_List!$AW$15</f>
        <v>0</v>
      </c>
      <c r="AD100" s="20">
        <f ca="1">Master_List!$AW$16</f>
        <v>0</v>
      </c>
      <c r="AE100" s="20">
        <f ca="1">Master_List!$AW$17</f>
        <v>0</v>
      </c>
      <c r="AF100" s="20" t="str">
        <f ca="1">Master_List!$AW$18</f>
        <v>INDKOM</v>
      </c>
      <c r="AG100" s="20" t="str">
        <f ca="1">Master_List!$AW$19</f>
        <v>J-SLOTTED</v>
      </c>
      <c r="AH100" s="20" t="str">
        <f ca="1">Master_List!$AW$20</f>
        <v>1600A</v>
      </c>
      <c r="AI100" s="20" t="str">
        <f ca="1">Master_List!$AW$21</f>
        <v>LV5080090</v>
      </c>
      <c r="AJ100" s="20" t="str">
        <f ca="1">Master_List!$AW$22</f>
        <v>LVDB TX1</v>
      </c>
      <c r="AK100" s="20">
        <f ca="1">Master_List!$AW$23</f>
        <v>0</v>
      </c>
      <c r="AL100" s="20">
        <f ca="1">Master_List!$AW$24</f>
        <v>0</v>
      </c>
      <c r="AM100" s="20">
        <f ca="1">Master_List!$AW$25</f>
        <v>0</v>
      </c>
      <c r="AN100" s="20">
        <f ca="1">Master_List!$AW$26</f>
        <v>0</v>
      </c>
      <c r="AO100" s="20" t="str">
        <f ca="1">Master_List!$AW$27</f>
        <v>LVDB TX2</v>
      </c>
      <c r="AP100" s="20" t="str">
        <f ca="1">Master_List!$AW$28</f>
        <v>SUNPOWER TECHNOLOGIES</v>
      </c>
      <c r="AQ100" s="20" t="str">
        <f ca="1">Master_List!$AW$29</f>
        <v>SPS 30-10 L</v>
      </c>
      <c r="AR100" s="20" t="str">
        <f ca="1">Master_List!$AW$30</f>
        <v>11193-8527</v>
      </c>
      <c r="AS100" s="20">
        <f ca="1">Master_List!$AW$31</f>
        <v>0</v>
      </c>
      <c r="AT100" s="20">
        <f ca="1">Master_List!$AW$32</f>
        <v>0</v>
      </c>
      <c r="AU100" s="20">
        <f ca="1">Master_List!$AW$33</f>
        <v>0</v>
      </c>
      <c r="AV100" s="20">
        <f ca="1">Master_List!$AW$34</f>
        <v>0</v>
      </c>
      <c r="AW100" s="20">
        <f ca="1">Master_List!$AW$35</f>
        <v>0</v>
      </c>
      <c r="AX100" s="20">
        <f ca="1">Master_List!$AW$36</f>
        <v>0</v>
      </c>
      <c r="AY100" s="20">
        <f ca="1">Master_List!$AW$37</f>
        <v>0</v>
      </c>
      <c r="AZ100" s="20">
        <f ca="1">Master_List!$AW$38</f>
        <v>0</v>
      </c>
      <c r="BA100" s="20">
        <f ca="1">Master_List!$AW$39</f>
        <v>0</v>
      </c>
      <c r="BB100" s="20" t="s">
        <v>2240</v>
      </c>
      <c r="BC100" s="20" t="s">
        <v>2241</v>
      </c>
      <c r="BD100" s="6" t="s">
        <v>1744</v>
      </c>
      <c r="BE100" s="6" t="s">
        <v>1800</v>
      </c>
      <c r="BF100" s="6" t="s">
        <v>1746</v>
      </c>
      <c r="BG100" s="6" t="str">
        <f t="shared" si="1"/>
        <v>C:\Users\aremi\Desktop\REPORT CBM\PO 42289580 - Pahang 11kV SECOND CYCLE AZZAD 2026\RAW MATERIAL\047. TNB BARU (IR+VI)\RAW DATA\IR</v>
      </c>
      <c r="BH100" s="24" t="s">
        <v>629</v>
      </c>
    </row>
    <row r="101" spans="1:60" ht="30" customHeight="1" x14ac:dyDescent="0.25">
      <c r="A101" s="6">
        <v>50</v>
      </c>
      <c r="B101" s="6" t="s">
        <v>1542</v>
      </c>
      <c r="C101" s="6">
        <v>1</v>
      </c>
      <c r="D101" s="6" t="s">
        <v>2242</v>
      </c>
      <c r="E101" s="6">
        <v>50</v>
      </c>
      <c r="F101" s="6" t="str">
        <f ca="1">Master_List!$AW$1</f>
        <v>PERPUSTAKAAN PUSAT</v>
      </c>
      <c r="G101" s="27" t="str">
        <f ca="1">Master_List!$AW$2</f>
        <v>09:30 PM</v>
      </c>
      <c r="H101" s="32" t="str">
        <f ca="1">Master_List!$AW$3</f>
        <v>20/07/2026</v>
      </c>
      <c r="I101" s="28" t="str">
        <f ca="1">Master_List!$AW$4</f>
        <v>28.5</v>
      </c>
      <c r="J101" s="6" t="str">
        <f ca="1">Master_List!$AW$5</f>
        <v>65</v>
      </c>
      <c r="K101" s="6" t="s">
        <v>585</v>
      </c>
      <c r="L101" s="21" t="str">
        <f ca="1">IFERROR(VLOOKUP(B101, Master_List!$A:$I, 2, FALSE), "-")</f>
        <v/>
      </c>
      <c r="M101" s="22" t="str">
        <f ca="1">IFERROR(VLOOKUP(B101, Master_List!$A:$I, 3, FALSE), "-")</f>
        <v/>
      </c>
      <c r="N101" s="22" t="str">
        <f ca="1">IFERROR(VLOOKUP(B101, Master_List!$A:$I, 4, FALSE), "-")</f>
        <v/>
      </c>
      <c r="O101" s="22" t="str">
        <f ca="1">IFERROR(VLOOKUP(B101, Master_List!$A:$I, 5, FALSE), "-")</f>
        <v/>
      </c>
      <c r="P101" s="22" t="str">
        <f ca="1">IFERROR(VLOOKUP(B101, Master_List!$A:$I, 6, FALSE), "-")</f>
        <v/>
      </c>
      <c r="Q101" s="22" t="str">
        <f ca="1">IFERROR(VLOOKUP(B101, Master_List!$A:$I, 7, FALSE), "-")</f>
        <v/>
      </c>
      <c r="R101" s="22" t="str">
        <f ca="1">IFERROR(VLOOKUP(B101, Master_List!$A:$I, 8, FALSE), "-")</f>
        <v/>
      </c>
      <c r="S101" s="22" t="str">
        <f ca="1">IFERROR(VLOOKUP(B101, Master_List!$A:$I, 9, FALSE), "-")</f>
        <v/>
      </c>
      <c r="T101" s="20" t="str">
        <f ca="1">Master_List!$AW$6</f>
        <v>TOSHIBA</v>
      </c>
      <c r="U101" s="20" t="str">
        <f ca="1">Master_List!$AW$7</f>
        <v>MRMU</v>
      </c>
      <c r="V101" s="20" t="str">
        <f ca="1">Master_List!$AW$8</f>
        <v>12kV</v>
      </c>
      <c r="W101" s="20" t="str">
        <f ca="1">Master_List!$AW$9</f>
        <v>2S1F</v>
      </c>
      <c r="X101" s="20" t="str">
        <f ca="1">Master_List!$AW$10</f>
        <v>MTM</v>
      </c>
      <c r="Y101" s="20" t="str">
        <f ca="1">Master_List!$AW$11</f>
        <v>HERMETICALLY SEAL</v>
      </c>
      <c r="Z101" s="20" t="str">
        <f ca="1">Master_List!$AW$12</f>
        <v>750kVA</v>
      </c>
      <c r="AA101" s="20" t="str">
        <f ca="1">Master_List!$AW$13</f>
        <v>1317</v>
      </c>
      <c r="AB101" s="20">
        <f ca="1">Master_List!$AW$14</f>
        <v>0</v>
      </c>
      <c r="AC101" s="20">
        <f ca="1">Master_List!$AW$15</f>
        <v>0</v>
      </c>
      <c r="AD101" s="20">
        <f ca="1">Master_List!$AW$16</f>
        <v>0</v>
      </c>
      <c r="AE101" s="20">
        <f ca="1">Master_List!$AW$17</f>
        <v>0</v>
      </c>
      <c r="AF101" s="20" t="str">
        <f ca="1">Master_List!$AW$18</f>
        <v>INDKOM</v>
      </c>
      <c r="AG101" s="20" t="str">
        <f ca="1">Master_List!$AW$19</f>
        <v>J-SLOTTED</v>
      </c>
      <c r="AH101" s="20" t="str">
        <f ca="1">Master_List!$AW$20</f>
        <v>1600A</v>
      </c>
      <c r="AI101" s="20" t="str">
        <f ca="1">Master_List!$AW$21</f>
        <v>LV5080090</v>
      </c>
      <c r="AJ101" s="20" t="str">
        <f ca="1">Master_List!$AW$22</f>
        <v>LVDB TX1</v>
      </c>
      <c r="AK101" s="20">
        <f ca="1">Master_List!$AW$23</f>
        <v>0</v>
      </c>
      <c r="AL101" s="20">
        <f ca="1">Master_List!$AW$24</f>
        <v>0</v>
      </c>
      <c r="AM101" s="20">
        <f ca="1">Master_List!$AW$25</f>
        <v>0</v>
      </c>
      <c r="AN101" s="20">
        <f ca="1">Master_List!$AW$26</f>
        <v>0</v>
      </c>
      <c r="AO101" s="20" t="str">
        <f ca="1">Master_List!$AW$27</f>
        <v>LVDB TX2</v>
      </c>
      <c r="AP101" s="20" t="str">
        <f ca="1">Master_List!$AW$28</f>
        <v>SUNPOWER TECHNOLOGIES</v>
      </c>
      <c r="AQ101" s="20" t="str">
        <f ca="1">Master_List!$AW$29</f>
        <v>SPS 30-10 L</v>
      </c>
      <c r="AR101" s="20" t="str">
        <f ca="1">Master_List!$AW$30</f>
        <v>11193-8527</v>
      </c>
      <c r="AS101" s="20">
        <f ca="1">Master_List!$AW$31</f>
        <v>0</v>
      </c>
      <c r="AT101" s="20">
        <f ca="1">Master_List!$AW$32</f>
        <v>0</v>
      </c>
      <c r="AU101" s="20">
        <f ca="1">Master_List!$AW$33</f>
        <v>0</v>
      </c>
      <c r="AV101" s="20">
        <f ca="1">Master_List!$AW$34</f>
        <v>0</v>
      </c>
      <c r="AW101" s="20">
        <f ca="1">Master_List!$AW$35</f>
        <v>0</v>
      </c>
      <c r="AX101" s="20">
        <f ca="1">Master_List!$AW$36</f>
        <v>0</v>
      </c>
      <c r="AY101" s="20">
        <f ca="1">Master_List!$AW$37</f>
        <v>0</v>
      </c>
      <c r="AZ101" s="20">
        <f ca="1">Master_List!$AW$38</f>
        <v>0</v>
      </c>
      <c r="BA101" s="20">
        <f ca="1">Master_List!$AW$39</f>
        <v>0</v>
      </c>
      <c r="BB101" s="20" t="s">
        <v>2240</v>
      </c>
      <c r="BC101" s="20" t="s">
        <v>2241</v>
      </c>
      <c r="BD101" s="6" t="s">
        <v>1744</v>
      </c>
      <c r="BE101" s="6" t="s">
        <v>1800</v>
      </c>
      <c r="BF101" s="6" t="s">
        <v>1748</v>
      </c>
      <c r="BG101" s="6" t="str">
        <f t="shared" si="1"/>
        <v>C:\Users\aremi\Desktop\REPORT CBM\PO 42289580 - Pahang 11kV SECOND CYCLE AZZAD 2026\RAW MATERIAL\047. TNB BARU (IR+VI)\RAW DATA\IR</v>
      </c>
      <c r="BH101" s="24" t="s">
        <v>630</v>
      </c>
    </row>
    <row r="102" spans="1:60" ht="30" customHeight="1" x14ac:dyDescent="0.25">
      <c r="A102" s="6">
        <v>51</v>
      </c>
      <c r="B102" s="6" t="s">
        <v>1542</v>
      </c>
      <c r="C102" s="6">
        <v>1</v>
      </c>
      <c r="D102" s="6" t="s">
        <v>2243</v>
      </c>
      <c r="E102" s="6">
        <v>51</v>
      </c>
      <c r="F102" s="6" t="str">
        <f ca="1">Master_List!$AW$1</f>
        <v>PERPUSTAKAAN PUSAT</v>
      </c>
      <c r="G102" s="27" t="str">
        <f ca="1">Master_List!$AW$2</f>
        <v>09:30 PM</v>
      </c>
      <c r="H102" s="32" t="str">
        <f ca="1">Master_List!$AW$3</f>
        <v>20/07/2026</v>
      </c>
      <c r="I102" s="28" t="str">
        <f ca="1">Master_List!$AW$4</f>
        <v>28.5</v>
      </c>
      <c r="J102" s="6" t="str">
        <f ca="1">Master_List!$AW$5</f>
        <v>65</v>
      </c>
      <c r="K102" s="6" t="s">
        <v>588</v>
      </c>
      <c r="L102" s="21" t="str">
        <f ca="1">IFERROR(VLOOKUP(B102, Master_List!$A:$I, 2, FALSE), "-")</f>
        <v/>
      </c>
      <c r="M102" s="22" t="str">
        <f ca="1">IFERROR(VLOOKUP(B102, Master_List!$A:$I, 3, FALSE), "-")</f>
        <v/>
      </c>
      <c r="N102" s="22" t="str">
        <f ca="1">IFERROR(VLOOKUP(B102, Master_List!$A:$I, 4, FALSE), "-")</f>
        <v/>
      </c>
      <c r="O102" s="22" t="str">
        <f ca="1">IFERROR(VLOOKUP(B102, Master_List!$A:$I, 5, FALSE), "-")</f>
        <v/>
      </c>
      <c r="P102" s="22" t="str">
        <f ca="1">IFERROR(VLOOKUP(B102, Master_List!$A:$I, 6, FALSE), "-")</f>
        <v/>
      </c>
      <c r="Q102" s="22" t="str">
        <f ca="1">IFERROR(VLOOKUP(B102, Master_List!$A:$I, 7, FALSE), "-")</f>
        <v/>
      </c>
      <c r="R102" s="22" t="str">
        <f ca="1">IFERROR(VLOOKUP(B102, Master_List!$A:$I, 8, FALSE), "-")</f>
        <v/>
      </c>
      <c r="S102" s="22" t="str">
        <f ca="1">IFERROR(VLOOKUP(B102, Master_List!$A:$I, 9, FALSE), "-")</f>
        <v/>
      </c>
      <c r="T102" s="20" t="str">
        <f ca="1">Master_List!$AW$6</f>
        <v>TOSHIBA</v>
      </c>
      <c r="U102" s="20" t="str">
        <f ca="1">Master_List!$AW$7</f>
        <v>MRMU</v>
      </c>
      <c r="V102" s="20" t="str">
        <f ca="1">Master_List!$AW$8</f>
        <v>12kV</v>
      </c>
      <c r="W102" s="20" t="str">
        <f ca="1">Master_List!$AW$9</f>
        <v>2S1F</v>
      </c>
      <c r="X102" s="20" t="str">
        <f ca="1">Master_List!$AW$10</f>
        <v>MTM</v>
      </c>
      <c r="Y102" s="20" t="str">
        <f ca="1">Master_List!$AW$11</f>
        <v>HERMETICALLY SEAL</v>
      </c>
      <c r="Z102" s="20" t="str">
        <f ca="1">Master_List!$AW$12</f>
        <v>750kVA</v>
      </c>
      <c r="AA102" s="20" t="str">
        <f ca="1">Master_List!$AW$13</f>
        <v>1317</v>
      </c>
      <c r="AB102" s="20">
        <f ca="1">Master_List!$AW$14</f>
        <v>0</v>
      </c>
      <c r="AC102" s="20">
        <f ca="1">Master_List!$AW$15</f>
        <v>0</v>
      </c>
      <c r="AD102" s="20">
        <f ca="1">Master_List!$AW$16</f>
        <v>0</v>
      </c>
      <c r="AE102" s="20">
        <f ca="1">Master_List!$AW$17</f>
        <v>0</v>
      </c>
      <c r="AF102" s="20" t="str">
        <f ca="1">Master_List!$AW$18</f>
        <v>INDKOM</v>
      </c>
      <c r="AG102" s="20" t="str">
        <f ca="1">Master_List!$AW$19</f>
        <v>J-SLOTTED</v>
      </c>
      <c r="AH102" s="20" t="str">
        <f ca="1">Master_List!$AW$20</f>
        <v>1600A</v>
      </c>
      <c r="AI102" s="20" t="str">
        <f ca="1">Master_List!$AW$21</f>
        <v>LV5080090</v>
      </c>
      <c r="AJ102" s="20" t="str">
        <f ca="1">Master_List!$AW$22</f>
        <v>LVDB TX1</v>
      </c>
      <c r="AK102" s="20">
        <f ca="1">Master_List!$AW$23</f>
        <v>0</v>
      </c>
      <c r="AL102" s="20">
        <f ca="1">Master_List!$AW$24</f>
        <v>0</v>
      </c>
      <c r="AM102" s="20">
        <f ca="1">Master_List!$AW$25</f>
        <v>0</v>
      </c>
      <c r="AN102" s="20">
        <f ca="1">Master_List!$AW$26</f>
        <v>0</v>
      </c>
      <c r="AO102" s="20" t="str">
        <f ca="1">Master_List!$AW$27</f>
        <v>LVDB TX2</v>
      </c>
      <c r="AP102" s="20" t="str">
        <f ca="1">Master_List!$AW$28</f>
        <v>SUNPOWER TECHNOLOGIES</v>
      </c>
      <c r="AQ102" s="20" t="str">
        <f ca="1">Master_List!$AW$29</f>
        <v>SPS 30-10 L</v>
      </c>
      <c r="AR102" s="20" t="str">
        <f ca="1">Master_List!$AW$30</f>
        <v>11193-8527</v>
      </c>
      <c r="AS102" s="20">
        <f ca="1">Master_List!$AW$31</f>
        <v>0</v>
      </c>
      <c r="AT102" s="20">
        <f ca="1">Master_List!$AW$32</f>
        <v>0</v>
      </c>
      <c r="AU102" s="20">
        <f ca="1">Master_List!$AW$33</f>
        <v>0</v>
      </c>
      <c r="AV102" s="20">
        <f ca="1">Master_List!$AW$34</f>
        <v>0</v>
      </c>
      <c r="AW102" s="20">
        <f ca="1">Master_List!$AW$35</f>
        <v>0</v>
      </c>
      <c r="AX102" s="20">
        <f ca="1">Master_List!$AW$36</f>
        <v>0</v>
      </c>
      <c r="AY102" s="20">
        <f ca="1">Master_List!$AW$37</f>
        <v>0</v>
      </c>
      <c r="AZ102" s="20">
        <f ca="1">Master_List!$AW$38</f>
        <v>0</v>
      </c>
      <c r="BA102" s="20">
        <f ca="1">Master_List!$AW$39</f>
        <v>0</v>
      </c>
      <c r="BB102" s="20" t="s">
        <v>2240</v>
      </c>
      <c r="BC102" s="20" t="s">
        <v>2241</v>
      </c>
      <c r="BD102" s="6" t="s">
        <v>1744</v>
      </c>
      <c r="BE102" s="6" t="s">
        <v>1801</v>
      </c>
      <c r="BF102" s="6" t="s">
        <v>1746</v>
      </c>
      <c r="BG102" s="6" t="str">
        <f t="shared" si="1"/>
        <v>C:\Users\aremi\Desktop\REPORT CBM\PO 42289580 - Pahang 11kV SECOND CYCLE AZZAD 2026\RAW MATERIAL\047. TNB BARU (IR+VI)\RAW DATA\IR</v>
      </c>
      <c r="BH102" s="24" t="s">
        <v>631</v>
      </c>
    </row>
    <row r="103" spans="1:60" ht="30" customHeight="1" x14ac:dyDescent="0.25">
      <c r="A103" s="6">
        <v>51</v>
      </c>
      <c r="B103" s="6" t="s">
        <v>1542</v>
      </c>
      <c r="C103" s="6">
        <v>1</v>
      </c>
      <c r="D103" s="6" t="s">
        <v>2243</v>
      </c>
      <c r="E103" s="6">
        <v>51</v>
      </c>
      <c r="F103" s="6" t="str">
        <f ca="1">Master_List!$AW$1</f>
        <v>PERPUSTAKAAN PUSAT</v>
      </c>
      <c r="G103" s="27" t="str">
        <f ca="1">Master_List!$AW$2</f>
        <v>09:30 PM</v>
      </c>
      <c r="H103" s="32" t="str">
        <f ca="1">Master_List!$AW$3</f>
        <v>20/07/2026</v>
      </c>
      <c r="I103" s="28" t="str">
        <f ca="1">Master_List!$AW$4</f>
        <v>28.5</v>
      </c>
      <c r="J103" s="6" t="str">
        <f ca="1">Master_List!$AW$5</f>
        <v>65</v>
      </c>
      <c r="K103" s="6" t="s">
        <v>588</v>
      </c>
      <c r="L103" s="21" t="str">
        <f ca="1">IFERROR(VLOOKUP(B103, Master_List!$A:$I, 2, FALSE), "-")</f>
        <v/>
      </c>
      <c r="M103" s="22" t="str">
        <f ca="1">IFERROR(VLOOKUP(B103, Master_List!$A:$I, 3, FALSE), "-")</f>
        <v/>
      </c>
      <c r="N103" s="22" t="str">
        <f ca="1">IFERROR(VLOOKUP(B103, Master_List!$A:$I, 4, FALSE), "-")</f>
        <v/>
      </c>
      <c r="O103" s="22" t="str">
        <f ca="1">IFERROR(VLOOKUP(B103, Master_List!$A:$I, 5, FALSE), "-")</f>
        <v/>
      </c>
      <c r="P103" s="22" t="str">
        <f ca="1">IFERROR(VLOOKUP(B103, Master_List!$A:$I, 6, FALSE), "-")</f>
        <v/>
      </c>
      <c r="Q103" s="22" t="str">
        <f ca="1">IFERROR(VLOOKUP(B103, Master_List!$A:$I, 7, FALSE), "-")</f>
        <v/>
      </c>
      <c r="R103" s="22" t="str">
        <f ca="1">IFERROR(VLOOKUP(B103, Master_List!$A:$I, 8, FALSE), "-")</f>
        <v/>
      </c>
      <c r="S103" s="22" t="str">
        <f ca="1">IFERROR(VLOOKUP(B103, Master_List!$A:$I, 9, FALSE), "-")</f>
        <v/>
      </c>
      <c r="T103" s="20" t="str">
        <f ca="1">Master_List!$AW$6</f>
        <v>TOSHIBA</v>
      </c>
      <c r="U103" s="20" t="str">
        <f ca="1">Master_List!$AW$7</f>
        <v>MRMU</v>
      </c>
      <c r="V103" s="20" t="str">
        <f ca="1">Master_List!$AW$8</f>
        <v>12kV</v>
      </c>
      <c r="W103" s="20" t="str">
        <f ca="1">Master_List!$AW$9</f>
        <v>2S1F</v>
      </c>
      <c r="X103" s="20" t="str">
        <f ca="1">Master_List!$AW$10</f>
        <v>MTM</v>
      </c>
      <c r="Y103" s="20" t="str">
        <f ca="1">Master_List!$AW$11</f>
        <v>HERMETICALLY SEAL</v>
      </c>
      <c r="Z103" s="20" t="str">
        <f ca="1">Master_List!$AW$12</f>
        <v>750kVA</v>
      </c>
      <c r="AA103" s="20" t="str">
        <f ca="1">Master_List!$AW$13</f>
        <v>1317</v>
      </c>
      <c r="AB103" s="20">
        <f ca="1">Master_List!$AW$14</f>
        <v>0</v>
      </c>
      <c r="AC103" s="20">
        <f ca="1">Master_List!$AW$15</f>
        <v>0</v>
      </c>
      <c r="AD103" s="20">
        <f ca="1">Master_List!$AW$16</f>
        <v>0</v>
      </c>
      <c r="AE103" s="20">
        <f ca="1">Master_List!$AW$17</f>
        <v>0</v>
      </c>
      <c r="AF103" s="20" t="str">
        <f ca="1">Master_List!$AW$18</f>
        <v>INDKOM</v>
      </c>
      <c r="AG103" s="20" t="str">
        <f ca="1">Master_List!$AW$19</f>
        <v>J-SLOTTED</v>
      </c>
      <c r="AH103" s="20" t="str">
        <f ca="1">Master_List!$AW$20</f>
        <v>1600A</v>
      </c>
      <c r="AI103" s="20" t="str">
        <f ca="1">Master_List!$AW$21</f>
        <v>LV5080090</v>
      </c>
      <c r="AJ103" s="20" t="str">
        <f ca="1">Master_List!$AW$22</f>
        <v>LVDB TX1</v>
      </c>
      <c r="AK103" s="20">
        <f ca="1">Master_List!$AW$23</f>
        <v>0</v>
      </c>
      <c r="AL103" s="20">
        <f ca="1">Master_List!$AW$24</f>
        <v>0</v>
      </c>
      <c r="AM103" s="20">
        <f ca="1">Master_List!$AW$25</f>
        <v>0</v>
      </c>
      <c r="AN103" s="20">
        <f ca="1">Master_List!$AW$26</f>
        <v>0</v>
      </c>
      <c r="AO103" s="20" t="str">
        <f ca="1">Master_List!$AW$27</f>
        <v>LVDB TX2</v>
      </c>
      <c r="AP103" s="20" t="str">
        <f ca="1">Master_List!$AW$28</f>
        <v>SUNPOWER TECHNOLOGIES</v>
      </c>
      <c r="AQ103" s="20" t="str">
        <f ca="1">Master_List!$AW$29</f>
        <v>SPS 30-10 L</v>
      </c>
      <c r="AR103" s="20" t="str">
        <f ca="1">Master_List!$AW$30</f>
        <v>11193-8527</v>
      </c>
      <c r="AS103" s="20">
        <f ca="1">Master_List!$AW$31</f>
        <v>0</v>
      </c>
      <c r="AT103" s="20">
        <f ca="1">Master_List!$AW$32</f>
        <v>0</v>
      </c>
      <c r="AU103" s="20">
        <f ca="1">Master_List!$AW$33</f>
        <v>0</v>
      </c>
      <c r="AV103" s="20">
        <f ca="1">Master_List!$AW$34</f>
        <v>0</v>
      </c>
      <c r="AW103" s="20">
        <f ca="1">Master_List!$AW$35</f>
        <v>0</v>
      </c>
      <c r="AX103" s="20">
        <f ca="1">Master_List!$AW$36</f>
        <v>0</v>
      </c>
      <c r="AY103" s="20">
        <f ca="1">Master_List!$AW$37</f>
        <v>0</v>
      </c>
      <c r="AZ103" s="20">
        <f ca="1">Master_List!$AW$38</f>
        <v>0</v>
      </c>
      <c r="BA103" s="20">
        <f ca="1">Master_List!$AW$39</f>
        <v>0</v>
      </c>
      <c r="BB103" s="20" t="s">
        <v>2240</v>
      </c>
      <c r="BC103" s="20" t="s">
        <v>2241</v>
      </c>
      <c r="BD103" s="6" t="s">
        <v>1744</v>
      </c>
      <c r="BE103" s="6" t="s">
        <v>1801</v>
      </c>
      <c r="BF103" s="6" t="s">
        <v>1748</v>
      </c>
      <c r="BG103" s="6" t="str">
        <f t="shared" si="1"/>
        <v>C:\Users\aremi\Desktop\REPORT CBM\PO 42289580 - Pahang 11kV SECOND CYCLE AZZAD 2026\RAW MATERIAL\047. TNB BARU (IR+VI)\RAW DATA\IR</v>
      </c>
      <c r="BH103" s="24" t="s">
        <v>632</v>
      </c>
    </row>
    <row r="104" spans="1:60" ht="30" customHeight="1" x14ac:dyDescent="0.25">
      <c r="A104" s="6">
        <v>52</v>
      </c>
      <c r="B104" s="6" t="s">
        <v>1542</v>
      </c>
      <c r="C104" s="6">
        <v>1</v>
      </c>
      <c r="D104" s="6" t="s">
        <v>2244</v>
      </c>
      <c r="E104" s="6">
        <v>52</v>
      </c>
      <c r="F104" s="6" t="str">
        <f ca="1">Master_List!$AW$1</f>
        <v>PERPUSTAKAAN PUSAT</v>
      </c>
      <c r="G104" s="27" t="str">
        <f ca="1">Master_List!$AW$2</f>
        <v>09:30 PM</v>
      </c>
      <c r="H104" s="32" t="str">
        <f ca="1">Master_List!$AW$3</f>
        <v>20/07/2026</v>
      </c>
      <c r="I104" s="28" t="str">
        <f ca="1">Master_List!$AW$4</f>
        <v>28.5</v>
      </c>
      <c r="J104" s="6" t="str">
        <f ca="1">Master_List!$AW$5</f>
        <v>65</v>
      </c>
      <c r="K104" s="6" t="s">
        <v>591</v>
      </c>
      <c r="L104" s="21" t="str">
        <f ca="1">IFERROR(VLOOKUP(B104, Master_List!$A:$I, 2, FALSE), "-")</f>
        <v/>
      </c>
      <c r="M104" s="22" t="str">
        <f ca="1">IFERROR(VLOOKUP(B104, Master_List!$A:$I, 3, FALSE), "-")</f>
        <v/>
      </c>
      <c r="N104" s="22" t="str">
        <f ca="1">IFERROR(VLOOKUP(B104, Master_List!$A:$I, 4, FALSE), "-")</f>
        <v/>
      </c>
      <c r="O104" s="22" t="str">
        <f ca="1">IFERROR(VLOOKUP(B104, Master_List!$A:$I, 5, FALSE), "-")</f>
        <v/>
      </c>
      <c r="P104" s="22" t="str">
        <f ca="1">IFERROR(VLOOKUP(B104, Master_List!$A:$I, 6, FALSE), "-")</f>
        <v/>
      </c>
      <c r="Q104" s="22" t="str">
        <f ca="1">IFERROR(VLOOKUP(B104, Master_List!$A:$I, 7, FALSE), "-")</f>
        <v/>
      </c>
      <c r="R104" s="22" t="str">
        <f ca="1">IFERROR(VLOOKUP(B104, Master_List!$A:$I, 8, FALSE), "-")</f>
        <v/>
      </c>
      <c r="S104" s="22" t="str">
        <f ca="1">IFERROR(VLOOKUP(B104, Master_List!$A:$I, 9, FALSE), "-")</f>
        <v/>
      </c>
      <c r="T104" s="20" t="str">
        <f ca="1">Master_List!$AW$6</f>
        <v>TOSHIBA</v>
      </c>
      <c r="U104" s="20" t="str">
        <f ca="1">Master_List!$AW$7</f>
        <v>MRMU</v>
      </c>
      <c r="V104" s="20" t="str">
        <f ca="1">Master_List!$AW$8</f>
        <v>12kV</v>
      </c>
      <c r="W104" s="20" t="str">
        <f ca="1">Master_List!$AW$9</f>
        <v>2S1F</v>
      </c>
      <c r="X104" s="20" t="str">
        <f ca="1">Master_List!$AW$10</f>
        <v>MTM</v>
      </c>
      <c r="Y104" s="20" t="str">
        <f ca="1">Master_List!$AW$11</f>
        <v>HERMETICALLY SEAL</v>
      </c>
      <c r="Z104" s="20" t="str">
        <f ca="1">Master_List!$AW$12</f>
        <v>750kVA</v>
      </c>
      <c r="AA104" s="20" t="str">
        <f ca="1">Master_List!$AW$13</f>
        <v>1317</v>
      </c>
      <c r="AB104" s="20">
        <f ca="1">Master_List!$AW$14</f>
        <v>0</v>
      </c>
      <c r="AC104" s="20">
        <f ca="1">Master_List!$AW$15</f>
        <v>0</v>
      </c>
      <c r="AD104" s="20">
        <f ca="1">Master_List!$AW$16</f>
        <v>0</v>
      </c>
      <c r="AE104" s="20">
        <f ca="1">Master_List!$AW$17</f>
        <v>0</v>
      </c>
      <c r="AF104" s="20" t="str">
        <f ca="1">Master_List!$AW$18</f>
        <v>INDKOM</v>
      </c>
      <c r="AG104" s="20" t="str">
        <f ca="1">Master_List!$AW$19</f>
        <v>J-SLOTTED</v>
      </c>
      <c r="AH104" s="20" t="str">
        <f ca="1">Master_List!$AW$20</f>
        <v>1600A</v>
      </c>
      <c r="AI104" s="20" t="str">
        <f ca="1">Master_List!$AW$21</f>
        <v>LV5080090</v>
      </c>
      <c r="AJ104" s="20" t="str">
        <f ca="1">Master_List!$AW$22</f>
        <v>LVDB TX1</v>
      </c>
      <c r="AK104" s="20">
        <f ca="1">Master_List!$AW$23</f>
        <v>0</v>
      </c>
      <c r="AL104" s="20">
        <f ca="1">Master_List!$AW$24</f>
        <v>0</v>
      </c>
      <c r="AM104" s="20">
        <f ca="1">Master_List!$AW$25</f>
        <v>0</v>
      </c>
      <c r="AN104" s="20">
        <f ca="1">Master_List!$AW$26</f>
        <v>0</v>
      </c>
      <c r="AO104" s="20" t="str">
        <f ca="1">Master_List!$AW$27</f>
        <v>LVDB TX2</v>
      </c>
      <c r="AP104" s="20" t="str">
        <f ca="1">Master_List!$AW$28</f>
        <v>SUNPOWER TECHNOLOGIES</v>
      </c>
      <c r="AQ104" s="20" t="str">
        <f ca="1">Master_List!$AW$29</f>
        <v>SPS 30-10 L</v>
      </c>
      <c r="AR104" s="20" t="str">
        <f ca="1">Master_List!$AW$30</f>
        <v>11193-8527</v>
      </c>
      <c r="AS104" s="20">
        <f ca="1">Master_List!$AW$31</f>
        <v>0</v>
      </c>
      <c r="AT104" s="20">
        <f ca="1">Master_List!$AW$32</f>
        <v>0</v>
      </c>
      <c r="AU104" s="20">
        <f ca="1">Master_List!$AW$33</f>
        <v>0</v>
      </c>
      <c r="AV104" s="20">
        <f ca="1">Master_List!$AW$34</f>
        <v>0</v>
      </c>
      <c r="AW104" s="20">
        <f ca="1">Master_List!$AW$35</f>
        <v>0</v>
      </c>
      <c r="AX104" s="20">
        <f ca="1">Master_List!$AW$36</f>
        <v>0</v>
      </c>
      <c r="AY104" s="20">
        <f ca="1">Master_List!$AW$37</f>
        <v>0</v>
      </c>
      <c r="AZ104" s="20">
        <f ca="1">Master_List!$AW$38</f>
        <v>0</v>
      </c>
      <c r="BA104" s="20">
        <f ca="1">Master_List!$AW$39</f>
        <v>0</v>
      </c>
      <c r="BB104" s="20" t="s">
        <v>2240</v>
      </c>
      <c r="BC104" s="20" t="s">
        <v>2241</v>
      </c>
      <c r="BD104" s="6" t="s">
        <v>1744</v>
      </c>
      <c r="BE104" s="6" t="s">
        <v>1802</v>
      </c>
      <c r="BF104" s="6" t="s">
        <v>1746</v>
      </c>
      <c r="BG104" s="6" t="str">
        <f t="shared" si="1"/>
        <v>C:\Users\aremi\Desktop\REPORT CBM\PO 42289580 - Pahang 11kV SECOND CYCLE AZZAD 2026\RAW MATERIAL\047. TNB BARU (IR+VI)\RAW DATA\IR</v>
      </c>
      <c r="BH104" s="24" t="s">
        <v>633</v>
      </c>
    </row>
    <row r="105" spans="1:60" ht="30" customHeight="1" x14ac:dyDescent="0.25">
      <c r="A105" s="6">
        <v>52</v>
      </c>
      <c r="B105" s="6" t="s">
        <v>1542</v>
      </c>
      <c r="C105" s="6">
        <v>1</v>
      </c>
      <c r="D105" s="6" t="s">
        <v>2244</v>
      </c>
      <c r="E105" s="6">
        <v>52</v>
      </c>
      <c r="F105" s="6" t="str">
        <f ca="1">Master_List!$AW$1</f>
        <v>PERPUSTAKAAN PUSAT</v>
      </c>
      <c r="G105" s="27" t="str">
        <f ca="1">Master_List!$AW$2</f>
        <v>09:30 PM</v>
      </c>
      <c r="H105" s="32" t="str">
        <f ca="1">Master_List!$AW$3</f>
        <v>20/07/2026</v>
      </c>
      <c r="I105" s="28" t="str">
        <f ca="1">Master_List!$AW$4</f>
        <v>28.5</v>
      </c>
      <c r="J105" s="6" t="str">
        <f ca="1">Master_List!$AW$5</f>
        <v>65</v>
      </c>
      <c r="K105" s="6" t="s">
        <v>591</v>
      </c>
      <c r="L105" s="21" t="str">
        <f ca="1">IFERROR(VLOOKUP(B105, Master_List!$A:$I, 2, FALSE), "-")</f>
        <v/>
      </c>
      <c r="M105" s="22" t="str">
        <f ca="1">IFERROR(VLOOKUP(B105, Master_List!$A:$I, 3, FALSE), "-")</f>
        <v/>
      </c>
      <c r="N105" s="22" t="str">
        <f ca="1">IFERROR(VLOOKUP(B105, Master_List!$A:$I, 4, FALSE), "-")</f>
        <v/>
      </c>
      <c r="O105" s="22" t="str">
        <f ca="1">IFERROR(VLOOKUP(B105, Master_List!$A:$I, 5, FALSE), "-")</f>
        <v/>
      </c>
      <c r="P105" s="22" t="str">
        <f ca="1">IFERROR(VLOOKUP(B105, Master_List!$A:$I, 6, FALSE), "-")</f>
        <v/>
      </c>
      <c r="Q105" s="22" t="str">
        <f ca="1">IFERROR(VLOOKUP(B105, Master_List!$A:$I, 7, FALSE), "-")</f>
        <v/>
      </c>
      <c r="R105" s="22" t="str">
        <f ca="1">IFERROR(VLOOKUP(B105, Master_List!$A:$I, 8, FALSE), "-")</f>
        <v/>
      </c>
      <c r="S105" s="22" t="str">
        <f ca="1">IFERROR(VLOOKUP(B105, Master_List!$A:$I, 9, FALSE), "-")</f>
        <v/>
      </c>
      <c r="T105" s="20" t="str">
        <f ca="1">Master_List!$AW$6</f>
        <v>TOSHIBA</v>
      </c>
      <c r="U105" s="20" t="str">
        <f ca="1">Master_List!$AW$7</f>
        <v>MRMU</v>
      </c>
      <c r="V105" s="20" t="str">
        <f ca="1">Master_List!$AW$8</f>
        <v>12kV</v>
      </c>
      <c r="W105" s="20" t="str">
        <f ca="1">Master_List!$AW$9</f>
        <v>2S1F</v>
      </c>
      <c r="X105" s="20" t="str">
        <f ca="1">Master_List!$AW$10</f>
        <v>MTM</v>
      </c>
      <c r="Y105" s="20" t="str">
        <f ca="1">Master_List!$AW$11</f>
        <v>HERMETICALLY SEAL</v>
      </c>
      <c r="Z105" s="20" t="str">
        <f ca="1">Master_List!$AW$12</f>
        <v>750kVA</v>
      </c>
      <c r="AA105" s="20" t="str">
        <f ca="1">Master_List!$AW$13</f>
        <v>1317</v>
      </c>
      <c r="AB105" s="20">
        <f ca="1">Master_List!$AW$14</f>
        <v>0</v>
      </c>
      <c r="AC105" s="20">
        <f ca="1">Master_List!$AW$15</f>
        <v>0</v>
      </c>
      <c r="AD105" s="20">
        <f ca="1">Master_List!$AW$16</f>
        <v>0</v>
      </c>
      <c r="AE105" s="20">
        <f ca="1">Master_List!$AW$17</f>
        <v>0</v>
      </c>
      <c r="AF105" s="20" t="str">
        <f ca="1">Master_List!$AW$18</f>
        <v>INDKOM</v>
      </c>
      <c r="AG105" s="20" t="str">
        <f ca="1">Master_List!$AW$19</f>
        <v>J-SLOTTED</v>
      </c>
      <c r="AH105" s="20" t="str">
        <f ca="1">Master_List!$AW$20</f>
        <v>1600A</v>
      </c>
      <c r="AI105" s="20" t="str">
        <f ca="1">Master_List!$AW$21</f>
        <v>LV5080090</v>
      </c>
      <c r="AJ105" s="20" t="str">
        <f ca="1">Master_List!$AW$22</f>
        <v>LVDB TX1</v>
      </c>
      <c r="AK105" s="20">
        <f ca="1">Master_List!$AW$23</f>
        <v>0</v>
      </c>
      <c r="AL105" s="20">
        <f ca="1">Master_List!$AW$24</f>
        <v>0</v>
      </c>
      <c r="AM105" s="20">
        <f ca="1">Master_List!$AW$25</f>
        <v>0</v>
      </c>
      <c r="AN105" s="20">
        <f ca="1">Master_List!$AW$26</f>
        <v>0</v>
      </c>
      <c r="AO105" s="20" t="str">
        <f ca="1">Master_List!$AW$27</f>
        <v>LVDB TX2</v>
      </c>
      <c r="AP105" s="20" t="str">
        <f ca="1">Master_List!$AW$28</f>
        <v>SUNPOWER TECHNOLOGIES</v>
      </c>
      <c r="AQ105" s="20" t="str">
        <f ca="1">Master_List!$AW$29</f>
        <v>SPS 30-10 L</v>
      </c>
      <c r="AR105" s="20" t="str">
        <f ca="1">Master_List!$AW$30</f>
        <v>11193-8527</v>
      </c>
      <c r="AS105" s="20">
        <f ca="1">Master_List!$AW$31</f>
        <v>0</v>
      </c>
      <c r="AT105" s="20">
        <f ca="1">Master_List!$AW$32</f>
        <v>0</v>
      </c>
      <c r="AU105" s="20">
        <f ca="1">Master_List!$AW$33</f>
        <v>0</v>
      </c>
      <c r="AV105" s="20">
        <f ca="1">Master_List!$AW$34</f>
        <v>0</v>
      </c>
      <c r="AW105" s="20">
        <f ca="1">Master_List!$AW$35</f>
        <v>0</v>
      </c>
      <c r="AX105" s="20">
        <f ca="1">Master_List!$AW$36</f>
        <v>0</v>
      </c>
      <c r="AY105" s="20">
        <f ca="1">Master_List!$AW$37</f>
        <v>0</v>
      </c>
      <c r="AZ105" s="20">
        <f ca="1">Master_List!$AW$38</f>
        <v>0</v>
      </c>
      <c r="BA105" s="20">
        <f ca="1">Master_List!$AW$39</f>
        <v>0</v>
      </c>
      <c r="BB105" s="20" t="s">
        <v>2240</v>
      </c>
      <c r="BC105" s="20" t="s">
        <v>2241</v>
      </c>
      <c r="BD105" s="6" t="s">
        <v>1744</v>
      </c>
      <c r="BE105" s="6" t="s">
        <v>1802</v>
      </c>
      <c r="BF105" s="6" t="s">
        <v>1748</v>
      </c>
      <c r="BG105" s="6" t="str">
        <f t="shared" si="1"/>
        <v>C:\Users\aremi\Desktop\REPORT CBM\PO 42289580 - Pahang 11kV SECOND CYCLE AZZAD 2026\RAW MATERIAL\047. TNB BARU (IR+VI)\RAW DATA\IR</v>
      </c>
      <c r="BH105" s="24" t="s">
        <v>634</v>
      </c>
    </row>
    <row r="106" spans="1:60" ht="30" customHeight="1" x14ac:dyDescent="0.25">
      <c r="A106" s="6">
        <v>53</v>
      </c>
      <c r="B106" s="6" t="s">
        <v>1547</v>
      </c>
      <c r="C106" s="6">
        <v>1</v>
      </c>
      <c r="D106" s="6" t="s">
        <v>2242</v>
      </c>
      <c r="E106" s="6">
        <v>53</v>
      </c>
      <c r="F106" s="6" t="str">
        <f ca="1">Master_List!$AW$1</f>
        <v>PERPUSTAKAAN PUSAT</v>
      </c>
      <c r="G106" s="27" t="str">
        <f ca="1">Master_List!$AW$2</f>
        <v>09:30 PM</v>
      </c>
      <c r="H106" s="32" t="str">
        <f ca="1">Master_List!$AW$3</f>
        <v>20/07/2026</v>
      </c>
      <c r="I106" s="28" t="str">
        <f ca="1">Master_List!$AW$4</f>
        <v>28.5</v>
      </c>
      <c r="J106" s="6" t="str">
        <f ca="1">Master_List!$AW$5</f>
        <v>65</v>
      </c>
      <c r="K106" s="6" t="s">
        <v>570</v>
      </c>
      <c r="L106" s="21" t="str">
        <f ca="1">IFERROR(VLOOKUP(B106, Master_List!$A:$I, 2, FALSE), "-")</f>
        <v/>
      </c>
      <c r="M106" s="22" t="str">
        <f ca="1">IFERROR(VLOOKUP(B106, Master_List!$A:$I, 3, FALSE), "-")</f>
        <v/>
      </c>
      <c r="N106" s="22" t="str">
        <f ca="1">IFERROR(VLOOKUP(B106, Master_List!$A:$I, 4, FALSE), "-")</f>
        <v/>
      </c>
      <c r="O106" s="22" t="str">
        <f ca="1">IFERROR(VLOOKUP(B106, Master_List!$A:$I, 5, FALSE), "-")</f>
        <v/>
      </c>
      <c r="P106" s="22" t="str">
        <f ca="1">IFERROR(VLOOKUP(B106, Master_List!$A:$I, 6, FALSE), "-")</f>
        <v/>
      </c>
      <c r="Q106" s="22" t="str">
        <f ca="1">IFERROR(VLOOKUP(B106, Master_List!$A:$I, 7, FALSE), "-")</f>
        <v/>
      </c>
      <c r="R106" s="22" t="str">
        <f ca="1">IFERROR(VLOOKUP(B106, Master_List!$A:$I, 8, FALSE), "-")</f>
        <v/>
      </c>
      <c r="S106" s="22" t="str">
        <f ca="1">IFERROR(VLOOKUP(B106, Master_List!$A:$I, 9, FALSE), "-")</f>
        <v/>
      </c>
      <c r="T106" s="20" t="str">
        <f ca="1">Master_List!$AW$6</f>
        <v>TOSHIBA</v>
      </c>
      <c r="U106" s="20" t="str">
        <f ca="1">Master_List!$AW$7</f>
        <v>MRMU</v>
      </c>
      <c r="V106" s="20" t="str">
        <f ca="1">Master_List!$AW$8</f>
        <v>12kV</v>
      </c>
      <c r="W106" s="20" t="str">
        <f ca="1">Master_List!$AW$9</f>
        <v>2S1F</v>
      </c>
      <c r="X106" s="20" t="str">
        <f ca="1">Master_List!$AW$10</f>
        <v>MTM</v>
      </c>
      <c r="Y106" s="20" t="str">
        <f ca="1">Master_List!$AW$11</f>
        <v>HERMETICALLY SEAL</v>
      </c>
      <c r="Z106" s="20" t="str">
        <f ca="1">Master_List!$AW$12</f>
        <v>750kVA</v>
      </c>
      <c r="AA106" s="20" t="str">
        <f ca="1">Master_List!$AW$13</f>
        <v>1317</v>
      </c>
      <c r="AB106" s="20">
        <f ca="1">Master_List!$AW$14</f>
        <v>0</v>
      </c>
      <c r="AC106" s="20">
        <f ca="1">Master_List!$AW$15</f>
        <v>0</v>
      </c>
      <c r="AD106" s="20">
        <f ca="1">Master_List!$AW$16</f>
        <v>0</v>
      </c>
      <c r="AE106" s="20">
        <f ca="1">Master_List!$AW$17</f>
        <v>0</v>
      </c>
      <c r="AF106" s="20" t="str">
        <f ca="1">Master_List!$AW$18</f>
        <v>INDKOM</v>
      </c>
      <c r="AG106" s="20" t="str">
        <f ca="1">Master_List!$AW$19</f>
        <v>J-SLOTTED</v>
      </c>
      <c r="AH106" s="20" t="str">
        <f ca="1">Master_List!$AW$20</f>
        <v>1600A</v>
      </c>
      <c r="AI106" s="20" t="str">
        <f ca="1">Master_List!$AW$21</f>
        <v>LV5080090</v>
      </c>
      <c r="AJ106" s="20" t="str">
        <f ca="1">Master_List!$AW$22</f>
        <v>LVDB TX1</v>
      </c>
      <c r="AK106" s="20">
        <f ca="1">Master_List!$AW$23</f>
        <v>0</v>
      </c>
      <c r="AL106" s="20">
        <f ca="1">Master_List!$AW$24</f>
        <v>0</v>
      </c>
      <c r="AM106" s="20">
        <f ca="1">Master_List!$AW$25</f>
        <v>0</v>
      </c>
      <c r="AN106" s="20">
        <f ca="1">Master_List!$AW$26</f>
        <v>0</v>
      </c>
      <c r="AO106" s="20" t="str">
        <f ca="1">Master_List!$AW$27</f>
        <v>LVDB TX2</v>
      </c>
      <c r="AP106" s="20" t="str">
        <f ca="1">Master_List!$AW$28</f>
        <v>SUNPOWER TECHNOLOGIES</v>
      </c>
      <c r="AQ106" s="20" t="str">
        <f ca="1">Master_List!$AW$29</f>
        <v>SPS 30-10 L</v>
      </c>
      <c r="AR106" s="20" t="str">
        <f ca="1">Master_List!$AW$30</f>
        <v>11193-8527</v>
      </c>
      <c r="AS106" s="20">
        <f ca="1">Master_List!$AW$31</f>
        <v>0</v>
      </c>
      <c r="AT106" s="20">
        <f ca="1">Master_List!$AW$32</f>
        <v>0</v>
      </c>
      <c r="AU106" s="20">
        <f ca="1">Master_List!$AW$33</f>
        <v>0</v>
      </c>
      <c r="AV106" s="20">
        <f ca="1">Master_List!$AW$34</f>
        <v>0</v>
      </c>
      <c r="AW106" s="20">
        <f ca="1">Master_List!$AW$35</f>
        <v>0</v>
      </c>
      <c r="AX106" s="20">
        <f ca="1">Master_List!$AW$36</f>
        <v>0</v>
      </c>
      <c r="AY106" s="20">
        <f ca="1">Master_List!$AW$37</f>
        <v>0</v>
      </c>
      <c r="AZ106" s="20">
        <f ca="1">Master_List!$AW$38</f>
        <v>0</v>
      </c>
      <c r="BA106" s="20">
        <f ca="1">Master_List!$AW$39</f>
        <v>0</v>
      </c>
      <c r="BB106" s="20" t="s">
        <v>2240</v>
      </c>
      <c r="BC106" s="20" t="s">
        <v>2241</v>
      </c>
      <c r="BD106" s="6" t="s">
        <v>1744</v>
      </c>
      <c r="BE106" s="6" t="s">
        <v>1803</v>
      </c>
      <c r="BF106" s="6" t="s">
        <v>1746</v>
      </c>
      <c r="BG106" s="6" t="str">
        <f t="shared" si="1"/>
        <v>C:\Users\aremi\Desktop\REPORT CBM\PO 42289580 - Pahang 11kV SECOND CYCLE AZZAD 2026\RAW MATERIAL\047. TNB BARU (IR+VI)\RAW DATA\IR</v>
      </c>
      <c r="BH106" s="24" t="s">
        <v>635</v>
      </c>
    </row>
    <row r="107" spans="1:60" ht="30" customHeight="1" x14ac:dyDescent="0.25">
      <c r="A107" s="6">
        <v>53</v>
      </c>
      <c r="B107" s="6" t="s">
        <v>1547</v>
      </c>
      <c r="C107" s="6">
        <v>1</v>
      </c>
      <c r="D107" s="6" t="s">
        <v>2242</v>
      </c>
      <c r="E107" s="6">
        <v>53</v>
      </c>
      <c r="F107" s="6" t="str">
        <f ca="1">Master_List!$AW$1</f>
        <v>PERPUSTAKAAN PUSAT</v>
      </c>
      <c r="G107" s="27" t="str">
        <f ca="1">Master_List!$AW$2</f>
        <v>09:30 PM</v>
      </c>
      <c r="H107" s="32" t="str">
        <f ca="1">Master_List!$AW$3</f>
        <v>20/07/2026</v>
      </c>
      <c r="I107" s="28" t="str">
        <f ca="1">Master_List!$AW$4</f>
        <v>28.5</v>
      </c>
      <c r="J107" s="6" t="str">
        <f ca="1">Master_List!$AW$5</f>
        <v>65</v>
      </c>
      <c r="K107" s="6" t="s">
        <v>570</v>
      </c>
      <c r="L107" s="21" t="str">
        <f ca="1">IFERROR(VLOOKUP(B107, Master_List!$A:$I, 2, FALSE), "-")</f>
        <v/>
      </c>
      <c r="M107" s="22" t="str">
        <f ca="1">IFERROR(VLOOKUP(B107, Master_List!$A:$I, 3, FALSE), "-")</f>
        <v/>
      </c>
      <c r="N107" s="22" t="str">
        <f ca="1">IFERROR(VLOOKUP(B107, Master_List!$A:$I, 4, FALSE), "-")</f>
        <v/>
      </c>
      <c r="O107" s="22" t="str">
        <f ca="1">IFERROR(VLOOKUP(B107, Master_List!$A:$I, 5, FALSE), "-")</f>
        <v/>
      </c>
      <c r="P107" s="22" t="str">
        <f ca="1">IFERROR(VLOOKUP(B107, Master_List!$A:$I, 6, FALSE), "-")</f>
        <v/>
      </c>
      <c r="Q107" s="22" t="str">
        <f ca="1">IFERROR(VLOOKUP(B107, Master_List!$A:$I, 7, FALSE), "-")</f>
        <v/>
      </c>
      <c r="R107" s="22" t="str">
        <f ca="1">IFERROR(VLOOKUP(B107, Master_List!$A:$I, 8, FALSE), "-")</f>
        <v/>
      </c>
      <c r="S107" s="22" t="str">
        <f ca="1">IFERROR(VLOOKUP(B107, Master_List!$A:$I, 9, FALSE), "-")</f>
        <v/>
      </c>
      <c r="T107" s="20" t="str">
        <f ca="1">Master_List!$AW$6</f>
        <v>TOSHIBA</v>
      </c>
      <c r="U107" s="20" t="str">
        <f ca="1">Master_List!$AW$7</f>
        <v>MRMU</v>
      </c>
      <c r="V107" s="20" t="str">
        <f ca="1">Master_List!$AW$8</f>
        <v>12kV</v>
      </c>
      <c r="W107" s="20" t="str">
        <f ca="1">Master_List!$AW$9</f>
        <v>2S1F</v>
      </c>
      <c r="X107" s="20" t="str">
        <f ca="1">Master_List!$AW$10</f>
        <v>MTM</v>
      </c>
      <c r="Y107" s="20" t="str">
        <f ca="1">Master_List!$AW$11</f>
        <v>HERMETICALLY SEAL</v>
      </c>
      <c r="Z107" s="20" t="str">
        <f ca="1">Master_List!$AW$12</f>
        <v>750kVA</v>
      </c>
      <c r="AA107" s="20" t="str">
        <f ca="1">Master_List!$AW$13</f>
        <v>1317</v>
      </c>
      <c r="AB107" s="20">
        <f ca="1">Master_List!$AW$14</f>
        <v>0</v>
      </c>
      <c r="AC107" s="20">
        <f ca="1">Master_List!$AW$15</f>
        <v>0</v>
      </c>
      <c r="AD107" s="20">
        <f ca="1">Master_List!$AW$16</f>
        <v>0</v>
      </c>
      <c r="AE107" s="20">
        <f ca="1">Master_List!$AW$17</f>
        <v>0</v>
      </c>
      <c r="AF107" s="20" t="str">
        <f ca="1">Master_List!$AW$18</f>
        <v>INDKOM</v>
      </c>
      <c r="AG107" s="20" t="str">
        <f ca="1">Master_List!$AW$19</f>
        <v>J-SLOTTED</v>
      </c>
      <c r="AH107" s="20" t="str">
        <f ca="1">Master_List!$AW$20</f>
        <v>1600A</v>
      </c>
      <c r="AI107" s="20" t="str">
        <f ca="1">Master_List!$AW$21</f>
        <v>LV5080090</v>
      </c>
      <c r="AJ107" s="20" t="str">
        <f ca="1">Master_List!$AW$22</f>
        <v>LVDB TX1</v>
      </c>
      <c r="AK107" s="20">
        <f ca="1">Master_List!$AW$23</f>
        <v>0</v>
      </c>
      <c r="AL107" s="20">
        <f ca="1">Master_List!$AW$24</f>
        <v>0</v>
      </c>
      <c r="AM107" s="20">
        <f ca="1">Master_List!$AW$25</f>
        <v>0</v>
      </c>
      <c r="AN107" s="20">
        <f ca="1">Master_List!$AW$26</f>
        <v>0</v>
      </c>
      <c r="AO107" s="20" t="str">
        <f ca="1">Master_List!$AW$27</f>
        <v>LVDB TX2</v>
      </c>
      <c r="AP107" s="20" t="str">
        <f ca="1">Master_List!$AW$28</f>
        <v>SUNPOWER TECHNOLOGIES</v>
      </c>
      <c r="AQ107" s="20" t="str">
        <f ca="1">Master_List!$AW$29</f>
        <v>SPS 30-10 L</v>
      </c>
      <c r="AR107" s="20" t="str">
        <f ca="1">Master_List!$AW$30</f>
        <v>11193-8527</v>
      </c>
      <c r="AS107" s="20">
        <f ca="1">Master_List!$AW$31</f>
        <v>0</v>
      </c>
      <c r="AT107" s="20">
        <f ca="1">Master_List!$AW$32</f>
        <v>0</v>
      </c>
      <c r="AU107" s="20">
        <f ca="1">Master_List!$AW$33</f>
        <v>0</v>
      </c>
      <c r="AV107" s="20">
        <f ca="1">Master_List!$AW$34</f>
        <v>0</v>
      </c>
      <c r="AW107" s="20">
        <f ca="1">Master_List!$AW$35</f>
        <v>0</v>
      </c>
      <c r="AX107" s="20">
        <f ca="1">Master_List!$AW$36</f>
        <v>0</v>
      </c>
      <c r="AY107" s="20">
        <f ca="1">Master_List!$AW$37</f>
        <v>0</v>
      </c>
      <c r="AZ107" s="20">
        <f ca="1">Master_List!$AW$38</f>
        <v>0</v>
      </c>
      <c r="BA107" s="20">
        <f ca="1">Master_List!$AW$39</f>
        <v>0</v>
      </c>
      <c r="BB107" s="20" t="s">
        <v>2240</v>
      </c>
      <c r="BC107" s="20" t="s">
        <v>2241</v>
      </c>
      <c r="BD107" s="6" t="s">
        <v>1744</v>
      </c>
      <c r="BE107" s="6" t="s">
        <v>1803</v>
      </c>
      <c r="BF107" s="6" t="s">
        <v>1748</v>
      </c>
      <c r="BG107" s="6" t="str">
        <f t="shared" si="1"/>
        <v>C:\Users\aremi\Desktop\REPORT CBM\PO 42289580 - Pahang 11kV SECOND CYCLE AZZAD 2026\RAW MATERIAL\047. TNB BARU (IR+VI)\RAW DATA\IR</v>
      </c>
      <c r="BH107" s="24" t="s">
        <v>636</v>
      </c>
    </row>
    <row r="108" spans="1:60" ht="30" customHeight="1" x14ac:dyDescent="0.25">
      <c r="A108" s="6">
        <v>54</v>
      </c>
      <c r="B108" s="6" t="s">
        <v>1547</v>
      </c>
      <c r="C108" s="6">
        <v>1</v>
      </c>
      <c r="D108" s="6" t="s">
        <v>2242</v>
      </c>
      <c r="E108" s="6">
        <v>54</v>
      </c>
      <c r="F108" s="6" t="str">
        <f ca="1">Master_List!$AW$1</f>
        <v>PERPUSTAKAAN PUSAT</v>
      </c>
      <c r="G108" s="27" t="str">
        <f ca="1">Master_List!$AW$2</f>
        <v>09:30 PM</v>
      </c>
      <c r="H108" s="32" t="str">
        <f ca="1">Master_List!$AW$3</f>
        <v>20/07/2026</v>
      </c>
      <c r="I108" s="28" t="str">
        <f ca="1">Master_List!$AW$4</f>
        <v>28.5</v>
      </c>
      <c r="J108" s="6" t="str">
        <f ca="1">Master_List!$AW$5</f>
        <v>65</v>
      </c>
      <c r="K108" s="6" t="s">
        <v>573</v>
      </c>
      <c r="L108" s="21" t="str">
        <f ca="1">IFERROR(VLOOKUP(B108, Master_List!$A:$I, 2, FALSE), "-")</f>
        <v/>
      </c>
      <c r="M108" s="22" t="str">
        <f ca="1">IFERROR(VLOOKUP(B108, Master_List!$A:$I, 3, FALSE), "-")</f>
        <v/>
      </c>
      <c r="N108" s="22" t="str">
        <f ca="1">IFERROR(VLOOKUP(B108, Master_List!$A:$I, 4, FALSE), "-")</f>
        <v/>
      </c>
      <c r="O108" s="22" t="str">
        <f ca="1">IFERROR(VLOOKUP(B108, Master_List!$A:$I, 5, FALSE), "-")</f>
        <v/>
      </c>
      <c r="P108" s="22" t="str">
        <f ca="1">IFERROR(VLOOKUP(B108, Master_List!$A:$I, 6, FALSE), "-")</f>
        <v/>
      </c>
      <c r="Q108" s="22" t="str">
        <f ca="1">IFERROR(VLOOKUP(B108, Master_List!$A:$I, 7, FALSE), "-")</f>
        <v/>
      </c>
      <c r="R108" s="22" t="str">
        <f ca="1">IFERROR(VLOOKUP(B108, Master_List!$A:$I, 8, FALSE), "-")</f>
        <v/>
      </c>
      <c r="S108" s="22" t="str">
        <f ca="1">IFERROR(VLOOKUP(B108, Master_List!$A:$I, 9, FALSE), "-")</f>
        <v/>
      </c>
      <c r="T108" s="20" t="str">
        <f ca="1">Master_List!$AW$6</f>
        <v>TOSHIBA</v>
      </c>
      <c r="U108" s="20" t="str">
        <f ca="1">Master_List!$AW$7</f>
        <v>MRMU</v>
      </c>
      <c r="V108" s="20" t="str">
        <f ca="1">Master_List!$AW$8</f>
        <v>12kV</v>
      </c>
      <c r="W108" s="20" t="str">
        <f ca="1">Master_List!$AW$9</f>
        <v>2S1F</v>
      </c>
      <c r="X108" s="20" t="str">
        <f ca="1">Master_List!$AW$10</f>
        <v>MTM</v>
      </c>
      <c r="Y108" s="20" t="str">
        <f ca="1">Master_List!$AW$11</f>
        <v>HERMETICALLY SEAL</v>
      </c>
      <c r="Z108" s="20" t="str">
        <f ca="1">Master_List!$AW$12</f>
        <v>750kVA</v>
      </c>
      <c r="AA108" s="20" t="str">
        <f ca="1">Master_List!$AW$13</f>
        <v>1317</v>
      </c>
      <c r="AB108" s="20">
        <f ca="1">Master_List!$AW$14</f>
        <v>0</v>
      </c>
      <c r="AC108" s="20">
        <f ca="1">Master_List!$AW$15</f>
        <v>0</v>
      </c>
      <c r="AD108" s="20">
        <f ca="1">Master_List!$AW$16</f>
        <v>0</v>
      </c>
      <c r="AE108" s="20">
        <f ca="1">Master_List!$AW$17</f>
        <v>0</v>
      </c>
      <c r="AF108" s="20" t="str">
        <f ca="1">Master_List!$AW$18</f>
        <v>INDKOM</v>
      </c>
      <c r="AG108" s="20" t="str">
        <f ca="1">Master_List!$AW$19</f>
        <v>J-SLOTTED</v>
      </c>
      <c r="AH108" s="20" t="str">
        <f ca="1">Master_List!$AW$20</f>
        <v>1600A</v>
      </c>
      <c r="AI108" s="20" t="str">
        <f ca="1">Master_List!$AW$21</f>
        <v>LV5080090</v>
      </c>
      <c r="AJ108" s="20" t="str">
        <f ca="1">Master_List!$AW$22</f>
        <v>LVDB TX1</v>
      </c>
      <c r="AK108" s="20">
        <f ca="1">Master_List!$AW$23</f>
        <v>0</v>
      </c>
      <c r="AL108" s="20">
        <f ca="1">Master_List!$AW$24</f>
        <v>0</v>
      </c>
      <c r="AM108" s="20">
        <f ca="1">Master_List!$AW$25</f>
        <v>0</v>
      </c>
      <c r="AN108" s="20">
        <f ca="1">Master_List!$AW$26</f>
        <v>0</v>
      </c>
      <c r="AO108" s="20" t="str">
        <f ca="1">Master_List!$AW$27</f>
        <v>LVDB TX2</v>
      </c>
      <c r="AP108" s="20" t="str">
        <f ca="1">Master_List!$AW$28</f>
        <v>SUNPOWER TECHNOLOGIES</v>
      </c>
      <c r="AQ108" s="20" t="str">
        <f ca="1">Master_List!$AW$29</f>
        <v>SPS 30-10 L</v>
      </c>
      <c r="AR108" s="20" t="str">
        <f ca="1">Master_List!$AW$30</f>
        <v>11193-8527</v>
      </c>
      <c r="AS108" s="20">
        <f ca="1">Master_List!$AW$31</f>
        <v>0</v>
      </c>
      <c r="AT108" s="20">
        <f ca="1">Master_List!$AW$32</f>
        <v>0</v>
      </c>
      <c r="AU108" s="20">
        <f ca="1">Master_List!$AW$33</f>
        <v>0</v>
      </c>
      <c r="AV108" s="20">
        <f ca="1">Master_List!$AW$34</f>
        <v>0</v>
      </c>
      <c r="AW108" s="20">
        <f ca="1">Master_List!$AW$35</f>
        <v>0</v>
      </c>
      <c r="AX108" s="20">
        <f ca="1">Master_List!$AW$36</f>
        <v>0</v>
      </c>
      <c r="AY108" s="20">
        <f ca="1">Master_List!$AW$37</f>
        <v>0</v>
      </c>
      <c r="AZ108" s="20">
        <f ca="1">Master_List!$AW$38</f>
        <v>0</v>
      </c>
      <c r="BA108" s="20">
        <f ca="1">Master_List!$AW$39</f>
        <v>0</v>
      </c>
      <c r="BB108" s="20" t="s">
        <v>2240</v>
      </c>
      <c r="BC108" s="20" t="s">
        <v>2241</v>
      </c>
      <c r="BD108" s="6" t="s">
        <v>1744</v>
      </c>
      <c r="BE108" s="6" t="s">
        <v>1804</v>
      </c>
      <c r="BF108" s="6" t="s">
        <v>1746</v>
      </c>
      <c r="BG108" s="6" t="str">
        <f t="shared" si="1"/>
        <v>C:\Users\aremi\Desktop\REPORT CBM\PO 42289580 - Pahang 11kV SECOND CYCLE AZZAD 2026\RAW MATERIAL\047. TNB BARU (IR+VI)\RAW DATA\IR</v>
      </c>
      <c r="BH108" s="24" t="s">
        <v>637</v>
      </c>
    </row>
    <row r="109" spans="1:60" ht="30" customHeight="1" x14ac:dyDescent="0.25">
      <c r="A109" s="6">
        <v>54</v>
      </c>
      <c r="B109" s="6" t="s">
        <v>1547</v>
      </c>
      <c r="C109" s="6">
        <v>1</v>
      </c>
      <c r="D109" s="6" t="s">
        <v>2242</v>
      </c>
      <c r="E109" s="6">
        <v>54</v>
      </c>
      <c r="F109" s="6" t="str">
        <f ca="1">Master_List!$AW$1</f>
        <v>PERPUSTAKAAN PUSAT</v>
      </c>
      <c r="G109" s="27" t="str">
        <f ca="1">Master_List!$AW$2</f>
        <v>09:30 PM</v>
      </c>
      <c r="H109" s="32" t="str">
        <f ca="1">Master_List!$AW$3</f>
        <v>20/07/2026</v>
      </c>
      <c r="I109" s="28" t="str">
        <f ca="1">Master_List!$AW$4</f>
        <v>28.5</v>
      </c>
      <c r="J109" s="6" t="str">
        <f ca="1">Master_List!$AW$5</f>
        <v>65</v>
      </c>
      <c r="K109" s="6" t="s">
        <v>573</v>
      </c>
      <c r="L109" s="21" t="str">
        <f ca="1">IFERROR(VLOOKUP(B109, Master_List!$A:$I, 2, FALSE), "-")</f>
        <v/>
      </c>
      <c r="M109" s="22" t="str">
        <f ca="1">IFERROR(VLOOKUP(B109, Master_List!$A:$I, 3, FALSE), "-")</f>
        <v/>
      </c>
      <c r="N109" s="22" t="str">
        <f ca="1">IFERROR(VLOOKUP(B109, Master_List!$A:$I, 4, FALSE), "-")</f>
        <v/>
      </c>
      <c r="O109" s="22" t="str">
        <f ca="1">IFERROR(VLOOKUP(B109, Master_List!$A:$I, 5, FALSE), "-")</f>
        <v/>
      </c>
      <c r="P109" s="22" t="str">
        <f ca="1">IFERROR(VLOOKUP(B109, Master_List!$A:$I, 6, FALSE), "-")</f>
        <v/>
      </c>
      <c r="Q109" s="22" t="str">
        <f ca="1">IFERROR(VLOOKUP(B109, Master_List!$A:$I, 7, FALSE), "-")</f>
        <v/>
      </c>
      <c r="R109" s="22" t="str">
        <f ca="1">IFERROR(VLOOKUP(B109, Master_List!$A:$I, 8, FALSE), "-")</f>
        <v/>
      </c>
      <c r="S109" s="22" t="str">
        <f ca="1">IFERROR(VLOOKUP(B109, Master_List!$A:$I, 9, FALSE), "-")</f>
        <v/>
      </c>
      <c r="T109" s="20" t="str">
        <f ca="1">Master_List!$AW$6</f>
        <v>TOSHIBA</v>
      </c>
      <c r="U109" s="20" t="str">
        <f ca="1">Master_List!$AW$7</f>
        <v>MRMU</v>
      </c>
      <c r="V109" s="20" t="str">
        <f ca="1">Master_List!$AW$8</f>
        <v>12kV</v>
      </c>
      <c r="W109" s="20" t="str">
        <f ca="1">Master_List!$AW$9</f>
        <v>2S1F</v>
      </c>
      <c r="X109" s="20" t="str">
        <f ca="1">Master_List!$AW$10</f>
        <v>MTM</v>
      </c>
      <c r="Y109" s="20" t="str">
        <f ca="1">Master_List!$AW$11</f>
        <v>HERMETICALLY SEAL</v>
      </c>
      <c r="Z109" s="20" t="str">
        <f ca="1">Master_List!$AW$12</f>
        <v>750kVA</v>
      </c>
      <c r="AA109" s="20" t="str">
        <f ca="1">Master_List!$AW$13</f>
        <v>1317</v>
      </c>
      <c r="AB109" s="20">
        <f ca="1">Master_List!$AW$14</f>
        <v>0</v>
      </c>
      <c r="AC109" s="20">
        <f ca="1">Master_List!$AW$15</f>
        <v>0</v>
      </c>
      <c r="AD109" s="20">
        <f ca="1">Master_List!$AW$16</f>
        <v>0</v>
      </c>
      <c r="AE109" s="20">
        <f ca="1">Master_List!$AW$17</f>
        <v>0</v>
      </c>
      <c r="AF109" s="20" t="str">
        <f ca="1">Master_List!$AW$18</f>
        <v>INDKOM</v>
      </c>
      <c r="AG109" s="20" t="str">
        <f ca="1">Master_List!$AW$19</f>
        <v>J-SLOTTED</v>
      </c>
      <c r="AH109" s="20" t="str">
        <f ca="1">Master_List!$AW$20</f>
        <v>1600A</v>
      </c>
      <c r="AI109" s="20" t="str">
        <f ca="1">Master_List!$AW$21</f>
        <v>LV5080090</v>
      </c>
      <c r="AJ109" s="20" t="str">
        <f ca="1">Master_List!$AW$22</f>
        <v>LVDB TX1</v>
      </c>
      <c r="AK109" s="20">
        <f ca="1">Master_List!$AW$23</f>
        <v>0</v>
      </c>
      <c r="AL109" s="20">
        <f ca="1">Master_List!$AW$24</f>
        <v>0</v>
      </c>
      <c r="AM109" s="20">
        <f ca="1">Master_List!$AW$25</f>
        <v>0</v>
      </c>
      <c r="AN109" s="20">
        <f ca="1">Master_List!$AW$26</f>
        <v>0</v>
      </c>
      <c r="AO109" s="20" t="str">
        <f ca="1">Master_List!$AW$27</f>
        <v>LVDB TX2</v>
      </c>
      <c r="AP109" s="20" t="str">
        <f ca="1">Master_List!$AW$28</f>
        <v>SUNPOWER TECHNOLOGIES</v>
      </c>
      <c r="AQ109" s="20" t="str">
        <f ca="1">Master_List!$AW$29</f>
        <v>SPS 30-10 L</v>
      </c>
      <c r="AR109" s="20" t="str">
        <f ca="1">Master_List!$AW$30</f>
        <v>11193-8527</v>
      </c>
      <c r="AS109" s="20">
        <f ca="1">Master_List!$AW$31</f>
        <v>0</v>
      </c>
      <c r="AT109" s="20">
        <f ca="1">Master_List!$AW$32</f>
        <v>0</v>
      </c>
      <c r="AU109" s="20">
        <f ca="1">Master_List!$AW$33</f>
        <v>0</v>
      </c>
      <c r="AV109" s="20">
        <f ca="1">Master_List!$AW$34</f>
        <v>0</v>
      </c>
      <c r="AW109" s="20">
        <f ca="1">Master_List!$AW$35</f>
        <v>0</v>
      </c>
      <c r="AX109" s="20">
        <f ca="1">Master_List!$AW$36</f>
        <v>0</v>
      </c>
      <c r="AY109" s="20">
        <f ca="1">Master_List!$AW$37</f>
        <v>0</v>
      </c>
      <c r="AZ109" s="20">
        <f ca="1">Master_List!$AW$38</f>
        <v>0</v>
      </c>
      <c r="BA109" s="20">
        <f ca="1">Master_List!$AW$39</f>
        <v>0</v>
      </c>
      <c r="BB109" s="20" t="s">
        <v>2240</v>
      </c>
      <c r="BC109" s="20" t="s">
        <v>2241</v>
      </c>
      <c r="BD109" s="6" t="s">
        <v>1744</v>
      </c>
      <c r="BE109" s="6" t="s">
        <v>1804</v>
      </c>
      <c r="BF109" s="6" t="s">
        <v>1748</v>
      </c>
      <c r="BG109" s="6" t="str">
        <f t="shared" si="1"/>
        <v>C:\Users\aremi\Desktop\REPORT CBM\PO 42289580 - Pahang 11kV SECOND CYCLE AZZAD 2026\RAW MATERIAL\047. TNB BARU (IR+VI)\RAW DATA\IR</v>
      </c>
      <c r="BH109" s="24" t="s">
        <v>638</v>
      </c>
    </row>
    <row r="110" spans="1:60" ht="30" customHeight="1" x14ac:dyDescent="0.25">
      <c r="A110" s="6">
        <v>55</v>
      </c>
      <c r="B110" s="6" t="s">
        <v>1547</v>
      </c>
      <c r="C110" s="6">
        <v>1</v>
      </c>
      <c r="D110" s="6" t="s">
        <v>2242</v>
      </c>
      <c r="E110" s="6">
        <v>55</v>
      </c>
      <c r="F110" s="6" t="str">
        <f ca="1">Master_List!$AW$1</f>
        <v>PERPUSTAKAAN PUSAT</v>
      </c>
      <c r="G110" s="27" t="str">
        <f ca="1">Master_List!$AW$2</f>
        <v>09:30 PM</v>
      </c>
      <c r="H110" s="32" t="str">
        <f ca="1">Master_List!$AW$3</f>
        <v>20/07/2026</v>
      </c>
      <c r="I110" s="28" t="str">
        <f ca="1">Master_List!$AW$4</f>
        <v>28.5</v>
      </c>
      <c r="J110" s="6" t="str">
        <f ca="1">Master_List!$AW$5</f>
        <v>65</v>
      </c>
      <c r="K110" s="6" t="s">
        <v>576</v>
      </c>
      <c r="L110" s="21" t="str">
        <f ca="1">IFERROR(VLOOKUP(B110, Master_List!$A:$I, 2, FALSE), "-")</f>
        <v/>
      </c>
      <c r="M110" s="22" t="str">
        <f ca="1">IFERROR(VLOOKUP(B110, Master_List!$A:$I, 3, FALSE), "-")</f>
        <v/>
      </c>
      <c r="N110" s="22" t="str">
        <f ca="1">IFERROR(VLOOKUP(B110, Master_List!$A:$I, 4, FALSE), "-")</f>
        <v/>
      </c>
      <c r="O110" s="22" t="str">
        <f ca="1">IFERROR(VLOOKUP(B110, Master_List!$A:$I, 5, FALSE), "-")</f>
        <v/>
      </c>
      <c r="P110" s="22" t="str">
        <f ca="1">IFERROR(VLOOKUP(B110, Master_List!$A:$I, 6, FALSE), "-")</f>
        <v/>
      </c>
      <c r="Q110" s="22" t="str">
        <f ca="1">IFERROR(VLOOKUP(B110, Master_List!$A:$I, 7, FALSE), "-")</f>
        <v/>
      </c>
      <c r="R110" s="22" t="str">
        <f ca="1">IFERROR(VLOOKUP(B110, Master_List!$A:$I, 8, FALSE), "-")</f>
        <v/>
      </c>
      <c r="S110" s="22" t="str">
        <f ca="1">IFERROR(VLOOKUP(B110, Master_List!$A:$I, 9, FALSE), "-")</f>
        <v/>
      </c>
      <c r="T110" s="20" t="str">
        <f ca="1">Master_List!$AW$6</f>
        <v>TOSHIBA</v>
      </c>
      <c r="U110" s="20" t="str">
        <f ca="1">Master_List!$AW$7</f>
        <v>MRMU</v>
      </c>
      <c r="V110" s="20" t="str">
        <f ca="1">Master_List!$AW$8</f>
        <v>12kV</v>
      </c>
      <c r="W110" s="20" t="str">
        <f ca="1">Master_List!$AW$9</f>
        <v>2S1F</v>
      </c>
      <c r="X110" s="20" t="str">
        <f ca="1">Master_List!$AW$10</f>
        <v>MTM</v>
      </c>
      <c r="Y110" s="20" t="str">
        <f ca="1">Master_List!$AW$11</f>
        <v>HERMETICALLY SEAL</v>
      </c>
      <c r="Z110" s="20" t="str">
        <f ca="1">Master_List!$AW$12</f>
        <v>750kVA</v>
      </c>
      <c r="AA110" s="20" t="str">
        <f ca="1">Master_List!$AW$13</f>
        <v>1317</v>
      </c>
      <c r="AB110" s="20">
        <f ca="1">Master_List!$AW$14</f>
        <v>0</v>
      </c>
      <c r="AC110" s="20">
        <f ca="1">Master_List!$AW$15</f>
        <v>0</v>
      </c>
      <c r="AD110" s="20">
        <f ca="1">Master_List!$AW$16</f>
        <v>0</v>
      </c>
      <c r="AE110" s="20">
        <f ca="1">Master_List!$AW$17</f>
        <v>0</v>
      </c>
      <c r="AF110" s="20" t="str">
        <f ca="1">Master_List!$AW$18</f>
        <v>INDKOM</v>
      </c>
      <c r="AG110" s="20" t="str">
        <f ca="1">Master_List!$AW$19</f>
        <v>J-SLOTTED</v>
      </c>
      <c r="AH110" s="20" t="str">
        <f ca="1">Master_List!$AW$20</f>
        <v>1600A</v>
      </c>
      <c r="AI110" s="20" t="str">
        <f ca="1">Master_List!$AW$21</f>
        <v>LV5080090</v>
      </c>
      <c r="AJ110" s="20" t="str">
        <f ca="1">Master_List!$AW$22</f>
        <v>LVDB TX1</v>
      </c>
      <c r="AK110" s="20">
        <f ca="1">Master_List!$AW$23</f>
        <v>0</v>
      </c>
      <c r="AL110" s="20">
        <f ca="1">Master_List!$AW$24</f>
        <v>0</v>
      </c>
      <c r="AM110" s="20">
        <f ca="1">Master_List!$AW$25</f>
        <v>0</v>
      </c>
      <c r="AN110" s="20">
        <f ca="1">Master_List!$AW$26</f>
        <v>0</v>
      </c>
      <c r="AO110" s="20" t="str">
        <f ca="1">Master_List!$AW$27</f>
        <v>LVDB TX2</v>
      </c>
      <c r="AP110" s="20" t="str">
        <f ca="1">Master_List!$AW$28</f>
        <v>SUNPOWER TECHNOLOGIES</v>
      </c>
      <c r="AQ110" s="20" t="str">
        <f ca="1">Master_List!$AW$29</f>
        <v>SPS 30-10 L</v>
      </c>
      <c r="AR110" s="20" t="str">
        <f ca="1">Master_List!$AW$30</f>
        <v>11193-8527</v>
      </c>
      <c r="AS110" s="20">
        <f ca="1">Master_List!$AW$31</f>
        <v>0</v>
      </c>
      <c r="AT110" s="20">
        <f ca="1">Master_List!$AW$32</f>
        <v>0</v>
      </c>
      <c r="AU110" s="20">
        <f ca="1">Master_List!$AW$33</f>
        <v>0</v>
      </c>
      <c r="AV110" s="20">
        <f ca="1">Master_List!$AW$34</f>
        <v>0</v>
      </c>
      <c r="AW110" s="20">
        <f ca="1">Master_List!$AW$35</f>
        <v>0</v>
      </c>
      <c r="AX110" s="20">
        <f ca="1">Master_List!$AW$36</f>
        <v>0</v>
      </c>
      <c r="AY110" s="20">
        <f ca="1">Master_List!$AW$37</f>
        <v>0</v>
      </c>
      <c r="AZ110" s="20">
        <f ca="1">Master_List!$AW$38</f>
        <v>0</v>
      </c>
      <c r="BA110" s="20">
        <f ca="1">Master_List!$AW$39</f>
        <v>0</v>
      </c>
      <c r="BB110" s="20" t="s">
        <v>2240</v>
      </c>
      <c r="BC110" s="20" t="s">
        <v>2241</v>
      </c>
      <c r="BD110" s="6" t="s">
        <v>1744</v>
      </c>
      <c r="BE110" s="6" t="s">
        <v>1805</v>
      </c>
      <c r="BF110" s="6" t="s">
        <v>1746</v>
      </c>
      <c r="BG110" s="6" t="str">
        <f t="shared" si="1"/>
        <v>C:\Users\aremi\Desktop\REPORT CBM\PO 42289580 - Pahang 11kV SECOND CYCLE AZZAD 2026\RAW MATERIAL\047. TNB BARU (IR+VI)\RAW DATA\IR</v>
      </c>
      <c r="BH110" s="24" t="s">
        <v>639</v>
      </c>
    </row>
    <row r="111" spans="1:60" ht="30" customHeight="1" x14ac:dyDescent="0.25">
      <c r="A111" s="6">
        <v>55</v>
      </c>
      <c r="B111" s="6" t="s">
        <v>1547</v>
      </c>
      <c r="C111" s="6">
        <v>1</v>
      </c>
      <c r="D111" s="6" t="s">
        <v>2242</v>
      </c>
      <c r="E111" s="6">
        <v>55</v>
      </c>
      <c r="F111" s="6" t="str">
        <f ca="1">Master_List!$AW$1</f>
        <v>PERPUSTAKAAN PUSAT</v>
      </c>
      <c r="G111" s="27" t="str">
        <f ca="1">Master_List!$AW$2</f>
        <v>09:30 PM</v>
      </c>
      <c r="H111" s="32" t="str">
        <f ca="1">Master_List!$AW$3</f>
        <v>20/07/2026</v>
      </c>
      <c r="I111" s="28" t="str">
        <f ca="1">Master_List!$AW$4</f>
        <v>28.5</v>
      </c>
      <c r="J111" s="6" t="str">
        <f ca="1">Master_List!$AW$5</f>
        <v>65</v>
      </c>
      <c r="K111" s="6" t="s">
        <v>576</v>
      </c>
      <c r="L111" s="21" t="str">
        <f ca="1">IFERROR(VLOOKUP(B111, Master_List!$A:$I, 2, FALSE), "-")</f>
        <v/>
      </c>
      <c r="M111" s="22" t="str">
        <f ca="1">IFERROR(VLOOKUP(B111, Master_List!$A:$I, 3, FALSE), "-")</f>
        <v/>
      </c>
      <c r="N111" s="22" t="str">
        <f ca="1">IFERROR(VLOOKUP(B111, Master_List!$A:$I, 4, FALSE), "-")</f>
        <v/>
      </c>
      <c r="O111" s="22" t="str">
        <f ca="1">IFERROR(VLOOKUP(B111, Master_List!$A:$I, 5, FALSE), "-")</f>
        <v/>
      </c>
      <c r="P111" s="22" t="str">
        <f ca="1">IFERROR(VLOOKUP(B111, Master_List!$A:$I, 6, FALSE), "-")</f>
        <v/>
      </c>
      <c r="Q111" s="22" t="str">
        <f ca="1">IFERROR(VLOOKUP(B111, Master_List!$A:$I, 7, FALSE), "-")</f>
        <v/>
      </c>
      <c r="R111" s="22" t="str">
        <f ca="1">IFERROR(VLOOKUP(B111, Master_List!$A:$I, 8, FALSE), "-")</f>
        <v/>
      </c>
      <c r="S111" s="22" t="str">
        <f ca="1">IFERROR(VLOOKUP(B111, Master_List!$A:$I, 9, FALSE), "-")</f>
        <v/>
      </c>
      <c r="T111" s="20" t="str">
        <f ca="1">Master_List!$AW$6</f>
        <v>TOSHIBA</v>
      </c>
      <c r="U111" s="20" t="str">
        <f ca="1">Master_List!$AW$7</f>
        <v>MRMU</v>
      </c>
      <c r="V111" s="20" t="str">
        <f ca="1">Master_List!$AW$8</f>
        <v>12kV</v>
      </c>
      <c r="W111" s="20" t="str">
        <f ca="1">Master_List!$AW$9</f>
        <v>2S1F</v>
      </c>
      <c r="X111" s="20" t="str">
        <f ca="1">Master_List!$AW$10</f>
        <v>MTM</v>
      </c>
      <c r="Y111" s="20" t="str">
        <f ca="1">Master_List!$AW$11</f>
        <v>HERMETICALLY SEAL</v>
      </c>
      <c r="Z111" s="20" t="str">
        <f ca="1">Master_List!$AW$12</f>
        <v>750kVA</v>
      </c>
      <c r="AA111" s="20" t="str">
        <f ca="1">Master_List!$AW$13</f>
        <v>1317</v>
      </c>
      <c r="AB111" s="20">
        <f ca="1">Master_List!$AW$14</f>
        <v>0</v>
      </c>
      <c r="AC111" s="20">
        <f ca="1">Master_List!$AW$15</f>
        <v>0</v>
      </c>
      <c r="AD111" s="20">
        <f ca="1">Master_List!$AW$16</f>
        <v>0</v>
      </c>
      <c r="AE111" s="20">
        <f ca="1">Master_List!$AW$17</f>
        <v>0</v>
      </c>
      <c r="AF111" s="20" t="str">
        <f ca="1">Master_List!$AW$18</f>
        <v>INDKOM</v>
      </c>
      <c r="AG111" s="20" t="str">
        <f ca="1">Master_List!$AW$19</f>
        <v>J-SLOTTED</v>
      </c>
      <c r="AH111" s="20" t="str">
        <f ca="1">Master_List!$AW$20</f>
        <v>1600A</v>
      </c>
      <c r="AI111" s="20" t="str">
        <f ca="1">Master_List!$AW$21</f>
        <v>LV5080090</v>
      </c>
      <c r="AJ111" s="20" t="str">
        <f ca="1">Master_List!$AW$22</f>
        <v>LVDB TX1</v>
      </c>
      <c r="AK111" s="20">
        <f ca="1">Master_List!$AW$23</f>
        <v>0</v>
      </c>
      <c r="AL111" s="20">
        <f ca="1">Master_List!$AW$24</f>
        <v>0</v>
      </c>
      <c r="AM111" s="20">
        <f ca="1">Master_List!$AW$25</f>
        <v>0</v>
      </c>
      <c r="AN111" s="20">
        <f ca="1">Master_List!$AW$26</f>
        <v>0</v>
      </c>
      <c r="AO111" s="20" t="str">
        <f ca="1">Master_List!$AW$27</f>
        <v>LVDB TX2</v>
      </c>
      <c r="AP111" s="20" t="str">
        <f ca="1">Master_List!$AW$28</f>
        <v>SUNPOWER TECHNOLOGIES</v>
      </c>
      <c r="AQ111" s="20" t="str">
        <f ca="1">Master_List!$AW$29</f>
        <v>SPS 30-10 L</v>
      </c>
      <c r="AR111" s="20" t="str">
        <f ca="1">Master_List!$AW$30</f>
        <v>11193-8527</v>
      </c>
      <c r="AS111" s="20">
        <f ca="1">Master_List!$AW$31</f>
        <v>0</v>
      </c>
      <c r="AT111" s="20">
        <f ca="1">Master_List!$AW$32</f>
        <v>0</v>
      </c>
      <c r="AU111" s="20">
        <f ca="1">Master_List!$AW$33</f>
        <v>0</v>
      </c>
      <c r="AV111" s="20">
        <f ca="1">Master_List!$AW$34</f>
        <v>0</v>
      </c>
      <c r="AW111" s="20">
        <f ca="1">Master_List!$AW$35</f>
        <v>0</v>
      </c>
      <c r="AX111" s="20">
        <f ca="1">Master_List!$AW$36</f>
        <v>0</v>
      </c>
      <c r="AY111" s="20">
        <f ca="1">Master_List!$AW$37</f>
        <v>0</v>
      </c>
      <c r="AZ111" s="20">
        <f ca="1">Master_List!$AW$38</f>
        <v>0</v>
      </c>
      <c r="BA111" s="20">
        <f ca="1">Master_List!$AW$39</f>
        <v>0</v>
      </c>
      <c r="BB111" s="20" t="s">
        <v>2240</v>
      </c>
      <c r="BC111" s="20" t="s">
        <v>2241</v>
      </c>
      <c r="BD111" s="6" t="s">
        <v>1744</v>
      </c>
      <c r="BE111" s="6" t="s">
        <v>1805</v>
      </c>
      <c r="BF111" s="6" t="s">
        <v>1748</v>
      </c>
      <c r="BG111" s="6" t="str">
        <f t="shared" si="1"/>
        <v>C:\Users\aremi\Desktop\REPORT CBM\PO 42289580 - Pahang 11kV SECOND CYCLE AZZAD 2026\RAW MATERIAL\047. TNB BARU (IR+VI)\RAW DATA\IR</v>
      </c>
      <c r="BH111" s="24" t="s">
        <v>640</v>
      </c>
    </row>
    <row r="112" spans="1:60" ht="30" customHeight="1" x14ac:dyDescent="0.25">
      <c r="A112" s="6">
        <v>56</v>
      </c>
      <c r="B112" s="6" t="s">
        <v>1547</v>
      </c>
      <c r="C112" s="6">
        <v>1</v>
      </c>
      <c r="D112" s="6" t="s">
        <v>2242</v>
      </c>
      <c r="E112" s="6">
        <v>56</v>
      </c>
      <c r="F112" s="6" t="str">
        <f ca="1">Master_List!$AW$1</f>
        <v>PERPUSTAKAAN PUSAT</v>
      </c>
      <c r="G112" s="27" t="str">
        <f ca="1">Master_List!$AW$2</f>
        <v>09:30 PM</v>
      </c>
      <c r="H112" s="32" t="str">
        <f ca="1">Master_List!$AW$3</f>
        <v>20/07/2026</v>
      </c>
      <c r="I112" s="28" t="str">
        <f ca="1">Master_List!$AW$4</f>
        <v>28.5</v>
      </c>
      <c r="J112" s="6" t="str">
        <f ca="1">Master_List!$AW$5</f>
        <v>65</v>
      </c>
      <c r="K112" s="6" t="s">
        <v>579</v>
      </c>
      <c r="L112" s="21" t="str">
        <f ca="1">IFERROR(VLOOKUP(B112, Master_List!$A:$I, 2, FALSE), "-")</f>
        <v/>
      </c>
      <c r="M112" s="22" t="str">
        <f ca="1">IFERROR(VLOOKUP(B112, Master_List!$A:$I, 3, FALSE), "-")</f>
        <v/>
      </c>
      <c r="N112" s="22" t="str">
        <f ca="1">IFERROR(VLOOKUP(B112, Master_List!$A:$I, 4, FALSE), "-")</f>
        <v/>
      </c>
      <c r="O112" s="22" t="str">
        <f ca="1">IFERROR(VLOOKUP(B112, Master_List!$A:$I, 5, FALSE), "-")</f>
        <v/>
      </c>
      <c r="P112" s="22" t="str">
        <f ca="1">IFERROR(VLOOKUP(B112, Master_List!$A:$I, 6, FALSE), "-")</f>
        <v/>
      </c>
      <c r="Q112" s="22" t="str">
        <f ca="1">IFERROR(VLOOKUP(B112, Master_List!$A:$I, 7, FALSE), "-")</f>
        <v/>
      </c>
      <c r="R112" s="22" t="str">
        <f ca="1">IFERROR(VLOOKUP(B112, Master_List!$A:$I, 8, FALSE), "-")</f>
        <v/>
      </c>
      <c r="S112" s="22" t="str">
        <f ca="1">IFERROR(VLOOKUP(B112, Master_List!$A:$I, 9, FALSE), "-")</f>
        <v/>
      </c>
      <c r="T112" s="20" t="str">
        <f ca="1">Master_List!$AW$6</f>
        <v>TOSHIBA</v>
      </c>
      <c r="U112" s="20" t="str">
        <f ca="1">Master_List!$AW$7</f>
        <v>MRMU</v>
      </c>
      <c r="V112" s="20" t="str">
        <f ca="1">Master_List!$AW$8</f>
        <v>12kV</v>
      </c>
      <c r="W112" s="20" t="str">
        <f ca="1">Master_List!$AW$9</f>
        <v>2S1F</v>
      </c>
      <c r="X112" s="20" t="str">
        <f ca="1">Master_List!$AW$10</f>
        <v>MTM</v>
      </c>
      <c r="Y112" s="20" t="str">
        <f ca="1">Master_List!$AW$11</f>
        <v>HERMETICALLY SEAL</v>
      </c>
      <c r="Z112" s="20" t="str">
        <f ca="1">Master_List!$AW$12</f>
        <v>750kVA</v>
      </c>
      <c r="AA112" s="20" t="str">
        <f ca="1">Master_List!$AW$13</f>
        <v>1317</v>
      </c>
      <c r="AB112" s="20">
        <f ca="1">Master_List!$AW$14</f>
        <v>0</v>
      </c>
      <c r="AC112" s="20">
        <f ca="1">Master_List!$AW$15</f>
        <v>0</v>
      </c>
      <c r="AD112" s="20">
        <f ca="1">Master_List!$AW$16</f>
        <v>0</v>
      </c>
      <c r="AE112" s="20">
        <f ca="1">Master_List!$AW$17</f>
        <v>0</v>
      </c>
      <c r="AF112" s="20" t="str">
        <f ca="1">Master_List!$AW$18</f>
        <v>INDKOM</v>
      </c>
      <c r="AG112" s="20" t="str">
        <f ca="1">Master_List!$AW$19</f>
        <v>J-SLOTTED</v>
      </c>
      <c r="AH112" s="20" t="str">
        <f ca="1">Master_List!$AW$20</f>
        <v>1600A</v>
      </c>
      <c r="AI112" s="20" t="str">
        <f ca="1">Master_List!$AW$21</f>
        <v>LV5080090</v>
      </c>
      <c r="AJ112" s="20" t="str">
        <f ca="1">Master_List!$AW$22</f>
        <v>LVDB TX1</v>
      </c>
      <c r="AK112" s="20">
        <f ca="1">Master_List!$AW$23</f>
        <v>0</v>
      </c>
      <c r="AL112" s="20">
        <f ca="1">Master_List!$AW$24</f>
        <v>0</v>
      </c>
      <c r="AM112" s="20">
        <f ca="1">Master_List!$AW$25</f>
        <v>0</v>
      </c>
      <c r="AN112" s="20">
        <f ca="1">Master_List!$AW$26</f>
        <v>0</v>
      </c>
      <c r="AO112" s="20" t="str">
        <f ca="1">Master_List!$AW$27</f>
        <v>LVDB TX2</v>
      </c>
      <c r="AP112" s="20" t="str">
        <f ca="1">Master_List!$AW$28</f>
        <v>SUNPOWER TECHNOLOGIES</v>
      </c>
      <c r="AQ112" s="20" t="str">
        <f ca="1">Master_List!$AW$29</f>
        <v>SPS 30-10 L</v>
      </c>
      <c r="AR112" s="20" t="str">
        <f ca="1">Master_List!$AW$30</f>
        <v>11193-8527</v>
      </c>
      <c r="AS112" s="20">
        <f ca="1">Master_List!$AW$31</f>
        <v>0</v>
      </c>
      <c r="AT112" s="20">
        <f ca="1">Master_List!$AW$32</f>
        <v>0</v>
      </c>
      <c r="AU112" s="20">
        <f ca="1">Master_List!$AW$33</f>
        <v>0</v>
      </c>
      <c r="AV112" s="20">
        <f ca="1">Master_List!$AW$34</f>
        <v>0</v>
      </c>
      <c r="AW112" s="20">
        <f ca="1">Master_List!$AW$35</f>
        <v>0</v>
      </c>
      <c r="AX112" s="20">
        <f ca="1">Master_List!$AW$36</f>
        <v>0</v>
      </c>
      <c r="AY112" s="20">
        <f ca="1">Master_List!$AW$37</f>
        <v>0</v>
      </c>
      <c r="AZ112" s="20">
        <f ca="1">Master_List!$AW$38</f>
        <v>0</v>
      </c>
      <c r="BA112" s="20">
        <f ca="1">Master_List!$AW$39</f>
        <v>0</v>
      </c>
      <c r="BB112" s="20" t="s">
        <v>2240</v>
      </c>
      <c r="BC112" s="20" t="s">
        <v>2241</v>
      </c>
      <c r="BD112" s="6" t="s">
        <v>1744</v>
      </c>
      <c r="BE112" s="6" t="s">
        <v>1806</v>
      </c>
      <c r="BF112" s="6" t="s">
        <v>1746</v>
      </c>
      <c r="BG112" s="6" t="str">
        <f t="shared" si="1"/>
        <v>C:\Users\aremi\Desktop\REPORT CBM\PO 42289580 - Pahang 11kV SECOND CYCLE AZZAD 2026\RAW MATERIAL\047. TNB BARU (IR+VI)\RAW DATA\IR</v>
      </c>
      <c r="BH112" s="24" t="s">
        <v>641</v>
      </c>
    </row>
    <row r="113" spans="1:60" ht="30" customHeight="1" x14ac:dyDescent="0.25">
      <c r="A113" s="6">
        <v>56</v>
      </c>
      <c r="B113" s="6" t="s">
        <v>1547</v>
      </c>
      <c r="C113" s="6">
        <v>1</v>
      </c>
      <c r="D113" s="6" t="s">
        <v>2242</v>
      </c>
      <c r="E113" s="6">
        <v>56</v>
      </c>
      <c r="F113" s="6" t="str">
        <f ca="1">Master_List!$AW$1</f>
        <v>PERPUSTAKAAN PUSAT</v>
      </c>
      <c r="G113" s="27" t="str">
        <f ca="1">Master_List!$AW$2</f>
        <v>09:30 PM</v>
      </c>
      <c r="H113" s="32" t="str">
        <f ca="1">Master_List!$AW$3</f>
        <v>20/07/2026</v>
      </c>
      <c r="I113" s="28" t="str">
        <f ca="1">Master_List!$AW$4</f>
        <v>28.5</v>
      </c>
      <c r="J113" s="6" t="str">
        <f ca="1">Master_List!$AW$5</f>
        <v>65</v>
      </c>
      <c r="K113" s="6" t="s">
        <v>579</v>
      </c>
      <c r="L113" s="21" t="str">
        <f ca="1">IFERROR(VLOOKUP(B113, Master_List!$A:$I, 2, FALSE), "-")</f>
        <v/>
      </c>
      <c r="M113" s="22" t="str">
        <f ca="1">IFERROR(VLOOKUP(B113, Master_List!$A:$I, 3, FALSE), "-")</f>
        <v/>
      </c>
      <c r="N113" s="22" t="str">
        <f ca="1">IFERROR(VLOOKUP(B113, Master_List!$A:$I, 4, FALSE), "-")</f>
        <v/>
      </c>
      <c r="O113" s="22" t="str">
        <f ca="1">IFERROR(VLOOKUP(B113, Master_List!$A:$I, 5, FALSE), "-")</f>
        <v/>
      </c>
      <c r="P113" s="22" t="str">
        <f ca="1">IFERROR(VLOOKUP(B113, Master_List!$A:$I, 6, FALSE), "-")</f>
        <v/>
      </c>
      <c r="Q113" s="22" t="str">
        <f ca="1">IFERROR(VLOOKUP(B113, Master_List!$A:$I, 7, FALSE), "-")</f>
        <v/>
      </c>
      <c r="R113" s="22" t="str">
        <f ca="1">IFERROR(VLOOKUP(B113, Master_List!$A:$I, 8, FALSE), "-")</f>
        <v/>
      </c>
      <c r="S113" s="22" t="str">
        <f ca="1">IFERROR(VLOOKUP(B113, Master_List!$A:$I, 9, FALSE), "-")</f>
        <v/>
      </c>
      <c r="T113" s="20" t="str">
        <f ca="1">Master_List!$AW$6</f>
        <v>TOSHIBA</v>
      </c>
      <c r="U113" s="20" t="str">
        <f ca="1">Master_List!$AW$7</f>
        <v>MRMU</v>
      </c>
      <c r="V113" s="20" t="str">
        <f ca="1">Master_List!$AW$8</f>
        <v>12kV</v>
      </c>
      <c r="W113" s="20" t="str">
        <f ca="1">Master_List!$AW$9</f>
        <v>2S1F</v>
      </c>
      <c r="X113" s="20" t="str">
        <f ca="1">Master_List!$AW$10</f>
        <v>MTM</v>
      </c>
      <c r="Y113" s="20" t="str">
        <f ca="1">Master_List!$AW$11</f>
        <v>HERMETICALLY SEAL</v>
      </c>
      <c r="Z113" s="20" t="str">
        <f ca="1">Master_List!$AW$12</f>
        <v>750kVA</v>
      </c>
      <c r="AA113" s="20" t="str">
        <f ca="1">Master_List!$AW$13</f>
        <v>1317</v>
      </c>
      <c r="AB113" s="20">
        <f ca="1">Master_List!$AW$14</f>
        <v>0</v>
      </c>
      <c r="AC113" s="20">
        <f ca="1">Master_List!$AW$15</f>
        <v>0</v>
      </c>
      <c r="AD113" s="20">
        <f ca="1">Master_List!$AW$16</f>
        <v>0</v>
      </c>
      <c r="AE113" s="20">
        <f ca="1">Master_List!$AW$17</f>
        <v>0</v>
      </c>
      <c r="AF113" s="20" t="str">
        <f ca="1">Master_List!$AW$18</f>
        <v>INDKOM</v>
      </c>
      <c r="AG113" s="20" t="str">
        <f ca="1">Master_List!$AW$19</f>
        <v>J-SLOTTED</v>
      </c>
      <c r="AH113" s="20" t="str">
        <f ca="1">Master_List!$AW$20</f>
        <v>1600A</v>
      </c>
      <c r="AI113" s="20" t="str">
        <f ca="1">Master_List!$AW$21</f>
        <v>LV5080090</v>
      </c>
      <c r="AJ113" s="20" t="str">
        <f ca="1">Master_List!$AW$22</f>
        <v>LVDB TX1</v>
      </c>
      <c r="AK113" s="20">
        <f ca="1">Master_List!$AW$23</f>
        <v>0</v>
      </c>
      <c r="AL113" s="20">
        <f ca="1">Master_List!$AW$24</f>
        <v>0</v>
      </c>
      <c r="AM113" s="20">
        <f ca="1">Master_List!$AW$25</f>
        <v>0</v>
      </c>
      <c r="AN113" s="20">
        <f ca="1">Master_List!$AW$26</f>
        <v>0</v>
      </c>
      <c r="AO113" s="20" t="str">
        <f ca="1">Master_List!$AW$27</f>
        <v>LVDB TX2</v>
      </c>
      <c r="AP113" s="20" t="str">
        <f ca="1">Master_List!$AW$28</f>
        <v>SUNPOWER TECHNOLOGIES</v>
      </c>
      <c r="AQ113" s="20" t="str">
        <f ca="1">Master_List!$AW$29</f>
        <v>SPS 30-10 L</v>
      </c>
      <c r="AR113" s="20" t="str">
        <f ca="1">Master_List!$AW$30</f>
        <v>11193-8527</v>
      </c>
      <c r="AS113" s="20">
        <f ca="1">Master_List!$AW$31</f>
        <v>0</v>
      </c>
      <c r="AT113" s="20">
        <f ca="1">Master_List!$AW$32</f>
        <v>0</v>
      </c>
      <c r="AU113" s="20">
        <f ca="1">Master_List!$AW$33</f>
        <v>0</v>
      </c>
      <c r="AV113" s="20">
        <f ca="1">Master_List!$AW$34</f>
        <v>0</v>
      </c>
      <c r="AW113" s="20">
        <f ca="1">Master_List!$AW$35</f>
        <v>0</v>
      </c>
      <c r="AX113" s="20">
        <f ca="1">Master_List!$AW$36</f>
        <v>0</v>
      </c>
      <c r="AY113" s="20">
        <f ca="1">Master_List!$AW$37</f>
        <v>0</v>
      </c>
      <c r="AZ113" s="20">
        <f ca="1">Master_List!$AW$38</f>
        <v>0</v>
      </c>
      <c r="BA113" s="20">
        <f ca="1">Master_List!$AW$39</f>
        <v>0</v>
      </c>
      <c r="BB113" s="20" t="s">
        <v>2240</v>
      </c>
      <c r="BC113" s="20" t="s">
        <v>2241</v>
      </c>
      <c r="BD113" s="6" t="s">
        <v>1744</v>
      </c>
      <c r="BE113" s="6" t="s">
        <v>1806</v>
      </c>
      <c r="BF113" s="6" t="s">
        <v>1748</v>
      </c>
      <c r="BG113" s="6" t="str">
        <f t="shared" si="1"/>
        <v>C:\Users\aremi\Desktop\REPORT CBM\PO 42289580 - Pahang 11kV SECOND CYCLE AZZAD 2026\RAW MATERIAL\047. TNB BARU (IR+VI)\RAW DATA\IR</v>
      </c>
      <c r="BH113" s="24" t="s">
        <v>642</v>
      </c>
    </row>
    <row r="114" spans="1:60" ht="30" customHeight="1" x14ac:dyDescent="0.25">
      <c r="A114" s="6">
        <v>57</v>
      </c>
      <c r="B114" s="6" t="s">
        <v>1547</v>
      </c>
      <c r="C114" s="6">
        <v>1</v>
      </c>
      <c r="D114" s="6" t="s">
        <v>2242</v>
      </c>
      <c r="E114" s="6">
        <v>57</v>
      </c>
      <c r="F114" s="6" t="str">
        <f ca="1">Master_List!$AW$1</f>
        <v>PERPUSTAKAAN PUSAT</v>
      </c>
      <c r="G114" s="27" t="str">
        <f ca="1">Master_List!$AW$2</f>
        <v>09:30 PM</v>
      </c>
      <c r="H114" s="32" t="str">
        <f ca="1">Master_List!$AW$3</f>
        <v>20/07/2026</v>
      </c>
      <c r="I114" s="28" t="str">
        <f ca="1">Master_List!$AW$4</f>
        <v>28.5</v>
      </c>
      <c r="J114" s="6" t="str">
        <f ca="1">Master_List!$AW$5</f>
        <v>65</v>
      </c>
      <c r="K114" s="6" t="s">
        <v>582</v>
      </c>
      <c r="L114" s="21" t="str">
        <f ca="1">IFERROR(VLOOKUP(B114, Master_List!$A:$I, 2, FALSE), "-")</f>
        <v/>
      </c>
      <c r="M114" s="22" t="str">
        <f ca="1">IFERROR(VLOOKUP(B114, Master_List!$A:$I, 3, FALSE), "-")</f>
        <v/>
      </c>
      <c r="N114" s="22" t="str">
        <f ca="1">IFERROR(VLOOKUP(B114, Master_List!$A:$I, 4, FALSE), "-")</f>
        <v/>
      </c>
      <c r="O114" s="22" t="str">
        <f ca="1">IFERROR(VLOOKUP(B114, Master_List!$A:$I, 5, FALSE), "-")</f>
        <v/>
      </c>
      <c r="P114" s="22" t="str">
        <f ca="1">IFERROR(VLOOKUP(B114, Master_List!$A:$I, 6, FALSE), "-")</f>
        <v/>
      </c>
      <c r="Q114" s="22" t="str">
        <f ca="1">IFERROR(VLOOKUP(B114, Master_List!$A:$I, 7, FALSE), "-")</f>
        <v/>
      </c>
      <c r="R114" s="22" t="str">
        <f ca="1">IFERROR(VLOOKUP(B114, Master_List!$A:$I, 8, FALSE), "-")</f>
        <v/>
      </c>
      <c r="S114" s="22" t="str">
        <f ca="1">IFERROR(VLOOKUP(B114, Master_List!$A:$I, 9, FALSE), "-")</f>
        <v/>
      </c>
      <c r="T114" s="20" t="str">
        <f ca="1">Master_List!$AW$6</f>
        <v>TOSHIBA</v>
      </c>
      <c r="U114" s="20" t="str">
        <f ca="1">Master_List!$AW$7</f>
        <v>MRMU</v>
      </c>
      <c r="V114" s="20" t="str">
        <f ca="1">Master_List!$AW$8</f>
        <v>12kV</v>
      </c>
      <c r="W114" s="20" t="str">
        <f ca="1">Master_List!$AW$9</f>
        <v>2S1F</v>
      </c>
      <c r="X114" s="20" t="str">
        <f ca="1">Master_List!$AW$10</f>
        <v>MTM</v>
      </c>
      <c r="Y114" s="20" t="str">
        <f ca="1">Master_List!$AW$11</f>
        <v>HERMETICALLY SEAL</v>
      </c>
      <c r="Z114" s="20" t="str">
        <f ca="1">Master_List!$AW$12</f>
        <v>750kVA</v>
      </c>
      <c r="AA114" s="20" t="str">
        <f ca="1">Master_List!$AW$13</f>
        <v>1317</v>
      </c>
      <c r="AB114" s="20">
        <f ca="1">Master_List!$AW$14</f>
        <v>0</v>
      </c>
      <c r="AC114" s="20">
        <f ca="1">Master_List!$AW$15</f>
        <v>0</v>
      </c>
      <c r="AD114" s="20">
        <f ca="1">Master_List!$AW$16</f>
        <v>0</v>
      </c>
      <c r="AE114" s="20">
        <f ca="1">Master_List!$AW$17</f>
        <v>0</v>
      </c>
      <c r="AF114" s="20" t="str">
        <f ca="1">Master_List!$AW$18</f>
        <v>INDKOM</v>
      </c>
      <c r="AG114" s="20" t="str">
        <f ca="1">Master_List!$AW$19</f>
        <v>J-SLOTTED</v>
      </c>
      <c r="AH114" s="20" t="str">
        <f ca="1">Master_List!$AW$20</f>
        <v>1600A</v>
      </c>
      <c r="AI114" s="20" t="str">
        <f ca="1">Master_List!$AW$21</f>
        <v>LV5080090</v>
      </c>
      <c r="AJ114" s="20" t="str">
        <f ca="1">Master_List!$AW$22</f>
        <v>LVDB TX1</v>
      </c>
      <c r="AK114" s="20">
        <f ca="1">Master_List!$AW$23</f>
        <v>0</v>
      </c>
      <c r="AL114" s="20">
        <f ca="1">Master_List!$AW$24</f>
        <v>0</v>
      </c>
      <c r="AM114" s="20">
        <f ca="1">Master_List!$AW$25</f>
        <v>0</v>
      </c>
      <c r="AN114" s="20">
        <f ca="1">Master_List!$AW$26</f>
        <v>0</v>
      </c>
      <c r="AO114" s="20" t="str">
        <f ca="1">Master_List!$AW$27</f>
        <v>LVDB TX2</v>
      </c>
      <c r="AP114" s="20" t="str">
        <f ca="1">Master_List!$AW$28</f>
        <v>SUNPOWER TECHNOLOGIES</v>
      </c>
      <c r="AQ114" s="20" t="str">
        <f ca="1">Master_List!$AW$29</f>
        <v>SPS 30-10 L</v>
      </c>
      <c r="AR114" s="20" t="str">
        <f ca="1">Master_List!$AW$30</f>
        <v>11193-8527</v>
      </c>
      <c r="AS114" s="20">
        <f ca="1">Master_List!$AW$31</f>
        <v>0</v>
      </c>
      <c r="AT114" s="20">
        <f ca="1">Master_List!$AW$32</f>
        <v>0</v>
      </c>
      <c r="AU114" s="20">
        <f ca="1">Master_List!$AW$33</f>
        <v>0</v>
      </c>
      <c r="AV114" s="20">
        <f ca="1">Master_List!$AW$34</f>
        <v>0</v>
      </c>
      <c r="AW114" s="20">
        <f ca="1">Master_List!$AW$35</f>
        <v>0</v>
      </c>
      <c r="AX114" s="20">
        <f ca="1">Master_List!$AW$36</f>
        <v>0</v>
      </c>
      <c r="AY114" s="20">
        <f ca="1">Master_List!$AW$37</f>
        <v>0</v>
      </c>
      <c r="AZ114" s="20">
        <f ca="1">Master_List!$AW$38</f>
        <v>0</v>
      </c>
      <c r="BA114" s="20">
        <f ca="1">Master_List!$AW$39</f>
        <v>0</v>
      </c>
      <c r="BB114" s="20" t="s">
        <v>2240</v>
      </c>
      <c r="BC114" s="20" t="s">
        <v>2241</v>
      </c>
      <c r="BD114" s="6" t="s">
        <v>1744</v>
      </c>
      <c r="BE114" s="6" t="s">
        <v>1807</v>
      </c>
      <c r="BF114" s="6" t="s">
        <v>1746</v>
      </c>
      <c r="BG114" s="6" t="str">
        <f t="shared" si="1"/>
        <v>C:\Users\aremi\Desktop\REPORT CBM\PO 42289580 - Pahang 11kV SECOND CYCLE AZZAD 2026\RAW MATERIAL\047. TNB BARU (IR+VI)\RAW DATA\IR</v>
      </c>
      <c r="BH114" s="24" t="s">
        <v>643</v>
      </c>
    </row>
    <row r="115" spans="1:60" ht="30" customHeight="1" x14ac:dyDescent="0.25">
      <c r="A115" s="6">
        <v>57</v>
      </c>
      <c r="B115" s="6" t="s">
        <v>1547</v>
      </c>
      <c r="C115" s="6">
        <v>1</v>
      </c>
      <c r="D115" s="6" t="s">
        <v>2242</v>
      </c>
      <c r="E115" s="6">
        <v>57</v>
      </c>
      <c r="F115" s="6" t="str">
        <f ca="1">Master_List!$AW$1</f>
        <v>PERPUSTAKAAN PUSAT</v>
      </c>
      <c r="G115" s="27" t="str">
        <f ca="1">Master_List!$AW$2</f>
        <v>09:30 PM</v>
      </c>
      <c r="H115" s="32" t="str">
        <f ca="1">Master_List!$AW$3</f>
        <v>20/07/2026</v>
      </c>
      <c r="I115" s="28" t="str">
        <f ca="1">Master_List!$AW$4</f>
        <v>28.5</v>
      </c>
      <c r="J115" s="6" t="str">
        <f ca="1">Master_List!$AW$5</f>
        <v>65</v>
      </c>
      <c r="K115" s="6" t="s">
        <v>582</v>
      </c>
      <c r="L115" s="21" t="str">
        <f ca="1">IFERROR(VLOOKUP(B115, Master_List!$A:$I, 2, FALSE), "-")</f>
        <v/>
      </c>
      <c r="M115" s="22" t="str">
        <f ca="1">IFERROR(VLOOKUP(B115, Master_List!$A:$I, 3, FALSE), "-")</f>
        <v/>
      </c>
      <c r="N115" s="22" t="str">
        <f ca="1">IFERROR(VLOOKUP(B115, Master_List!$A:$I, 4, FALSE), "-")</f>
        <v/>
      </c>
      <c r="O115" s="22" t="str">
        <f ca="1">IFERROR(VLOOKUP(B115, Master_List!$A:$I, 5, FALSE), "-")</f>
        <v/>
      </c>
      <c r="P115" s="22" t="str">
        <f ca="1">IFERROR(VLOOKUP(B115, Master_List!$A:$I, 6, FALSE), "-")</f>
        <v/>
      </c>
      <c r="Q115" s="22" t="str">
        <f ca="1">IFERROR(VLOOKUP(B115, Master_List!$A:$I, 7, FALSE), "-")</f>
        <v/>
      </c>
      <c r="R115" s="22" t="str">
        <f ca="1">IFERROR(VLOOKUP(B115, Master_List!$A:$I, 8, FALSE), "-")</f>
        <v/>
      </c>
      <c r="S115" s="22" t="str">
        <f ca="1">IFERROR(VLOOKUP(B115, Master_List!$A:$I, 9, FALSE), "-")</f>
        <v/>
      </c>
      <c r="T115" s="20" t="str">
        <f ca="1">Master_List!$AW$6</f>
        <v>TOSHIBA</v>
      </c>
      <c r="U115" s="20" t="str">
        <f ca="1">Master_List!$AW$7</f>
        <v>MRMU</v>
      </c>
      <c r="V115" s="20" t="str">
        <f ca="1">Master_List!$AW$8</f>
        <v>12kV</v>
      </c>
      <c r="W115" s="20" t="str">
        <f ca="1">Master_List!$AW$9</f>
        <v>2S1F</v>
      </c>
      <c r="X115" s="20" t="str">
        <f ca="1">Master_List!$AW$10</f>
        <v>MTM</v>
      </c>
      <c r="Y115" s="20" t="str">
        <f ca="1">Master_List!$AW$11</f>
        <v>HERMETICALLY SEAL</v>
      </c>
      <c r="Z115" s="20" t="str">
        <f ca="1">Master_List!$AW$12</f>
        <v>750kVA</v>
      </c>
      <c r="AA115" s="20" t="str">
        <f ca="1">Master_List!$AW$13</f>
        <v>1317</v>
      </c>
      <c r="AB115" s="20">
        <f ca="1">Master_List!$AW$14</f>
        <v>0</v>
      </c>
      <c r="AC115" s="20">
        <f ca="1">Master_List!$AW$15</f>
        <v>0</v>
      </c>
      <c r="AD115" s="20">
        <f ca="1">Master_List!$AW$16</f>
        <v>0</v>
      </c>
      <c r="AE115" s="20">
        <f ca="1">Master_List!$AW$17</f>
        <v>0</v>
      </c>
      <c r="AF115" s="20" t="str">
        <f ca="1">Master_List!$AW$18</f>
        <v>INDKOM</v>
      </c>
      <c r="AG115" s="20" t="str">
        <f ca="1">Master_List!$AW$19</f>
        <v>J-SLOTTED</v>
      </c>
      <c r="AH115" s="20" t="str">
        <f ca="1">Master_List!$AW$20</f>
        <v>1600A</v>
      </c>
      <c r="AI115" s="20" t="str">
        <f ca="1">Master_List!$AW$21</f>
        <v>LV5080090</v>
      </c>
      <c r="AJ115" s="20" t="str">
        <f ca="1">Master_List!$AW$22</f>
        <v>LVDB TX1</v>
      </c>
      <c r="AK115" s="20">
        <f ca="1">Master_List!$AW$23</f>
        <v>0</v>
      </c>
      <c r="AL115" s="20">
        <f ca="1">Master_List!$AW$24</f>
        <v>0</v>
      </c>
      <c r="AM115" s="20">
        <f ca="1">Master_List!$AW$25</f>
        <v>0</v>
      </c>
      <c r="AN115" s="20">
        <f ca="1">Master_List!$AW$26</f>
        <v>0</v>
      </c>
      <c r="AO115" s="20" t="str">
        <f ca="1">Master_List!$AW$27</f>
        <v>LVDB TX2</v>
      </c>
      <c r="AP115" s="20" t="str">
        <f ca="1">Master_List!$AW$28</f>
        <v>SUNPOWER TECHNOLOGIES</v>
      </c>
      <c r="AQ115" s="20" t="str">
        <f ca="1">Master_List!$AW$29</f>
        <v>SPS 30-10 L</v>
      </c>
      <c r="AR115" s="20" t="str">
        <f ca="1">Master_List!$AW$30</f>
        <v>11193-8527</v>
      </c>
      <c r="AS115" s="20">
        <f ca="1">Master_List!$AW$31</f>
        <v>0</v>
      </c>
      <c r="AT115" s="20">
        <f ca="1">Master_List!$AW$32</f>
        <v>0</v>
      </c>
      <c r="AU115" s="20">
        <f ca="1">Master_List!$AW$33</f>
        <v>0</v>
      </c>
      <c r="AV115" s="20">
        <f ca="1">Master_List!$AW$34</f>
        <v>0</v>
      </c>
      <c r="AW115" s="20">
        <f ca="1">Master_List!$AW$35</f>
        <v>0</v>
      </c>
      <c r="AX115" s="20">
        <f ca="1">Master_List!$AW$36</f>
        <v>0</v>
      </c>
      <c r="AY115" s="20">
        <f ca="1">Master_List!$AW$37</f>
        <v>0</v>
      </c>
      <c r="AZ115" s="20">
        <f ca="1">Master_List!$AW$38</f>
        <v>0</v>
      </c>
      <c r="BA115" s="20">
        <f ca="1">Master_List!$AW$39</f>
        <v>0</v>
      </c>
      <c r="BB115" s="20" t="s">
        <v>2240</v>
      </c>
      <c r="BC115" s="20" t="s">
        <v>2241</v>
      </c>
      <c r="BD115" s="6" t="s">
        <v>1744</v>
      </c>
      <c r="BE115" s="6" t="s">
        <v>1807</v>
      </c>
      <c r="BF115" s="6" t="s">
        <v>1748</v>
      </c>
      <c r="BG115" s="6" t="str">
        <f t="shared" si="1"/>
        <v>C:\Users\aremi\Desktop\REPORT CBM\PO 42289580 - Pahang 11kV SECOND CYCLE AZZAD 2026\RAW MATERIAL\047. TNB BARU (IR+VI)\RAW DATA\IR</v>
      </c>
      <c r="BH115" s="24" t="s">
        <v>644</v>
      </c>
    </row>
    <row r="116" spans="1:60" ht="30" customHeight="1" x14ac:dyDescent="0.25">
      <c r="A116" s="6">
        <v>58</v>
      </c>
      <c r="B116" s="6" t="s">
        <v>1547</v>
      </c>
      <c r="C116" s="6">
        <v>1</v>
      </c>
      <c r="D116" s="6" t="s">
        <v>2242</v>
      </c>
      <c r="E116" s="6">
        <v>58</v>
      </c>
      <c r="F116" s="6" t="str">
        <f ca="1">Master_List!$AW$1</f>
        <v>PERPUSTAKAAN PUSAT</v>
      </c>
      <c r="G116" s="27" t="str">
        <f ca="1">Master_List!$AW$2</f>
        <v>09:30 PM</v>
      </c>
      <c r="H116" s="32" t="str">
        <f ca="1">Master_List!$AW$3</f>
        <v>20/07/2026</v>
      </c>
      <c r="I116" s="28" t="str">
        <f ca="1">Master_List!$AW$4</f>
        <v>28.5</v>
      </c>
      <c r="J116" s="6" t="str">
        <f ca="1">Master_List!$AW$5</f>
        <v>65</v>
      </c>
      <c r="K116" s="6" t="s">
        <v>585</v>
      </c>
      <c r="L116" s="21" t="str">
        <f ca="1">IFERROR(VLOOKUP(B116, Master_List!$A:$I, 2, FALSE), "-")</f>
        <v/>
      </c>
      <c r="M116" s="22" t="str">
        <f ca="1">IFERROR(VLOOKUP(B116, Master_List!$A:$I, 3, FALSE), "-")</f>
        <v/>
      </c>
      <c r="N116" s="22" t="str">
        <f ca="1">IFERROR(VLOOKUP(B116, Master_List!$A:$I, 4, FALSE), "-")</f>
        <v/>
      </c>
      <c r="O116" s="22" t="str">
        <f ca="1">IFERROR(VLOOKUP(B116, Master_List!$A:$I, 5, FALSE), "-")</f>
        <v/>
      </c>
      <c r="P116" s="22" t="str">
        <f ca="1">IFERROR(VLOOKUP(B116, Master_List!$A:$I, 6, FALSE), "-")</f>
        <v/>
      </c>
      <c r="Q116" s="22" t="str">
        <f ca="1">IFERROR(VLOOKUP(B116, Master_List!$A:$I, 7, FALSE), "-")</f>
        <v/>
      </c>
      <c r="R116" s="22" t="str">
        <f ca="1">IFERROR(VLOOKUP(B116, Master_List!$A:$I, 8, FALSE), "-")</f>
        <v/>
      </c>
      <c r="S116" s="22" t="str">
        <f ca="1">IFERROR(VLOOKUP(B116, Master_List!$A:$I, 9, FALSE), "-")</f>
        <v/>
      </c>
      <c r="T116" s="20" t="str">
        <f ca="1">Master_List!$AW$6</f>
        <v>TOSHIBA</v>
      </c>
      <c r="U116" s="20" t="str">
        <f ca="1">Master_List!$AW$7</f>
        <v>MRMU</v>
      </c>
      <c r="V116" s="20" t="str">
        <f ca="1">Master_List!$AW$8</f>
        <v>12kV</v>
      </c>
      <c r="W116" s="20" t="str">
        <f ca="1">Master_List!$AW$9</f>
        <v>2S1F</v>
      </c>
      <c r="X116" s="20" t="str">
        <f ca="1">Master_List!$AW$10</f>
        <v>MTM</v>
      </c>
      <c r="Y116" s="20" t="str">
        <f ca="1">Master_List!$AW$11</f>
        <v>HERMETICALLY SEAL</v>
      </c>
      <c r="Z116" s="20" t="str">
        <f ca="1">Master_List!$AW$12</f>
        <v>750kVA</v>
      </c>
      <c r="AA116" s="20" t="str">
        <f ca="1">Master_List!$AW$13</f>
        <v>1317</v>
      </c>
      <c r="AB116" s="20">
        <f ca="1">Master_List!$AW$14</f>
        <v>0</v>
      </c>
      <c r="AC116" s="20">
        <f ca="1">Master_List!$AW$15</f>
        <v>0</v>
      </c>
      <c r="AD116" s="20">
        <f ca="1">Master_List!$AW$16</f>
        <v>0</v>
      </c>
      <c r="AE116" s="20">
        <f ca="1">Master_List!$AW$17</f>
        <v>0</v>
      </c>
      <c r="AF116" s="20" t="str">
        <f ca="1">Master_List!$AW$18</f>
        <v>INDKOM</v>
      </c>
      <c r="AG116" s="20" t="str">
        <f ca="1">Master_List!$AW$19</f>
        <v>J-SLOTTED</v>
      </c>
      <c r="AH116" s="20" t="str">
        <f ca="1">Master_List!$AW$20</f>
        <v>1600A</v>
      </c>
      <c r="AI116" s="20" t="str">
        <f ca="1">Master_List!$AW$21</f>
        <v>LV5080090</v>
      </c>
      <c r="AJ116" s="20" t="str">
        <f ca="1">Master_List!$AW$22</f>
        <v>LVDB TX1</v>
      </c>
      <c r="AK116" s="20">
        <f ca="1">Master_List!$AW$23</f>
        <v>0</v>
      </c>
      <c r="AL116" s="20">
        <f ca="1">Master_List!$AW$24</f>
        <v>0</v>
      </c>
      <c r="AM116" s="20">
        <f ca="1">Master_List!$AW$25</f>
        <v>0</v>
      </c>
      <c r="AN116" s="20">
        <f ca="1">Master_List!$AW$26</f>
        <v>0</v>
      </c>
      <c r="AO116" s="20" t="str">
        <f ca="1">Master_List!$AW$27</f>
        <v>LVDB TX2</v>
      </c>
      <c r="AP116" s="20" t="str">
        <f ca="1">Master_List!$AW$28</f>
        <v>SUNPOWER TECHNOLOGIES</v>
      </c>
      <c r="AQ116" s="20" t="str">
        <f ca="1">Master_List!$AW$29</f>
        <v>SPS 30-10 L</v>
      </c>
      <c r="AR116" s="20" t="str">
        <f ca="1">Master_List!$AW$30</f>
        <v>11193-8527</v>
      </c>
      <c r="AS116" s="20">
        <f ca="1">Master_List!$AW$31</f>
        <v>0</v>
      </c>
      <c r="AT116" s="20">
        <f ca="1">Master_List!$AW$32</f>
        <v>0</v>
      </c>
      <c r="AU116" s="20">
        <f ca="1">Master_List!$AW$33</f>
        <v>0</v>
      </c>
      <c r="AV116" s="20">
        <f ca="1">Master_List!$AW$34</f>
        <v>0</v>
      </c>
      <c r="AW116" s="20">
        <f ca="1">Master_List!$AW$35</f>
        <v>0</v>
      </c>
      <c r="AX116" s="20">
        <f ca="1">Master_List!$AW$36</f>
        <v>0</v>
      </c>
      <c r="AY116" s="20">
        <f ca="1">Master_List!$AW$37</f>
        <v>0</v>
      </c>
      <c r="AZ116" s="20">
        <f ca="1">Master_List!$AW$38</f>
        <v>0</v>
      </c>
      <c r="BA116" s="20">
        <f ca="1">Master_List!$AW$39</f>
        <v>0</v>
      </c>
      <c r="BB116" s="20" t="s">
        <v>2240</v>
      </c>
      <c r="BC116" s="20" t="s">
        <v>2241</v>
      </c>
      <c r="BD116" s="6" t="s">
        <v>1744</v>
      </c>
      <c r="BE116" s="6" t="s">
        <v>1808</v>
      </c>
      <c r="BF116" s="6" t="s">
        <v>1746</v>
      </c>
      <c r="BG116" s="6" t="str">
        <f t="shared" si="1"/>
        <v>C:\Users\aremi\Desktop\REPORT CBM\PO 42289580 - Pahang 11kV SECOND CYCLE AZZAD 2026\RAW MATERIAL\047. TNB BARU (IR+VI)\RAW DATA\IR</v>
      </c>
      <c r="BH116" s="24" t="s">
        <v>646</v>
      </c>
    </row>
    <row r="117" spans="1:60" ht="30" customHeight="1" x14ac:dyDescent="0.25">
      <c r="A117" s="6">
        <v>58</v>
      </c>
      <c r="B117" s="6" t="s">
        <v>1547</v>
      </c>
      <c r="C117" s="6">
        <v>1</v>
      </c>
      <c r="D117" s="6" t="s">
        <v>2242</v>
      </c>
      <c r="E117" s="6">
        <v>58</v>
      </c>
      <c r="F117" s="6" t="str">
        <f ca="1">Master_List!$AW$1</f>
        <v>PERPUSTAKAAN PUSAT</v>
      </c>
      <c r="G117" s="27" t="str">
        <f ca="1">Master_List!$AW$2</f>
        <v>09:30 PM</v>
      </c>
      <c r="H117" s="32" t="str">
        <f ca="1">Master_List!$AW$3</f>
        <v>20/07/2026</v>
      </c>
      <c r="I117" s="28" t="str">
        <f ca="1">Master_List!$AW$4</f>
        <v>28.5</v>
      </c>
      <c r="J117" s="6" t="str">
        <f ca="1">Master_List!$AW$5</f>
        <v>65</v>
      </c>
      <c r="K117" s="6" t="s">
        <v>585</v>
      </c>
      <c r="L117" s="21" t="str">
        <f ca="1">IFERROR(VLOOKUP(B117, Master_List!$A:$I, 2, FALSE), "-")</f>
        <v/>
      </c>
      <c r="M117" s="22" t="str">
        <f ca="1">IFERROR(VLOOKUP(B117, Master_List!$A:$I, 3, FALSE), "-")</f>
        <v/>
      </c>
      <c r="N117" s="22" t="str">
        <f ca="1">IFERROR(VLOOKUP(B117, Master_List!$A:$I, 4, FALSE), "-")</f>
        <v/>
      </c>
      <c r="O117" s="22" t="str">
        <f ca="1">IFERROR(VLOOKUP(B117, Master_List!$A:$I, 5, FALSE), "-")</f>
        <v/>
      </c>
      <c r="P117" s="22" t="str">
        <f ca="1">IFERROR(VLOOKUP(B117, Master_List!$A:$I, 6, FALSE), "-")</f>
        <v/>
      </c>
      <c r="Q117" s="22" t="str">
        <f ca="1">IFERROR(VLOOKUP(B117, Master_List!$A:$I, 7, FALSE), "-")</f>
        <v/>
      </c>
      <c r="R117" s="22" t="str">
        <f ca="1">IFERROR(VLOOKUP(B117, Master_List!$A:$I, 8, FALSE), "-")</f>
        <v/>
      </c>
      <c r="S117" s="22" t="str">
        <f ca="1">IFERROR(VLOOKUP(B117, Master_List!$A:$I, 9, FALSE), "-")</f>
        <v/>
      </c>
      <c r="T117" s="20" t="str">
        <f ca="1">Master_List!$AW$6</f>
        <v>TOSHIBA</v>
      </c>
      <c r="U117" s="20" t="str">
        <f ca="1">Master_List!$AW$7</f>
        <v>MRMU</v>
      </c>
      <c r="V117" s="20" t="str">
        <f ca="1">Master_List!$AW$8</f>
        <v>12kV</v>
      </c>
      <c r="W117" s="20" t="str">
        <f ca="1">Master_List!$AW$9</f>
        <v>2S1F</v>
      </c>
      <c r="X117" s="20" t="str">
        <f ca="1">Master_List!$AW$10</f>
        <v>MTM</v>
      </c>
      <c r="Y117" s="20" t="str">
        <f ca="1">Master_List!$AW$11</f>
        <v>HERMETICALLY SEAL</v>
      </c>
      <c r="Z117" s="20" t="str">
        <f ca="1">Master_List!$AW$12</f>
        <v>750kVA</v>
      </c>
      <c r="AA117" s="20" t="str">
        <f ca="1">Master_List!$AW$13</f>
        <v>1317</v>
      </c>
      <c r="AB117" s="20">
        <f ca="1">Master_List!$AW$14</f>
        <v>0</v>
      </c>
      <c r="AC117" s="20">
        <f ca="1">Master_List!$AW$15</f>
        <v>0</v>
      </c>
      <c r="AD117" s="20">
        <f ca="1">Master_List!$AW$16</f>
        <v>0</v>
      </c>
      <c r="AE117" s="20">
        <f ca="1">Master_List!$AW$17</f>
        <v>0</v>
      </c>
      <c r="AF117" s="20" t="str">
        <f ca="1">Master_List!$AW$18</f>
        <v>INDKOM</v>
      </c>
      <c r="AG117" s="20" t="str">
        <f ca="1">Master_List!$AW$19</f>
        <v>J-SLOTTED</v>
      </c>
      <c r="AH117" s="20" t="str">
        <f ca="1">Master_List!$AW$20</f>
        <v>1600A</v>
      </c>
      <c r="AI117" s="20" t="str">
        <f ca="1">Master_List!$AW$21</f>
        <v>LV5080090</v>
      </c>
      <c r="AJ117" s="20" t="str">
        <f ca="1">Master_List!$AW$22</f>
        <v>LVDB TX1</v>
      </c>
      <c r="AK117" s="20">
        <f ca="1">Master_List!$AW$23</f>
        <v>0</v>
      </c>
      <c r="AL117" s="20">
        <f ca="1">Master_List!$AW$24</f>
        <v>0</v>
      </c>
      <c r="AM117" s="20">
        <f ca="1">Master_List!$AW$25</f>
        <v>0</v>
      </c>
      <c r="AN117" s="20">
        <f ca="1">Master_List!$AW$26</f>
        <v>0</v>
      </c>
      <c r="AO117" s="20" t="str">
        <f ca="1">Master_List!$AW$27</f>
        <v>LVDB TX2</v>
      </c>
      <c r="AP117" s="20" t="str">
        <f ca="1">Master_List!$AW$28</f>
        <v>SUNPOWER TECHNOLOGIES</v>
      </c>
      <c r="AQ117" s="20" t="str">
        <f ca="1">Master_List!$AW$29</f>
        <v>SPS 30-10 L</v>
      </c>
      <c r="AR117" s="20" t="str">
        <f ca="1">Master_List!$AW$30</f>
        <v>11193-8527</v>
      </c>
      <c r="AS117" s="20">
        <f ca="1">Master_List!$AW$31</f>
        <v>0</v>
      </c>
      <c r="AT117" s="20">
        <f ca="1">Master_List!$AW$32</f>
        <v>0</v>
      </c>
      <c r="AU117" s="20">
        <f ca="1">Master_List!$AW$33</f>
        <v>0</v>
      </c>
      <c r="AV117" s="20">
        <f ca="1">Master_List!$AW$34</f>
        <v>0</v>
      </c>
      <c r="AW117" s="20">
        <f ca="1">Master_List!$AW$35</f>
        <v>0</v>
      </c>
      <c r="AX117" s="20">
        <f ca="1">Master_List!$AW$36</f>
        <v>0</v>
      </c>
      <c r="AY117" s="20">
        <f ca="1">Master_List!$AW$37</f>
        <v>0</v>
      </c>
      <c r="AZ117" s="20">
        <f ca="1">Master_List!$AW$38</f>
        <v>0</v>
      </c>
      <c r="BA117" s="20">
        <f ca="1">Master_List!$AW$39</f>
        <v>0</v>
      </c>
      <c r="BB117" s="20" t="s">
        <v>2240</v>
      </c>
      <c r="BC117" s="20" t="s">
        <v>2241</v>
      </c>
      <c r="BD117" s="6" t="s">
        <v>1744</v>
      </c>
      <c r="BE117" s="6" t="s">
        <v>1808</v>
      </c>
      <c r="BF117" s="6" t="s">
        <v>1748</v>
      </c>
      <c r="BG117" s="6" t="str">
        <f t="shared" si="1"/>
        <v>C:\Users\aremi\Desktop\REPORT CBM\PO 42289580 - Pahang 11kV SECOND CYCLE AZZAD 2026\RAW MATERIAL\047. TNB BARU (IR+VI)\RAW DATA\IR</v>
      </c>
      <c r="BH117" s="24" t="s">
        <v>647</v>
      </c>
    </row>
    <row r="118" spans="1:60" ht="30" customHeight="1" x14ac:dyDescent="0.25">
      <c r="A118" s="6">
        <v>59</v>
      </c>
      <c r="B118" s="6" t="s">
        <v>1547</v>
      </c>
      <c r="C118" s="6">
        <v>1</v>
      </c>
      <c r="D118" s="6" t="s">
        <v>2243</v>
      </c>
      <c r="E118" s="6">
        <v>59</v>
      </c>
      <c r="F118" s="6" t="str">
        <f ca="1">Master_List!$AW$1</f>
        <v>PERPUSTAKAAN PUSAT</v>
      </c>
      <c r="G118" s="27" t="str">
        <f ca="1">Master_List!$AW$2</f>
        <v>09:30 PM</v>
      </c>
      <c r="H118" s="32" t="str">
        <f ca="1">Master_List!$AW$3</f>
        <v>20/07/2026</v>
      </c>
      <c r="I118" s="28" t="str">
        <f ca="1">Master_List!$AW$4</f>
        <v>28.5</v>
      </c>
      <c r="J118" s="6" t="str">
        <f ca="1">Master_List!$AW$5</f>
        <v>65</v>
      </c>
      <c r="K118" s="6" t="s">
        <v>588</v>
      </c>
      <c r="L118" s="21" t="str">
        <f ca="1">IFERROR(VLOOKUP(B118, Master_List!$A:$I, 2, FALSE), "-")</f>
        <v/>
      </c>
      <c r="M118" s="22" t="str">
        <f ca="1">IFERROR(VLOOKUP(B118, Master_List!$A:$I, 3, FALSE), "-")</f>
        <v/>
      </c>
      <c r="N118" s="22" t="str">
        <f ca="1">IFERROR(VLOOKUP(B118, Master_List!$A:$I, 4, FALSE), "-")</f>
        <v/>
      </c>
      <c r="O118" s="22" t="str">
        <f ca="1">IFERROR(VLOOKUP(B118, Master_List!$A:$I, 5, FALSE), "-")</f>
        <v/>
      </c>
      <c r="P118" s="22" t="str">
        <f ca="1">IFERROR(VLOOKUP(B118, Master_List!$A:$I, 6, FALSE), "-")</f>
        <v/>
      </c>
      <c r="Q118" s="22" t="str">
        <f ca="1">IFERROR(VLOOKUP(B118, Master_List!$A:$I, 7, FALSE), "-")</f>
        <v/>
      </c>
      <c r="R118" s="22" t="str">
        <f ca="1">IFERROR(VLOOKUP(B118, Master_List!$A:$I, 8, FALSE), "-")</f>
        <v/>
      </c>
      <c r="S118" s="22" t="str">
        <f ca="1">IFERROR(VLOOKUP(B118, Master_List!$A:$I, 9, FALSE), "-")</f>
        <v/>
      </c>
      <c r="T118" s="20" t="str">
        <f ca="1">Master_List!$AW$6</f>
        <v>TOSHIBA</v>
      </c>
      <c r="U118" s="20" t="str">
        <f ca="1">Master_List!$AW$7</f>
        <v>MRMU</v>
      </c>
      <c r="V118" s="20" t="str">
        <f ca="1">Master_List!$AW$8</f>
        <v>12kV</v>
      </c>
      <c r="W118" s="20" t="str">
        <f ca="1">Master_List!$AW$9</f>
        <v>2S1F</v>
      </c>
      <c r="X118" s="20" t="str">
        <f ca="1">Master_List!$AW$10</f>
        <v>MTM</v>
      </c>
      <c r="Y118" s="20" t="str">
        <f ca="1">Master_List!$AW$11</f>
        <v>HERMETICALLY SEAL</v>
      </c>
      <c r="Z118" s="20" t="str">
        <f ca="1">Master_List!$AW$12</f>
        <v>750kVA</v>
      </c>
      <c r="AA118" s="20" t="str">
        <f ca="1">Master_List!$AW$13</f>
        <v>1317</v>
      </c>
      <c r="AB118" s="20">
        <f ca="1">Master_List!$AW$14</f>
        <v>0</v>
      </c>
      <c r="AC118" s="20">
        <f ca="1">Master_List!$AW$15</f>
        <v>0</v>
      </c>
      <c r="AD118" s="20">
        <f ca="1">Master_List!$AW$16</f>
        <v>0</v>
      </c>
      <c r="AE118" s="20">
        <f ca="1">Master_List!$AW$17</f>
        <v>0</v>
      </c>
      <c r="AF118" s="20" t="str">
        <f ca="1">Master_List!$AW$18</f>
        <v>INDKOM</v>
      </c>
      <c r="AG118" s="20" t="str">
        <f ca="1">Master_List!$AW$19</f>
        <v>J-SLOTTED</v>
      </c>
      <c r="AH118" s="20" t="str">
        <f ca="1">Master_List!$AW$20</f>
        <v>1600A</v>
      </c>
      <c r="AI118" s="20" t="str">
        <f ca="1">Master_List!$AW$21</f>
        <v>LV5080090</v>
      </c>
      <c r="AJ118" s="20" t="str">
        <f ca="1">Master_List!$AW$22</f>
        <v>LVDB TX1</v>
      </c>
      <c r="AK118" s="20">
        <f ca="1">Master_List!$AW$23</f>
        <v>0</v>
      </c>
      <c r="AL118" s="20">
        <f ca="1">Master_List!$AW$24</f>
        <v>0</v>
      </c>
      <c r="AM118" s="20">
        <f ca="1">Master_List!$AW$25</f>
        <v>0</v>
      </c>
      <c r="AN118" s="20">
        <f ca="1">Master_List!$AW$26</f>
        <v>0</v>
      </c>
      <c r="AO118" s="20" t="str">
        <f ca="1">Master_List!$AW$27</f>
        <v>LVDB TX2</v>
      </c>
      <c r="AP118" s="20" t="str">
        <f ca="1">Master_List!$AW$28</f>
        <v>SUNPOWER TECHNOLOGIES</v>
      </c>
      <c r="AQ118" s="20" t="str">
        <f ca="1">Master_List!$AW$29</f>
        <v>SPS 30-10 L</v>
      </c>
      <c r="AR118" s="20" t="str">
        <f ca="1">Master_List!$AW$30</f>
        <v>11193-8527</v>
      </c>
      <c r="AS118" s="20">
        <f ca="1">Master_List!$AW$31</f>
        <v>0</v>
      </c>
      <c r="AT118" s="20">
        <f ca="1">Master_List!$AW$32</f>
        <v>0</v>
      </c>
      <c r="AU118" s="20">
        <f ca="1">Master_List!$AW$33</f>
        <v>0</v>
      </c>
      <c r="AV118" s="20">
        <f ca="1">Master_List!$AW$34</f>
        <v>0</v>
      </c>
      <c r="AW118" s="20">
        <f ca="1">Master_List!$AW$35</f>
        <v>0</v>
      </c>
      <c r="AX118" s="20">
        <f ca="1">Master_List!$AW$36</f>
        <v>0</v>
      </c>
      <c r="AY118" s="20">
        <f ca="1">Master_List!$AW$37</f>
        <v>0</v>
      </c>
      <c r="AZ118" s="20">
        <f ca="1">Master_List!$AW$38</f>
        <v>0</v>
      </c>
      <c r="BA118" s="20">
        <f ca="1">Master_List!$AW$39</f>
        <v>0</v>
      </c>
      <c r="BB118" s="20" t="s">
        <v>2240</v>
      </c>
      <c r="BC118" s="20" t="s">
        <v>2241</v>
      </c>
      <c r="BD118" s="6" t="s">
        <v>1744</v>
      </c>
      <c r="BE118" s="6" t="s">
        <v>1809</v>
      </c>
      <c r="BF118" s="6" t="s">
        <v>1746</v>
      </c>
      <c r="BG118" s="6" t="str">
        <f t="shared" si="1"/>
        <v>C:\Users\aremi\Desktop\REPORT CBM\PO 42289580 - Pahang 11kV SECOND CYCLE AZZAD 2026\RAW MATERIAL\047. TNB BARU (IR+VI)\RAW DATA\IR</v>
      </c>
      <c r="BH118" s="24" t="s">
        <v>648</v>
      </c>
    </row>
    <row r="119" spans="1:60" ht="30" customHeight="1" x14ac:dyDescent="0.25">
      <c r="A119" s="6">
        <v>59</v>
      </c>
      <c r="B119" s="6" t="s">
        <v>1547</v>
      </c>
      <c r="C119" s="6">
        <v>1</v>
      </c>
      <c r="D119" s="6" t="s">
        <v>2243</v>
      </c>
      <c r="E119" s="6">
        <v>59</v>
      </c>
      <c r="F119" s="6" t="str">
        <f ca="1">Master_List!$AW$1</f>
        <v>PERPUSTAKAAN PUSAT</v>
      </c>
      <c r="G119" s="27" t="str">
        <f ca="1">Master_List!$AW$2</f>
        <v>09:30 PM</v>
      </c>
      <c r="H119" s="32" t="str">
        <f ca="1">Master_List!$AW$3</f>
        <v>20/07/2026</v>
      </c>
      <c r="I119" s="28" t="str">
        <f ca="1">Master_List!$AW$4</f>
        <v>28.5</v>
      </c>
      <c r="J119" s="6" t="str">
        <f ca="1">Master_List!$AW$5</f>
        <v>65</v>
      </c>
      <c r="K119" s="6" t="s">
        <v>588</v>
      </c>
      <c r="L119" s="21" t="str">
        <f ca="1">IFERROR(VLOOKUP(B119, Master_List!$A:$I, 2, FALSE), "-")</f>
        <v/>
      </c>
      <c r="M119" s="22" t="str">
        <f ca="1">IFERROR(VLOOKUP(B119, Master_List!$A:$I, 3, FALSE), "-")</f>
        <v/>
      </c>
      <c r="N119" s="22" t="str">
        <f ca="1">IFERROR(VLOOKUP(B119, Master_List!$A:$I, 4, FALSE), "-")</f>
        <v/>
      </c>
      <c r="O119" s="22" t="str">
        <f ca="1">IFERROR(VLOOKUP(B119, Master_List!$A:$I, 5, FALSE), "-")</f>
        <v/>
      </c>
      <c r="P119" s="22" t="str">
        <f ca="1">IFERROR(VLOOKUP(B119, Master_List!$A:$I, 6, FALSE), "-")</f>
        <v/>
      </c>
      <c r="Q119" s="22" t="str">
        <f ca="1">IFERROR(VLOOKUP(B119, Master_List!$A:$I, 7, FALSE), "-")</f>
        <v/>
      </c>
      <c r="R119" s="22" t="str">
        <f ca="1">IFERROR(VLOOKUP(B119, Master_List!$A:$I, 8, FALSE), "-")</f>
        <v/>
      </c>
      <c r="S119" s="22" t="str">
        <f ca="1">IFERROR(VLOOKUP(B119, Master_List!$A:$I, 9, FALSE), "-")</f>
        <v/>
      </c>
      <c r="T119" s="20" t="str">
        <f ca="1">Master_List!$AW$6</f>
        <v>TOSHIBA</v>
      </c>
      <c r="U119" s="20" t="str">
        <f ca="1">Master_List!$AW$7</f>
        <v>MRMU</v>
      </c>
      <c r="V119" s="20" t="str">
        <f ca="1">Master_List!$AW$8</f>
        <v>12kV</v>
      </c>
      <c r="W119" s="20" t="str">
        <f ca="1">Master_List!$AW$9</f>
        <v>2S1F</v>
      </c>
      <c r="X119" s="20" t="str">
        <f ca="1">Master_List!$AW$10</f>
        <v>MTM</v>
      </c>
      <c r="Y119" s="20" t="str">
        <f ca="1">Master_List!$AW$11</f>
        <v>HERMETICALLY SEAL</v>
      </c>
      <c r="Z119" s="20" t="str">
        <f ca="1">Master_List!$AW$12</f>
        <v>750kVA</v>
      </c>
      <c r="AA119" s="20" t="str">
        <f ca="1">Master_List!$AW$13</f>
        <v>1317</v>
      </c>
      <c r="AB119" s="20">
        <f ca="1">Master_List!$AW$14</f>
        <v>0</v>
      </c>
      <c r="AC119" s="20">
        <f ca="1">Master_List!$AW$15</f>
        <v>0</v>
      </c>
      <c r="AD119" s="20">
        <f ca="1">Master_List!$AW$16</f>
        <v>0</v>
      </c>
      <c r="AE119" s="20">
        <f ca="1">Master_List!$AW$17</f>
        <v>0</v>
      </c>
      <c r="AF119" s="20" t="str">
        <f ca="1">Master_List!$AW$18</f>
        <v>INDKOM</v>
      </c>
      <c r="AG119" s="20" t="str">
        <f ca="1">Master_List!$AW$19</f>
        <v>J-SLOTTED</v>
      </c>
      <c r="AH119" s="20" t="str">
        <f ca="1">Master_List!$AW$20</f>
        <v>1600A</v>
      </c>
      <c r="AI119" s="20" t="str">
        <f ca="1">Master_List!$AW$21</f>
        <v>LV5080090</v>
      </c>
      <c r="AJ119" s="20" t="str">
        <f ca="1">Master_List!$AW$22</f>
        <v>LVDB TX1</v>
      </c>
      <c r="AK119" s="20">
        <f ca="1">Master_List!$AW$23</f>
        <v>0</v>
      </c>
      <c r="AL119" s="20">
        <f ca="1">Master_List!$AW$24</f>
        <v>0</v>
      </c>
      <c r="AM119" s="20">
        <f ca="1">Master_List!$AW$25</f>
        <v>0</v>
      </c>
      <c r="AN119" s="20">
        <f ca="1">Master_List!$AW$26</f>
        <v>0</v>
      </c>
      <c r="AO119" s="20" t="str">
        <f ca="1">Master_List!$AW$27</f>
        <v>LVDB TX2</v>
      </c>
      <c r="AP119" s="20" t="str">
        <f ca="1">Master_List!$AW$28</f>
        <v>SUNPOWER TECHNOLOGIES</v>
      </c>
      <c r="AQ119" s="20" t="str">
        <f ca="1">Master_List!$AW$29</f>
        <v>SPS 30-10 L</v>
      </c>
      <c r="AR119" s="20" t="str">
        <f ca="1">Master_List!$AW$30</f>
        <v>11193-8527</v>
      </c>
      <c r="AS119" s="20">
        <f ca="1">Master_List!$AW$31</f>
        <v>0</v>
      </c>
      <c r="AT119" s="20">
        <f ca="1">Master_List!$AW$32</f>
        <v>0</v>
      </c>
      <c r="AU119" s="20">
        <f ca="1">Master_List!$AW$33</f>
        <v>0</v>
      </c>
      <c r="AV119" s="20">
        <f ca="1">Master_List!$AW$34</f>
        <v>0</v>
      </c>
      <c r="AW119" s="20">
        <f ca="1">Master_List!$AW$35</f>
        <v>0</v>
      </c>
      <c r="AX119" s="20">
        <f ca="1">Master_List!$AW$36</f>
        <v>0</v>
      </c>
      <c r="AY119" s="20">
        <f ca="1">Master_List!$AW$37</f>
        <v>0</v>
      </c>
      <c r="AZ119" s="20">
        <f ca="1">Master_List!$AW$38</f>
        <v>0</v>
      </c>
      <c r="BA119" s="20">
        <f ca="1">Master_List!$AW$39</f>
        <v>0</v>
      </c>
      <c r="BB119" s="20" t="s">
        <v>2240</v>
      </c>
      <c r="BC119" s="20" t="s">
        <v>2241</v>
      </c>
      <c r="BD119" s="6" t="s">
        <v>1744</v>
      </c>
      <c r="BE119" s="6" t="s">
        <v>1809</v>
      </c>
      <c r="BF119" s="6" t="s">
        <v>1748</v>
      </c>
      <c r="BG119" s="6" t="str">
        <f t="shared" si="1"/>
        <v>C:\Users\aremi\Desktop\REPORT CBM\PO 42289580 - Pahang 11kV SECOND CYCLE AZZAD 2026\RAW MATERIAL\047. TNB BARU (IR+VI)\RAW DATA\IR</v>
      </c>
      <c r="BH119" s="24" t="s">
        <v>649</v>
      </c>
    </row>
    <row r="120" spans="1:60" ht="30" customHeight="1" x14ac:dyDescent="0.25">
      <c r="A120" s="6">
        <v>60</v>
      </c>
      <c r="B120" s="6" t="s">
        <v>1547</v>
      </c>
      <c r="C120" s="6">
        <v>1</v>
      </c>
      <c r="D120" s="6" t="s">
        <v>2244</v>
      </c>
      <c r="E120" s="6">
        <v>60</v>
      </c>
      <c r="F120" s="6" t="str">
        <f ca="1">Master_List!$AW$1</f>
        <v>PERPUSTAKAAN PUSAT</v>
      </c>
      <c r="G120" s="27" t="str">
        <f ca="1">Master_List!$AW$2</f>
        <v>09:30 PM</v>
      </c>
      <c r="H120" s="32" t="str">
        <f ca="1">Master_List!$AW$3</f>
        <v>20/07/2026</v>
      </c>
      <c r="I120" s="28" t="str">
        <f ca="1">Master_List!$AW$4</f>
        <v>28.5</v>
      </c>
      <c r="J120" s="6" t="str">
        <f ca="1">Master_List!$AW$5</f>
        <v>65</v>
      </c>
      <c r="K120" s="6" t="s">
        <v>591</v>
      </c>
      <c r="L120" s="21" t="str">
        <f ca="1">IFERROR(VLOOKUP(B120, Master_List!$A:$I, 2, FALSE), "-")</f>
        <v/>
      </c>
      <c r="M120" s="22" t="str">
        <f ca="1">IFERROR(VLOOKUP(B120, Master_List!$A:$I, 3, FALSE), "-")</f>
        <v/>
      </c>
      <c r="N120" s="22" t="str">
        <f ca="1">IFERROR(VLOOKUP(B120, Master_List!$A:$I, 4, FALSE), "-")</f>
        <v/>
      </c>
      <c r="O120" s="22" t="str">
        <f ca="1">IFERROR(VLOOKUP(B120, Master_List!$A:$I, 5, FALSE), "-")</f>
        <v/>
      </c>
      <c r="P120" s="22" t="str">
        <f ca="1">IFERROR(VLOOKUP(B120, Master_List!$A:$I, 6, FALSE), "-")</f>
        <v/>
      </c>
      <c r="Q120" s="22" t="str">
        <f ca="1">IFERROR(VLOOKUP(B120, Master_List!$A:$I, 7, FALSE), "-")</f>
        <v/>
      </c>
      <c r="R120" s="22" t="str">
        <f ca="1">IFERROR(VLOOKUP(B120, Master_List!$A:$I, 8, FALSE), "-")</f>
        <v/>
      </c>
      <c r="S120" s="22" t="str">
        <f ca="1">IFERROR(VLOOKUP(B120, Master_List!$A:$I, 9, FALSE), "-")</f>
        <v/>
      </c>
      <c r="T120" s="20" t="str">
        <f ca="1">Master_List!$AW$6</f>
        <v>TOSHIBA</v>
      </c>
      <c r="U120" s="20" t="str">
        <f ca="1">Master_List!$AW$7</f>
        <v>MRMU</v>
      </c>
      <c r="V120" s="20" t="str">
        <f ca="1">Master_List!$AW$8</f>
        <v>12kV</v>
      </c>
      <c r="W120" s="20" t="str">
        <f ca="1">Master_List!$AW$9</f>
        <v>2S1F</v>
      </c>
      <c r="X120" s="20" t="str">
        <f ca="1">Master_List!$AW$10</f>
        <v>MTM</v>
      </c>
      <c r="Y120" s="20" t="str">
        <f ca="1">Master_List!$AW$11</f>
        <v>HERMETICALLY SEAL</v>
      </c>
      <c r="Z120" s="20" t="str">
        <f ca="1">Master_List!$AW$12</f>
        <v>750kVA</v>
      </c>
      <c r="AA120" s="20" t="str">
        <f ca="1">Master_List!$AW$13</f>
        <v>1317</v>
      </c>
      <c r="AB120" s="20">
        <f ca="1">Master_List!$AW$14</f>
        <v>0</v>
      </c>
      <c r="AC120" s="20">
        <f ca="1">Master_List!$AW$15</f>
        <v>0</v>
      </c>
      <c r="AD120" s="20">
        <f ca="1">Master_List!$AW$16</f>
        <v>0</v>
      </c>
      <c r="AE120" s="20">
        <f ca="1">Master_List!$AW$17</f>
        <v>0</v>
      </c>
      <c r="AF120" s="20" t="str">
        <f ca="1">Master_List!$AW$18</f>
        <v>INDKOM</v>
      </c>
      <c r="AG120" s="20" t="str">
        <f ca="1">Master_List!$AW$19</f>
        <v>J-SLOTTED</v>
      </c>
      <c r="AH120" s="20" t="str">
        <f ca="1">Master_List!$AW$20</f>
        <v>1600A</v>
      </c>
      <c r="AI120" s="20" t="str">
        <f ca="1">Master_List!$AW$21</f>
        <v>LV5080090</v>
      </c>
      <c r="AJ120" s="20" t="str">
        <f ca="1">Master_List!$AW$22</f>
        <v>LVDB TX1</v>
      </c>
      <c r="AK120" s="20">
        <f ca="1">Master_List!$AW$23</f>
        <v>0</v>
      </c>
      <c r="AL120" s="20">
        <f ca="1">Master_List!$AW$24</f>
        <v>0</v>
      </c>
      <c r="AM120" s="20">
        <f ca="1">Master_List!$AW$25</f>
        <v>0</v>
      </c>
      <c r="AN120" s="20">
        <f ca="1">Master_List!$AW$26</f>
        <v>0</v>
      </c>
      <c r="AO120" s="20" t="str">
        <f ca="1">Master_List!$AW$27</f>
        <v>LVDB TX2</v>
      </c>
      <c r="AP120" s="20" t="str">
        <f ca="1">Master_List!$AW$28</f>
        <v>SUNPOWER TECHNOLOGIES</v>
      </c>
      <c r="AQ120" s="20" t="str">
        <f ca="1">Master_List!$AW$29</f>
        <v>SPS 30-10 L</v>
      </c>
      <c r="AR120" s="20" t="str">
        <f ca="1">Master_List!$AW$30</f>
        <v>11193-8527</v>
      </c>
      <c r="AS120" s="20">
        <f ca="1">Master_List!$AW$31</f>
        <v>0</v>
      </c>
      <c r="AT120" s="20">
        <f ca="1">Master_List!$AW$32</f>
        <v>0</v>
      </c>
      <c r="AU120" s="20">
        <f ca="1">Master_List!$AW$33</f>
        <v>0</v>
      </c>
      <c r="AV120" s="20">
        <f ca="1">Master_List!$AW$34</f>
        <v>0</v>
      </c>
      <c r="AW120" s="20">
        <f ca="1">Master_List!$AW$35</f>
        <v>0</v>
      </c>
      <c r="AX120" s="20">
        <f ca="1">Master_List!$AW$36</f>
        <v>0</v>
      </c>
      <c r="AY120" s="20">
        <f ca="1">Master_List!$AW$37</f>
        <v>0</v>
      </c>
      <c r="AZ120" s="20">
        <f ca="1">Master_List!$AW$38</f>
        <v>0</v>
      </c>
      <c r="BA120" s="20">
        <f ca="1">Master_List!$AW$39</f>
        <v>0</v>
      </c>
      <c r="BB120" s="20" t="s">
        <v>2240</v>
      </c>
      <c r="BC120" s="20" t="s">
        <v>2241</v>
      </c>
      <c r="BD120" s="6" t="s">
        <v>1744</v>
      </c>
      <c r="BE120" s="6" t="s">
        <v>1810</v>
      </c>
      <c r="BF120" s="6" t="s">
        <v>1746</v>
      </c>
      <c r="BG120" s="6" t="str">
        <f t="shared" si="1"/>
        <v>C:\Users\aremi\Desktop\REPORT CBM\PO 42289580 - Pahang 11kV SECOND CYCLE AZZAD 2026\RAW MATERIAL\047. TNB BARU (IR+VI)\RAW DATA\IR</v>
      </c>
      <c r="BH120" s="24" t="s">
        <v>650</v>
      </c>
    </row>
    <row r="121" spans="1:60" ht="30" customHeight="1" x14ac:dyDescent="0.25">
      <c r="A121" s="6">
        <v>60</v>
      </c>
      <c r="B121" s="6" t="s">
        <v>1547</v>
      </c>
      <c r="C121" s="6">
        <v>1</v>
      </c>
      <c r="D121" s="6" t="s">
        <v>2244</v>
      </c>
      <c r="E121" s="6">
        <v>60</v>
      </c>
      <c r="F121" s="6" t="str">
        <f ca="1">Master_List!$AW$1</f>
        <v>PERPUSTAKAAN PUSAT</v>
      </c>
      <c r="G121" s="27" t="str">
        <f ca="1">Master_List!$AW$2</f>
        <v>09:30 PM</v>
      </c>
      <c r="H121" s="32" t="str">
        <f ca="1">Master_List!$AW$3</f>
        <v>20/07/2026</v>
      </c>
      <c r="I121" s="28" t="str">
        <f ca="1">Master_List!$AW$4</f>
        <v>28.5</v>
      </c>
      <c r="J121" s="6" t="str">
        <f ca="1">Master_List!$AW$5</f>
        <v>65</v>
      </c>
      <c r="K121" s="6" t="s">
        <v>591</v>
      </c>
      <c r="L121" s="21" t="str">
        <f ca="1">IFERROR(VLOOKUP(B121, Master_List!$A:$I, 2, FALSE), "-")</f>
        <v/>
      </c>
      <c r="M121" s="22" t="str">
        <f ca="1">IFERROR(VLOOKUP(B121, Master_List!$A:$I, 3, FALSE), "-")</f>
        <v/>
      </c>
      <c r="N121" s="22" t="str">
        <f ca="1">IFERROR(VLOOKUP(B121, Master_List!$A:$I, 4, FALSE), "-")</f>
        <v/>
      </c>
      <c r="O121" s="22" t="str">
        <f ca="1">IFERROR(VLOOKUP(B121, Master_List!$A:$I, 5, FALSE), "-")</f>
        <v/>
      </c>
      <c r="P121" s="22" t="str">
        <f ca="1">IFERROR(VLOOKUP(B121, Master_List!$A:$I, 6, FALSE), "-")</f>
        <v/>
      </c>
      <c r="Q121" s="22" t="str">
        <f ca="1">IFERROR(VLOOKUP(B121, Master_List!$A:$I, 7, FALSE), "-")</f>
        <v/>
      </c>
      <c r="R121" s="22" t="str">
        <f ca="1">IFERROR(VLOOKUP(B121, Master_List!$A:$I, 8, FALSE), "-")</f>
        <v/>
      </c>
      <c r="S121" s="22" t="str">
        <f ca="1">IFERROR(VLOOKUP(B121, Master_List!$A:$I, 9, FALSE), "-")</f>
        <v/>
      </c>
      <c r="T121" s="20" t="str">
        <f ca="1">Master_List!$AW$6</f>
        <v>TOSHIBA</v>
      </c>
      <c r="U121" s="20" t="str">
        <f ca="1">Master_List!$AW$7</f>
        <v>MRMU</v>
      </c>
      <c r="V121" s="20" t="str">
        <f ca="1">Master_List!$AW$8</f>
        <v>12kV</v>
      </c>
      <c r="W121" s="20" t="str">
        <f ca="1">Master_List!$AW$9</f>
        <v>2S1F</v>
      </c>
      <c r="X121" s="20" t="str">
        <f ca="1">Master_List!$AW$10</f>
        <v>MTM</v>
      </c>
      <c r="Y121" s="20" t="str">
        <f ca="1">Master_List!$AW$11</f>
        <v>HERMETICALLY SEAL</v>
      </c>
      <c r="Z121" s="20" t="str">
        <f ca="1">Master_List!$AW$12</f>
        <v>750kVA</v>
      </c>
      <c r="AA121" s="20" t="str">
        <f ca="1">Master_List!$AW$13</f>
        <v>1317</v>
      </c>
      <c r="AB121" s="20">
        <f ca="1">Master_List!$AW$14</f>
        <v>0</v>
      </c>
      <c r="AC121" s="20">
        <f ca="1">Master_List!$AW$15</f>
        <v>0</v>
      </c>
      <c r="AD121" s="20">
        <f ca="1">Master_List!$AW$16</f>
        <v>0</v>
      </c>
      <c r="AE121" s="20">
        <f ca="1">Master_List!$AW$17</f>
        <v>0</v>
      </c>
      <c r="AF121" s="20" t="str">
        <f ca="1">Master_List!$AW$18</f>
        <v>INDKOM</v>
      </c>
      <c r="AG121" s="20" t="str">
        <f ca="1">Master_List!$AW$19</f>
        <v>J-SLOTTED</v>
      </c>
      <c r="AH121" s="20" t="str">
        <f ca="1">Master_List!$AW$20</f>
        <v>1600A</v>
      </c>
      <c r="AI121" s="20" t="str">
        <f ca="1">Master_List!$AW$21</f>
        <v>LV5080090</v>
      </c>
      <c r="AJ121" s="20" t="str">
        <f ca="1">Master_List!$AW$22</f>
        <v>LVDB TX1</v>
      </c>
      <c r="AK121" s="20">
        <f ca="1">Master_List!$AW$23</f>
        <v>0</v>
      </c>
      <c r="AL121" s="20">
        <f ca="1">Master_List!$AW$24</f>
        <v>0</v>
      </c>
      <c r="AM121" s="20">
        <f ca="1">Master_List!$AW$25</f>
        <v>0</v>
      </c>
      <c r="AN121" s="20">
        <f ca="1">Master_List!$AW$26</f>
        <v>0</v>
      </c>
      <c r="AO121" s="20" t="str">
        <f ca="1">Master_List!$AW$27</f>
        <v>LVDB TX2</v>
      </c>
      <c r="AP121" s="20" t="str">
        <f ca="1">Master_List!$AW$28</f>
        <v>SUNPOWER TECHNOLOGIES</v>
      </c>
      <c r="AQ121" s="20" t="str">
        <f ca="1">Master_List!$AW$29</f>
        <v>SPS 30-10 L</v>
      </c>
      <c r="AR121" s="20" t="str">
        <f ca="1">Master_List!$AW$30</f>
        <v>11193-8527</v>
      </c>
      <c r="AS121" s="20">
        <f ca="1">Master_List!$AW$31</f>
        <v>0</v>
      </c>
      <c r="AT121" s="20">
        <f ca="1">Master_List!$AW$32</f>
        <v>0</v>
      </c>
      <c r="AU121" s="20">
        <f ca="1">Master_List!$AW$33</f>
        <v>0</v>
      </c>
      <c r="AV121" s="20">
        <f ca="1">Master_List!$AW$34</f>
        <v>0</v>
      </c>
      <c r="AW121" s="20">
        <f ca="1">Master_List!$AW$35</f>
        <v>0</v>
      </c>
      <c r="AX121" s="20">
        <f ca="1">Master_List!$AW$36</f>
        <v>0</v>
      </c>
      <c r="AY121" s="20">
        <f ca="1">Master_List!$AW$37</f>
        <v>0</v>
      </c>
      <c r="AZ121" s="20">
        <f ca="1">Master_List!$AW$38</f>
        <v>0</v>
      </c>
      <c r="BA121" s="20">
        <f ca="1">Master_List!$AW$39</f>
        <v>0</v>
      </c>
      <c r="BB121" s="20" t="s">
        <v>2240</v>
      </c>
      <c r="BC121" s="20" t="s">
        <v>2241</v>
      </c>
      <c r="BD121" s="6" t="s">
        <v>1744</v>
      </c>
      <c r="BE121" s="6" t="s">
        <v>1810</v>
      </c>
      <c r="BF121" s="6" t="s">
        <v>1748</v>
      </c>
      <c r="BG121" s="6" t="str">
        <f t="shared" si="1"/>
        <v>C:\Users\aremi\Desktop\REPORT CBM\PO 42289580 - Pahang 11kV SECOND CYCLE AZZAD 2026\RAW MATERIAL\047. TNB BARU (IR+VI)\RAW DATA\IR</v>
      </c>
      <c r="BH121" s="24" t="s">
        <v>651</v>
      </c>
    </row>
    <row r="122" spans="1:60" ht="30" customHeight="1" x14ac:dyDescent="0.25">
      <c r="A122" s="6">
        <v>61</v>
      </c>
      <c r="B122" s="6" t="s">
        <v>1552</v>
      </c>
      <c r="C122" s="6">
        <v>1</v>
      </c>
      <c r="D122" s="6" t="s">
        <v>2242</v>
      </c>
      <c r="E122" s="6">
        <v>61</v>
      </c>
      <c r="F122" s="6" t="str">
        <f ca="1">Master_List!$AW$1</f>
        <v>PERPUSTAKAAN PUSAT</v>
      </c>
      <c r="G122" s="27" t="str">
        <f ca="1">Master_List!$AW$2</f>
        <v>09:30 PM</v>
      </c>
      <c r="H122" s="32" t="str">
        <f ca="1">Master_List!$AW$3</f>
        <v>20/07/2026</v>
      </c>
      <c r="I122" s="28" t="str">
        <f ca="1">Master_List!$AW$4</f>
        <v>28.5</v>
      </c>
      <c r="J122" s="6" t="str">
        <f ca="1">Master_List!$AW$5</f>
        <v>65</v>
      </c>
      <c r="K122" s="6" t="s">
        <v>570</v>
      </c>
      <c r="L122" s="21" t="str">
        <f ca="1">IFERROR(VLOOKUP(B122, Master_List!$A:$I, 2, FALSE), "-")</f>
        <v/>
      </c>
      <c r="M122" s="22" t="str">
        <f ca="1">IFERROR(VLOOKUP(B122, Master_List!$A:$I, 3, FALSE), "-")</f>
        <v/>
      </c>
      <c r="N122" s="22" t="str">
        <f ca="1">IFERROR(VLOOKUP(B122, Master_List!$A:$I, 4, FALSE), "-")</f>
        <v/>
      </c>
      <c r="O122" s="22" t="str">
        <f ca="1">IFERROR(VLOOKUP(B122, Master_List!$A:$I, 5, FALSE), "-")</f>
        <v/>
      </c>
      <c r="P122" s="22" t="str">
        <f ca="1">IFERROR(VLOOKUP(B122, Master_List!$A:$I, 6, FALSE), "-")</f>
        <v/>
      </c>
      <c r="Q122" s="22" t="str">
        <f ca="1">IFERROR(VLOOKUP(B122, Master_List!$A:$I, 7, FALSE), "-")</f>
        <v/>
      </c>
      <c r="R122" s="22" t="str">
        <f ca="1">IFERROR(VLOOKUP(B122, Master_List!$A:$I, 8, FALSE), "-")</f>
        <v/>
      </c>
      <c r="S122" s="22" t="str">
        <f ca="1">IFERROR(VLOOKUP(B122, Master_List!$A:$I, 9, FALSE), "-")</f>
        <v/>
      </c>
      <c r="T122" s="20" t="str">
        <f ca="1">Master_List!$AW$6</f>
        <v>TOSHIBA</v>
      </c>
      <c r="U122" s="20" t="str">
        <f ca="1">Master_List!$AW$7</f>
        <v>MRMU</v>
      </c>
      <c r="V122" s="20" t="str">
        <f ca="1">Master_List!$AW$8</f>
        <v>12kV</v>
      </c>
      <c r="W122" s="20" t="str">
        <f ca="1">Master_List!$AW$9</f>
        <v>2S1F</v>
      </c>
      <c r="X122" s="20" t="str">
        <f ca="1">Master_List!$AW$10</f>
        <v>MTM</v>
      </c>
      <c r="Y122" s="20" t="str">
        <f ca="1">Master_List!$AW$11</f>
        <v>HERMETICALLY SEAL</v>
      </c>
      <c r="Z122" s="20" t="str">
        <f ca="1">Master_List!$AW$12</f>
        <v>750kVA</v>
      </c>
      <c r="AA122" s="20" t="str">
        <f ca="1">Master_List!$AW$13</f>
        <v>1317</v>
      </c>
      <c r="AB122" s="20">
        <f ca="1">Master_List!$AW$14</f>
        <v>0</v>
      </c>
      <c r="AC122" s="20">
        <f ca="1">Master_List!$AW$15</f>
        <v>0</v>
      </c>
      <c r="AD122" s="20">
        <f ca="1">Master_List!$AW$16</f>
        <v>0</v>
      </c>
      <c r="AE122" s="20">
        <f ca="1">Master_List!$AW$17</f>
        <v>0</v>
      </c>
      <c r="AF122" s="20" t="str">
        <f ca="1">Master_List!$AW$18</f>
        <v>INDKOM</v>
      </c>
      <c r="AG122" s="20" t="str">
        <f ca="1">Master_List!$AW$19</f>
        <v>J-SLOTTED</v>
      </c>
      <c r="AH122" s="20" t="str">
        <f ca="1">Master_List!$AW$20</f>
        <v>1600A</v>
      </c>
      <c r="AI122" s="20" t="str">
        <f ca="1">Master_List!$AW$21</f>
        <v>LV5080090</v>
      </c>
      <c r="AJ122" s="20" t="str">
        <f ca="1">Master_List!$AW$22</f>
        <v>LVDB TX1</v>
      </c>
      <c r="AK122" s="20">
        <f ca="1">Master_List!$AW$23</f>
        <v>0</v>
      </c>
      <c r="AL122" s="20">
        <f ca="1">Master_List!$AW$24</f>
        <v>0</v>
      </c>
      <c r="AM122" s="20">
        <f ca="1">Master_List!$AW$25</f>
        <v>0</v>
      </c>
      <c r="AN122" s="20">
        <f ca="1">Master_List!$AW$26</f>
        <v>0</v>
      </c>
      <c r="AO122" s="20" t="str">
        <f ca="1">Master_List!$AW$27</f>
        <v>LVDB TX2</v>
      </c>
      <c r="AP122" s="20" t="str">
        <f ca="1">Master_List!$AW$28</f>
        <v>SUNPOWER TECHNOLOGIES</v>
      </c>
      <c r="AQ122" s="20" t="str">
        <f ca="1">Master_List!$AW$29</f>
        <v>SPS 30-10 L</v>
      </c>
      <c r="AR122" s="20" t="str">
        <f ca="1">Master_List!$AW$30</f>
        <v>11193-8527</v>
      </c>
      <c r="AS122" s="20">
        <f ca="1">Master_List!$AW$31</f>
        <v>0</v>
      </c>
      <c r="AT122" s="20">
        <f ca="1">Master_List!$AW$32</f>
        <v>0</v>
      </c>
      <c r="AU122" s="20">
        <f ca="1">Master_List!$AW$33</f>
        <v>0</v>
      </c>
      <c r="AV122" s="20">
        <f ca="1">Master_List!$AW$34</f>
        <v>0</v>
      </c>
      <c r="AW122" s="20">
        <f ca="1">Master_List!$AW$35</f>
        <v>0</v>
      </c>
      <c r="AX122" s="20">
        <f ca="1">Master_List!$AW$36</f>
        <v>0</v>
      </c>
      <c r="AY122" s="20">
        <f ca="1">Master_List!$AW$37</f>
        <v>0</v>
      </c>
      <c r="AZ122" s="20">
        <f ca="1">Master_List!$AW$38</f>
        <v>0</v>
      </c>
      <c r="BA122" s="20">
        <f ca="1">Master_List!$AW$39</f>
        <v>0</v>
      </c>
      <c r="BB122" s="20" t="s">
        <v>2240</v>
      </c>
      <c r="BC122" s="20" t="s">
        <v>2241</v>
      </c>
      <c r="BD122" s="6" t="s">
        <v>1744</v>
      </c>
      <c r="BE122" s="6" t="s">
        <v>1811</v>
      </c>
      <c r="BF122" s="6" t="s">
        <v>1746</v>
      </c>
      <c r="BG122" s="6" t="str">
        <f t="shared" si="1"/>
        <v>C:\Users\aremi\Desktop\REPORT CBM\PO 42289580 - Pahang 11kV SECOND CYCLE AZZAD 2026\RAW MATERIAL\047. TNB BARU (IR+VI)\RAW DATA\IR</v>
      </c>
      <c r="BH122" s="24" t="s">
        <v>652</v>
      </c>
    </row>
    <row r="123" spans="1:60" ht="30" customHeight="1" x14ac:dyDescent="0.25">
      <c r="A123" s="6">
        <v>61</v>
      </c>
      <c r="B123" s="6" t="s">
        <v>1552</v>
      </c>
      <c r="C123" s="6">
        <v>1</v>
      </c>
      <c r="D123" s="6" t="s">
        <v>2242</v>
      </c>
      <c r="E123" s="6">
        <v>61</v>
      </c>
      <c r="F123" s="6" t="str">
        <f ca="1">Master_List!$AW$1</f>
        <v>PERPUSTAKAAN PUSAT</v>
      </c>
      <c r="G123" s="27" t="str">
        <f ca="1">Master_List!$AW$2</f>
        <v>09:30 PM</v>
      </c>
      <c r="H123" s="32" t="str">
        <f ca="1">Master_List!$AW$3</f>
        <v>20/07/2026</v>
      </c>
      <c r="I123" s="28" t="str">
        <f ca="1">Master_List!$AW$4</f>
        <v>28.5</v>
      </c>
      <c r="J123" s="6" t="str">
        <f ca="1">Master_List!$AW$5</f>
        <v>65</v>
      </c>
      <c r="K123" s="6" t="s">
        <v>570</v>
      </c>
      <c r="L123" s="21" t="str">
        <f ca="1">IFERROR(VLOOKUP(B123, Master_List!$A:$I, 2, FALSE), "-")</f>
        <v/>
      </c>
      <c r="M123" s="22" t="str">
        <f ca="1">IFERROR(VLOOKUP(B123, Master_List!$A:$I, 3, FALSE), "-")</f>
        <v/>
      </c>
      <c r="N123" s="22" t="str">
        <f ca="1">IFERROR(VLOOKUP(B123, Master_List!$A:$I, 4, FALSE), "-")</f>
        <v/>
      </c>
      <c r="O123" s="22" t="str">
        <f ca="1">IFERROR(VLOOKUP(B123, Master_List!$A:$I, 5, FALSE), "-")</f>
        <v/>
      </c>
      <c r="P123" s="22" t="str">
        <f ca="1">IFERROR(VLOOKUP(B123, Master_List!$A:$I, 6, FALSE), "-")</f>
        <v/>
      </c>
      <c r="Q123" s="22" t="str">
        <f ca="1">IFERROR(VLOOKUP(B123, Master_List!$A:$I, 7, FALSE), "-")</f>
        <v/>
      </c>
      <c r="R123" s="22" t="str">
        <f ca="1">IFERROR(VLOOKUP(B123, Master_List!$A:$I, 8, FALSE), "-")</f>
        <v/>
      </c>
      <c r="S123" s="22" t="str">
        <f ca="1">IFERROR(VLOOKUP(B123, Master_List!$A:$I, 9, FALSE), "-")</f>
        <v/>
      </c>
      <c r="T123" s="20" t="str">
        <f ca="1">Master_List!$AW$6</f>
        <v>TOSHIBA</v>
      </c>
      <c r="U123" s="20" t="str">
        <f ca="1">Master_List!$AW$7</f>
        <v>MRMU</v>
      </c>
      <c r="V123" s="20" t="str">
        <f ca="1">Master_List!$AW$8</f>
        <v>12kV</v>
      </c>
      <c r="W123" s="20" t="str">
        <f ca="1">Master_List!$AW$9</f>
        <v>2S1F</v>
      </c>
      <c r="X123" s="20" t="str">
        <f ca="1">Master_List!$AW$10</f>
        <v>MTM</v>
      </c>
      <c r="Y123" s="20" t="str">
        <f ca="1">Master_List!$AW$11</f>
        <v>HERMETICALLY SEAL</v>
      </c>
      <c r="Z123" s="20" t="str">
        <f ca="1">Master_List!$AW$12</f>
        <v>750kVA</v>
      </c>
      <c r="AA123" s="20" t="str">
        <f ca="1">Master_List!$AW$13</f>
        <v>1317</v>
      </c>
      <c r="AB123" s="20">
        <f ca="1">Master_List!$AW$14</f>
        <v>0</v>
      </c>
      <c r="AC123" s="20">
        <f ca="1">Master_List!$AW$15</f>
        <v>0</v>
      </c>
      <c r="AD123" s="20">
        <f ca="1">Master_List!$AW$16</f>
        <v>0</v>
      </c>
      <c r="AE123" s="20">
        <f ca="1">Master_List!$AW$17</f>
        <v>0</v>
      </c>
      <c r="AF123" s="20" t="str">
        <f ca="1">Master_List!$AW$18</f>
        <v>INDKOM</v>
      </c>
      <c r="AG123" s="20" t="str">
        <f ca="1">Master_List!$AW$19</f>
        <v>J-SLOTTED</v>
      </c>
      <c r="AH123" s="20" t="str">
        <f ca="1">Master_List!$AW$20</f>
        <v>1600A</v>
      </c>
      <c r="AI123" s="20" t="str">
        <f ca="1">Master_List!$AW$21</f>
        <v>LV5080090</v>
      </c>
      <c r="AJ123" s="20" t="str">
        <f ca="1">Master_List!$AW$22</f>
        <v>LVDB TX1</v>
      </c>
      <c r="AK123" s="20">
        <f ca="1">Master_List!$AW$23</f>
        <v>0</v>
      </c>
      <c r="AL123" s="20">
        <f ca="1">Master_List!$AW$24</f>
        <v>0</v>
      </c>
      <c r="AM123" s="20">
        <f ca="1">Master_List!$AW$25</f>
        <v>0</v>
      </c>
      <c r="AN123" s="20">
        <f ca="1">Master_List!$AW$26</f>
        <v>0</v>
      </c>
      <c r="AO123" s="20" t="str">
        <f ca="1">Master_List!$AW$27</f>
        <v>LVDB TX2</v>
      </c>
      <c r="AP123" s="20" t="str">
        <f ca="1">Master_List!$AW$28</f>
        <v>SUNPOWER TECHNOLOGIES</v>
      </c>
      <c r="AQ123" s="20" t="str">
        <f ca="1">Master_List!$AW$29</f>
        <v>SPS 30-10 L</v>
      </c>
      <c r="AR123" s="20" t="str">
        <f ca="1">Master_List!$AW$30</f>
        <v>11193-8527</v>
      </c>
      <c r="AS123" s="20">
        <f ca="1">Master_List!$AW$31</f>
        <v>0</v>
      </c>
      <c r="AT123" s="20">
        <f ca="1">Master_List!$AW$32</f>
        <v>0</v>
      </c>
      <c r="AU123" s="20">
        <f ca="1">Master_List!$AW$33</f>
        <v>0</v>
      </c>
      <c r="AV123" s="20">
        <f ca="1">Master_List!$AW$34</f>
        <v>0</v>
      </c>
      <c r="AW123" s="20">
        <f ca="1">Master_List!$AW$35</f>
        <v>0</v>
      </c>
      <c r="AX123" s="20">
        <f ca="1">Master_List!$AW$36</f>
        <v>0</v>
      </c>
      <c r="AY123" s="20">
        <f ca="1">Master_List!$AW$37</f>
        <v>0</v>
      </c>
      <c r="AZ123" s="20">
        <f ca="1">Master_List!$AW$38</f>
        <v>0</v>
      </c>
      <c r="BA123" s="20">
        <f ca="1">Master_List!$AW$39</f>
        <v>0</v>
      </c>
      <c r="BB123" s="20" t="s">
        <v>2240</v>
      </c>
      <c r="BC123" s="20" t="s">
        <v>2241</v>
      </c>
      <c r="BD123" s="6" t="s">
        <v>1744</v>
      </c>
      <c r="BE123" s="6" t="s">
        <v>1811</v>
      </c>
      <c r="BF123" s="6" t="s">
        <v>1748</v>
      </c>
      <c r="BG123" s="6" t="str">
        <f t="shared" si="1"/>
        <v>C:\Users\aremi\Desktop\REPORT CBM\PO 42289580 - Pahang 11kV SECOND CYCLE AZZAD 2026\RAW MATERIAL\047. TNB BARU (IR+VI)\RAW DATA\IR</v>
      </c>
      <c r="BH123" s="24" t="s">
        <v>653</v>
      </c>
    </row>
    <row r="124" spans="1:60" ht="30" customHeight="1" x14ac:dyDescent="0.25">
      <c r="A124" s="6">
        <v>62</v>
      </c>
      <c r="B124" s="6" t="s">
        <v>1552</v>
      </c>
      <c r="C124" s="6">
        <v>1</v>
      </c>
      <c r="D124" s="6" t="s">
        <v>2242</v>
      </c>
      <c r="E124" s="6">
        <v>62</v>
      </c>
      <c r="F124" s="6" t="str">
        <f ca="1">Master_List!$AW$1</f>
        <v>PERPUSTAKAAN PUSAT</v>
      </c>
      <c r="G124" s="27" t="str">
        <f ca="1">Master_List!$AW$2</f>
        <v>09:30 PM</v>
      </c>
      <c r="H124" s="32" t="str">
        <f ca="1">Master_List!$AW$3</f>
        <v>20/07/2026</v>
      </c>
      <c r="I124" s="28" t="str">
        <f ca="1">Master_List!$AW$4</f>
        <v>28.5</v>
      </c>
      <c r="J124" s="6" t="str">
        <f ca="1">Master_List!$AW$5</f>
        <v>65</v>
      </c>
      <c r="K124" s="6" t="s">
        <v>573</v>
      </c>
      <c r="L124" s="21" t="str">
        <f ca="1">IFERROR(VLOOKUP(B124, Master_List!$A:$I, 2, FALSE), "-")</f>
        <v/>
      </c>
      <c r="M124" s="22" t="str">
        <f ca="1">IFERROR(VLOOKUP(B124, Master_List!$A:$I, 3, FALSE), "-")</f>
        <v/>
      </c>
      <c r="N124" s="22" t="str">
        <f ca="1">IFERROR(VLOOKUP(B124, Master_List!$A:$I, 4, FALSE), "-")</f>
        <v/>
      </c>
      <c r="O124" s="22" t="str">
        <f ca="1">IFERROR(VLOOKUP(B124, Master_List!$A:$I, 5, FALSE), "-")</f>
        <v/>
      </c>
      <c r="P124" s="22" t="str">
        <f ca="1">IFERROR(VLOOKUP(B124, Master_List!$A:$I, 6, FALSE), "-")</f>
        <v/>
      </c>
      <c r="Q124" s="22" t="str">
        <f ca="1">IFERROR(VLOOKUP(B124, Master_List!$A:$I, 7, FALSE), "-")</f>
        <v/>
      </c>
      <c r="R124" s="22" t="str">
        <f ca="1">IFERROR(VLOOKUP(B124, Master_List!$A:$I, 8, FALSE), "-")</f>
        <v/>
      </c>
      <c r="S124" s="22" t="str">
        <f ca="1">IFERROR(VLOOKUP(B124, Master_List!$A:$I, 9, FALSE), "-")</f>
        <v/>
      </c>
      <c r="T124" s="20" t="str">
        <f ca="1">Master_List!$AW$6</f>
        <v>TOSHIBA</v>
      </c>
      <c r="U124" s="20" t="str">
        <f ca="1">Master_List!$AW$7</f>
        <v>MRMU</v>
      </c>
      <c r="V124" s="20" t="str">
        <f ca="1">Master_List!$AW$8</f>
        <v>12kV</v>
      </c>
      <c r="W124" s="20" t="str">
        <f ca="1">Master_List!$AW$9</f>
        <v>2S1F</v>
      </c>
      <c r="X124" s="20" t="str">
        <f ca="1">Master_List!$AW$10</f>
        <v>MTM</v>
      </c>
      <c r="Y124" s="20" t="str">
        <f ca="1">Master_List!$AW$11</f>
        <v>HERMETICALLY SEAL</v>
      </c>
      <c r="Z124" s="20" t="str">
        <f ca="1">Master_List!$AW$12</f>
        <v>750kVA</v>
      </c>
      <c r="AA124" s="20" t="str">
        <f ca="1">Master_List!$AW$13</f>
        <v>1317</v>
      </c>
      <c r="AB124" s="20">
        <f ca="1">Master_List!$AW$14</f>
        <v>0</v>
      </c>
      <c r="AC124" s="20">
        <f ca="1">Master_List!$AW$15</f>
        <v>0</v>
      </c>
      <c r="AD124" s="20">
        <f ca="1">Master_List!$AW$16</f>
        <v>0</v>
      </c>
      <c r="AE124" s="20">
        <f ca="1">Master_List!$AW$17</f>
        <v>0</v>
      </c>
      <c r="AF124" s="20" t="str">
        <f ca="1">Master_List!$AW$18</f>
        <v>INDKOM</v>
      </c>
      <c r="AG124" s="20" t="str">
        <f ca="1">Master_List!$AW$19</f>
        <v>J-SLOTTED</v>
      </c>
      <c r="AH124" s="20" t="str">
        <f ca="1">Master_List!$AW$20</f>
        <v>1600A</v>
      </c>
      <c r="AI124" s="20" t="str">
        <f ca="1">Master_List!$AW$21</f>
        <v>LV5080090</v>
      </c>
      <c r="AJ124" s="20" t="str">
        <f ca="1">Master_List!$AW$22</f>
        <v>LVDB TX1</v>
      </c>
      <c r="AK124" s="20">
        <f ca="1">Master_List!$AW$23</f>
        <v>0</v>
      </c>
      <c r="AL124" s="20">
        <f ca="1">Master_List!$AW$24</f>
        <v>0</v>
      </c>
      <c r="AM124" s="20">
        <f ca="1">Master_List!$AW$25</f>
        <v>0</v>
      </c>
      <c r="AN124" s="20">
        <f ca="1">Master_List!$AW$26</f>
        <v>0</v>
      </c>
      <c r="AO124" s="20" t="str">
        <f ca="1">Master_List!$AW$27</f>
        <v>LVDB TX2</v>
      </c>
      <c r="AP124" s="20" t="str">
        <f ca="1">Master_List!$AW$28</f>
        <v>SUNPOWER TECHNOLOGIES</v>
      </c>
      <c r="AQ124" s="20" t="str">
        <f ca="1">Master_List!$AW$29</f>
        <v>SPS 30-10 L</v>
      </c>
      <c r="AR124" s="20" t="str">
        <f ca="1">Master_List!$AW$30</f>
        <v>11193-8527</v>
      </c>
      <c r="AS124" s="20">
        <f ca="1">Master_List!$AW$31</f>
        <v>0</v>
      </c>
      <c r="AT124" s="20">
        <f ca="1">Master_List!$AW$32</f>
        <v>0</v>
      </c>
      <c r="AU124" s="20">
        <f ca="1">Master_List!$AW$33</f>
        <v>0</v>
      </c>
      <c r="AV124" s="20">
        <f ca="1">Master_List!$AW$34</f>
        <v>0</v>
      </c>
      <c r="AW124" s="20">
        <f ca="1">Master_List!$AW$35</f>
        <v>0</v>
      </c>
      <c r="AX124" s="20">
        <f ca="1">Master_List!$AW$36</f>
        <v>0</v>
      </c>
      <c r="AY124" s="20">
        <f ca="1">Master_List!$AW$37</f>
        <v>0</v>
      </c>
      <c r="AZ124" s="20">
        <f ca="1">Master_List!$AW$38</f>
        <v>0</v>
      </c>
      <c r="BA124" s="20">
        <f ca="1">Master_List!$AW$39</f>
        <v>0</v>
      </c>
      <c r="BB124" s="20" t="s">
        <v>2240</v>
      </c>
      <c r="BC124" s="20" t="s">
        <v>2241</v>
      </c>
      <c r="BD124" s="6" t="s">
        <v>1744</v>
      </c>
      <c r="BE124" s="6" t="s">
        <v>1812</v>
      </c>
      <c r="BF124" s="6" t="s">
        <v>1746</v>
      </c>
      <c r="BG124" s="6" t="str">
        <f t="shared" si="1"/>
        <v>C:\Users\aremi\Desktop\REPORT CBM\PO 42289580 - Pahang 11kV SECOND CYCLE AZZAD 2026\RAW MATERIAL\047. TNB BARU (IR+VI)\RAW DATA\IR</v>
      </c>
      <c r="BH124" s="24" t="s">
        <v>654</v>
      </c>
    </row>
    <row r="125" spans="1:60" ht="30" customHeight="1" x14ac:dyDescent="0.25">
      <c r="A125" s="6">
        <v>62</v>
      </c>
      <c r="B125" s="6" t="s">
        <v>1552</v>
      </c>
      <c r="C125" s="6">
        <v>1</v>
      </c>
      <c r="D125" s="6" t="s">
        <v>2242</v>
      </c>
      <c r="E125" s="6">
        <v>62</v>
      </c>
      <c r="F125" s="6" t="str">
        <f ca="1">Master_List!$AW$1</f>
        <v>PERPUSTAKAAN PUSAT</v>
      </c>
      <c r="G125" s="27" t="str">
        <f ca="1">Master_List!$AW$2</f>
        <v>09:30 PM</v>
      </c>
      <c r="H125" s="32" t="str">
        <f ca="1">Master_List!$AW$3</f>
        <v>20/07/2026</v>
      </c>
      <c r="I125" s="28" t="str">
        <f ca="1">Master_List!$AW$4</f>
        <v>28.5</v>
      </c>
      <c r="J125" s="6" t="str">
        <f ca="1">Master_List!$AW$5</f>
        <v>65</v>
      </c>
      <c r="K125" s="6" t="s">
        <v>573</v>
      </c>
      <c r="L125" s="21" t="str">
        <f ca="1">IFERROR(VLOOKUP(B125, Master_List!$A:$I, 2, FALSE), "-")</f>
        <v/>
      </c>
      <c r="M125" s="22" t="str">
        <f ca="1">IFERROR(VLOOKUP(B125, Master_List!$A:$I, 3, FALSE), "-")</f>
        <v/>
      </c>
      <c r="N125" s="22" t="str">
        <f ca="1">IFERROR(VLOOKUP(B125, Master_List!$A:$I, 4, FALSE), "-")</f>
        <v/>
      </c>
      <c r="O125" s="22" t="str">
        <f ca="1">IFERROR(VLOOKUP(B125, Master_List!$A:$I, 5, FALSE), "-")</f>
        <v/>
      </c>
      <c r="P125" s="22" t="str">
        <f ca="1">IFERROR(VLOOKUP(B125, Master_List!$A:$I, 6, FALSE), "-")</f>
        <v/>
      </c>
      <c r="Q125" s="22" t="str">
        <f ca="1">IFERROR(VLOOKUP(B125, Master_List!$A:$I, 7, FALSE), "-")</f>
        <v/>
      </c>
      <c r="R125" s="22" t="str">
        <f ca="1">IFERROR(VLOOKUP(B125, Master_List!$A:$I, 8, FALSE), "-")</f>
        <v/>
      </c>
      <c r="S125" s="22" t="str">
        <f ca="1">IFERROR(VLOOKUP(B125, Master_List!$A:$I, 9, FALSE), "-")</f>
        <v/>
      </c>
      <c r="T125" s="20" t="str">
        <f ca="1">Master_List!$AW$6</f>
        <v>TOSHIBA</v>
      </c>
      <c r="U125" s="20" t="str">
        <f ca="1">Master_List!$AW$7</f>
        <v>MRMU</v>
      </c>
      <c r="V125" s="20" t="str">
        <f ca="1">Master_List!$AW$8</f>
        <v>12kV</v>
      </c>
      <c r="W125" s="20" t="str">
        <f ca="1">Master_List!$AW$9</f>
        <v>2S1F</v>
      </c>
      <c r="X125" s="20" t="str">
        <f ca="1">Master_List!$AW$10</f>
        <v>MTM</v>
      </c>
      <c r="Y125" s="20" t="str">
        <f ca="1">Master_List!$AW$11</f>
        <v>HERMETICALLY SEAL</v>
      </c>
      <c r="Z125" s="20" t="str">
        <f ca="1">Master_List!$AW$12</f>
        <v>750kVA</v>
      </c>
      <c r="AA125" s="20" t="str">
        <f ca="1">Master_List!$AW$13</f>
        <v>1317</v>
      </c>
      <c r="AB125" s="20">
        <f ca="1">Master_List!$AW$14</f>
        <v>0</v>
      </c>
      <c r="AC125" s="20">
        <f ca="1">Master_List!$AW$15</f>
        <v>0</v>
      </c>
      <c r="AD125" s="20">
        <f ca="1">Master_List!$AW$16</f>
        <v>0</v>
      </c>
      <c r="AE125" s="20">
        <f ca="1">Master_List!$AW$17</f>
        <v>0</v>
      </c>
      <c r="AF125" s="20" t="str">
        <f ca="1">Master_List!$AW$18</f>
        <v>INDKOM</v>
      </c>
      <c r="AG125" s="20" t="str">
        <f ca="1">Master_List!$AW$19</f>
        <v>J-SLOTTED</v>
      </c>
      <c r="AH125" s="20" t="str">
        <f ca="1">Master_List!$AW$20</f>
        <v>1600A</v>
      </c>
      <c r="AI125" s="20" t="str">
        <f ca="1">Master_List!$AW$21</f>
        <v>LV5080090</v>
      </c>
      <c r="AJ125" s="20" t="str">
        <f ca="1">Master_List!$AW$22</f>
        <v>LVDB TX1</v>
      </c>
      <c r="AK125" s="20">
        <f ca="1">Master_List!$AW$23</f>
        <v>0</v>
      </c>
      <c r="AL125" s="20">
        <f ca="1">Master_List!$AW$24</f>
        <v>0</v>
      </c>
      <c r="AM125" s="20">
        <f ca="1">Master_List!$AW$25</f>
        <v>0</v>
      </c>
      <c r="AN125" s="20">
        <f ca="1">Master_List!$AW$26</f>
        <v>0</v>
      </c>
      <c r="AO125" s="20" t="str">
        <f ca="1">Master_List!$AW$27</f>
        <v>LVDB TX2</v>
      </c>
      <c r="AP125" s="20" t="str">
        <f ca="1">Master_List!$AW$28</f>
        <v>SUNPOWER TECHNOLOGIES</v>
      </c>
      <c r="AQ125" s="20" t="str">
        <f ca="1">Master_List!$AW$29</f>
        <v>SPS 30-10 L</v>
      </c>
      <c r="AR125" s="20" t="str">
        <f ca="1">Master_List!$AW$30</f>
        <v>11193-8527</v>
      </c>
      <c r="AS125" s="20">
        <f ca="1">Master_List!$AW$31</f>
        <v>0</v>
      </c>
      <c r="AT125" s="20">
        <f ca="1">Master_List!$AW$32</f>
        <v>0</v>
      </c>
      <c r="AU125" s="20">
        <f ca="1">Master_List!$AW$33</f>
        <v>0</v>
      </c>
      <c r="AV125" s="20">
        <f ca="1">Master_List!$AW$34</f>
        <v>0</v>
      </c>
      <c r="AW125" s="20">
        <f ca="1">Master_List!$AW$35</f>
        <v>0</v>
      </c>
      <c r="AX125" s="20">
        <f ca="1">Master_List!$AW$36</f>
        <v>0</v>
      </c>
      <c r="AY125" s="20">
        <f ca="1">Master_List!$AW$37</f>
        <v>0</v>
      </c>
      <c r="AZ125" s="20">
        <f ca="1">Master_List!$AW$38</f>
        <v>0</v>
      </c>
      <c r="BA125" s="20">
        <f ca="1">Master_List!$AW$39</f>
        <v>0</v>
      </c>
      <c r="BB125" s="20" t="s">
        <v>2240</v>
      </c>
      <c r="BC125" s="20" t="s">
        <v>2241</v>
      </c>
      <c r="BD125" s="6" t="s">
        <v>1744</v>
      </c>
      <c r="BE125" s="6" t="s">
        <v>1812</v>
      </c>
      <c r="BF125" s="6" t="s">
        <v>1748</v>
      </c>
      <c r="BG125" s="6" t="str">
        <f t="shared" si="1"/>
        <v>C:\Users\aremi\Desktop\REPORT CBM\PO 42289580 - Pahang 11kV SECOND CYCLE AZZAD 2026\RAW MATERIAL\047. TNB BARU (IR+VI)\RAW DATA\IR</v>
      </c>
      <c r="BH125" s="24" t="s">
        <v>655</v>
      </c>
    </row>
    <row r="126" spans="1:60" ht="30" customHeight="1" x14ac:dyDescent="0.25">
      <c r="A126" s="6">
        <v>63</v>
      </c>
      <c r="B126" s="6" t="s">
        <v>1552</v>
      </c>
      <c r="C126" s="6">
        <v>1</v>
      </c>
      <c r="D126" s="6" t="s">
        <v>2242</v>
      </c>
      <c r="E126" s="6">
        <v>63</v>
      </c>
      <c r="F126" s="6" t="str">
        <f ca="1">Master_List!$AW$1</f>
        <v>PERPUSTAKAAN PUSAT</v>
      </c>
      <c r="G126" s="27" t="str">
        <f ca="1">Master_List!$AW$2</f>
        <v>09:30 PM</v>
      </c>
      <c r="H126" s="32" t="str">
        <f ca="1">Master_List!$AW$3</f>
        <v>20/07/2026</v>
      </c>
      <c r="I126" s="28" t="str">
        <f ca="1">Master_List!$AW$4</f>
        <v>28.5</v>
      </c>
      <c r="J126" s="6" t="str">
        <f ca="1">Master_List!$AW$5</f>
        <v>65</v>
      </c>
      <c r="K126" s="6" t="s">
        <v>576</v>
      </c>
      <c r="L126" s="21" t="str">
        <f ca="1">IFERROR(VLOOKUP(B126, Master_List!$A:$I, 2, FALSE), "-")</f>
        <v/>
      </c>
      <c r="M126" s="22" t="str">
        <f ca="1">IFERROR(VLOOKUP(B126, Master_List!$A:$I, 3, FALSE), "-")</f>
        <v/>
      </c>
      <c r="N126" s="22" t="str">
        <f ca="1">IFERROR(VLOOKUP(B126, Master_List!$A:$I, 4, FALSE), "-")</f>
        <v/>
      </c>
      <c r="O126" s="22" t="str">
        <f ca="1">IFERROR(VLOOKUP(B126, Master_List!$A:$I, 5, FALSE), "-")</f>
        <v/>
      </c>
      <c r="P126" s="22" t="str">
        <f ca="1">IFERROR(VLOOKUP(B126, Master_List!$A:$I, 6, FALSE), "-")</f>
        <v/>
      </c>
      <c r="Q126" s="22" t="str">
        <f ca="1">IFERROR(VLOOKUP(B126, Master_List!$A:$I, 7, FALSE), "-")</f>
        <v/>
      </c>
      <c r="R126" s="22" t="str">
        <f ca="1">IFERROR(VLOOKUP(B126, Master_List!$A:$I, 8, FALSE), "-")</f>
        <v/>
      </c>
      <c r="S126" s="22" t="str">
        <f ca="1">IFERROR(VLOOKUP(B126, Master_List!$A:$I, 9, FALSE), "-")</f>
        <v/>
      </c>
      <c r="T126" s="20" t="str">
        <f ca="1">Master_List!$AW$6</f>
        <v>TOSHIBA</v>
      </c>
      <c r="U126" s="20" t="str">
        <f ca="1">Master_List!$AW$7</f>
        <v>MRMU</v>
      </c>
      <c r="V126" s="20" t="str">
        <f ca="1">Master_List!$AW$8</f>
        <v>12kV</v>
      </c>
      <c r="W126" s="20" t="str">
        <f ca="1">Master_List!$AW$9</f>
        <v>2S1F</v>
      </c>
      <c r="X126" s="20" t="str">
        <f ca="1">Master_List!$AW$10</f>
        <v>MTM</v>
      </c>
      <c r="Y126" s="20" t="str">
        <f ca="1">Master_List!$AW$11</f>
        <v>HERMETICALLY SEAL</v>
      </c>
      <c r="Z126" s="20" t="str">
        <f ca="1">Master_List!$AW$12</f>
        <v>750kVA</v>
      </c>
      <c r="AA126" s="20" t="str">
        <f ca="1">Master_List!$AW$13</f>
        <v>1317</v>
      </c>
      <c r="AB126" s="20">
        <f ca="1">Master_List!$AW$14</f>
        <v>0</v>
      </c>
      <c r="AC126" s="20">
        <f ca="1">Master_List!$AW$15</f>
        <v>0</v>
      </c>
      <c r="AD126" s="20">
        <f ca="1">Master_List!$AW$16</f>
        <v>0</v>
      </c>
      <c r="AE126" s="20">
        <f ca="1">Master_List!$AW$17</f>
        <v>0</v>
      </c>
      <c r="AF126" s="20" t="str">
        <f ca="1">Master_List!$AW$18</f>
        <v>INDKOM</v>
      </c>
      <c r="AG126" s="20" t="str">
        <f ca="1">Master_List!$AW$19</f>
        <v>J-SLOTTED</v>
      </c>
      <c r="AH126" s="20" t="str">
        <f ca="1">Master_List!$AW$20</f>
        <v>1600A</v>
      </c>
      <c r="AI126" s="20" t="str">
        <f ca="1">Master_List!$AW$21</f>
        <v>LV5080090</v>
      </c>
      <c r="AJ126" s="20" t="str">
        <f ca="1">Master_List!$AW$22</f>
        <v>LVDB TX1</v>
      </c>
      <c r="AK126" s="20">
        <f ca="1">Master_List!$AW$23</f>
        <v>0</v>
      </c>
      <c r="AL126" s="20">
        <f ca="1">Master_List!$AW$24</f>
        <v>0</v>
      </c>
      <c r="AM126" s="20">
        <f ca="1">Master_List!$AW$25</f>
        <v>0</v>
      </c>
      <c r="AN126" s="20">
        <f ca="1">Master_List!$AW$26</f>
        <v>0</v>
      </c>
      <c r="AO126" s="20" t="str">
        <f ca="1">Master_List!$AW$27</f>
        <v>LVDB TX2</v>
      </c>
      <c r="AP126" s="20" t="str">
        <f ca="1">Master_List!$AW$28</f>
        <v>SUNPOWER TECHNOLOGIES</v>
      </c>
      <c r="AQ126" s="20" t="str">
        <f ca="1">Master_List!$AW$29</f>
        <v>SPS 30-10 L</v>
      </c>
      <c r="AR126" s="20" t="str">
        <f ca="1">Master_List!$AW$30</f>
        <v>11193-8527</v>
      </c>
      <c r="AS126" s="20">
        <f ca="1">Master_List!$AW$31</f>
        <v>0</v>
      </c>
      <c r="AT126" s="20">
        <f ca="1">Master_List!$AW$32</f>
        <v>0</v>
      </c>
      <c r="AU126" s="20">
        <f ca="1">Master_List!$AW$33</f>
        <v>0</v>
      </c>
      <c r="AV126" s="20">
        <f ca="1">Master_List!$AW$34</f>
        <v>0</v>
      </c>
      <c r="AW126" s="20">
        <f ca="1">Master_List!$AW$35</f>
        <v>0</v>
      </c>
      <c r="AX126" s="20">
        <f ca="1">Master_List!$AW$36</f>
        <v>0</v>
      </c>
      <c r="AY126" s="20">
        <f ca="1">Master_List!$AW$37</f>
        <v>0</v>
      </c>
      <c r="AZ126" s="20">
        <f ca="1">Master_List!$AW$38</f>
        <v>0</v>
      </c>
      <c r="BA126" s="20">
        <f ca="1">Master_List!$AW$39</f>
        <v>0</v>
      </c>
      <c r="BB126" s="20" t="s">
        <v>2240</v>
      </c>
      <c r="BC126" s="20" t="s">
        <v>2241</v>
      </c>
      <c r="BD126" s="6" t="s">
        <v>1744</v>
      </c>
      <c r="BE126" s="6" t="s">
        <v>1813</v>
      </c>
      <c r="BF126" s="6" t="s">
        <v>1746</v>
      </c>
      <c r="BG126" s="6" t="str">
        <f t="shared" si="1"/>
        <v>C:\Users\aremi\Desktop\REPORT CBM\PO 42289580 - Pahang 11kV SECOND CYCLE AZZAD 2026\RAW MATERIAL\047. TNB BARU (IR+VI)\RAW DATA\IR</v>
      </c>
      <c r="BH126" s="24" t="s">
        <v>656</v>
      </c>
    </row>
    <row r="127" spans="1:60" ht="30" customHeight="1" x14ac:dyDescent="0.25">
      <c r="A127" s="6">
        <v>63</v>
      </c>
      <c r="B127" s="6" t="s">
        <v>1552</v>
      </c>
      <c r="C127" s="6">
        <v>1</v>
      </c>
      <c r="D127" s="6" t="s">
        <v>2242</v>
      </c>
      <c r="E127" s="6">
        <v>63</v>
      </c>
      <c r="F127" s="6" t="str">
        <f ca="1">Master_List!$AW$1</f>
        <v>PERPUSTAKAAN PUSAT</v>
      </c>
      <c r="G127" s="27" t="str">
        <f ca="1">Master_List!$AW$2</f>
        <v>09:30 PM</v>
      </c>
      <c r="H127" s="32" t="str">
        <f ca="1">Master_List!$AW$3</f>
        <v>20/07/2026</v>
      </c>
      <c r="I127" s="28" t="str">
        <f ca="1">Master_List!$AW$4</f>
        <v>28.5</v>
      </c>
      <c r="J127" s="6" t="str">
        <f ca="1">Master_List!$AW$5</f>
        <v>65</v>
      </c>
      <c r="K127" s="6" t="s">
        <v>576</v>
      </c>
      <c r="L127" s="21" t="str">
        <f ca="1">IFERROR(VLOOKUP(B127, Master_List!$A:$I, 2, FALSE), "-")</f>
        <v/>
      </c>
      <c r="M127" s="22" t="str">
        <f ca="1">IFERROR(VLOOKUP(B127, Master_List!$A:$I, 3, FALSE), "-")</f>
        <v/>
      </c>
      <c r="N127" s="22" t="str">
        <f ca="1">IFERROR(VLOOKUP(B127, Master_List!$A:$I, 4, FALSE), "-")</f>
        <v/>
      </c>
      <c r="O127" s="22" t="str">
        <f ca="1">IFERROR(VLOOKUP(B127, Master_List!$A:$I, 5, FALSE), "-")</f>
        <v/>
      </c>
      <c r="P127" s="22" t="str">
        <f ca="1">IFERROR(VLOOKUP(B127, Master_List!$A:$I, 6, FALSE), "-")</f>
        <v/>
      </c>
      <c r="Q127" s="22" t="str">
        <f ca="1">IFERROR(VLOOKUP(B127, Master_List!$A:$I, 7, FALSE), "-")</f>
        <v/>
      </c>
      <c r="R127" s="22" t="str">
        <f ca="1">IFERROR(VLOOKUP(B127, Master_List!$A:$I, 8, FALSE), "-")</f>
        <v/>
      </c>
      <c r="S127" s="22" t="str">
        <f ca="1">IFERROR(VLOOKUP(B127, Master_List!$A:$I, 9, FALSE), "-")</f>
        <v/>
      </c>
      <c r="T127" s="20" t="str">
        <f ca="1">Master_List!$AW$6</f>
        <v>TOSHIBA</v>
      </c>
      <c r="U127" s="20" t="str">
        <f ca="1">Master_List!$AW$7</f>
        <v>MRMU</v>
      </c>
      <c r="V127" s="20" t="str">
        <f ca="1">Master_List!$AW$8</f>
        <v>12kV</v>
      </c>
      <c r="W127" s="20" t="str">
        <f ca="1">Master_List!$AW$9</f>
        <v>2S1F</v>
      </c>
      <c r="X127" s="20" t="str">
        <f ca="1">Master_List!$AW$10</f>
        <v>MTM</v>
      </c>
      <c r="Y127" s="20" t="str">
        <f ca="1">Master_List!$AW$11</f>
        <v>HERMETICALLY SEAL</v>
      </c>
      <c r="Z127" s="20" t="str">
        <f ca="1">Master_List!$AW$12</f>
        <v>750kVA</v>
      </c>
      <c r="AA127" s="20" t="str">
        <f ca="1">Master_List!$AW$13</f>
        <v>1317</v>
      </c>
      <c r="AB127" s="20">
        <f ca="1">Master_List!$AW$14</f>
        <v>0</v>
      </c>
      <c r="AC127" s="20">
        <f ca="1">Master_List!$AW$15</f>
        <v>0</v>
      </c>
      <c r="AD127" s="20">
        <f ca="1">Master_List!$AW$16</f>
        <v>0</v>
      </c>
      <c r="AE127" s="20">
        <f ca="1">Master_List!$AW$17</f>
        <v>0</v>
      </c>
      <c r="AF127" s="20" t="str">
        <f ca="1">Master_List!$AW$18</f>
        <v>INDKOM</v>
      </c>
      <c r="AG127" s="20" t="str">
        <f ca="1">Master_List!$AW$19</f>
        <v>J-SLOTTED</v>
      </c>
      <c r="AH127" s="20" t="str">
        <f ca="1">Master_List!$AW$20</f>
        <v>1600A</v>
      </c>
      <c r="AI127" s="20" t="str">
        <f ca="1">Master_List!$AW$21</f>
        <v>LV5080090</v>
      </c>
      <c r="AJ127" s="20" t="str">
        <f ca="1">Master_List!$AW$22</f>
        <v>LVDB TX1</v>
      </c>
      <c r="AK127" s="20">
        <f ca="1">Master_List!$AW$23</f>
        <v>0</v>
      </c>
      <c r="AL127" s="20">
        <f ca="1">Master_List!$AW$24</f>
        <v>0</v>
      </c>
      <c r="AM127" s="20">
        <f ca="1">Master_List!$AW$25</f>
        <v>0</v>
      </c>
      <c r="AN127" s="20">
        <f ca="1">Master_List!$AW$26</f>
        <v>0</v>
      </c>
      <c r="AO127" s="20" t="str">
        <f ca="1">Master_List!$AW$27</f>
        <v>LVDB TX2</v>
      </c>
      <c r="AP127" s="20" t="str">
        <f ca="1">Master_List!$AW$28</f>
        <v>SUNPOWER TECHNOLOGIES</v>
      </c>
      <c r="AQ127" s="20" t="str">
        <f ca="1">Master_List!$AW$29</f>
        <v>SPS 30-10 L</v>
      </c>
      <c r="AR127" s="20" t="str">
        <f ca="1">Master_List!$AW$30</f>
        <v>11193-8527</v>
      </c>
      <c r="AS127" s="20">
        <f ca="1">Master_List!$AW$31</f>
        <v>0</v>
      </c>
      <c r="AT127" s="20">
        <f ca="1">Master_List!$AW$32</f>
        <v>0</v>
      </c>
      <c r="AU127" s="20">
        <f ca="1">Master_List!$AW$33</f>
        <v>0</v>
      </c>
      <c r="AV127" s="20">
        <f ca="1">Master_List!$AW$34</f>
        <v>0</v>
      </c>
      <c r="AW127" s="20">
        <f ca="1">Master_List!$AW$35</f>
        <v>0</v>
      </c>
      <c r="AX127" s="20">
        <f ca="1">Master_List!$AW$36</f>
        <v>0</v>
      </c>
      <c r="AY127" s="20">
        <f ca="1">Master_List!$AW$37</f>
        <v>0</v>
      </c>
      <c r="AZ127" s="20">
        <f ca="1">Master_List!$AW$38</f>
        <v>0</v>
      </c>
      <c r="BA127" s="20">
        <f ca="1">Master_List!$AW$39</f>
        <v>0</v>
      </c>
      <c r="BB127" s="20" t="s">
        <v>2240</v>
      </c>
      <c r="BC127" s="20" t="s">
        <v>2241</v>
      </c>
      <c r="BD127" s="6" t="s">
        <v>1744</v>
      </c>
      <c r="BE127" s="6" t="s">
        <v>1813</v>
      </c>
      <c r="BF127" s="6" t="s">
        <v>1748</v>
      </c>
      <c r="BG127" s="6" t="str">
        <f t="shared" si="1"/>
        <v>C:\Users\aremi\Desktop\REPORT CBM\PO 42289580 - Pahang 11kV SECOND CYCLE AZZAD 2026\RAW MATERIAL\047. TNB BARU (IR+VI)\RAW DATA\IR</v>
      </c>
      <c r="BH127" s="24" t="s">
        <v>657</v>
      </c>
    </row>
    <row r="128" spans="1:60" ht="30" customHeight="1" x14ac:dyDescent="0.25">
      <c r="A128" s="6">
        <v>64</v>
      </c>
      <c r="B128" s="6" t="s">
        <v>1552</v>
      </c>
      <c r="C128" s="6">
        <v>1</v>
      </c>
      <c r="D128" s="6" t="s">
        <v>2242</v>
      </c>
      <c r="E128" s="6">
        <v>64</v>
      </c>
      <c r="F128" s="6" t="str">
        <f ca="1">Master_List!$AW$1</f>
        <v>PERPUSTAKAAN PUSAT</v>
      </c>
      <c r="G128" s="27" t="str">
        <f ca="1">Master_List!$AW$2</f>
        <v>09:30 PM</v>
      </c>
      <c r="H128" s="32" t="str">
        <f ca="1">Master_List!$AW$3</f>
        <v>20/07/2026</v>
      </c>
      <c r="I128" s="28" t="str">
        <f ca="1">Master_List!$AW$4</f>
        <v>28.5</v>
      </c>
      <c r="J128" s="6" t="str">
        <f ca="1">Master_List!$AW$5</f>
        <v>65</v>
      </c>
      <c r="K128" s="6" t="s">
        <v>579</v>
      </c>
      <c r="L128" s="21" t="str">
        <f ca="1">IFERROR(VLOOKUP(B128, Master_List!$A:$I, 2, FALSE), "-")</f>
        <v/>
      </c>
      <c r="M128" s="22" t="str">
        <f ca="1">IFERROR(VLOOKUP(B128, Master_List!$A:$I, 3, FALSE), "-")</f>
        <v/>
      </c>
      <c r="N128" s="22" t="str">
        <f ca="1">IFERROR(VLOOKUP(B128, Master_List!$A:$I, 4, FALSE), "-")</f>
        <v/>
      </c>
      <c r="O128" s="22" t="str">
        <f ca="1">IFERROR(VLOOKUP(B128, Master_List!$A:$I, 5, FALSE), "-")</f>
        <v/>
      </c>
      <c r="P128" s="22" t="str">
        <f ca="1">IFERROR(VLOOKUP(B128, Master_List!$A:$I, 6, FALSE), "-")</f>
        <v/>
      </c>
      <c r="Q128" s="22" t="str">
        <f ca="1">IFERROR(VLOOKUP(B128, Master_List!$A:$I, 7, FALSE), "-")</f>
        <v/>
      </c>
      <c r="R128" s="22" t="str">
        <f ca="1">IFERROR(VLOOKUP(B128, Master_List!$A:$I, 8, FALSE), "-")</f>
        <v/>
      </c>
      <c r="S128" s="22" t="str">
        <f ca="1">IFERROR(VLOOKUP(B128, Master_List!$A:$I, 9, FALSE), "-")</f>
        <v/>
      </c>
      <c r="T128" s="20" t="str">
        <f ca="1">Master_List!$AW$6</f>
        <v>TOSHIBA</v>
      </c>
      <c r="U128" s="20" t="str">
        <f ca="1">Master_List!$AW$7</f>
        <v>MRMU</v>
      </c>
      <c r="V128" s="20" t="str">
        <f ca="1">Master_List!$AW$8</f>
        <v>12kV</v>
      </c>
      <c r="W128" s="20" t="str">
        <f ca="1">Master_List!$AW$9</f>
        <v>2S1F</v>
      </c>
      <c r="X128" s="20" t="str">
        <f ca="1">Master_List!$AW$10</f>
        <v>MTM</v>
      </c>
      <c r="Y128" s="20" t="str">
        <f ca="1">Master_List!$AW$11</f>
        <v>HERMETICALLY SEAL</v>
      </c>
      <c r="Z128" s="20" t="str">
        <f ca="1">Master_List!$AW$12</f>
        <v>750kVA</v>
      </c>
      <c r="AA128" s="20" t="str">
        <f ca="1">Master_List!$AW$13</f>
        <v>1317</v>
      </c>
      <c r="AB128" s="20">
        <f ca="1">Master_List!$AW$14</f>
        <v>0</v>
      </c>
      <c r="AC128" s="20">
        <f ca="1">Master_List!$AW$15</f>
        <v>0</v>
      </c>
      <c r="AD128" s="20">
        <f ca="1">Master_List!$AW$16</f>
        <v>0</v>
      </c>
      <c r="AE128" s="20">
        <f ca="1">Master_List!$AW$17</f>
        <v>0</v>
      </c>
      <c r="AF128" s="20" t="str">
        <f ca="1">Master_List!$AW$18</f>
        <v>INDKOM</v>
      </c>
      <c r="AG128" s="20" t="str">
        <f ca="1">Master_List!$AW$19</f>
        <v>J-SLOTTED</v>
      </c>
      <c r="AH128" s="20" t="str">
        <f ca="1">Master_List!$AW$20</f>
        <v>1600A</v>
      </c>
      <c r="AI128" s="20" t="str">
        <f ca="1">Master_List!$AW$21</f>
        <v>LV5080090</v>
      </c>
      <c r="AJ128" s="20" t="str">
        <f ca="1">Master_List!$AW$22</f>
        <v>LVDB TX1</v>
      </c>
      <c r="AK128" s="20">
        <f ca="1">Master_List!$AW$23</f>
        <v>0</v>
      </c>
      <c r="AL128" s="20">
        <f ca="1">Master_List!$AW$24</f>
        <v>0</v>
      </c>
      <c r="AM128" s="20">
        <f ca="1">Master_List!$AW$25</f>
        <v>0</v>
      </c>
      <c r="AN128" s="20">
        <f ca="1">Master_List!$AW$26</f>
        <v>0</v>
      </c>
      <c r="AO128" s="20" t="str">
        <f ca="1">Master_List!$AW$27</f>
        <v>LVDB TX2</v>
      </c>
      <c r="AP128" s="20" t="str">
        <f ca="1">Master_List!$AW$28</f>
        <v>SUNPOWER TECHNOLOGIES</v>
      </c>
      <c r="AQ128" s="20" t="str">
        <f ca="1">Master_List!$AW$29</f>
        <v>SPS 30-10 L</v>
      </c>
      <c r="AR128" s="20" t="str">
        <f ca="1">Master_List!$AW$30</f>
        <v>11193-8527</v>
      </c>
      <c r="AS128" s="20">
        <f ca="1">Master_List!$AW$31</f>
        <v>0</v>
      </c>
      <c r="AT128" s="20">
        <f ca="1">Master_List!$AW$32</f>
        <v>0</v>
      </c>
      <c r="AU128" s="20">
        <f ca="1">Master_List!$AW$33</f>
        <v>0</v>
      </c>
      <c r="AV128" s="20">
        <f ca="1">Master_List!$AW$34</f>
        <v>0</v>
      </c>
      <c r="AW128" s="20">
        <f ca="1">Master_List!$AW$35</f>
        <v>0</v>
      </c>
      <c r="AX128" s="20">
        <f ca="1">Master_List!$AW$36</f>
        <v>0</v>
      </c>
      <c r="AY128" s="20">
        <f ca="1">Master_List!$AW$37</f>
        <v>0</v>
      </c>
      <c r="AZ128" s="20">
        <f ca="1">Master_List!$AW$38</f>
        <v>0</v>
      </c>
      <c r="BA128" s="20">
        <f ca="1">Master_List!$AW$39</f>
        <v>0</v>
      </c>
      <c r="BB128" s="20" t="s">
        <v>2240</v>
      </c>
      <c r="BC128" s="20" t="s">
        <v>2241</v>
      </c>
      <c r="BD128" s="6" t="s">
        <v>1744</v>
      </c>
      <c r="BE128" s="6" t="s">
        <v>1814</v>
      </c>
      <c r="BF128" s="6" t="s">
        <v>1746</v>
      </c>
      <c r="BG128" s="6" t="str">
        <f t="shared" si="1"/>
        <v>C:\Users\aremi\Desktop\REPORT CBM\PO 42289580 - Pahang 11kV SECOND CYCLE AZZAD 2026\RAW MATERIAL\047. TNB BARU (IR+VI)\RAW DATA\IR</v>
      </c>
      <c r="BH128" s="24" t="s">
        <v>658</v>
      </c>
    </row>
    <row r="129" spans="1:60" ht="30" customHeight="1" x14ac:dyDescent="0.25">
      <c r="A129" s="6">
        <v>64</v>
      </c>
      <c r="B129" s="6" t="s">
        <v>1552</v>
      </c>
      <c r="C129" s="6">
        <v>1</v>
      </c>
      <c r="D129" s="6" t="s">
        <v>2242</v>
      </c>
      <c r="E129" s="6">
        <v>64</v>
      </c>
      <c r="F129" s="6" t="str">
        <f ca="1">Master_List!$AW$1</f>
        <v>PERPUSTAKAAN PUSAT</v>
      </c>
      <c r="G129" s="27" t="str">
        <f ca="1">Master_List!$AW$2</f>
        <v>09:30 PM</v>
      </c>
      <c r="H129" s="32" t="str">
        <f ca="1">Master_List!$AW$3</f>
        <v>20/07/2026</v>
      </c>
      <c r="I129" s="28" t="str">
        <f ca="1">Master_List!$AW$4</f>
        <v>28.5</v>
      </c>
      <c r="J129" s="6" t="str">
        <f ca="1">Master_List!$AW$5</f>
        <v>65</v>
      </c>
      <c r="K129" s="6" t="s">
        <v>579</v>
      </c>
      <c r="L129" s="21" t="str">
        <f ca="1">IFERROR(VLOOKUP(B129, Master_List!$A:$I, 2, FALSE), "-")</f>
        <v/>
      </c>
      <c r="M129" s="22" t="str">
        <f ca="1">IFERROR(VLOOKUP(B129, Master_List!$A:$I, 3, FALSE), "-")</f>
        <v/>
      </c>
      <c r="N129" s="22" t="str">
        <f ca="1">IFERROR(VLOOKUP(B129, Master_List!$A:$I, 4, FALSE), "-")</f>
        <v/>
      </c>
      <c r="O129" s="22" t="str">
        <f ca="1">IFERROR(VLOOKUP(B129, Master_List!$A:$I, 5, FALSE), "-")</f>
        <v/>
      </c>
      <c r="P129" s="22" t="str">
        <f ca="1">IFERROR(VLOOKUP(B129, Master_List!$A:$I, 6, FALSE), "-")</f>
        <v/>
      </c>
      <c r="Q129" s="22" t="str">
        <f ca="1">IFERROR(VLOOKUP(B129, Master_List!$A:$I, 7, FALSE), "-")</f>
        <v/>
      </c>
      <c r="R129" s="22" t="str">
        <f ca="1">IFERROR(VLOOKUP(B129, Master_List!$A:$I, 8, FALSE), "-")</f>
        <v/>
      </c>
      <c r="S129" s="22" t="str">
        <f ca="1">IFERROR(VLOOKUP(B129, Master_List!$A:$I, 9, FALSE), "-")</f>
        <v/>
      </c>
      <c r="T129" s="20" t="str">
        <f ca="1">Master_List!$AW$6</f>
        <v>TOSHIBA</v>
      </c>
      <c r="U129" s="20" t="str">
        <f ca="1">Master_List!$AW$7</f>
        <v>MRMU</v>
      </c>
      <c r="V129" s="20" t="str">
        <f ca="1">Master_List!$AW$8</f>
        <v>12kV</v>
      </c>
      <c r="W129" s="20" t="str">
        <f ca="1">Master_List!$AW$9</f>
        <v>2S1F</v>
      </c>
      <c r="X129" s="20" t="str">
        <f ca="1">Master_List!$AW$10</f>
        <v>MTM</v>
      </c>
      <c r="Y129" s="20" t="str">
        <f ca="1">Master_List!$AW$11</f>
        <v>HERMETICALLY SEAL</v>
      </c>
      <c r="Z129" s="20" t="str">
        <f ca="1">Master_List!$AW$12</f>
        <v>750kVA</v>
      </c>
      <c r="AA129" s="20" t="str">
        <f ca="1">Master_List!$AW$13</f>
        <v>1317</v>
      </c>
      <c r="AB129" s="20">
        <f ca="1">Master_List!$AW$14</f>
        <v>0</v>
      </c>
      <c r="AC129" s="20">
        <f ca="1">Master_List!$AW$15</f>
        <v>0</v>
      </c>
      <c r="AD129" s="20">
        <f ca="1">Master_List!$AW$16</f>
        <v>0</v>
      </c>
      <c r="AE129" s="20">
        <f ca="1">Master_List!$AW$17</f>
        <v>0</v>
      </c>
      <c r="AF129" s="20" t="str">
        <f ca="1">Master_List!$AW$18</f>
        <v>INDKOM</v>
      </c>
      <c r="AG129" s="20" t="str">
        <f ca="1">Master_List!$AW$19</f>
        <v>J-SLOTTED</v>
      </c>
      <c r="AH129" s="20" t="str">
        <f ca="1">Master_List!$AW$20</f>
        <v>1600A</v>
      </c>
      <c r="AI129" s="20" t="str">
        <f ca="1">Master_List!$AW$21</f>
        <v>LV5080090</v>
      </c>
      <c r="AJ129" s="20" t="str">
        <f ca="1">Master_List!$AW$22</f>
        <v>LVDB TX1</v>
      </c>
      <c r="AK129" s="20">
        <f ca="1">Master_List!$AW$23</f>
        <v>0</v>
      </c>
      <c r="AL129" s="20">
        <f ca="1">Master_List!$AW$24</f>
        <v>0</v>
      </c>
      <c r="AM129" s="20">
        <f ca="1">Master_List!$AW$25</f>
        <v>0</v>
      </c>
      <c r="AN129" s="20">
        <f ca="1">Master_List!$AW$26</f>
        <v>0</v>
      </c>
      <c r="AO129" s="20" t="str">
        <f ca="1">Master_List!$AW$27</f>
        <v>LVDB TX2</v>
      </c>
      <c r="AP129" s="20" t="str">
        <f ca="1">Master_List!$AW$28</f>
        <v>SUNPOWER TECHNOLOGIES</v>
      </c>
      <c r="AQ129" s="20" t="str">
        <f ca="1">Master_List!$AW$29</f>
        <v>SPS 30-10 L</v>
      </c>
      <c r="AR129" s="20" t="str">
        <f ca="1">Master_List!$AW$30</f>
        <v>11193-8527</v>
      </c>
      <c r="AS129" s="20">
        <f ca="1">Master_List!$AW$31</f>
        <v>0</v>
      </c>
      <c r="AT129" s="20">
        <f ca="1">Master_List!$AW$32</f>
        <v>0</v>
      </c>
      <c r="AU129" s="20">
        <f ca="1">Master_List!$AW$33</f>
        <v>0</v>
      </c>
      <c r="AV129" s="20">
        <f ca="1">Master_List!$AW$34</f>
        <v>0</v>
      </c>
      <c r="AW129" s="20">
        <f ca="1">Master_List!$AW$35</f>
        <v>0</v>
      </c>
      <c r="AX129" s="20">
        <f ca="1">Master_List!$AW$36</f>
        <v>0</v>
      </c>
      <c r="AY129" s="20">
        <f ca="1">Master_List!$AW$37</f>
        <v>0</v>
      </c>
      <c r="AZ129" s="20">
        <f ca="1">Master_List!$AW$38</f>
        <v>0</v>
      </c>
      <c r="BA129" s="20">
        <f ca="1">Master_List!$AW$39</f>
        <v>0</v>
      </c>
      <c r="BB129" s="20" t="s">
        <v>2240</v>
      </c>
      <c r="BC129" s="20" t="s">
        <v>2241</v>
      </c>
      <c r="BD129" s="6" t="s">
        <v>1744</v>
      </c>
      <c r="BE129" s="6" t="s">
        <v>1814</v>
      </c>
      <c r="BF129" s="6" t="s">
        <v>1748</v>
      </c>
      <c r="BG129" s="6" t="str">
        <f t="shared" si="1"/>
        <v>C:\Users\aremi\Desktop\REPORT CBM\PO 42289580 - Pahang 11kV SECOND CYCLE AZZAD 2026\RAW MATERIAL\047. TNB BARU (IR+VI)\RAW DATA\IR</v>
      </c>
      <c r="BH129" s="24" t="s">
        <v>659</v>
      </c>
    </row>
    <row r="130" spans="1:60" ht="30" customHeight="1" x14ac:dyDescent="0.25">
      <c r="A130" s="6">
        <v>65</v>
      </c>
      <c r="B130" s="6" t="s">
        <v>1552</v>
      </c>
      <c r="C130" s="6">
        <v>1</v>
      </c>
      <c r="D130" s="6" t="s">
        <v>2242</v>
      </c>
      <c r="E130" s="6">
        <v>65</v>
      </c>
      <c r="F130" s="6" t="str">
        <f ca="1">Master_List!$AW$1</f>
        <v>PERPUSTAKAAN PUSAT</v>
      </c>
      <c r="G130" s="27" t="str">
        <f ca="1">Master_List!$AW$2</f>
        <v>09:30 PM</v>
      </c>
      <c r="H130" s="32" t="str">
        <f ca="1">Master_List!$AW$3</f>
        <v>20/07/2026</v>
      </c>
      <c r="I130" s="28" t="str">
        <f ca="1">Master_List!$AW$4</f>
        <v>28.5</v>
      </c>
      <c r="J130" s="6" t="str">
        <f ca="1">Master_List!$AW$5</f>
        <v>65</v>
      </c>
      <c r="K130" s="6" t="s">
        <v>582</v>
      </c>
      <c r="L130" s="21" t="str">
        <f ca="1">IFERROR(VLOOKUP(B130, Master_List!$A:$I, 2, FALSE), "-")</f>
        <v/>
      </c>
      <c r="M130" s="22" t="str">
        <f ca="1">IFERROR(VLOOKUP(B130, Master_List!$A:$I, 3, FALSE), "-")</f>
        <v/>
      </c>
      <c r="N130" s="22" t="str">
        <f ca="1">IFERROR(VLOOKUP(B130, Master_List!$A:$I, 4, FALSE), "-")</f>
        <v/>
      </c>
      <c r="O130" s="22" t="str">
        <f ca="1">IFERROR(VLOOKUP(B130, Master_List!$A:$I, 5, FALSE), "-")</f>
        <v/>
      </c>
      <c r="P130" s="22" t="str">
        <f ca="1">IFERROR(VLOOKUP(B130, Master_List!$A:$I, 6, FALSE), "-")</f>
        <v/>
      </c>
      <c r="Q130" s="22" t="str">
        <f ca="1">IFERROR(VLOOKUP(B130, Master_List!$A:$I, 7, FALSE), "-")</f>
        <v/>
      </c>
      <c r="R130" s="22" t="str">
        <f ca="1">IFERROR(VLOOKUP(B130, Master_List!$A:$I, 8, FALSE), "-")</f>
        <v/>
      </c>
      <c r="S130" s="22" t="str">
        <f ca="1">IFERROR(VLOOKUP(B130, Master_List!$A:$I, 9, FALSE), "-")</f>
        <v/>
      </c>
      <c r="T130" s="20" t="str">
        <f ca="1">Master_List!$AW$6</f>
        <v>TOSHIBA</v>
      </c>
      <c r="U130" s="20" t="str">
        <f ca="1">Master_List!$AW$7</f>
        <v>MRMU</v>
      </c>
      <c r="V130" s="20" t="str">
        <f ca="1">Master_List!$AW$8</f>
        <v>12kV</v>
      </c>
      <c r="W130" s="20" t="str">
        <f ca="1">Master_List!$AW$9</f>
        <v>2S1F</v>
      </c>
      <c r="X130" s="20" t="str">
        <f ca="1">Master_List!$AW$10</f>
        <v>MTM</v>
      </c>
      <c r="Y130" s="20" t="str">
        <f ca="1">Master_List!$AW$11</f>
        <v>HERMETICALLY SEAL</v>
      </c>
      <c r="Z130" s="20" t="str">
        <f ca="1">Master_List!$AW$12</f>
        <v>750kVA</v>
      </c>
      <c r="AA130" s="20" t="str">
        <f ca="1">Master_List!$AW$13</f>
        <v>1317</v>
      </c>
      <c r="AB130" s="20">
        <f ca="1">Master_List!$AW$14</f>
        <v>0</v>
      </c>
      <c r="AC130" s="20">
        <f ca="1">Master_List!$AW$15</f>
        <v>0</v>
      </c>
      <c r="AD130" s="20">
        <f ca="1">Master_List!$AW$16</f>
        <v>0</v>
      </c>
      <c r="AE130" s="20">
        <f ca="1">Master_List!$AW$17</f>
        <v>0</v>
      </c>
      <c r="AF130" s="20" t="str">
        <f ca="1">Master_List!$AW$18</f>
        <v>INDKOM</v>
      </c>
      <c r="AG130" s="20" t="str">
        <f ca="1">Master_List!$AW$19</f>
        <v>J-SLOTTED</v>
      </c>
      <c r="AH130" s="20" t="str">
        <f ca="1">Master_List!$AW$20</f>
        <v>1600A</v>
      </c>
      <c r="AI130" s="20" t="str">
        <f ca="1">Master_List!$AW$21</f>
        <v>LV5080090</v>
      </c>
      <c r="AJ130" s="20" t="str">
        <f ca="1">Master_List!$AW$22</f>
        <v>LVDB TX1</v>
      </c>
      <c r="AK130" s="20">
        <f ca="1">Master_List!$AW$23</f>
        <v>0</v>
      </c>
      <c r="AL130" s="20">
        <f ca="1">Master_List!$AW$24</f>
        <v>0</v>
      </c>
      <c r="AM130" s="20">
        <f ca="1">Master_List!$AW$25</f>
        <v>0</v>
      </c>
      <c r="AN130" s="20">
        <f ca="1">Master_List!$AW$26</f>
        <v>0</v>
      </c>
      <c r="AO130" s="20" t="str">
        <f ca="1">Master_List!$AW$27</f>
        <v>LVDB TX2</v>
      </c>
      <c r="AP130" s="20" t="str">
        <f ca="1">Master_List!$AW$28</f>
        <v>SUNPOWER TECHNOLOGIES</v>
      </c>
      <c r="AQ130" s="20" t="str">
        <f ca="1">Master_List!$AW$29</f>
        <v>SPS 30-10 L</v>
      </c>
      <c r="AR130" s="20" t="str">
        <f ca="1">Master_List!$AW$30</f>
        <v>11193-8527</v>
      </c>
      <c r="AS130" s="20">
        <f ca="1">Master_List!$AW$31</f>
        <v>0</v>
      </c>
      <c r="AT130" s="20">
        <f ca="1">Master_List!$AW$32</f>
        <v>0</v>
      </c>
      <c r="AU130" s="20">
        <f ca="1">Master_List!$AW$33</f>
        <v>0</v>
      </c>
      <c r="AV130" s="20">
        <f ca="1">Master_List!$AW$34</f>
        <v>0</v>
      </c>
      <c r="AW130" s="20">
        <f ca="1">Master_List!$AW$35</f>
        <v>0</v>
      </c>
      <c r="AX130" s="20">
        <f ca="1">Master_List!$AW$36</f>
        <v>0</v>
      </c>
      <c r="AY130" s="20">
        <f ca="1">Master_List!$AW$37</f>
        <v>0</v>
      </c>
      <c r="AZ130" s="20">
        <f ca="1">Master_List!$AW$38</f>
        <v>0</v>
      </c>
      <c r="BA130" s="20">
        <f ca="1">Master_List!$AW$39</f>
        <v>0</v>
      </c>
      <c r="BB130" s="20" t="s">
        <v>2240</v>
      </c>
      <c r="BC130" s="20" t="s">
        <v>2241</v>
      </c>
      <c r="BD130" s="6" t="s">
        <v>1744</v>
      </c>
      <c r="BE130" s="6" t="s">
        <v>1815</v>
      </c>
      <c r="BF130" s="6" t="s">
        <v>1746</v>
      </c>
      <c r="BG130" s="6" t="str">
        <f t="shared" si="1"/>
        <v>C:\Users\aremi\Desktop\REPORT CBM\PO 42289580 - Pahang 11kV SECOND CYCLE AZZAD 2026\RAW MATERIAL\047. TNB BARU (IR+VI)\RAW DATA\IR</v>
      </c>
      <c r="BH130" s="24" t="s">
        <v>660</v>
      </c>
    </row>
    <row r="131" spans="1:60" ht="30" customHeight="1" x14ac:dyDescent="0.25">
      <c r="A131" s="6">
        <v>65</v>
      </c>
      <c r="B131" s="6" t="s">
        <v>1552</v>
      </c>
      <c r="C131" s="6">
        <v>1</v>
      </c>
      <c r="D131" s="6" t="s">
        <v>2242</v>
      </c>
      <c r="E131" s="6">
        <v>65</v>
      </c>
      <c r="F131" s="6" t="str">
        <f ca="1">Master_List!$AW$1</f>
        <v>PERPUSTAKAAN PUSAT</v>
      </c>
      <c r="G131" s="27" t="str">
        <f ca="1">Master_List!$AW$2</f>
        <v>09:30 PM</v>
      </c>
      <c r="H131" s="32" t="str">
        <f ca="1">Master_List!$AW$3</f>
        <v>20/07/2026</v>
      </c>
      <c r="I131" s="28" t="str">
        <f ca="1">Master_List!$AW$4</f>
        <v>28.5</v>
      </c>
      <c r="J131" s="6" t="str">
        <f ca="1">Master_List!$AW$5</f>
        <v>65</v>
      </c>
      <c r="K131" s="6" t="s">
        <v>582</v>
      </c>
      <c r="L131" s="21" t="str">
        <f ca="1">IFERROR(VLOOKUP(B131, Master_List!$A:$I, 2, FALSE), "-")</f>
        <v/>
      </c>
      <c r="M131" s="22" t="str">
        <f ca="1">IFERROR(VLOOKUP(B131, Master_List!$A:$I, 3, FALSE), "-")</f>
        <v/>
      </c>
      <c r="N131" s="22" t="str">
        <f ca="1">IFERROR(VLOOKUP(B131, Master_List!$A:$I, 4, FALSE), "-")</f>
        <v/>
      </c>
      <c r="O131" s="22" t="str">
        <f ca="1">IFERROR(VLOOKUP(B131, Master_List!$A:$I, 5, FALSE), "-")</f>
        <v/>
      </c>
      <c r="P131" s="22" t="str">
        <f ca="1">IFERROR(VLOOKUP(B131, Master_List!$A:$I, 6, FALSE), "-")</f>
        <v/>
      </c>
      <c r="Q131" s="22" t="str">
        <f ca="1">IFERROR(VLOOKUP(B131, Master_List!$A:$I, 7, FALSE), "-")</f>
        <v/>
      </c>
      <c r="R131" s="22" t="str">
        <f ca="1">IFERROR(VLOOKUP(B131, Master_List!$A:$I, 8, FALSE), "-")</f>
        <v/>
      </c>
      <c r="S131" s="22" t="str">
        <f ca="1">IFERROR(VLOOKUP(B131, Master_List!$A:$I, 9, FALSE), "-")</f>
        <v/>
      </c>
      <c r="T131" s="20" t="str">
        <f ca="1">Master_List!$AW$6</f>
        <v>TOSHIBA</v>
      </c>
      <c r="U131" s="20" t="str">
        <f ca="1">Master_List!$AW$7</f>
        <v>MRMU</v>
      </c>
      <c r="V131" s="20" t="str">
        <f ca="1">Master_List!$AW$8</f>
        <v>12kV</v>
      </c>
      <c r="W131" s="20" t="str">
        <f ca="1">Master_List!$AW$9</f>
        <v>2S1F</v>
      </c>
      <c r="X131" s="20" t="str">
        <f ca="1">Master_List!$AW$10</f>
        <v>MTM</v>
      </c>
      <c r="Y131" s="20" t="str">
        <f ca="1">Master_List!$AW$11</f>
        <v>HERMETICALLY SEAL</v>
      </c>
      <c r="Z131" s="20" t="str">
        <f ca="1">Master_List!$AW$12</f>
        <v>750kVA</v>
      </c>
      <c r="AA131" s="20" t="str">
        <f ca="1">Master_List!$AW$13</f>
        <v>1317</v>
      </c>
      <c r="AB131" s="20">
        <f ca="1">Master_List!$AW$14</f>
        <v>0</v>
      </c>
      <c r="AC131" s="20">
        <f ca="1">Master_List!$AW$15</f>
        <v>0</v>
      </c>
      <c r="AD131" s="20">
        <f ca="1">Master_List!$AW$16</f>
        <v>0</v>
      </c>
      <c r="AE131" s="20">
        <f ca="1">Master_List!$AW$17</f>
        <v>0</v>
      </c>
      <c r="AF131" s="20" t="str">
        <f ca="1">Master_List!$AW$18</f>
        <v>INDKOM</v>
      </c>
      <c r="AG131" s="20" t="str">
        <f ca="1">Master_List!$AW$19</f>
        <v>J-SLOTTED</v>
      </c>
      <c r="AH131" s="20" t="str">
        <f ca="1">Master_List!$AW$20</f>
        <v>1600A</v>
      </c>
      <c r="AI131" s="20" t="str">
        <f ca="1">Master_List!$AW$21</f>
        <v>LV5080090</v>
      </c>
      <c r="AJ131" s="20" t="str">
        <f ca="1">Master_List!$AW$22</f>
        <v>LVDB TX1</v>
      </c>
      <c r="AK131" s="20">
        <f ca="1">Master_List!$AW$23</f>
        <v>0</v>
      </c>
      <c r="AL131" s="20">
        <f ca="1">Master_List!$AW$24</f>
        <v>0</v>
      </c>
      <c r="AM131" s="20">
        <f ca="1">Master_List!$AW$25</f>
        <v>0</v>
      </c>
      <c r="AN131" s="20">
        <f ca="1">Master_List!$AW$26</f>
        <v>0</v>
      </c>
      <c r="AO131" s="20" t="str">
        <f ca="1">Master_List!$AW$27</f>
        <v>LVDB TX2</v>
      </c>
      <c r="AP131" s="20" t="str">
        <f ca="1">Master_List!$AW$28</f>
        <v>SUNPOWER TECHNOLOGIES</v>
      </c>
      <c r="AQ131" s="20" t="str">
        <f ca="1">Master_List!$AW$29</f>
        <v>SPS 30-10 L</v>
      </c>
      <c r="AR131" s="20" t="str">
        <f ca="1">Master_List!$AW$30</f>
        <v>11193-8527</v>
      </c>
      <c r="AS131" s="20">
        <f ca="1">Master_List!$AW$31</f>
        <v>0</v>
      </c>
      <c r="AT131" s="20">
        <f ca="1">Master_List!$AW$32</f>
        <v>0</v>
      </c>
      <c r="AU131" s="20">
        <f ca="1">Master_List!$AW$33</f>
        <v>0</v>
      </c>
      <c r="AV131" s="20">
        <f ca="1">Master_List!$AW$34</f>
        <v>0</v>
      </c>
      <c r="AW131" s="20">
        <f ca="1">Master_List!$AW$35</f>
        <v>0</v>
      </c>
      <c r="AX131" s="20">
        <f ca="1">Master_List!$AW$36</f>
        <v>0</v>
      </c>
      <c r="AY131" s="20">
        <f ca="1">Master_List!$AW$37</f>
        <v>0</v>
      </c>
      <c r="AZ131" s="20">
        <f ca="1">Master_List!$AW$38</f>
        <v>0</v>
      </c>
      <c r="BA131" s="20">
        <f ca="1">Master_List!$AW$39</f>
        <v>0</v>
      </c>
      <c r="BB131" s="20" t="s">
        <v>2240</v>
      </c>
      <c r="BC131" s="20" t="s">
        <v>2241</v>
      </c>
      <c r="BD131" s="6" t="s">
        <v>1744</v>
      </c>
      <c r="BE131" s="6" t="s">
        <v>1815</v>
      </c>
      <c r="BF131" s="6" t="s">
        <v>1748</v>
      </c>
      <c r="BG131" s="6" t="str">
        <f t="shared" ref="BG131:BG194" si="2">BG130</f>
        <v>C:\Users\aremi\Desktop\REPORT CBM\PO 42289580 - Pahang 11kV SECOND CYCLE AZZAD 2026\RAW MATERIAL\047. TNB BARU (IR+VI)\RAW DATA\IR</v>
      </c>
      <c r="BH131" s="24" t="s">
        <v>661</v>
      </c>
    </row>
    <row r="132" spans="1:60" ht="30" customHeight="1" x14ac:dyDescent="0.25">
      <c r="A132" s="6">
        <v>66</v>
      </c>
      <c r="B132" s="6" t="s">
        <v>1552</v>
      </c>
      <c r="C132" s="6">
        <v>1</v>
      </c>
      <c r="D132" s="6" t="s">
        <v>2242</v>
      </c>
      <c r="E132" s="6">
        <v>66</v>
      </c>
      <c r="F132" s="6" t="str">
        <f ca="1">Master_List!$AW$1</f>
        <v>PERPUSTAKAAN PUSAT</v>
      </c>
      <c r="G132" s="27" t="str">
        <f ca="1">Master_List!$AW$2</f>
        <v>09:30 PM</v>
      </c>
      <c r="H132" s="32" t="str">
        <f ca="1">Master_List!$AW$3</f>
        <v>20/07/2026</v>
      </c>
      <c r="I132" s="28" t="str">
        <f ca="1">Master_List!$AW$4</f>
        <v>28.5</v>
      </c>
      <c r="J132" s="6" t="str">
        <f ca="1">Master_List!$AW$5</f>
        <v>65</v>
      </c>
      <c r="K132" s="6" t="s">
        <v>585</v>
      </c>
      <c r="L132" s="21" t="str">
        <f ca="1">IFERROR(VLOOKUP(B132, Master_List!$A:$I, 2, FALSE), "-")</f>
        <v/>
      </c>
      <c r="M132" s="22" t="str">
        <f ca="1">IFERROR(VLOOKUP(B132, Master_List!$A:$I, 3, FALSE), "-")</f>
        <v/>
      </c>
      <c r="N132" s="22" t="str">
        <f ca="1">IFERROR(VLOOKUP(B132, Master_List!$A:$I, 4, FALSE), "-")</f>
        <v/>
      </c>
      <c r="O132" s="22" t="str">
        <f ca="1">IFERROR(VLOOKUP(B132, Master_List!$A:$I, 5, FALSE), "-")</f>
        <v/>
      </c>
      <c r="P132" s="22" t="str">
        <f ca="1">IFERROR(VLOOKUP(B132, Master_List!$A:$I, 6, FALSE), "-")</f>
        <v/>
      </c>
      <c r="Q132" s="22" t="str">
        <f ca="1">IFERROR(VLOOKUP(B132, Master_List!$A:$I, 7, FALSE), "-")</f>
        <v/>
      </c>
      <c r="R132" s="22" t="str">
        <f ca="1">IFERROR(VLOOKUP(B132, Master_List!$A:$I, 8, FALSE), "-")</f>
        <v/>
      </c>
      <c r="S132" s="22" t="str">
        <f ca="1">IFERROR(VLOOKUP(B132, Master_List!$A:$I, 9, FALSE), "-")</f>
        <v/>
      </c>
      <c r="T132" s="20" t="str">
        <f ca="1">Master_List!$AW$6</f>
        <v>TOSHIBA</v>
      </c>
      <c r="U132" s="20" t="str">
        <f ca="1">Master_List!$AW$7</f>
        <v>MRMU</v>
      </c>
      <c r="V132" s="20" t="str">
        <f ca="1">Master_List!$AW$8</f>
        <v>12kV</v>
      </c>
      <c r="W132" s="20" t="str">
        <f ca="1">Master_List!$AW$9</f>
        <v>2S1F</v>
      </c>
      <c r="X132" s="20" t="str">
        <f ca="1">Master_List!$AW$10</f>
        <v>MTM</v>
      </c>
      <c r="Y132" s="20" t="str">
        <f ca="1">Master_List!$AW$11</f>
        <v>HERMETICALLY SEAL</v>
      </c>
      <c r="Z132" s="20" t="str">
        <f ca="1">Master_List!$AW$12</f>
        <v>750kVA</v>
      </c>
      <c r="AA132" s="20" t="str">
        <f ca="1">Master_List!$AW$13</f>
        <v>1317</v>
      </c>
      <c r="AB132" s="20">
        <f ca="1">Master_List!$AW$14</f>
        <v>0</v>
      </c>
      <c r="AC132" s="20">
        <f ca="1">Master_List!$AW$15</f>
        <v>0</v>
      </c>
      <c r="AD132" s="20">
        <f ca="1">Master_List!$AW$16</f>
        <v>0</v>
      </c>
      <c r="AE132" s="20">
        <f ca="1">Master_List!$AW$17</f>
        <v>0</v>
      </c>
      <c r="AF132" s="20" t="str">
        <f ca="1">Master_List!$AW$18</f>
        <v>INDKOM</v>
      </c>
      <c r="AG132" s="20" t="str">
        <f ca="1">Master_List!$AW$19</f>
        <v>J-SLOTTED</v>
      </c>
      <c r="AH132" s="20" t="str">
        <f ca="1">Master_List!$AW$20</f>
        <v>1600A</v>
      </c>
      <c r="AI132" s="20" t="str">
        <f ca="1">Master_List!$AW$21</f>
        <v>LV5080090</v>
      </c>
      <c r="AJ132" s="20" t="str">
        <f ca="1">Master_List!$AW$22</f>
        <v>LVDB TX1</v>
      </c>
      <c r="AK132" s="20">
        <f ca="1">Master_List!$AW$23</f>
        <v>0</v>
      </c>
      <c r="AL132" s="20">
        <f ca="1">Master_List!$AW$24</f>
        <v>0</v>
      </c>
      <c r="AM132" s="20">
        <f ca="1">Master_List!$AW$25</f>
        <v>0</v>
      </c>
      <c r="AN132" s="20">
        <f ca="1">Master_List!$AW$26</f>
        <v>0</v>
      </c>
      <c r="AO132" s="20" t="str">
        <f ca="1">Master_List!$AW$27</f>
        <v>LVDB TX2</v>
      </c>
      <c r="AP132" s="20" t="str">
        <f ca="1">Master_List!$AW$28</f>
        <v>SUNPOWER TECHNOLOGIES</v>
      </c>
      <c r="AQ132" s="20" t="str">
        <f ca="1">Master_List!$AW$29</f>
        <v>SPS 30-10 L</v>
      </c>
      <c r="AR132" s="20" t="str">
        <f ca="1">Master_List!$AW$30</f>
        <v>11193-8527</v>
      </c>
      <c r="AS132" s="20">
        <f ca="1">Master_List!$AW$31</f>
        <v>0</v>
      </c>
      <c r="AT132" s="20">
        <f ca="1">Master_List!$AW$32</f>
        <v>0</v>
      </c>
      <c r="AU132" s="20">
        <f ca="1">Master_List!$AW$33</f>
        <v>0</v>
      </c>
      <c r="AV132" s="20">
        <f ca="1">Master_List!$AW$34</f>
        <v>0</v>
      </c>
      <c r="AW132" s="20">
        <f ca="1">Master_List!$AW$35</f>
        <v>0</v>
      </c>
      <c r="AX132" s="20">
        <f ca="1">Master_List!$AW$36</f>
        <v>0</v>
      </c>
      <c r="AY132" s="20">
        <f ca="1">Master_List!$AW$37</f>
        <v>0</v>
      </c>
      <c r="AZ132" s="20">
        <f ca="1">Master_List!$AW$38</f>
        <v>0</v>
      </c>
      <c r="BA132" s="20">
        <f ca="1">Master_List!$AW$39</f>
        <v>0</v>
      </c>
      <c r="BB132" s="20" t="s">
        <v>2240</v>
      </c>
      <c r="BC132" s="20" t="s">
        <v>2241</v>
      </c>
      <c r="BD132" s="6" t="s">
        <v>1744</v>
      </c>
      <c r="BE132" s="6" t="s">
        <v>1816</v>
      </c>
      <c r="BF132" s="6" t="s">
        <v>1746</v>
      </c>
      <c r="BG132" s="6" t="str">
        <f t="shared" si="2"/>
        <v>C:\Users\aremi\Desktop\REPORT CBM\PO 42289580 - Pahang 11kV SECOND CYCLE AZZAD 2026\RAW MATERIAL\047. TNB BARU (IR+VI)\RAW DATA\IR</v>
      </c>
      <c r="BH132" s="24" t="s">
        <v>663</v>
      </c>
    </row>
    <row r="133" spans="1:60" ht="30" customHeight="1" x14ac:dyDescent="0.25">
      <c r="A133" s="6">
        <v>66</v>
      </c>
      <c r="B133" s="6" t="s">
        <v>1552</v>
      </c>
      <c r="C133" s="6">
        <v>1</v>
      </c>
      <c r="D133" s="6" t="s">
        <v>2242</v>
      </c>
      <c r="E133" s="6">
        <v>66</v>
      </c>
      <c r="F133" s="6" t="str">
        <f ca="1">Master_List!$AW$1</f>
        <v>PERPUSTAKAAN PUSAT</v>
      </c>
      <c r="G133" s="27" t="str">
        <f ca="1">Master_List!$AW$2</f>
        <v>09:30 PM</v>
      </c>
      <c r="H133" s="32" t="str">
        <f ca="1">Master_List!$AW$3</f>
        <v>20/07/2026</v>
      </c>
      <c r="I133" s="28" t="str">
        <f ca="1">Master_List!$AW$4</f>
        <v>28.5</v>
      </c>
      <c r="J133" s="6" t="str">
        <f ca="1">Master_List!$AW$5</f>
        <v>65</v>
      </c>
      <c r="K133" s="6" t="s">
        <v>585</v>
      </c>
      <c r="L133" s="21" t="str">
        <f ca="1">IFERROR(VLOOKUP(B133, Master_List!$A:$I, 2, FALSE), "-")</f>
        <v/>
      </c>
      <c r="M133" s="22" t="str">
        <f ca="1">IFERROR(VLOOKUP(B133, Master_List!$A:$I, 3, FALSE), "-")</f>
        <v/>
      </c>
      <c r="N133" s="22" t="str">
        <f ca="1">IFERROR(VLOOKUP(B133, Master_List!$A:$I, 4, FALSE), "-")</f>
        <v/>
      </c>
      <c r="O133" s="22" t="str">
        <f ca="1">IFERROR(VLOOKUP(B133, Master_List!$A:$I, 5, FALSE), "-")</f>
        <v/>
      </c>
      <c r="P133" s="22" t="str">
        <f ca="1">IFERROR(VLOOKUP(B133, Master_List!$A:$I, 6, FALSE), "-")</f>
        <v/>
      </c>
      <c r="Q133" s="22" t="str">
        <f ca="1">IFERROR(VLOOKUP(B133, Master_List!$A:$I, 7, FALSE), "-")</f>
        <v/>
      </c>
      <c r="R133" s="22" t="str">
        <f ca="1">IFERROR(VLOOKUP(B133, Master_List!$A:$I, 8, FALSE), "-")</f>
        <v/>
      </c>
      <c r="S133" s="22" t="str">
        <f ca="1">IFERROR(VLOOKUP(B133, Master_List!$A:$I, 9, FALSE), "-")</f>
        <v/>
      </c>
      <c r="T133" s="20" t="str">
        <f ca="1">Master_List!$AW$6</f>
        <v>TOSHIBA</v>
      </c>
      <c r="U133" s="20" t="str">
        <f ca="1">Master_List!$AW$7</f>
        <v>MRMU</v>
      </c>
      <c r="V133" s="20" t="str">
        <f ca="1">Master_List!$AW$8</f>
        <v>12kV</v>
      </c>
      <c r="W133" s="20" t="str">
        <f ca="1">Master_List!$AW$9</f>
        <v>2S1F</v>
      </c>
      <c r="X133" s="20" t="str">
        <f ca="1">Master_List!$AW$10</f>
        <v>MTM</v>
      </c>
      <c r="Y133" s="20" t="str">
        <f ca="1">Master_List!$AW$11</f>
        <v>HERMETICALLY SEAL</v>
      </c>
      <c r="Z133" s="20" t="str">
        <f ca="1">Master_List!$AW$12</f>
        <v>750kVA</v>
      </c>
      <c r="AA133" s="20" t="str">
        <f ca="1">Master_List!$AW$13</f>
        <v>1317</v>
      </c>
      <c r="AB133" s="20">
        <f ca="1">Master_List!$AW$14</f>
        <v>0</v>
      </c>
      <c r="AC133" s="20">
        <f ca="1">Master_List!$AW$15</f>
        <v>0</v>
      </c>
      <c r="AD133" s="20">
        <f ca="1">Master_List!$AW$16</f>
        <v>0</v>
      </c>
      <c r="AE133" s="20">
        <f ca="1">Master_List!$AW$17</f>
        <v>0</v>
      </c>
      <c r="AF133" s="20" t="str">
        <f ca="1">Master_List!$AW$18</f>
        <v>INDKOM</v>
      </c>
      <c r="AG133" s="20" t="str">
        <f ca="1">Master_List!$AW$19</f>
        <v>J-SLOTTED</v>
      </c>
      <c r="AH133" s="20" t="str">
        <f ca="1">Master_List!$AW$20</f>
        <v>1600A</v>
      </c>
      <c r="AI133" s="20" t="str">
        <f ca="1">Master_List!$AW$21</f>
        <v>LV5080090</v>
      </c>
      <c r="AJ133" s="20" t="str">
        <f ca="1">Master_List!$AW$22</f>
        <v>LVDB TX1</v>
      </c>
      <c r="AK133" s="20">
        <f ca="1">Master_List!$AW$23</f>
        <v>0</v>
      </c>
      <c r="AL133" s="20">
        <f ca="1">Master_List!$AW$24</f>
        <v>0</v>
      </c>
      <c r="AM133" s="20">
        <f ca="1">Master_List!$AW$25</f>
        <v>0</v>
      </c>
      <c r="AN133" s="20">
        <f ca="1">Master_List!$AW$26</f>
        <v>0</v>
      </c>
      <c r="AO133" s="20" t="str">
        <f ca="1">Master_List!$AW$27</f>
        <v>LVDB TX2</v>
      </c>
      <c r="AP133" s="20" t="str">
        <f ca="1">Master_List!$AW$28</f>
        <v>SUNPOWER TECHNOLOGIES</v>
      </c>
      <c r="AQ133" s="20" t="str">
        <f ca="1">Master_List!$AW$29</f>
        <v>SPS 30-10 L</v>
      </c>
      <c r="AR133" s="20" t="str">
        <f ca="1">Master_List!$AW$30</f>
        <v>11193-8527</v>
      </c>
      <c r="AS133" s="20">
        <f ca="1">Master_List!$AW$31</f>
        <v>0</v>
      </c>
      <c r="AT133" s="20">
        <f ca="1">Master_List!$AW$32</f>
        <v>0</v>
      </c>
      <c r="AU133" s="20">
        <f ca="1">Master_List!$AW$33</f>
        <v>0</v>
      </c>
      <c r="AV133" s="20">
        <f ca="1">Master_List!$AW$34</f>
        <v>0</v>
      </c>
      <c r="AW133" s="20">
        <f ca="1">Master_List!$AW$35</f>
        <v>0</v>
      </c>
      <c r="AX133" s="20">
        <f ca="1">Master_List!$AW$36</f>
        <v>0</v>
      </c>
      <c r="AY133" s="20">
        <f ca="1">Master_List!$AW$37</f>
        <v>0</v>
      </c>
      <c r="AZ133" s="20">
        <f ca="1">Master_List!$AW$38</f>
        <v>0</v>
      </c>
      <c r="BA133" s="20">
        <f ca="1">Master_List!$AW$39</f>
        <v>0</v>
      </c>
      <c r="BB133" s="20" t="s">
        <v>2240</v>
      </c>
      <c r="BC133" s="20" t="s">
        <v>2241</v>
      </c>
      <c r="BD133" s="6" t="s">
        <v>1744</v>
      </c>
      <c r="BE133" s="6" t="s">
        <v>1816</v>
      </c>
      <c r="BF133" s="6" t="s">
        <v>1748</v>
      </c>
      <c r="BG133" s="6" t="str">
        <f t="shared" si="2"/>
        <v>C:\Users\aremi\Desktop\REPORT CBM\PO 42289580 - Pahang 11kV SECOND CYCLE AZZAD 2026\RAW MATERIAL\047. TNB BARU (IR+VI)\RAW DATA\IR</v>
      </c>
      <c r="BH133" s="24" t="s">
        <v>664</v>
      </c>
    </row>
    <row r="134" spans="1:60" ht="30" customHeight="1" x14ac:dyDescent="0.25">
      <c r="A134" s="6">
        <v>67</v>
      </c>
      <c r="B134" s="6" t="s">
        <v>1552</v>
      </c>
      <c r="C134" s="6">
        <v>1</v>
      </c>
      <c r="D134" s="6" t="s">
        <v>2243</v>
      </c>
      <c r="E134" s="6">
        <v>67</v>
      </c>
      <c r="F134" s="6" t="str">
        <f ca="1">Master_List!$AW$1</f>
        <v>PERPUSTAKAAN PUSAT</v>
      </c>
      <c r="G134" s="27" t="str">
        <f ca="1">Master_List!$AW$2</f>
        <v>09:30 PM</v>
      </c>
      <c r="H134" s="32" t="str">
        <f ca="1">Master_List!$AW$3</f>
        <v>20/07/2026</v>
      </c>
      <c r="I134" s="28" t="str">
        <f ca="1">Master_List!$AW$4</f>
        <v>28.5</v>
      </c>
      <c r="J134" s="6" t="str">
        <f ca="1">Master_List!$AW$5</f>
        <v>65</v>
      </c>
      <c r="K134" s="6" t="s">
        <v>588</v>
      </c>
      <c r="L134" s="21" t="str">
        <f ca="1">IFERROR(VLOOKUP(B134, Master_List!$A:$I, 2, FALSE), "-")</f>
        <v/>
      </c>
      <c r="M134" s="22" t="str">
        <f ca="1">IFERROR(VLOOKUP(B134, Master_List!$A:$I, 3, FALSE), "-")</f>
        <v/>
      </c>
      <c r="N134" s="22" t="str">
        <f ca="1">IFERROR(VLOOKUP(B134, Master_List!$A:$I, 4, FALSE), "-")</f>
        <v/>
      </c>
      <c r="O134" s="22" t="str">
        <f ca="1">IFERROR(VLOOKUP(B134, Master_List!$A:$I, 5, FALSE), "-")</f>
        <v/>
      </c>
      <c r="P134" s="22" t="str">
        <f ca="1">IFERROR(VLOOKUP(B134, Master_List!$A:$I, 6, FALSE), "-")</f>
        <v/>
      </c>
      <c r="Q134" s="22" t="str">
        <f ca="1">IFERROR(VLOOKUP(B134, Master_List!$A:$I, 7, FALSE), "-")</f>
        <v/>
      </c>
      <c r="R134" s="22" t="str">
        <f ca="1">IFERROR(VLOOKUP(B134, Master_List!$A:$I, 8, FALSE), "-")</f>
        <v/>
      </c>
      <c r="S134" s="22" t="str">
        <f ca="1">IFERROR(VLOOKUP(B134, Master_List!$A:$I, 9, FALSE), "-")</f>
        <v/>
      </c>
      <c r="T134" s="20" t="str">
        <f ca="1">Master_List!$AW$6</f>
        <v>TOSHIBA</v>
      </c>
      <c r="U134" s="20" t="str">
        <f ca="1">Master_List!$AW$7</f>
        <v>MRMU</v>
      </c>
      <c r="V134" s="20" t="str">
        <f ca="1">Master_List!$AW$8</f>
        <v>12kV</v>
      </c>
      <c r="W134" s="20" t="str">
        <f ca="1">Master_List!$AW$9</f>
        <v>2S1F</v>
      </c>
      <c r="X134" s="20" t="str">
        <f ca="1">Master_List!$AW$10</f>
        <v>MTM</v>
      </c>
      <c r="Y134" s="20" t="str">
        <f ca="1">Master_List!$AW$11</f>
        <v>HERMETICALLY SEAL</v>
      </c>
      <c r="Z134" s="20" t="str">
        <f ca="1">Master_List!$AW$12</f>
        <v>750kVA</v>
      </c>
      <c r="AA134" s="20" t="str">
        <f ca="1">Master_List!$AW$13</f>
        <v>1317</v>
      </c>
      <c r="AB134" s="20">
        <f ca="1">Master_List!$AW$14</f>
        <v>0</v>
      </c>
      <c r="AC134" s="20">
        <f ca="1">Master_List!$AW$15</f>
        <v>0</v>
      </c>
      <c r="AD134" s="20">
        <f ca="1">Master_List!$AW$16</f>
        <v>0</v>
      </c>
      <c r="AE134" s="20">
        <f ca="1">Master_List!$AW$17</f>
        <v>0</v>
      </c>
      <c r="AF134" s="20" t="str">
        <f ca="1">Master_List!$AW$18</f>
        <v>INDKOM</v>
      </c>
      <c r="AG134" s="20" t="str">
        <f ca="1">Master_List!$AW$19</f>
        <v>J-SLOTTED</v>
      </c>
      <c r="AH134" s="20" t="str">
        <f ca="1">Master_List!$AW$20</f>
        <v>1600A</v>
      </c>
      <c r="AI134" s="20" t="str">
        <f ca="1">Master_List!$AW$21</f>
        <v>LV5080090</v>
      </c>
      <c r="AJ134" s="20" t="str">
        <f ca="1">Master_List!$AW$22</f>
        <v>LVDB TX1</v>
      </c>
      <c r="AK134" s="20">
        <f ca="1">Master_List!$AW$23</f>
        <v>0</v>
      </c>
      <c r="AL134" s="20">
        <f ca="1">Master_List!$AW$24</f>
        <v>0</v>
      </c>
      <c r="AM134" s="20">
        <f ca="1">Master_List!$AW$25</f>
        <v>0</v>
      </c>
      <c r="AN134" s="20">
        <f ca="1">Master_List!$AW$26</f>
        <v>0</v>
      </c>
      <c r="AO134" s="20" t="str">
        <f ca="1">Master_List!$AW$27</f>
        <v>LVDB TX2</v>
      </c>
      <c r="AP134" s="20" t="str">
        <f ca="1">Master_List!$AW$28</f>
        <v>SUNPOWER TECHNOLOGIES</v>
      </c>
      <c r="AQ134" s="20" t="str">
        <f ca="1">Master_List!$AW$29</f>
        <v>SPS 30-10 L</v>
      </c>
      <c r="AR134" s="20" t="str">
        <f ca="1">Master_List!$AW$30</f>
        <v>11193-8527</v>
      </c>
      <c r="AS134" s="20">
        <f ca="1">Master_List!$AW$31</f>
        <v>0</v>
      </c>
      <c r="AT134" s="20">
        <f ca="1">Master_List!$AW$32</f>
        <v>0</v>
      </c>
      <c r="AU134" s="20">
        <f ca="1">Master_List!$AW$33</f>
        <v>0</v>
      </c>
      <c r="AV134" s="20">
        <f ca="1">Master_List!$AW$34</f>
        <v>0</v>
      </c>
      <c r="AW134" s="20">
        <f ca="1">Master_List!$AW$35</f>
        <v>0</v>
      </c>
      <c r="AX134" s="20">
        <f ca="1">Master_List!$AW$36</f>
        <v>0</v>
      </c>
      <c r="AY134" s="20">
        <f ca="1">Master_List!$AW$37</f>
        <v>0</v>
      </c>
      <c r="AZ134" s="20">
        <f ca="1">Master_List!$AW$38</f>
        <v>0</v>
      </c>
      <c r="BA134" s="20">
        <f ca="1">Master_List!$AW$39</f>
        <v>0</v>
      </c>
      <c r="BB134" s="20" t="s">
        <v>2240</v>
      </c>
      <c r="BC134" s="20" t="s">
        <v>2241</v>
      </c>
      <c r="BD134" s="6" t="s">
        <v>1744</v>
      </c>
      <c r="BE134" s="6" t="s">
        <v>1817</v>
      </c>
      <c r="BF134" s="6" t="s">
        <v>1746</v>
      </c>
      <c r="BG134" s="6" t="str">
        <f t="shared" si="2"/>
        <v>C:\Users\aremi\Desktop\REPORT CBM\PO 42289580 - Pahang 11kV SECOND CYCLE AZZAD 2026\RAW MATERIAL\047. TNB BARU (IR+VI)\RAW DATA\IR</v>
      </c>
      <c r="BH134" s="24" t="s">
        <v>665</v>
      </c>
    </row>
    <row r="135" spans="1:60" ht="30" customHeight="1" x14ac:dyDescent="0.25">
      <c r="A135" s="6">
        <v>67</v>
      </c>
      <c r="B135" s="6" t="s">
        <v>1552</v>
      </c>
      <c r="C135" s="6">
        <v>1</v>
      </c>
      <c r="D135" s="6" t="s">
        <v>2243</v>
      </c>
      <c r="E135" s="6">
        <v>67</v>
      </c>
      <c r="F135" s="6" t="str">
        <f ca="1">Master_List!$AW$1</f>
        <v>PERPUSTAKAAN PUSAT</v>
      </c>
      <c r="G135" s="27" t="str">
        <f ca="1">Master_List!$AW$2</f>
        <v>09:30 PM</v>
      </c>
      <c r="H135" s="32" t="str">
        <f ca="1">Master_List!$AW$3</f>
        <v>20/07/2026</v>
      </c>
      <c r="I135" s="28" t="str">
        <f ca="1">Master_List!$AW$4</f>
        <v>28.5</v>
      </c>
      <c r="J135" s="6" t="str">
        <f ca="1">Master_List!$AW$5</f>
        <v>65</v>
      </c>
      <c r="K135" s="6" t="s">
        <v>588</v>
      </c>
      <c r="L135" s="21" t="str">
        <f ca="1">IFERROR(VLOOKUP(B135, Master_List!$A:$I, 2, FALSE), "-")</f>
        <v/>
      </c>
      <c r="M135" s="22" t="str">
        <f ca="1">IFERROR(VLOOKUP(B135, Master_List!$A:$I, 3, FALSE), "-")</f>
        <v/>
      </c>
      <c r="N135" s="22" t="str">
        <f ca="1">IFERROR(VLOOKUP(B135, Master_List!$A:$I, 4, FALSE), "-")</f>
        <v/>
      </c>
      <c r="O135" s="22" t="str">
        <f ca="1">IFERROR(VLOOKUP(B135, Master_List!$A:$I, 5, FALSE), "-")</f>
        <v/>
      </c>
      <c r="P135" s="22" t="str">
        <f ca="1">IFERROR(VLOOKUP(B135, Master_List!$A:$I, 6, FALSE), "-")</f>
        <v/>
      </c>
      <c r="Q135" s="22" t="str">
        <f ca="1">IFERROR(VLOOKUP(B135, Master_List!$A:$I, 7, FALSE), "-")</f>
        <v/>
      </c>
      <c r="R135" s="22" t="str">
        <f ca="1">IFERROR(VLOOKUP(B135, Master_List!$A:$I, 8, FALSE), "-")</f>
        <v/>
      </c>
      <c r="S135" s="22" t="str">
        <f ca="1">IFERROR(VLOOKUP(B135, Master_List!$A:$I, 9, FALSE), "-")</f>
        <v/>
      </c>
      <c r="T135" s="20" t="str">
        <f ca="1">Master_List!$AW$6</f>
        <v>TOSHIBA</v>
      </c>
      <c r="U135" s="20" t="str">
        <f ca="1">Master_List!$AW$7</f>
        <v>MRMU</v>
      </c>
      <c r="V135" s="20" t="str">
        <f ca="1">Master_List!$AW$8</f>
        <v>12kV</v>
      </c>
      <c r="W135" s="20" t="str">
        <f ca="1">Master_List!$AW$9</f>
        <v>2S1F</v>
      </c>
      <c r="X135" s="20" t="str">
        <f ca="1">Master_List!$AW$10</f>
        <v>MTM</v>
      </c>
      <c r="Y135" s="20" t="str">
        <f ca="1">Master_List!$AW$11</f>
        <v>HERMETICALLY SEAL</v>
      </c>
      <c r="Z135" s="20" t="str">
        <f ca="1">Master_List!$AW$12</f>
        <v>750kVA</v>
      </c>
      <c r="AA135" s="20" t="str">
        <f ca="1">Master_List!$AW$13</f>
        <v>1317</v>
      </c>
      <c r="AB135" s="20">
        <f ca="1">Master_List!$AW$14</f>
        <v>0</v>
      </c>
      <c r="AC135" s="20">
        <f ca="1">Master_List!$AW$15</f>
        <v>0</v>
      </c>
      <c r="AD135" s="20">
        <f ca="1">Master_List!$AW$16</f>
        <v>0</v>
      </c>
      <c r="AE135" s="20">
        <f ca="1">Master_List!$AW$17</f>
        <v>0</v>
      </c>
      <c r="AF135" s="20" t="str">
        <f ca="1">Master_List!$AW$18</f>
        <v>INDKOM</v>
      </c>
      <c r="AG135" s="20" t="str">
        <f ca="1">Master_List!$AW$19</f>
        <v>J-SLOTTED</v>
      </c>
      <c r="AH135" s="20" t="str">
        <f ca="1">Master_List!$AW$20</f>
        <v>1600A</v>
      </c>
      <c r="AI135" s="20" t="str">
        <f ca="1">Master_List!$AW$21</f>
        <v>LV5080090</v>
      </c>
      <c r="AJ135" s="20" t="str">
        <f ca="1">Master_List!$AW$22</f>
        <v>LVDB TX1</v>
      </c>
      <c r="AK135" s="20">
        <f ca="1">Master_List!$AW$23</f>
        <v>0</v>
      </c>
      <c r="AL135" s="20">
        <f ca="1">Master_List!$AW$24</f>
        <v>0</v>
      </c>
      <c r="AM135" s="20">
        <f ca="1">Master_List!$AW$25</f>
        <v>0</v>
      </c>
      <c r="AN135" s="20">
        <f ca="1">Master_List!$AW$26</f>
        <v>0</v>
      </c>
      <c r="AO135" s="20" t="str">
        <f ca="1">Master_List!$AW$27</f>
        <v>LVDB TX2</v>
      </c>
      <c r="AP135" s="20" t="str">
        <f ca="1">Master_List!$AW$28</f>
        <v>SUNPOWER TECHNOLOGIES</v>
      </c>
      <c r="AQ135" s="20" t="str">
        <f ca="1">Master_List!$AW$29</f>
        <v>SPS 30-10 L</v>
      </c>
      <c r="AR135" s="20" t="str">
        <f ca="1">Master_List!$AW$30</f>
        <v>11193-8527</v>
      </c>
      <c r="AS135" s="20">
        <f ca="1">Master_List!$AW$31</f>
        <v>0</v>
      </c>
      <c r="AT135" s="20">
        <f ca="1">Master_List!$AW$32</f>
        <v>0</v>
      </c>
      <c r="AU135" s="20">
        <f ca="1">Master_List!$AW$33</f>
        <v>0</v>
      </c>
      <c r="AV135" s="20">
        <f ca="1">Master_List!$AW$34</f>
        <v>0</v>
      </c>
      <c r="AW135" s="20">
        <f ca="1">Master_List!$AW$35</f>
        <v>0</v>
      </c>
      <c r="AX135" s="20">
        <f ca="1">Master_List!$AW$36</f>
        <v>0</v>
      </c>
      <c r="AY135" s="20">
        <f ca="1">Master_List!$AW$37</f>
        <v>0</v>
      </c>
      <c r="AZ135" s="20">
        <f ca="1">Master_List!$AW$38</f>
        <v>0</v>
      </c>
      <c r="BA135" s="20">
        <f ca="1">Master_List!$AW$39</f>
        <v>0</v>
      </c>
      <c r="BB135" s="20" t="s">
        <v>2240</v>
      </c>
      <c r="BC135" s="20" t="s">
        <v>2241</v>
      </c>
      <c r="BD135" s="6" t="s">
        <v>1744</v>
      </c>
      <c r="BE135" s="6" t="s">
        <v>1817</v>
      </c>
      <c r="BF135" s="6" t="s">
        <v>1748</v>
      </c>
      <c r="BG135" s="6" t="str">
        <f t="shared" si="2"/>
        <v>C:\Users\aremi\Desktop\REPORT CBM\PO 42289580 - Pahang 11kV SECOND CYCLE AZZAD 2026\RAW MATERIAL\047. TNB BARU (IR+VI)\RAW DATA\IR</v>
      </c>
      <c r="BH135" s="24" t="s">
        <v>666</v>
      </c>
    </row>
    <row r="136" spans="1:60" ht="30" customHeight="1" x14ac:dyDescent="0.25">
      <c r="A136" s="6">
        <v>68</v>
      </c>
      <c r="B136" s="6" t="s">
        <v>1552</v>
      </c>
      <c r="C136" s="6">
        <v>1</v>
      </c>
      <c r="D136" s="6" t="s">
        <v>2244</v>
      </c>
      <c r="E136" s="6">
        <v>68</v>
      </c>
      <c r="F136" s="6" t="str">
        <f ca="1">Master_List!$AW$1</f>
        <v>PERPUSTAKAAN PUSAT</v>
      </c>
      <c r="G136" s="27" t="str">
        <f ca="1">Master_List!$AW$2</f>
        <v>09:30 PM</v>
      </c>
      <c r="H136" s="32" t="str">
        <f ca="1">Master_List!$AW$3</f>
        <v>20/07/2026</v>
      </c>
      <c r="I136" s="28" t="str">
        <f ca="1">Master_List!$AW$4</f>
        <v>28.5</v>
      </c>
      <c r="J136" s="6" t="str">
        <f ca="1">Master_List!$AW$5</f>
        <v>65</v>
      </c>
      <c r="K136" s="6" t="s">
        <v>591</v>
      </c>
      <c r="L136" s="21" t="str">
        <f ca="1">IFERROR(VLOOKUP(B136, Master_List!$A:$I, 2, FALSE), "-")</f>
        <v/>
      </c>
      <c r="M136" s="22" t="str">
        <f ca="1">IFERROR(VLOOKUP(B136, Master_List!$A:$I, 3, FALSE), "-")</f>
        <v/>
      </c>
      <c r="N136" s="22" t="str">
        <f ca="1">IFERROR(VLOOKUP(B136, Master_List!$A:$I, 4, FALSE), "-")</f>
        <v/>
      </c>
      <c r="O136" s="22" t="str">
        <f ca="1">IFERROR(VLOOKUP(B136, Master_List!$A:$I, 5, FALSE), "-")</f>
        <v/>
      </c>
      <c r="P136" s="22" t="str">
        <f ca="1">IFERROR(VLOOKUP(B136, Master_List!$A:$I, 6, FALSE), "-")</f>
        <v/>
      </c>
      <c r="Q136" s="22" t="str">
        <f ca="1">IFERROR(VLOOKUP(B136, Master_List!$A:$I, 7, FALSE), "-")</f>
        <v/>
      </c>
      <c r="R136" s="22" t="str">
        <f ca="1">IFERROR(VLOOKUP(B136, Master_List!$A:$I, 8, FALSE), "-")</f>
        <v/>
      </c>
      <c r="S136" s="22" t="str">
        <f ca="1">IFERROR(VLOOKUP(B136, Master_List!$A:$I, 9, FALSE), "-")</f>
        <v/>
      </c>
      <c r="T136" s="20" t="str">
        <f ca="1">Master_List!$AW$6</f>
        <v>TOSHIBA</v>
      </c>
      <c r="U136" s="20" t="str">
        <f ca="1">Master_List!$AW$7</f>
        <v>MRMU</v>
      </c>
      <c r="V136" s="20" t="str">
        <f ca="1">Master_List!$AW$8</f>
        <v>12kV</v>
      </c>
      <c r="W136" s="20" t="str">
        <f ca="1">Master_List!$AW$9</f>
        <v>2S1F</v>
      </c>
      <c r="X136" s="20" t="str">
        <f ca="1">Master_List!$AW$10</f>
        <v>MTM</v>
      </c>
      <c r="Y136" s="20" t="str">
        <f ca="1">Master_List!$AW$11</f>
        <v>HERMETICALLY SEAL</v>
      </c>
      <c r="Z136" s="20" t="str">
        <f ca="1">Master_List!$AW$12</f>
        <v>750kVA</v>
      </c>
      <c r="AA136" s="20" t="str">
        <f ca="1">Master_List!$AW$13</f>
        <v>1317</v>
      </c>
      <c r="AB136" s="20">
        <f ca="1">Master_List!$AW$14</f>
        <v>0</v>
      </c>
      <c r="AC136" s="20">
        <f ca="1">Master_List!$AW$15</f>
        <v>0</v>
      </c>
      <c r="AD136" s="20">
        <f ca="1">Master_List!$AW$16</f>
        <v>0</v>
      </c>
      <c r="AE136" s="20">
        <f ca="1">Master_List!$AW$17</f>
        <v>0</v>
      </c>
      <c r="AF136" s="20" t="str">
        <f ca="1">Master_List!$AW$18</f>
        <v>INDKOM</v>
      </c>
      <c r="AG136" s="20" t="str">
        <f ca="1">Master_List!$AW$19</f>
        <v>J-SLOTTED</v>
      </c>
      <c r="AH136" s="20" t="str">
        <f ca="1">Master_List!$AW$20</f>
        <v>1600A</v>
      </c>
      <c r="AI136" s="20" t="str">
        <f ca="1">Master_List!$AW$21</f>
        <v>LV5080090</v>
      </c>
      <c r="AJ136" s="20" t="str">
        <f ca="1">Master_List!$AW$22</f>
        <v>LVDB TX1</v>
      </c>
      <c r="AK136" s="20">
        <f ca="1">Master_List!$AW$23</f>
        <v>0</v>
      </c>
      <c r="AL136" s="20">
        <f ca="1">Master_List!$AW$24</f>
        <v>0</v>
      </c>
      <c r="AM136" s="20">
        <f ca="1">Master_List!$AW$25</f>
        <v>0</v>
      </c>
      <c r="AN136" s="20">
        <f ca="1">Master_List!$AW$26</f>
        <v>0</v>
      </c>
      <c r="AO136" s="20" t="str">
        <f ca="1">Master_List!$AW$27</f>
        <v>LVDB TX2</v>
      </c>
      <c r="AP136" s="20" t="str">
        <f ca="1">Master_List!$AW$28</f>
        <v>SUNPOWER TECHNOLOGIES</v>
      </c>
      <c r="AQ136" s="20" t="str">
        <f ca="1">Master_List!$AW$29</f>
        <v>SPS 30-10 L</v>
      </c>
      <c r="AR136" s="20" t="str">
        <f ca="1">Master_List!$AW$30</f>
        <v>11193-8527</v>
      </c>
      <c r="AS136" s="20">
        <f ca="1">Master_List!$AW$31</f>
        <v>0</v>
      </c>
      <c r="AT136" s="20">
        <f ca="1">Master_List!$AW$32</f>
        <v>0</v>
      </c>
      <c r="AU136" s="20">
        <f ca="1">Master_List!$AW$33</f>
        <v>0</v>
      </c>
      <c r="AV136" s="20">
        <f ca="1">Master_List!$AW$34</f>
        <v>0</v>
      </c>
      <c r="AW136" s="20">
        <f ca="1">Master_List!$AW$35</f>
        <v>0</v>
      </c>
      <c r="AX136" s="20">
        <f ca="1">Master_List!$AW$36</f>
        <v>0</v>
      </c>
      <c r="AY136" s="20">
        <f ca="1">Master_List!$AW$37</f>
        <v>0</v>
      </c>
      <c r="AZ136" s="20">
        <f ca="1">Master_List!$AW$38</f>
        <v>0</v>
      </c>
      <c r="BA136" s="20">
        <f ca="1">Master_List!$AW$39</f>
        <v>0</v>
      </c>
      <c r="BB136" s="20" t="s">
        <v>2240</v>
      </c>
      <c r="BC136" s="20" t="s">
        <v>2241</v>
      </c>
      <c r="BD136" s="6" t="s">
        <v>1744</v>
      </c>
      <c r="BE136" s="6" t="s">
        <v>1818</v>
      </c>
      <c r="BF136" s="6" t="s">
        <v>1746</v>
      </c>
      <c r="BG136" s="6" t="str">
        <f t="shared" si="2"/>
        <v>C:\Users\aremi\Desktop\REPORT CBM\PO 42289580 - Pahang 11kV SECOND CYCLE AZZAD 2026\RAW MATERIAL\047. TNB BARU (IR+VI)\RAW DATA\IR</v>
      </c>
      <c r="BH136" s="24" t="s">
        <v>667</v>
      </c>
    </row>
    <row r="137" spans="1:60" ht="30" customHeight="1" x14ac:dyDescent="0.25">
      <c r="A137" s="6">
        <v>68</v>
      </c>
      <c r="B137" s="6" t="s">
        <v>1552</v>
      </c>
      <c r="C137" s="6">
        <v>1</v>
      </c>
      <c r="D137" s="6" t="s">
        <v>2244</v>
      </c>
      <c r="E137" s="6">
        <v>68</v>
      </c>
      <c r="F137" s="6" t="str">
        <f ca="1">Master_List!$AW$1</f>
        <v>PERPUSTAKAAN PUSAT</v>
      </c>
      <c r="G137" s="27" t="str">
        <f ca="1">Master_List!$AW$2</f>
        <v>09:30 PM</v>
      </c>
      <c r="H137" s="32" t="str">
        <f ca="1">Master_List!$AW$3</f>
        <v>20/07/2026</v>
      </c>
      <c r="I137" s="28" t="str">
        <f ca="1">Master_List!$AW$4</f>
        <v>28.5</v>
      </c>
      <c r="J137" s="6" t="str">
        <f ca="1">Master_List!$AW$5</f>
        <v>65</v>
      </c>
      <c r="K137" s="6" t="s">
        <v>591</v>
      </c>
      <c r="L137" s="21" t="str">
        <f ca="1">IFERROR(VLOOKUP(B137, Master_List!$A:$I, 2, FALSE), "-")</f>
        <v/>
      </c>
      <c r="M137" s="22" t="str">
        <f ca="1">IFERROR(VLOOKUP(B137, Master_List!$A:$I, 3, FALSE), "-")</f>
        <v/>
      </c>
      <c r="N137" s="22" t="str">
        <f ca="1">IFERROR(VLOOKUP(B137, Master_List!$A:$I, 4, FALSE), "-")</f>
        <v/>
      </c>
      <c r="O137" s="22" t="str">
        <f ca="1">IFERROR(VLOOKUP(B137, Master_List!$A:$I, 5, FALSE), "-")</f>
        <v/>
      </c>
      <c r="P137" s="22" t="str">
        <f ca="1">IFERROR(VLOOKUP(B137, Master_List!$A:$I, 6, FALSE), "-")</f>
        <v/>
      </c>
      <c r="Q137" s="22" t="str">
        <f ca="1">IFERROR(VLOOKUP(B137, Master_List!$A:$I, 7, FALSE), "-")</f>
        <v/>
      </c>
      <c r="R137" s="22" t="str">
        <f ca="1">IFERROR(VLOOKUP(B137, Master_List!$A:$I, 8, FALSE), "-")</f>
        <v/>
      </c>
      <c r="S137" s="22" t="str">
        <f ca="1">IFERROR(VLOOKUP(B137, Master_List!$A:$I, 9, FALSE), "-")</f>
        <v/>
      </c>
      <c r="T137" s="20" t="str">
        <f ca="1">Master_List!$AW$6</f>
        <v>TOSHIBA</v>
      </c>
      <c r="U137" s="20" t="str">
        <f ca="1">Master_List!$AW$7</f>
        <v>MRMU</v>
      </c>
      <c r="V137" s="20" t="str">
        <f ca="1">Master_List!$AW$8</f>
        <v>12kV</v>
      </c>
      <c r="W137" s="20" t="str">
        <f ca="1">Master_List!$AW$9</f>
        <v>2S1F</v>
      </c>
      <c r="X137" s="20" t="str">
        <f ca="1">Master_List!$AW$10</f>
        <v>MTM</v>
      </c>
      <c r="Y137" s="20" t="str">
        <f ca="1">Master_List!$AW$11</f>
        <v>HERMETICALLY SEAL</v>
      </c>
      <c r="Z137" s="20" t="str">
        <f ca="1">Master_List!$AW$12</f>
        <v>750kVA</v>
      </c>
      <c r="AA137" s="20" t="str">
        <f ca="1">Master_List!$AW$13</f>
        <v>1317</v>
      </c>
      <c r="AB137" s="20">
        <f ca="1">Master_List!$AW$14</f>
        <v>0</v>
      </c>
      <c r="AC137" s="20">
        <f ca="1">Master_List!$AW$15</f>
        <v>0</v>
      </c>
      <c r="AD137" s="20">
        <f ca="1">Master_List!$AW$16</f>
        <v>0</v>
      </c>
      <c r="AE137" s="20">
        <f ca="1">Master_List!$AW$17</f>
        <v>0</v>
      </c>
      <c r="AF137" s="20" t="str">
        <f ca="1">Master_List!$AW$18</f>
        <v>INDKOM</v>
      </c>
      <c r="AG137" s="20" t="str">
        <f ca="1">Master_List!$AW$19</f>
        <v>J-SLOTTED</v>
      </c>
      <c r="AH137" s="20" t="str">
        <f ca="1">Master_List!$AW$20</f>
        <v>1600A</v>
      </c>
      <c r="AI137" s="20" t="str">
        <f ca="1">Master_List!$AW$21</f>
        <v>LV5080090</v>
      </c>
      <c r="AJ137" s="20" t="str">
        <f ca="1">Master_List!$AW$22</f>
        <v>LVDB TX1</v>
      </c>
      <c r="AK137" s="20">
        <f ca="1">Master_List!$AW$23</f>
        <v>0</v>
      </c>
      <c r="AL137" s="20">
        <f ca="1">Master_List!$AW$24</f>
        <v>0</v>
      </c>
      <c r="AM137" s="20">
        <f ca="1">Master_List!$AW$25</f>
        <v>0</v>
      </c>
      <c r="AN137" s="20">
        <f ca="1">Master_List!$AW$26</f>
        <v>0</v>
      </c>
      <c r="AO137" s="20" t="str">
        <f ca="1">Master_List!$AW$27</f>
        <v>LVDB TX2</v>
      </c>
      <c r="AP137" s="20" t="str">
        <f ca="1">Master_List!$AW$28</f>
        <v>SUNPOWER TECHNOLOGIES</v>
      </c>
      <c r="AQ137" s="20" t="str">
        <f ca="1">Master_List!$AW$29</f>
        <v>SPS 30-10 L</v>
      </c>
      <c r="AR137" s="20" t="str">
        <f ca="1">Master_List!$AW$30</f>
        <v>11193-8527</v>
      </c>
      <c r="AS137" s="20">
        <f ca="1">Master_List!$AW$31</f>
        <v>0</v>
      </c>
      <c r="AT137" s="20">
        <f ca="1">Master_List!$AW$32</f>
        <v>0</v>
      </c>
      <c r="AU137" s="20">
        <f ca="1">Master_List!$AW$33</f>
        <v>0</v>
      </c>
      <c r="AV137" s="20">
        <f ca="1">Master_List!$AW$34</f>
        <v>0</v>
      </c>
      <c r="AW137" s="20">
        <f ca="1">Master_List!$AW$35</f>
        <v>0</v>
      </c>
      <c r="AX137" s="20">
        <f ca="1">Master_List!$AW$36</f>
        <v>0</v>
      </c>
      <c r="AY137" s="20">
        <f ca="1">Master_List!$AW$37</f>
        <v>0</v>
      </c>
      <c r="AZ137" s="20">
        <f ca="1">Master_List!$AW$38</f>
        <v>0</v>
      </c>
      <c r="BA137" s="20">
        <f ca="1">Master_List!$AW$39</f>
        <v>0</v>
      </c>
      <c r="BB137" s="20" t="s">
        <v>2240</v>
      </c>
      <c r="BC137" s="20" t="s">
        <v>2241</v>
      </c>
      <c r="BD137" s="6" t="s">
        <v>1744</v>
      </c>
      <c r="BE137" s="6" t="s">
        <v>1818</v>
      </c>
      <c r="BF137" s="6" t="s">
        <v>1748</v>
      </c>
      <c r="BG137" s="6" t="str">
        <f t="shared" si="2"/>
        <v>C:\Users\aremi\Desktop\REPORT CBM\PO 42289580 - Pahang 11kV SECOND CYCLE AZZAD 2026\RAW MATERIAL\047. TNB BARU (IR+VI)\RAW DATA\IR</v>
      </c>
      <c r="BH137" s="24" t="s">
        <v>668</v>
      </c>
    </row>
    <row r="138" spans="1:60" ht="30" customHeight="1" x14ac:dyDescent="0.25">
      <c r="A138" s="6">
        <v>69</v>
      </c>
      <c r="B138" s="6" t="s">
        <v>1557</v>
      </c>
      <c r="C138" s="6">
        <v>1</v>
      </c>
      <c r="D138" s="6" t="s">
        <v>2242</v>
      </c>
      <c r="E138" s="6">
        <v>69</v>
      </c>
      <c r="F138" s="6" t="str">
        <f ca="1">Master_List!$AW$1</f>
        <v>PERPUSTAKAAN PUSAT</v>
      </c>
      <c r="G138" s="27" t="str">
        <f ca="1">Master_List!$AW$2</f>
        <v>09:30 PM</v>
      </c>
      <c r="H138" s="32" t="str">
        <f ca="1">Master_List!$AW$3</f>
        <v>20/07/2026</v>
      </c>
      <c r="I138" s="28" t="str">
        <f ca="1">Master_List!$AW$4</f>
        <v>28.5</v>
      </c>
      <c r="J138" s="6" t="str">
        <f ca="1">Master_List!$AW$5</f>
        <v>65</v>
      </c>
      <c r="K138" s="6" t="s">
        <v>570</v>
      </c>
      <c r="L138" s="21" t="str">
        <f ca="1">IFERROR(VLOOKUP(B138, Master_List!$A:$I, 2, FALSE), "-")</f>
        <v/>
      </c>
      <c r="M138" s="22" t="str">
        <f ca="1">IFERROR(VLOOKUP(B138, Master_List!$A:$I, 3, FALSE), "-")</f>
        <v/>
      </c>
      <c r="N138" s="22" t="str">
        <f ca="1">IFERROR(VLOOKUP(B138, Master_List!$A:$I, 4, FALSE), "-")</f>
        <v/>
      </c>
      <c r="O138" s="22" t="str">
        <f ca="1">IFERROR(VLOOKUP(B138, Master_List!$A:$I, 5, FALSE), "-")</f>
        <v/>
      </c>
      <c r="P138" s="22" t="str">
        <f ca="1">IFERROR(VLOOKUP(B138, Master_List!$A:$I, 6, FALSE), "-")</f>
        <v/>
      </c>
      <c r="Q138" s="22" t="str">
        <f ca="1">IFERROR(VLOOKUP(B138, Master_List!$A:$I, 7, FALSE), "-")</f>
        <v/>
      </c>
      <c r="R138" s="22" t="str">
        <f ca="1">IFERROR(VLOOKUP(B138, Master_List!$A:$I, 8, FALSE), "-")</f>
        <v/>
      </c>
      <c r="S138" s="22" t="str">
        <f ca="1">IFERROR(VLOOKUP(B138, Master_List!$A:$I, 9, FALSE), "-")</f>
        <v/>
      </c>
      <c r="T138" s="20" t="str">
        <f ca="1">Master_List!$AW$6</f>
        <v>TOSHIBA</v>
      </c>
      <c r="U138" s="20" t="str">
        <f ca="1">Master_List!$AW$7</f>
        <v>MRMU</v>
      </c>
      <c r="V138" s="20" t="str">
        <f ca="1">Master_List!$AW$8</f>
        <v>12kV</v>
      </c>
      <c r="W138" s="20" t="str">
        <f ca="1">Master_List!$AW$9</f>
        <v>2S1F</v>
      </c>
      <c r="X138" s="20" t="str">
        <f ca="1">Master_List!$AW$10</f>
        <v>MTM</v>
      </c>
      <c r="Y138" s="20" t="str">
        <f ca="1">Master_List!$AW$11</f>
        <v>HERMETICALLY SEAL</v>
      </c>
      <c r="Z138" s="20" t="str">
        <f ca="1">Master_List!$AW$12</f>
        <v>750kVA</v>
      </c>
      <c r="AA138" s="20" t="str">
        <f ca="1">Master_List!$AW$13</f>
        <v>1317</v>
      </c>
      <c r="AB138" s="20">
        <f ca="1">Master_List!$AW$14</f>
        <v>0</v>
      </c>
      <c r="AC138" s="20">
        <f ca="1">Master_List!$AW$15</f>
        <v>0</v>
      </c>
      <c r="AD138" s="20">
        <f ca="1">Master_List!$AW$16</f>
        <v>0</v>
      </c>
      <c r="AE138" s="20">
        <f ca="1">Master_List!$AW$17</f>
        <v>0</v>
      </c>
      <c r="AF138" s="20" t="str">
        <f ca="1">Master_List!$AW$18</f>
        <v>INDKOM</v>
      </c>
      <c r="AG138" s="20" t="str">
        <f ca="1">Master_List!$AW$19</f>
        <v>J-SLOTTED</v>
      </c>
      <c r="AH138" s="20" t="str">
        <f ca="1">Master_List!$AW$20</f>
        <v>1600A</v>
      </c>
      <c r="AI138" s="20" t="str">
        <f ca="1">Master_List!$AW$21</f>
        <v>LV5080090</v>
      </c>
      <c r="AJ138" s="20" t="str">
        <f ca="1">Master_List!$AW$22</f>
        <v>LVDB TX1</v>
      </c>
      <c r="AK138" s="20">
        <f ca="1">Master_List!$AW$23</f>
        <v>0</v>
      </c>
      <c r="AL138" s="20">
        <f ca="1">Master_List!$AW$24</f>
        <v>0</v>
      </c>
      <c r="AM138" s="20">
        <f ca="1">Master_List!$AW$25</f>
        <v>0</v>
      </c>
      <c r="AN138" s="20">
        <f ca="1">Master_List!$AW$26</f>
        <v>0</v>
      </c>
      <c r="AO138" s="20" t="str">
        <f ca="1">Master_List!$AW$27</f>
        <v>LVDB TX2</v>
      </c>
      <c r="AP138" s="20" t="str">
        <f ca="1">Master_List!$AW$28</f>
        <v>SUNPOWER TECHNOLOGIES</v>
      </c>
      <c r="AQ138" s="20" t="str">
        <f ca="1">Master_List!$AW$29</f>
        <v>SPS 30-10 L</v>
      </c>
      <c r="AR138" s="20" t="str">
        <f ca="1">Master_List!$AW$30</f>
        <v>11193-8527</v>
      </c>
      <c r="AS138" s="20">
        <f ca="1">Master_List!$AW$31</f>
        <v>0</v>
      </c>
      <c r="AT138" s="20">
        <f ca="1">Master_List!$AW$32</f>
        <v>0</v>
      </c>
      <c r="AU138" s="20">
        <f ca="1">Master_List!$AW$33</f>
        <v>0</v>
      </c>
      <c r="AV138" s="20">
        <f ca="1">Master_List!$AW$34</f>
        <v>0</v>
      </c>
      <c r="AW138" s="20">
        <f ca="1">Master_List!$AW$35</f>
        <v>0</v>
      </c>
      <c r="AX138" s="20">
        <f ca="1">Master_List!$AW$36</f>
        <v>0</v>
      </c>
      <c r="AY138" s="20">
        <f ca="1">Master_List!$AW$37</f>
        <v>0</v>
      </c>
      <c r="AZ138" s="20">
        <f ca="1">Master_List!$AW$38</f>
        <v>0</v>
      </c>
      <c r="BA138" s="20">
        <f ca="1">Master_List!$AW$39</f>
        <v>0</v>
      </c>
      <c r="BB138" s="20" t="s">
        <v>2240</v>
      </c>
      <c r="BC138" s="20" t="s">
        <v>2241</v>
      </c>
      <c r="BD138" s="6" t="s">
        <v>1744</v>
      </c>
      <c r="BE138" s="6" t="s">
        <v>1819</v>
      </c>
      <c r="BF138" s="6" t="s">
        <v>1746</v>
      </c>
      <c r="BG138" s="6" t="str">
        <f t="shared" si="2"/>
        <v>C:\Users\aremi\Desktop\REPORT CBM\PO 42289580 - Pahang 11kV SECOND CYCLE AZZAD 2026\RAW MATERIAL\047. TNB BARU (IR+VI)\RAW DATA\IR</v>
      </c>
      <c r="BH138" s="24" t="s">
        <v>669</v>
      </c>
    </row>
    <row r="139" spans="1:60" ht="30" customHeight="1" x14ac:dyDescent="0.25">
      <c r="A139" s="6">
        <v>69</v>
      </c>
      <c r="B139" s="6" t="s">
        <v>1557</v>
      </c>
      <c r="C139" s="6">
        <v>1</v>
      </c>
      <c r="D139" s="6" t="s">
        <v>2242</v>
      </c>
      <c r="E139" s="6">
        <v>69</v>
      </c>
      <c r="F139" s="6" t="str">
        <f ca="1">Master_List!$AW$1</f>
        <v>PERPUSTAKAAN PUSAT</v>
      </c>
      <c r="G139" s="27" t="str">
        <f ca="1">Master_List!$AW$2</f>
        <v>09:30 PM</v>
      </c>
      <c r="H139" s="32" t="str">
        <f ca="1">Master_List!$AW$3</f>
        <v>20/07/2026</v>
      </c>
      <c r="I139" s="28" t="str">
        <f ca="1">Master_List!$AW$4</f>
        <v>28.5</v>
      </c>
      <c r="J139" s="6" t="str">
        <f ca="1">Master_List!$AW$5</f>
        <v>65</v>
      </c>
      <c r="K139" s="6" t="s">
        <v>570</v>
      </c>
      <c r="L139" s="21" t="str">
        <f ca="1">IFERROR(VLOOKUP(B139, Master_List!$A:$I, 2, FALSE), "-")</f>
        <v/>
      </c>
      <c r="M139" s="22" t="str">
        <f ca="1">IFERROR(VLOOKUP(B139, Master_List!$A:$I, 3, FALSE), "-")</f>
        <v/>
      </c>
      <c r="N139" s="22" t="str">
        <f ca="1">IFERROR(VLOOKUP(B139, Master_List!$A:$I, 4, FALSE), "-")</f>
        <v/>
      </c>
      <c r="O139" s="22" t="str">
        <f ca="1">IFERROR(VLOOKUP(B139, Master_List!$A:$I, 5, FALSE), "-")</f>
        <v/>
      </c>
      <c r="P139" s="22" t="str">
        <f ca="1">IFERROR(VLOOKUP(B139, Master_List!$A:$I, 6, FALSE), "-")</f>
        <v/>
      </c>
      <c r="Q139" s="22" t="str">
        <f ca="1">IFERROR(VLOOKUP(B139, Master_List!$A:$I, 7, FALSE), "-")</f>
        <v/>
      </c>
      <c r="R139" s="22" t="str">
        <f ca="1">IFERROR(VLOOKUP(B139, Master_List!$A:$I, 8, FALSE), "-")</f>
        <v/>
      </c>
      <c r="S139" s="22" t="str">
        <f ca="1">IFERROR(VLOOKUP(B139, Master_List!$A:$I, 9, FALSE), "-")</f>
        <v/>
      </c>
      <c r="T139" s="20" t="str">
        <f ca="1">Master_List!$AW$6</f>
        <v>TOSHIBA</v>
      </c>
      <c r="U139" s="20" t="str">
        <f ca="1">Master_List!$AW$7</f>
        <v>MRMU</v>
      </c>
      <c r="V139" s="20" t="str">
        <f ca="1">Master_List!$AW$8</f>
        <v>12kV</v>
      </c>
      <c r="W139" s="20" t="str">
        <f ca="1">Master_List!$AW$9</f>
        <v>2S1F</v>
      </c>
      <c r="X139" s="20" t="str">
        <f ca="1">Master_List!$AW$10</f>
        <v>MTM</v>
      </c>
      <c r="Y139" s="20" t="str">
        <f ca="1">Master_List!$AW$11</f>
        <v>HERMETICALLY SEAL</v>
      </c>
      <c r="Z139" s="20" t="str">
        <f ca="1">Master_List!$AW$12</f>
        <v>750kVA</v>
      </c>
      <c r="AA139" s="20" t="str">
        <f ca="1">Master_List!$AW$13</f>
        <v>1317</v>
      </c>
      <c r="AB139" s="20">
        <f ca="1">Master_List!$AW$14</f>
        <v>0</v>
      </c>
      <c r="AC139" s="20">
        <f ca="1">Master_List!$AW$15</f>
        <v>0</v>
      </c>
      <c r="AD139" s="20">
        <f ca="1">Master_List!$AW$16</f>
        <v>0</v>
      </c>
      <c r="AE139" s="20">
        <f ca="1">Master_List!$AW$17</f>
        <v>0</v>
      </c>
      <c r="AF139" s="20" t="str">
        <f ca="1">Master_List!$AW$18</f>
        <v>INDKOM</v>
      </c>
      <c r="AG139" s="20" t="str">
        <f ca="1">Master_List!$AW$19</f>
        <v>J-SLOTTED</v>
      </c>
      <c r="AH139" s="20" t="str">
        <f ca="1">Master_List!$AW$20</f>
        <v>1600A</v>
      </c>
      <c r="AI139" s="20" t="str">
        <f ca="1">Master_List!$AW$21</f>
        <v>LV5080090</v>
      </c>
      <c r="AJ139" s="20" t="str">
        <f ca="1">Master_List!$AW$22</f>
        <v>LVDB TX1</v>
      </c>
      <c r="AK139" s="20">
        <f ca="1">Master_List!$AW$23</f>
        <v>0</v>
      </c>
      <c r="AL139" s="20">
        <f ca="1">Master_List!$AW$24</f>
        <v>0</v>
      </c>
      <c r="AM139" s="20">
        <f ca="1">Master_List!$AW$25</f>
        <v>0</v>
      </c>
      <c r="AN139" s="20">
        <f ca="1">Master_List!$AW$26</f>
        <v>0</v>
      </c>
      <c r="AO139" s="20" t="str">
        <f ca="1">Master_List!$AW$27</f>
        <v>LVDB TX2</v>
      </c>
      <c r="AP139" s="20" t="str">
        <f ca="1">Master_List!$AW$28</f>
        <v>SUNPOWER TECHNOLOGIES</v>
      </c>
      <c r="AQ139" s="20" t="str">
        <f ca="1">Master_List!$AW$29</f>
        <v>SPS 30-10 L</v>
      </c>
      <c r="AR139" s="20" t="str">
        <f ca="1">Master_List!$AW$30</f>
        <v>11193-8527</v>
      </c>
      <c r="AS139" s="20">
        <f ca="1">Master_List!$AW$31</f>
        <v>0</v>
      </c>
      <c r="AT139" s="20">
        <f ca="1">Master_List!$AW$32</f>
        <v>0</v>
      </c>
      <c r="AU139" s="20">
        <f ca="1">Master_List!$AW$33</f>
        <v>0</v>
      </c>
      <c r="AV139" s="20">
        <f ca="1">Master_List!$AW$34</f>
        <v>0</v>
      </c>
      <c r="AW139" s="20">
        <f ca="1">Master_List!$AW$35</f>
        <v>0</v>
      </c>
      <c r="AX139" s="20">
        <f ca="1">Master_List!$AW$36</f>
        <v>0</v>
      </c>
      <c r="AY139" s="20">
        <f ca="1">Master_List!$AW$37</f>
        <v>0</v>
      </c>
      <c r="AZ139" s="20">
        <f ca="1">Master_List!$AW$38</f>
        <v>0</v>
      </c>
      <c r="BA139" s="20">
        <f ca="1">Master_List!$AW$39</f>
        <v>0</v>
      </c>
      <c r="BB139" s="20" t="s">
        <v>2240</v>
      </c>
      <c r="BC139" s="20" t="s">
        <v>2241</v>
      </c>
      <c r="BD139" s="6" t="s">
        <v>1744</v>
      </c>
      <c r="BE139" s="6" t="s">
        <v>1819</v>
      </c>
      <c r="BF139" s="6" t="s">
        <v>1748</v>
      </c>
      <c r="BG139" s="6" t="str">
        <f t="shared" si="2"/>
        <v>C:\Users\aremi\Desktop\REPORT CBM\PO 42289580 - Pahang 11kV SECOND CYCLE AZZAD 2026\RAW MATERIAL\047. TNB BARU (IR+VI)\RAW DATA\IR</v>
      </c>
      <c r="BH139" s="24" t="s">
        <v>670</v>
      </c>
    </row>
    <row r="140" spans="1:60" ht="30" customHeight="1" x14ac:dyDescent="0.25">
      <c r="A140" s="6">
        <v>70</v>
      </c>
      <c r="B140" s="6" t="s">
        <v>1557</v>
      </c>
      <c r="C140" s="6">
        <v>1</v>
      </c>
      <c r="D140" s="6" t="s">
        <v>2242</v>
      </c>
      <c r="E140" s="6">
        <v>70</v>
      </c>
      <c r="F140" s="6" t="str">
        <f ca="1">Master_List!$AW$1</f>
        <v>PERPUSTAKAAN PUSAT</v>
      </c>
      <c r="G140" s="27" t="str">
        <f ca="1">Master_List!$AW$2</f>
        <v>09:30 PM</v>
      </c>
      <c r="H140" s="32" t="str">
        <f ca="1">Master_List!$AW$3</f>
        <v>20/07/2026</v>
      </c>
      <c r="I140" s="28" t="str">
        <f ca="1">Master_List!$AW$4</f>
        <v>28.5</v>
      </c>
      <c r="J140" s="6" t="str">
        <f ca="1">Master_List!$AW$5</f>
        <v>65</v>
      </c>
      <c r="K140" s="6" t="s">
        <v>573</v>
      </c>
      <c r="L140" s="21" t="str">
        <f ca="1">IFERROR(VLOOKUP(B140, Master_List!$A:$I, 2, FALSE), "-")</f>
        <v/>
      </c>
      <c r="M140" s="22" t="str">
        <f ca="1">IFERROR(VLOOKUP(B140, Master_List!$A:$I, 3, FALSE), "-")</f>
        <v/>
      </c>
      <c r="N140" s="22" t="str">
        <f ca="1">IFERROR(VLOOKUP(B140, Master_List!$A:$I, 4, FALSE), "-")</f>
        <v/>
      </c>
      <c r="O140" s="22" t="str">
        <f ca="1">IFERROR(VLOOKUP(B140, Master_List!$A:$I, 5, FALSE), "-")</f>
        <v/>
      </c>
      <c r="P140" s="22" t="str">
        <f ca="1">IFERROR(VLOOKUP(B140, Master_List!$A:$I, 6, FALSE), "-")</f>
        <v/>
      </c>
      <c r="Q140" s="22" t="str">
        <f ca="1">IFERROR(VLOOKUP(B140, Master_List!$A:$I, 7, FALSE), "-")</f>
        <v/>
      </c>
      <c r="R140" s="22" t="str">
        <f ca="1">IFERROR(VLOOKUP(B140, Master_List!$A:$I, 8, FALSE), "-")</f>
        <v/>
      </c>
      <c r="S140" s="22" t="str">
        <f ca="1">IFERROR(VLOOKUP(B140, Master_List!$A:$I, 9, FALSE), "-")</f>
        <v/>
      </c>
      <c r="T140" s="20" t="str">
        <f ca="1">Master_List!$AW$6</f>
        <v>TOSHIBA</v>
      </c>
      <c r="U140" s="20" t="str">
        <f ca="1">Master_List!$AW$7</f>
        <v>MRMU</v>
      </c>
      <c r="V140" s="20" t="str">
        <f ca="1">Master_List!$AW$8</f>
        <v>12kV</v>
      </c>
      <c r="W140" s="20" t="str">
        <f ca="1">Master_List!$AW$9</f>
        <v>2S1F</v>
      </c>
      <c r="X140" s="20" t="str">
        <f ca="1">Master_List!$AW$10</f>
        <v>MTM</v>
      </c>
      <c r="Y140" s="20" t="str">
        <f ca="1">Master_List!$AW$11</f>
        <v>HERMETICALLY SEAL</v>
      </c>
      <c r="Z140" s="20" t="str">
        <f ca="1">Master_List!$AW$12</f>
        <v>750kVA</v>
      </c>
      <c r="AA140" s="20" t="str">
        <f ca="1">Master_List!$AW$13</f>
        <v>1317</v>
      </c>
      <c r="AB140" s="20">
        <f ca="1">Master_List!$AW$14</f>
        <v>0</v>
      </c>
      <c r="AC140" s="20">
        <f ca="1">Master_List!$AW$15</f>
        <v>0</v>
      </c>
      <c r="AD140" s="20">
        <f ca="1">Master_List!$AW$16</f>
        <v>0</v>
      </c>
      <c r="AE140" s="20">
        <f ca="1">Master_List!$AW$17</f>
        <v>0</v>
      </c>
      <c r="AF140" s="20" t="str">
        <f ca="1">Master_List!$AW$18</f>
        <v>INDKOM</v>
      </c>
      <c r="AG140" s="20" t="str">
        <f ca="1">Master_List!$AW$19</f>
        <v>J-SLOTTED</v>
      </c>
      <c r="AH140" s="20" t="str">
        <f ca="1">Master_List!$AW$20</f>
        <v>1600A</v>
      </c>
      <c r="AI140" s="20" t="str">
        <f ca="1">Master_List!$AW$21</f>
        <v>LV5080090</v>
      </c>
      <c r="AJ140" s="20" t="str">
        <f ca="1">Master_List!$AW$22</f>
        <v>LVDB TX1</v>
      </c>
      <c r="AK140" s="20">
        <f ca="1">Master_List!$AW$23</f>
        <v>0</v>
      </c>
      <c r="AL140" s="20">
        <f ca="1">Master_List!$AW$24</f>
        <v>0</v>
      </c>
      <c r="AM140" s="20">
        <f ca="1">Master_List!$AW$25</f>
        <v>0</v>
      </c>
      <c r="AN140" s="20">
        <f ca="1">Master_List!$AW$26</f>
        <v>0</v>
      </c>
      <c r="AO140" s="20" t="str">
        <f ca="1">Master_List!$AW$27</f>
        <v>LVDB TX2</v>
      </c>
      <c r="AP140" s="20" t="str">
        <f ca="1">Master_List!$AW$28</f>
        <v>SUNPOWER TECHNOLOGIES</v>
      </c>
      <c r="AQ140" s="20" t="str">
        <f ca="1">Master_List!$AW$29</f>
        <v>SPS 30-10 L</v>
      </c>
      <c r="AR140" s="20" t="str">
        <f ca="1">Master_List!$AW$30</f>
        <v>11193-8527</v>
      </c>
      <c r="AS140" s="20">
        <f ca="1">Master_List!$AW$31</f>
        <v>0</v>
      </c>
      <c r="AT140" s="20">
        <f ca="1">Master_List!$AW$32</f>
        <v>0</v>
      </c>
      <c r="AU140" s="20">
        <f ca="1">Master_List!$AW$33</f>
        <v>0</v>
      </c>
      <c r="AV140" s="20">
        <f ca="1">Master_List!$AW$34</f>
        <v>0</v>
      </c>
      <c r="AW140" s="20">
        <f ca="1">Master_List!$AW$35</f>
        <v>0</v>
      </c>
      <c r="AX140" s="20">
        <f ca="1">Master_List!$AW$36</f>
        <v>0</v>
      </c>
      <c r="AY140" s="20">
        <f ca="1">Master_List!$AW$37</f>
        <v>0</v>
      </c>
      <c r="AZ140" s="20">
        <f ca="1">Master_List!$AW$38</f>
        <v>0</v>
      </c>
      <c r="BA140" s="20">
        <f ca="1">Master_List!$AW$39</f>
        <v>0</v>
      </c>
      <c r="BB140" s="20" t="s">
        <v>2240</v>
      </c>
      <c r="BC140" s="20" t="s">
        <v>2241</v>
      </c>
      <c r="BD140" s="6" t="s">
        <v>1744</v>
      </c>
      <c r="BE140" s="6" t="s">
        <v>1820</v>
      </c>
      <c r="BF140" s="6" t="s">
        <v>1746</v>
      </c>
      <c r="BG140" s="6" t="str">
        <f t="shared" si="2"/>
        <v>C:\Users\aremi\Desktop\REPORT CBM\PO 42289580 - Pahang 11kV SECOND CYCLE AZZAD 2026\RAW MATERIAL\047. TNB BARU (IR+VI)\RAW DATA\IR</v>
      </c>
      <c r="BH140" s="24" t="s">
        <v>671</v>
      </c>
    </row>
    <row r="141" spans="1:60" ht="30" customHeight="1" x14ac:dyDescent="0.25">
      <c r="A141" s="6">
        <v>70</v>
      </c>
      <c r="B141" s="6" t="s">
        <v>1557</v>
      </c>
      <c r="C141" s="6">
        <v>1</v>
      </c>
      <c r="D141" s="6" t="s">
        <v>2242</v>
      </c>
      <c r="E141" s="6">
        <v>70</v>
      </c>
      <c r="F141" s="6" t="str">
        <f ca="1">Master_List!$AW$1</f>
        <v>PERPUSTAKAAN PUSAT</v>
      </c>
      <c r="G141" s="27" t="str">
        <f ca="1">Master_List!$AW$2</f>
        <v>09:30 PM</v>
      </c>
      <c r="H141" s="32" t="str">
        <f ca="1">Master_List!$AW$3</f>
        <v>20/07/2026</v>
      </c>
      <c r="I141" s="28" t="str">
        <f ca="1">Master_List!$AW$4</f>
        <v>28.5</v>
      </c>
      <c r="J141" s="6" t="str">
        <f ca="1">Master_List!$AW$5</f>
        <v>65</v>
      </c>
      <c r="K141" s="6" t="s">
        <v>573</v>
      </c>
      <c r="L141" s="21" t="str">
        <f ca="1">IFERROR(VLOOKUP(B141, Master_List!$A:$I, 2, FALSE), "-")</f>
        <v/>
      </c>
      <c r="M141" s="22" t="str">
        <f ca="1">IFERROR(VLOOKUP(B141, Master_List!$A:$I, 3, FALSE), "-")</f>
        <v/>
      </c>
      <c r="N141" s="22" t="str">
        <f ca="1">IFERROR(VLOOKUP(B141, Master_List!$A:$I, 4, FALSE), "-")</f>
        <v/>
      </c>
      <c r="O141" s="22" t="str">
        <f ca="1">IFERROR(VLOOKUP(B141, Master_List!$A:$I, 5, FALSE), "-")</f>
        <v/>
      </c>
      <c r="P141" s="22" t="str">
        <f ca="1">IFERROR(VLOOKUP(B141, Master_List!$A:$I, 6, FALSE), "-")</f>
        <v/>
      </c>
      <c r="Q141" s="22" t="str">
        <f ca="1">IFERROR(VLOOKUP(B141, Master_List!$A:$I, 7, FALSE), "-")</f>
        <v/>
      </c>
      <c r="R141" s="22" t="str">
        <f ca="1">IFERROR(VLOOKUP(B141, Master_List!$A:$I, 8, FALSE), "-")</f>
        <v/>
      </c>
      <c r="S141" s="22" t="str">
        <f ca="1">IFERROR(VLOOKUP(B141, Master_List!$A:$I, 9, FALSE), "-")</f>
        <v/>
      </c>
      <c r="T141" s="20" t="str">
        <f ca="1">Master_List!$AW$6</f>
        <v>TOSHIBA</v>
      </c>
      <c r="U141" s="20" t="str">
        <f ca="1">Master_List!$AW$7</f>
        <v>MRMU</v>
      </c>
      <c r="V141" s="20" t="str">
        <f ca="1">Master_List!$AW$8</f>
        <v>12kV</v>
      </c>
      <c r="W141" s="20" t="str">
        <f ca="1">Master_List!$AW$9</f>
        <v>2S1F</v>
      </c>
      <c r="X141" s="20" t="str">
        <f ca="1">Master_List!$AW$10</f>
        <v>MTM</v>
      </c>
      <c r="Y141" s="20" t="str">
        <f ca="1">Master_List!$AW$11</f>
        <v>HERMETICALLY SEAL</v>
      </c>
      <c r="Z141" s="20" t="str">
        <f ca="1">Master_List!$AW$12</f>
        <v>750kVA</v>
      </c>
      <c r="AA141" s="20" t="str">
        <f ca="1">Master_List!$AW$13</f>
        <v>1317</v>
      </c>
      <c r="AB141" s="20">
        <f ca="1">Master_List!$AW$14</f>
        <v>0</v>
      </c>
      <c r="AC141" s="20">
        <f ca="1">Master_List!$AW$15</f>
        <v>0</v>
      </c>
      <c r="AD141" s="20">
        <f ca="1">Master_List!$AW$16</f>
        <v>0</v>
      </c>
      <c r="AE141" s="20">
        <f ca="1">Master_List!$AW$17</f>
        <v>0</v>
      </c>
      <c r="AF141" s="20" t="str">
        <f ca="1">Master_List!$AW$18</f>
        <v>INDKOM</v>
      </c>
      <c r="AG141" s="20" t="str">
        <f ca="1">Master_List!$AW$19</f>
        <v>J-SLOTTED</v>
      </c>
      <c r="AH141" s="20" t="str">
        <f ca="1">Master_List!$AW$20</f>
        <v>1600A</v>
      </c>
      <c r="AI141" s="20" t="str">
        <f ca="1">Master_List!$AW$21</f>
        <v>LV5080090</v>
      </c>
      <c r="AJ141" s="20" t="str">
        <f ca="1">Master_List!$AW$22</f>
        <v>LVDB TX1</v>
      </c>
      <c r="AK141" s="20">
        <f ca="1">Master_List!$AW$23</f>
        <v>0</v>
      </c>
      <c r="AL141" s="20">
        <f ca="1">Master_List!$AW$24</f>
        <v>0</v>
      </c>
      <c r="AM141" s="20">
        <f ca="1">Master_List!$AW$25</f>
        <v>0</v>
      </c>
      <c r="AN141" s="20">
        <f ca="1">Master_List!$AW$26</f>
        <v>0</v>
      </c>
      <c r="AO141" s="20" t="str">
        <f ca="1">Master_List!$AW$27</f>
        <v>LVDB TX2</v>
      </c>
      <c r="AP141" s="20" t="str">
        <f ca="1">Master_List!$AW$28</f>
        <v>SUNPOWER TECHNOLOGIES</v>
      </c>
      <c r="AQ141" s="20" t="str">
        <f ca="1">Master_List!$AW$29</f>
        <v>SPS 30-10 L</v>
      </c>
      <c r="AR141" s="20" t="str">
        <f ca="1">Master_List!$AW$30</f>
        <v>11193-8527</v>
      </c>
      <c r="AS141" s="20">
        <f ca="1">Master_List!$AW$31</f>
        <v>0</v>
      </c>
      <c r="AT141" s="20">
        <f ca="1">Master_List!$AW$32</f>
        <v>0</v>
      </c>
      <c r="AU141" s="20">
        <f ca="1">Master_List!$AW$33</f>
        <v>0</v>
      </c>
      <c r="AV141" s="20">
        <f ca="1">Master_List!$AW$34</f>
        <v>0</v>
      </c>
      <c r="AW141" s="20">
        <f ca="1">Master_List!$AW$35</f>
        <v>0</v>
      </c>
      <c r="AX141" s="20">
        <f ca="1">Master_List!$AW$36</f>
        <v>0</v>
      </c>
      <c r="AY141" s="20">
        <f ca="1">Master_List!$AW$37</f>
        <v>0</v>
      </c>
      <c r="AZ141" s="20">
        <f ca="1">Master_List!$AW$38</f>
        <v>0</v>
      </c>
      <c r="BA141" s="20">
        <f ca="1">Master_List!$AW$39</f>
        <v>0</v>
      </c>
      <c r="BB141" s="20" t="s">
        <v>2240</v>
      </c>
      <c r="BC141" s="20" t="s">
        <v>2241</v>
      </c>
      <c r="BD141" s="6" t="s">
        <v>1744</v>
      </c>
      <c r="BE141" s="6" t="s">
        <v>1820</v>
      </c>
      <c r="BF141" s="6" t="s">
        <v>1748</v>
      </c>
      <c r="BG141" s="6" t="str">
        <f t="shared" si="2"/>
        <v>C:\Users\aremi\Desktop\REPORT CBM\PO 42289580 - Pahang 11kV SECOND CYCLE AZZAD 2026\RAW MATERIAL\047. TNB BARU (IR+VI)\RAW DATA\IR</v>
      </c>
      <c r="BH141" s="24" t="s">
        <v>672</v>
      </c>
    </row>
    <row r="142" spans="1:60" ht="30" customHeight="1" x14ac:dyDescent="0.25">
      <c r="A142" s="6">
        <v>71</v>
      </c>
      <c r="B142" s="6" t="s">
        <v>1557</v>
      </c>
      <c r="C142" s="6">
        <v>1</v>
      </c>
      <c r="D142" s="6" t="s">
        <v>2242</v>
      </c>
      <c r="E142" s="6">
        <v>71</v>
      </c>
      <c r="F142" s="6" t="str">
        <f ca="1">Master_List!$AW$1</f>
        <v>PERPUSTAKAAN PUSAT</v>
      </c>
      <c r="G142" s="27" t="str">
        <f ca="1">Master_List!$AW$2</f>
        <v>09:30 PM</v>
      </c>
      <c r="H142" s="32" t="str">
        <f ca="1">Master_List!$AW$3</f>
        <v>20/07/2026</v>
      </c>
      <c r="I142" s="28" t="str">
        <f ca="1">Master_List!$AW$4</f>
        <v>28.5</v>
      </c>
      <c r="J142" s="6" t="str">
        <f ca="1">Master_List!$AW$5</f>
        <v>65</v>
      </c>
      <c r="K142" s="6" t="s">
        <v>576</v>
      </c>
      <c r="L142" s="21" t="str">
        <f ca="1">IFERROR(VLOOKUP(B142, Master_List!$A:$I, 2, FALSE), "-")</f>
        <v/>
      </c>
      <c r="M142" s="22" t="str">
        <f ca="1">IFERROR(VLOOKUP(B142, Master_List!$A:$I, 3, FALSE), "-")</f>
        <v/>
      </c>
      <c r="N142" s="22" t="str">
        <f ca="1">IFERROR(VLOOKUP(B142, Master_List!$A:$I, 4, FALSE), "-")</f>
        <v/>
      </c>
      <c r="O142" s="22" t="str">
        <f ca="1">IFERROR(VLOOKUP(B142, Master_List!$A:$I, 5, FALSE), "-")</f>
        <v/>
      </c>
      <c r="P142" s="22" t="str">
        <f ca="1">IFERROR(VLOOKUP(B142, Master_List!$A:$I, 6, FALSE), "-")</f>
        <v/>
      </c>
      <c r="Q142" s="22" t="str">
        <f ca="1">IFERROR(VLOOKUP(B142, Master_List!$A:$I, 7, FALSE), "-")</f>
        <v/>
      </c>
      <c r="R142" s="22" t="str">
        <f ca="1">IFERROR(VLOOKUP(B142, Master_List!$A:$I, 8, FALSE), "-")</f>
        <v/>
      </c>
      <c r="S142" s="22" t="str">
        <f ca="1">IFERROR(VLOOKUP(B142, Master_List!$A:$I, 9, FALSE), "-")</f>
        <v/>
      </c>
      <c r="T142" s="20" t="str">
        <f ca="1">Master_List!$AW$6</f>
        <v>TOSHIBA</v>
      </c>
      <c r="U142" s="20" t="str">
        <f ca="1">Master_List!$AW$7</f>
        <v>MRMU</v>
      </c>
      <c r="V142" s="20" t="str">
        <f ca="1">Master_List!$AW$8</f>
        <v>12kV</v>
      </c>
      <c r="W142" s="20" t="str">
        <f ca="1">Master_List!$AW$9</f>
        <v>2S1F</v>
      </c>
      <c r="X142" s="20" t="str">
        <f ca="1">Master_List!$AW$10</f>
        <v>MTM</v>
      </c>
      <c r="Y142" s="20" t="str">
        <f ca="1">Master_List!$AW$11</f>
        <v>HERMETICALLY SEAL</v>
      </c>
      <c r="Z142" s="20" t="str">
        <f ca="1">Master_List!$AW$12</f>
        <v>750kVA</v>
      </c>
      <c r="AA142" s="20" t="str">
        <f ca="1">Master_List!$AW$13</f>
        <v>1317</v>
      </c>
      <c r="AB142" s="20">
        <f ca="1">Master_List!$AW$14</f>
        <v>0</v>
      </c>
      <c r="AC142" s="20">
        <f ca="1">Master_List!$AW$15</f>
        <v>0</v>
      </c>
      <c r="AD142" s="20">
        <f ca="1">Master_List!$AW$16</f>
        <v>0</v>
      </c>
      <c r="AE142" s="20">
        <f ca="1">Master_List!$AW$17</f>
        <v>0</v>
      </c>
      <c r="AF142" s="20" t="str">
        <f ca="1">Master_List!$AW$18</f>
        <v>INDKOM</v>
      </c>
      <c r="AG142" s="20" t="str">
        <f ca="1">Master_List!$AW$19</f>
        <v>J-SLOTTED</v>
      </c>
      <c r="AH142" s="20" t="str">
        <f ca="1">Master_List!$AW$20</f>
        <v>1600A</v>
      </c>
      <c r="AI142" s="20" t="str">
        <f ca="1">Master_List!$AW$21</f>
        <v>LV5080090</v>
      </c>
      <c r="AJ142" s="20" t="str">
        <f ca="1">Master_List!$AW$22</f>
        <v>LVDB TX1</v>
      </c>
      <c r="AK142" s="20">
        <f ca="1">Master_List!$AW$23</f>
        <v>0</v>
      </c>
      <c r="AL142" s="20">
        <f ca="1">Master_List!$AW$24</f>
        <v>0</v>
      </c>
      <c r="AM142" s="20">
        <f ca="1">Master_List!$AW$25</f>
        <v>0</v>
      </c>
      <c r="AN142" s="20">
        <f ca="1">Master_List!$AW$26</f>
        <v>0</v>
      </c>
      <c r="AO142" s="20" t="str">
        <f ca="1">Master_List!$AW$27</f>
        <v>LVDB TX2</v>
      </c>
      <c r="AP142" s="20" t="str">
        <f ca="1">Master_List!$AW$28</f>
        <v>SUNPOWER TECHNOLOGIES</v>
      </c>
      <c r="AQ142" s="20" t="str">
        <f ca="1">Master_List!$AW$29</f>
        <v>SPS 30-10 L</v>
      </c>
      <c r="AR142" s="20" t="str">
        <f ca="1">Master_List!$AW$30</f>
        <v>11193-8527</v>
      </c>
      <c r="AS142" s="20">
        <f ca="1">Master_List!$AW$31</f>
        <v>0</v>
      </c>
      <c r="AT142" s="20">
        <f ca="1">Master_List!$AW$32</f>
        <v>0</v>
      </c>
      <c r="AU142" s="20">
        <f ca="1">Master_List!$AW$33</f>
        <v>0</v>
      </c>
      <c r="AV142" s="20">
        <f ca="1">Master_List!$AW$34</f>
        <v>0</v>
      </c>
      <c r="AW142" s="20">
        <f ca="1">Master_List!$AW$35</f>
        <v>0</v>
      </c>
      <c r="AX142" s="20">
        <f ca="1">Master_List!$AW$36</f>
        <v>0</v>
      </c>
      <c r="AY142" s="20">
        <f ca="1">Master_List!$AW$37</f>
        <v>0</v>
      </c>
      <c r="AZ142" s="20">
        <f ca="1">Master_List!$AW$38</f>
        <v>0</v>
      </c>
      <c r="BA142" s="20">
        <f ca="1">Master_List!$AW$39</f>
        <v>0</v>
      </c>
      <c r="BB142" s="20" t="s">
        <v>2240</v>
      </c>
      <c r="BC142" s="20" t="s">
        <v>2241</v>
      </c>
      <c r="BD142" s="6" t="s">
        <v>1744</v>
      </c>
      <c r="BE142" s="6" t="s">
        <v>1821</v>
      </c>
      <c r="BF142" s="6" t="s">
        <v>1746</v>
      </c>
      <c r="BG142" s="6" t="str">
        <f t="shared" si="2"/>
        <v>C:\Users\aremi\Desktop\REPORT CBM\PO 42289580 - Pahang 11kV SECOND CYCLE AZZAD 2026\RAW MATERIAL\047. TNB BARU (IR+VI)\RAW DATA\IR</v>
      </c>
      <c r="BH142" s="24" t="s">
        <v>673</v>
      </c>
    </row>
    <row r="143" spans="1:60" ht="30" customHeight="1" x14ac:dyDescent="0.25">
      <c r="A143" s="6">
        <v>71</v>
      </c>
      <c r="B143" s="6" t="s">
        <v>1557</v>
      </c>
      <c r="C143" s="6">
        <v>1</v>
      </c>
      <c r="D143" s="6" t="s">
        <v>2242</v>
      </c>
      <c r="E143" s="6">
        <v>71</v>
      </c>
      <c r="F143" s="6" t="str">
        <f ca="1">Master_List!$AW$1</f>
        <v>PERPUSTAKAAN PUSAT</v>
      </c>
      <c r="G143" s="27" t="str">
        <f ca="1">Master_List!$AW$2</f>
        <v>09:30 PM</v>
      </c>
      <c r="H143" s="32" t="str">
        <f ca="1">Master_List!$AW$3</f>
        <v>20/07/2026</v>
      </c>
      <c r="I143" s="28" t="str">
        <f ca="1">Master_List!$AW$4</f>
        <v>28.5</v>
      </c>
      <c r="J143" s="6" t="str">
        <f ca="1">Master_List!$AW$5</f>
        <v>65</v>
      </c>
      <c r="K143" s="6" t="s">
        <v>576</v>
      </c>
      <c r="L143" s="21" t="str">
        <f ca="1">IFERROR(VLOOKUP(B143, Master_List!$A:$I, 2, FALSE), "-")</f>
        <v/>
      </c>
      <c r="M143" s="22" t="str">
        <f ca="1">IFERROR(VLOOKUP(B143, Master_List!$A:$I, 3, FALSE), "-")</f>
        <v/>
      </c>
      <c r="N143" s="22" t="str">
        <f ca="1">IFERROR(VLOOKUP(B143, Master_List!$A:$I, 4, FALSE), "-")</f>
        <v/>
      </c>
      <c r="O143" s="22" t="str">
        <f ca="1">IFERROR(VLOOKUP(B143, Master_List!$A:$I, 5, FALSE), "-")</f>
        <v/>
      </c>
      <c r="P143" s="22" t="str">
        <f ca="1">IFERROR(VLOOKUP(B143, Master_List!$A:$I, 6, FALSE), "-")</f>
        <v/>
      </c>
      <c r="Q143" s="22" t="str">
        <f ca="1">IFERROR(VLOOKUP(B143, Master_List!$A:$I, 7, FALSE), "-")</f>
        <v/>
      </c>
      <c r="R143" s="22" t="str">
        <f ca="1">IFERROR(VLOOKUP(B143, Master_List!$A:$I, 8, FALSE), "-")</f>
        <v/>
      </c>
      <c r="S143" s="22" t="str">
        <f ca="1">IFERROR(VLOOKUP(B143, Master_List!$A:$I, 9, FALSE), "-")</f>
        <v/>
      </c>
      <c r="T143" s="20" t="str">
        <f ca="1">Master_List!$AW$6</f>
        <v>TOSHIBA</v>
      </c>
      <c r="U143" s="20" t="str">
        <f ca="1">Master_List!$AW$7</f>
        <v>MRMU</v>
      </c>
      <c r="V143" s="20" t="str">
        <f ca="1">Master_List!$AW$8</f>
        <v>12kV</v>
      </c>
      <c r="W143" s="20" t="str">
        <f ca="1">Master_List!$AW$9</f>
        <v>2S1F</v>
      </c>
      <c r="X143" s="20" t="str">
        <f ca="1">Master_List!$AW$10</f>
        <v>MTM</v>
      </c>
      <c r="Y143" s="20" t="str">
        <f ca="1">Master_List!$AW$11</f>
        <v>HERMETICALLY SEAL</v>
      </c>
      <c r="Z143" s="20" t="str">
        <f ca="1">Master_List!$AW$12</f>
        <v>750kVA</v>
      </c>
      <c r="AA143" s="20" t="str">
        <f ca="1">Master_List!$AW$13</f>
        <v>1317</v>
      </c>
      <c r="AB143" s="20">
        <f ca="1">Master_List!$AW$14</f>
        <v>0</v>
      </c>
      <c r="AC143" s="20">
        <f ca="1">Master_List!$AW$15</f>
        <v>0</v>
      </c>
      <c r="AD143" s="20">
        <f ca="1">Master_List!$AW$16</f>
        <v>0</v>
      </c>
      <c r="AE143" s="20">
        <f ca="1">Master_List!$AW$17</f>
        <v>0</v>
      </c>
      <c r="AF143" s="20" t="str">
        <f ca="1">Master_List!$AW$18</f>
        <v>INDKOM</v>
      </c>
      <c r="AG143" s="20" t="str">
        <f ca="1">Master_List!$AW$19</f>
        <v>J-SLOTTED</v>
      </c>
      <c r="AH143" s="20" t="str">
        <f ca="1">Master_List!$AW$20</f>
        <v>1600A</v>
      </c>
      <c r="AI143" s="20" t="str">
        <f ca="1">Master_List!$AW$21</f>
        <v>LV5080090</v>
      </c>
      <c r="AJ143" s="20" t="str">
        <f ca="1">Master_List!$AW$22</f>
        <v>LVDB TX1</v>
      </c>
      <c r="AK143" s="20">
        <f ca="1">Master_List!$AW$23</f>
        <v>0</v>
      </c>
      <c r="AL143" s="20">
        <f ca="1">Master_List!$AW$24</f>
        <v>0</v>
      </c>
      <c r="AM143" s="20">
        <f ca="1">Master_List!$AW$25</f>
        <v>0</v>
      </c>
      <c r="AN143" s="20">
        <f ca="1">Master_List!$AW$26</f>
        <v>0</v>
      </c>
      <c r="AO143" s="20" t="str">
        <f ca="1">Master_List!$AW$27</f>
        <v>LVDB TX2</v>
      </c>
      <c r="AP143" s="20" t="str">
        <f ca="1">Master_List!$AW$28</f>
        <v>SUNPOWER TECHNOLOGIES</v>
      </c>
      <c r="AQ143" s="20" t="str">
        <f ca="1">Master_List!$AW$29</f>
        <v>SPS 30-10 L</v>
      </c>
      <c r="AR143" s="20" t="str">
        <f ca="1">Master_List!$AW$30</f>
        <v>11193-8527</v>
      </c>
      <c r="AS143" s="20">
        <f ca="1">Master_List!$AW$31</f>
        <v>0</v>
      </c>
      <c r="AT143" s="20">
        <f ca="1">Master_List!$AW$32</f>
        <v>0</v>
      </c>
      <c r="AU143" s="20">
        <f ca="1">Master_List!$AW$33</f>
        <v>0</v>
      </c>
      <c r="AV143" s="20">
        <f ca="1">Master_List!$AW$34</f>
        <v>0</v>
      </c>
      <c r="AW143" s="20">
        <f ca="1">Master_List!$AW$35</f>
        <v>0</v>
      </c>
      <c r="AX143" s="20">
        <f ca="1">Master_List!$AW$36</f>
        <v>0</v>
      </c>
      <c r="AY143" s="20">
        <f ca="1">Master_List!$AW$37</f>
        <v>0</v>
      </c>
      <c r="AZ143" s="20">
        <f ca="1">Master_List!$AW$38</f>
        <v>0</v>
      </c>
      <c r="BA143" s="20">
        <f ca="1">Master_List!$AW$39</f>
        <v>0</v>
      </c>
      <c r="BB143" s="20" t="s">
        <v>2240</v>
      </c>
      <c r="BC143" s="20" t="s">
        <v>2241</v>
      </c>
      <c r="BD143" s="6" t="s">
        <v>1744</v>
      </c>
      <c r="BE143" s="6" t="s">
        <v>1821</v>
      </c>
      <c r="BF143" s="6" t="s">
        <v>1748</v>
      </c>
      <c r="BG143" s="6" t="str">
        <f t="shared" si="2"/>
        <v>C:\Users\aremi\Desktop\REPORT CBM\PO 42289580 - Pahang 11kV SECOND CYCLE AZZAD 2026\RAW MATERIAL\047. TNB BARU (IR+VI)\RAW DATA\IR</v>
      </c>
      <c r="BH143" s="24" t="s">
        <v>674</v>
      </c>
    </row>
    <row r="144" spans="1:60" ht="30" customHeight="1" x14ac:dyDescent="0.25">
      <c r="A144" s="6">
        <v>72</v>
      </c>
      <c r="B144" s="6" t="s">
        <v>1557</v>
      </c>
      <c r="C144" s="6">
        <v>1</v>
      </c>
      <c r="D144" s="6" t="s">
        <v>2242</v>
      </c>
      <c r="E144" s="6">
        <v>72</v>
      </c>
      <c r="F144" s="6" t="str">
        <f ca="1">Master_List!$AW$1</f>
        <v>PERPUSTAKAAN PUSAT</v>
      </c>
      <c r="G144" s="27" t="str">
        <f ca="1">Master_List!$AW$2</f>
        <v>09:30 PM</v>
      </c>
      <c r="H144" s="32" t="str">
        <f ca="1">Master_List!$AW$3</f>
        <v>20/07/2026</v>
      </c>
      <c r="I144" s="28" t="str">
        <f ca="1">Master_List!$AW$4</f>
        <v>28.5</v>
      </c>
      <c r="J144" s="6" t="str">
        <f ca="1">Master_List!$AW$5</f>
        <v>65</v>
      </c>
      <c r="K144" s="6" t="s">
        <v>579</v>
      </c>
      <c r="L144" s="21" t="str">
        <f ca="1">IFERROR(VLOOKUP(B144, Master_List!$A:$I, 2, FALSE), "-")</f>
        <v/>
      </c>
      <c r="M144" s="22" t="str">
        <f ca="1">IFERROR(VLOOKUP(B144, Master_List!$A:$I, 3, FALSE), "-")</f>
        <v/>
      </c>
      <c r="N144" s="22" t="str">
        <f ca="1">IFERROR(VLOOKUP(B144, Master_List!$A:$I, 4, FALSE), "-")</f>
        <v/>
      </c>
      <c r="O144" s="22" t="str">
        <f ca="1">IFERROR(VLOOKUP(B144, Master_List!$A:$I, 5, FALSE), "-")</f>
        <v/>
      </c>
      <c r="P144" s="22" t="str">
        <f ca="1">IFERROR(VLOOKUP(B144, Master_List!$A:$I, 6, FALSE), "-")</f>
        <v/>
      </c>
      <c r="Q144" s="22" t="str">
        <f ca="1">IFERROR(VLOOKUP(B144, Master_List!$A:$I, 7, FALSE), "-")</f>
        <v/>
      </c>
      <c r="R144" s="22" t="str">
        <f ca="1">IFERROR(VLOOKUP(B144, Master_List!$A:$I, 8, FALSE), "-")</f>
        <v/>
      </c>
      <c r="S144" s="22" t="str">
        <f ca="1">IFERROR(VLOOKUP(B144, Master_List!$A:$I, 9, FALSE), "-")</f>
        <v/>
      </c>
      <c r="T144" s="20" t="str">
        <f ca="1">Master_List!$AW$6</f>
        <v>TOSHIBA</v>
      </c>
      <c r="U144" s="20" t="str">
        <f ca="1">Master_List!$AW$7</f>
        <v>MRMU</v>
      </c>
      <c r="V144" s="20" t="str">
        <f ca="1">Master_List!$AW$8</f>
        <v>12kV</v>
      </c>
      <c r="W144" s="20" t="str">
        <f ca="1">Master_List!$AW$9</f>
        <v>2S1F</v>
      </c>
      <c r="X144" s="20" t="str">
        <f ca="1">Master_List!$AW$10</f>
        <v>MTM</v>
      </c>
      <c r="Y144" s="20" t="str">
        <f ca="1">Master_List!$AW$11</f>
        <v>HERMETICALLY SEAL</v>
      </c>
      <c r="Z144" s="20" t="str">
        <f ca="1">Master_List!$AW$12</f>
        <v>750kVA</v>
      </c>
      <c r="AA144" s="20" t="str">
        <f ca="1">Master_List!$AW$13</f>
        <v>1317</v>
      </c>
      <c r="AB144" s="20">
        <f ca="1">Master_List!$AW$14</f>
        <v>0</v>
      </c>
      <c r="AC144" s="20">
        <f ca="1">Master_List!$AW$15</f>
        <v>0</v>
      </c>
      <c r="AD144" s="20">
        <f ca="1">Master_List!$AW$16</f>
        <v>0</v>
      </c>
      <c r="AE144" s="20">
        <f ca="1">Master_List!$AW$17</f>
        <v>0</v>
      </c>
      <c r="AF144" s="20" t="str">
        <f ca="1">Master_List!$AW$18</f>
        <v>INDKOM</v>
      </c>
      <c r="AG144" s="20" t="str">
        <f ca="1">Master_List!$AW$19</f>
        <v>J-SLOTTED</v>
      </c>
      <c r="AH144" s="20" t="str">
        <f ca="1">Master_List!$AW$20</f>
        <v>1600A</v>
      </c>
      <c r="AI144" s="20" t="str">
        <f ca="1">Master_List!$AW$21</f>
        <v>LV5080090</v>
      </c>
      <c r="AJ144" s="20" t="str">
        <f ca="1">Master_List!$AW$22</f>
        <v>LVDB TX1</v>
      </c>
      <c r="AK144" s="20">
        <f ca="1">Master_List!$AW$23</f>
        <v>0</v>
      </c>
      <c r="AL144" s="20">
        <f ca="1">Master_List!$AW$24</f>
        <v>0</v>
      </c>
      <c r="AM144" s="20">
        <f ca="1">Master_List!$AW$25</f>
        <v>0</v>
      </c>
      <c r="AN144" s="20">
        <f ca="1">Master_List!$AW$26</f>
        <v>0</v>
      </c>
      <c r="AO144" s="20" t="str">
        <f ca="1">Master_List!$AW$27</f>
        <v>LVDB TX2</v>
      </c>
      <c r="AP144" s="20" t="str">
        <f ca="1">Master_List!$AW$28</f>
        <v>SUNPOWER TECHNOLOGIES</v>
      </c>
      <c r="AQ144" s="20" t="str">
        <f ca="1">Master_List!$AW$29</f>
        <v>SPS 30-10 L</v>
      </c>
      <c r="AR144" s="20" t="str">
        <f ca="1">Master_List!$AW$30</f>
        <v>11193-8527</v>
      </c>
      <c r="AS144" s="20">
        <f ca="1">Master_List!$AW$31</f>
        <v>0</v>
      </c>
      <c r="AT144" s="20">
        <f ca="1">Master_List!$AW$32</f>
        <v>0</v>
      </c>
      <c r="AU144" s="20">
        <f ca="1">Master_List!$AW$33</f>
        <v>0</v>
      </c>
      <c r="AV144" s="20">
        <f ca="1">Master_List!$AW$34</f>
        <v>0</v>
      </c>
      <c r="AW144" s="20">
        <f ca="1">Master_List!$AW$35</f>
        <v>0</v>
      </c>
      <c r="AX144" s="20">
        <f ca="1">Master_List!$AW$36</f>
        <v>0</v>
      </c>
      <c r="AY144" s="20">
        <f ca="1">Master_List!$AW$37</f>
        <v>0</v>
      </c>
      <c r="AZ144" s="20">
        <f ca="1">Master_List!$AW$38</f>
        <v>0</v>
      </c>
      <c r="BA144" s="20">
        <f ca="1">Master_List!$AW$39</f>
        <v>0</v>
      </c>
      <c r="BB144" s="20" t="s">
        <v>2240</v>
      </c>
      <c r="BC144" s="20" t="s">
        <v>2241</v>
      </c>
      <c r="BD144" s="6" t="s">
        <v>1744</v>
      </c>
      <c r="BE144" s="6" t="s">
        <v>1822</v>
      </c>
      <c r="BF144" s="6" t="s">
        <v>1746</v>
      </c>
      <c r="BG144" s="6" t="str">
        <f t="shared" si="2"/>
        <v>C:\Users\aremi\Desktop\REPORT CBM\PO 42289580 - Pahang 11kV SECOND CYCLE AZZAD 2026\RAW MATERIAL\047. TNB BARU (IR+VI)\RAW DATA\IR</v>
      </c>
      <c r="BH144" s="24" t="s">
        <v>675</v>
      </c>
    </row>
    <row r="145" spans="1:60" ht="30" customHeight="1" x14ac:dyDescent="0.25">
      <c r="A145" s="6">
        <v>72</v>
      </c>
      <c r="B145" s="6" t="s">
        <v>1557</v>
      </c>
      <c r="C145" s="6">
        <v>1</v>
      </c>
      <c r="D145" s="6" t="s">
        <v>2242</v>
      </c>
      <c r="E145" s="6">
        <v>72</v>
      </c>
      <c r="F145" s="6" t="str">
        <f ca="1">Master_List!$AW$1</f>
        <v>PERPUSTAKAAN PUSAT</v>
      </c>
      <c r="G145" s="27" t="str">
        <f ca="1">Master_List!$AW$2</f>
        <v>09:30 PM</v>
      </c>
      <c r="H145" s="32" t="str">
        <f ca="1">Master_List!$AW$3</f>
        <v>20/07/2026</v>
      </c>
      <c r="I145" s="28" t="str">
        <f ca="1">Master_List!$AW$4</f>
        <v>28.5</v>
      </c>
      <c r="J145" s="6" t="str">
        <f ca="1">Master_List!$AW$5</f>
        <v>65</v>
      </c>
      <c r="K145" s="6" t="s">
        <v>579</v>
      </c>
      <c r="L145" s="21" t="str">
        <f ca="1">IFERROR(VLOOKUP(B145, Master_List!$A:$I, 2, FALSE), "-")</f>
        <v/>
      </c>
      <c r="M145" s="22" t="str">
        <f ca="1">IFERROR(VLOOKUP(B145, Master_List!$A:$I, 3, FALSE), "-")</f>
        <v/>
      </c>
      <c r="N145" s="22" t="str">
        <f ca="1">IFERROR(VLOOKUP(B145, Master_List!$A:$I, 4, FALSE), "-")</f>
        <v/>
      </c>
      <c r="O145" s="22" t="str">
        <f ca="1">IFERROR(VLOOKUP(B145, Master_List!$A:$I, 5, FALSE), "-")</f>
        <v/>
      </c>
      <c r="P145" s="22" t="str">
        <f ca="1">IFERROR(VLOOKUP(B145, Master_List!$A:$I, 6, FALSE), "-")</f>
        <v/>
      </c>
      <c r="Q145" s="22" t="str">
        <f ca="1">IFERROR(VLOOKUP(B145, Master_List!$A:$I, 7, FALSE), "-")</f>
        <v/>
      </c>
      <c r="R145" s="22" t="str">
        <f ca="1">IFERROR(VLOOKUP(B145, Master_List!$A:$I, 8, FALSE), "-")</f>
        <v/>
      </c>
      <c r="S145" s="22" t="str">
        <f ca="1">IFERROR(VLOOKUP(B145, Master_List!$A:$I, 9, FALSE), "-")</f>
        <v/>
      </c>
      <c r="T145" s="20" t="str">
        <f ca="1">Master_List!$AW$6</f>
        <v>TOSHIBA</v>
      </c>
      <c r="U145" s="20" t="str">
        <f ca="1">Master_List!$AW$7</f>
        <v>MRMU</v>
      </c>
      <c r="V145" s="20" t="str">
        <f ca="1">Master_List!$AW$8</f>
        <v>12kV</v>
      </c>
      <c r="W145" s="20" t="str">
        <f ca="1">Master_List!$AW$9</f>
        <v>2S1F</v>
      </c>
      <c r="X145" s="20" t="str">
        <f ca="1">Master_List!$AW$10</f>
        <v>MTM</v>
      </c>
      <c r="Y145" s="20" t="str">
        <f ca="1">Master_List!$AW$11</f>
        <v>HERMETICALLY SEAL</v>
      </c>
      <c r="Z145" s="20" t="str">
        <f ca="1">Master_List!$AW$12</f>
        <v>750kVA</v>
      </c>
      <c r="AA145" s="20" t="str">
        <f ca="1">Master_List!$AW$13</f>
        <v>1317</v>
      </c>
      <c r="AB145" s="20">
        <f ca="1">Master_List!$AW$14</f>
        <v>0</v>
      </c>
      <c r="AC145" s="20">
        <f ca="1">Master_List!$AW$15</f>
        <v>0</v>
      </c>
      <c r="AD145" s="20">
        <f ca="1">Master_List!$AW$16</f>
        <v>0</v>
      </c>
      <c r="AE145" s="20">
        <f ca="1">Master_List!$AW$17</f>
        <v>0</v>
      </c>
      <c r="AF145" s="20" t="str">
        <f ca="1">Master_List!$AW$18</f>
        <v>INDKOM</v>
      </c>
      <c r="AG145" s="20" t="str">
        <f ca="1">Master_List!$AW$19</f>
        <v>J-SLOTTED</v>
      </c>
      <c r="AH145" s="20" t="str">
        <f ca="1">Master_List!$AW$20</f>
        <v>1600A</v>
      </c>
      <c r="AI145" s="20" t="str">
        <f ca="1">Master_List!$AW$21</f>
        <v>LV5080090</v>
      </c>
      <c r="AJ145" s="20" t="str">
        <f ca="1">Master_List!$AW$22</f>
        <v>LVDB TX1</v>
      </c>
      <c r="AK145" s="20">
        <f ca="1">Master_List!$AW$23</f>
        <v>0</v>
      </c>
      <c r="AL145" s="20">
        <f ca="1">Master_List!$AW$24</f>
        <v>0</v>
      </c>
      <c r="AM145" s="20">
        <f ca="1">Master_List!$AW$25</f>
        <v>0</v>
      </c>
      <c r="AN145" s="20">
        <f ca="1">Master_List!$AW$26</f>
        <v>0</v>
      </c>
      <c r="AO145" s="20" t="str">
        <f ca="1">Master_List!$AW$27</f>
        <v>LVDB TX2</v>
      </c>
      <c r="AP145" s="20" t="str">
        <f ca="1">Master_List!$AW$28</f>
        <v>SUNPOWER TECHNOLOGIES</v>
      </c>
      <c r="AQ145" s="20" t="str">
        <f ca="1">Master_List!$AW$29</f>
        <v>SPS 30-10 L</v>
      </c>
      <c r="AR145" s="20" t="str">
        <f ca="1">Master_List!$AW$30</f>
        <v>11193-8527</v>
      </c>
      <c r="AS145" s="20">
        <f ca="1">Master_List!$AW$31</f>
        <v>0</v>
      </c>
      <c r="AT145" s="20">
        <f ca="1">Master_List!$AW$32</f>
        <v>0</v>
      </c>
      <c r="AU145" s="20">
        <f ca="1">Master_List!$AW$33</f>
        <v>0</v>
      </c>
      <c r="AV145" s="20">
        <f ca="1">Master_List!$AW$34</f>
        <v>0</v>
      </c>
      <c r="AW145" s="20">
        <f ca="1">Master_List!$AW$35</f>
        <v>0</v>
      </c>
      <c r="AX145" s="20">
        <f ca="1">Master_List!$AW$36</f>
        <v>0</v>
      </c>
      <c r="AY145" s="20">
        <f ca="1">Master_List!$AW$37</f>
        <v>0</v>
      </c>
      <c r="AZ145" s="20">
        <f ca="1">Master_List!$AW$38</f>
        <v>0</v>
      </c>
      <c r="BA145" s="20">
        <f ca="1">Master_List!$AW$39</f>
        <v>0</v>
      </c>
      <c r="BB145" s="20" t="s">
        <v>2240</v>
      </c>
      <c r="BC145" s="20" t="s">
        <v>2241</v>
      </c>
      <c r="BD145" s="6" t="s">
        <v>1744</v>
      </c>
      <c r="BE145" s="6" t="s">
        <v>1822</v>
      </c>
      <c r="BF145" s="6" t="s">
        <v>1748</v>
      </c>
      <c r="BG145" s="6" t="str">
        <f t="shared" si="2"/>
        <v>C:\Users\aremi\Desktop\REPORT CBM\PO 42289580 - Pahang 11kV SECOND CYCLE AZZAD 2026\RAW MATERIAL\047. TNB BARU (IR+VI)\RAW DATA\IR</v>
      </c>
      <c r="BH145" s="24" t="s">
        <v>676</v>
      </c>
    </row>
    <row r="146" spans="1:60" ht="30" customHeight="1" x14ac:dyDescent="0.25">
      <c r="A146" s="6">
        <v>73</v>
      </c>
      <c r="B146" s="6" t="s">
        <v>1557</v>
      </c>
      <c r="C146" s="6">
        <v>1</v>
      </c>
      <c r="D146" s="6" t="s">
        <v>2242</v>
      </c>
      <c r="E146" s="6">
        <v>73</v>
      </c>
      <c r="F146" s="6" t="str">
        <f ca="1">Master_List!$AW$1</f>
        <v>PERPUSTAKAAN PUSAT</v>
      </c>
      <c r="G146" s="27" t="str">
        <f ca="1">Master_List!$AW$2</f>
        <v>09:30 PM</v>
      </c>
      <c r="H146" s="32" t="str">
        <f ca="1">Master_List!$AW$3</f>
        <v>20/07/2026</v>
      </c>
      <c r="I146" s="28" t="str">
        <f ca="1">Master_List!$AW$4</f>
        <v>28.5</v>
      </c>
      <c r="J146" s="6" t="str">
        <f ca="1">Master_List!$AW$5</f>
        <v>65</v>
      </c>
      <c r="K146" s="6" t="s">
        <v>582</v>
      </c>
      <c r="L146" s="21" t="str">
        <f ca="1">IFERROR(VLOOKUP(B146, Master_List!$A:$I, 2, FALSE), "-")</f>
        <v/>
      </c>
      <c r="M146" s="22" t="str">
        <f ca="1">IFERROR(VLOOKUP(B146, Master_List!$A:$I, 3, FALSE), "-")</f>
        <v/>
      </c>
      <c r="N146" s="22" t="str">
        <f ca="1">IFERROR(VLOOKUP(B146, Master_List!$A:$I, 4, FALSE), "-")</f>
        <v/>
      </c>
      <c r="O146" s="22" t="str">
        <f ca="1">IFERROR(VLOOKUP(B146, Master_List!$A:$I, 5, FALSE), "-")</f>
        <v/>
      </c>
      <c r="P146" s="22" t="str">
        <f ca="1">IFERROR(VLOOKUP(B146, Master_List!$A:$I, 6, FALSE), "-")</f>
        <v/>
      </c>
      <c r="Q146" s="22" t="str">
        <f ca="1">IFERROR(VLOOKUP(B146, Master_List!$A:$I, 7, FALSE), "-")</f>
        <v/>
      </c>
      <c r="R146" s="22" t="str">
        <f ca="1">IFERROR(VLOOKUP(B146, Master_List!$A:$I, 8, FALSE), "-")</f>
        <v/>
      </c>
      <c r="S146" s="22" t="str">
        <f ca="1">IFERROR(VLOOKUP(B146, Master_List!$A:$I, 9, FALSE), "-")</f>
        <v/>
      </c>
      <c r="T146" s="20" t="str">
        <f ca="1">Master_List!$AW$6</f>
        <v>TOSHIBA</v>
      </c>
      <c r="U146" s="20" t="str">
        <f ca="1">Master_List!$AW$7</f>
        <v>MRMU</v>
      </c>
      <c r="V146" s="20" t="str">
        <f ca="1">Master_List!$AW$8</f>
        <v>12kV</v>
      </c>
      <c r="W146" s="20" t="str">
        <f ca="1">Master_List!$AW$9</f>
        <v>2S1F</v>
      </c>
      <c r="X146" s="20" t="str">
        <f ca="1">Master_List!$AW$10</f>
        <v>MTM</v>
      </c>
      <c r="Y146" s="20" t="str">
        <f ca="1">Master_List!$AW$11</f>
        <v>HERMETICALLY SEAL</v>
      </c>
      <c r="Z146" s="20" t="str">
        <f ca="1">Master_List!$AW$12</f>
        <v>750kVA</v>
      </c>
      <c r="AA146" s="20" t="str">
        <f ca="1">Master_List!$AW$13</f>
        <v>1317</v>
      </c>
      <c r="AB146" s="20">
        <f ca="1">Master_List!$AW$14</f>
        <v>0</v>
      </c>
      <c r="AC146" s="20">
        <f ca="1">Master_List!$AW$15</f>
        <v>0</v>
      </c>
      <c r="AD146" s="20">
        <f ca="1">Master_List!$AW$16</f>
        <v>0</v>
      </c>
      <c r="AE146" s="20">
        <f ca="1">Master_List!$AW$17</f>
        <v>0</v>
      </c>
      <c r="AF146" s="20" t="str">
        <f ca="1">Master_List!$AW$18</f>
        <v>INDKOM</v>
      </c>
      <c r="AG146" s="20" t="str">
        <f ca="1">Master_List!$AW$19</f>
        <v>J-SLOTTED</v>
      </c>
      <c r="AH146" s="20" t="str">
        <f ca="1">Master_List!$AW$20</f>
        <v>1600A</v>
      </c>
      <c r="AI146" s="20" t="str">
        <f ca="1">Master_List!$AW$21</f>
        <v>LV5080090</v>
      </c>
      <c r="AJ146" s="20" t="str">
        <f ca="1">Master_List!$AW$22</f>
        <v>LVDB TX1</v>
      </c>
      <c r="AK146" s="20">
        <f ca="1">Master_List!$AW$23</f>
        <v>0</v>
      </c>
      <c r="AL146" s="20">
        <f ca="1">Master_List!$AW$24</f>
        <v>0</v>
      </c>
      <c r="AM146" s="20">
        <f ca="1">Master_List!$AW$25</f>
        <v>0</v>
      </c>
      <c r="AN146" s="20">
        <f ca="1">Master_List!$AW$26</f>
        <v>0</v>
      </c>
      <c r="AO146" s="20" t="str">
        <f ca="1">Master_List!$AW$27</f>
        <v>LVDB TX2</v>
      </c>
      <c r="AP146" s="20" t="str">
        <f ca="1">Master_List!$AW$28</f>
        <v>SUNPOWER TECHNOLOGIES</v>
      </c>
      <c r="AQ146" s="20" t="str">
        <f ca="1">Master_List!$AW$29</f>
        <v>SPS 30-10 L</v>
      </c>
      <c r="AR146" s="20" t="str">
        <f ca="1">Master_List!$AW$30</f>
        <v>11193-8527</v>
      </c>
      <c r="AS146" s="20">
        <f ca="1">Master_List!$AW$31</f>
        <v>0</v>
      </c>
      <c r="AT146" s="20">
        <f ca="1">Master_List!$AW$32</f>
        <v>0</v>
      </c>
      <c r="AU146" s="20">
        <f ca="1">Master_List!$AW$33</f>
        <v>0</v>
      </c>
      <c r="AV146" s="20">
        <f ca="1">Master_List!$AW$34</f>
        <v>0</v>
      </c>
      <c r="AW146" s="20">
        <f ca="1">Master_List!$AW$35</f>
        <v>0</v>
      </c>
      <c r="AX146" s="20">
        <f ca="1">Master_List!$AW$36</f>
        <v>0</v>
      </c>
      <c r="AY146" s="20">
        <f ca="1">Master_List!$AW$37</f>
        <v>0</v>
      </c>
      <c r="AZ146" s="20">
        <f ca="1">Master_List!$AW$38</f>
        <v>0</v>
      </c>
      <c r="BA146" s="20">
        <f ca="1">Master_List!$AW$39</f>
        <v>0</v>
      </c>
      <c r="BB146" s="20" t="s">
        <v>2240</v>
      </c>
      <c r="BC146" s="20" t="s">
        <v>2241</v>
      </c>
      <c r="BD146" s="6" t="s">
        <v>1744</v>
      </c>
      <c r="BE146" s="6" t="s">
        <v>1823</v>
      </c>
      <c r="BF146" s="6" t="s">
        <v>1746</v>
      </c>
      <c r="BG146" s="6" t="str">
        <f t="shared" si="2"/>
        <v>C:\Users\aremi\Desktop\REPORT CBM\PO 42289580 - Pahang 11kV SECOND CYCLE AZZAD 2026\RAW MATERIAL\047. TNB BARU (IR+VI)\RAW DATA\IR</v>
      </c>
      <c r="BH146" s="24" t="s">
        <v>677</v>
      </c>
    </row>
    <row r="147" spans="1:60" ht="30" customHeight="1" x14ac:dyDescent="0.25">
      <c r="A147" s="6">
        <v>73</v>
      </c>
      <c r="B147" s="6" t="s">
        <v>1557</v>
      </c>
      <c r="C147" s="6">
        <v>1</v>
      </c>
      <c r="D147" s="6" t="s">
        <v>2242</v>
      </c>
      <c r="E147" s="6">
        <v>73</v>
      </c>
      <c r="F147" s="6" t="str">
        <f ca="1">Master_List!$AW$1</f>
        <v>PERPUSTAKAAN PUSAT</v>
      </c>
      <c r="G147" s="27" t="str">
        <f ca="1">Master_List!$AW$2</f>
        <v>09:30 PM</v>
      </c>
      <c r="H147" s="32" t="str">
        <f ca="1">Master_List!$AW$3</f>
        <v>20/07/2026</v>
      </c>
      <c r="I147" s="28" t="str">
        <f ca="1">Master_List!$AW$4</f>
        <v>28.5</v>
      </c>
      <c r="J147" s="6" t="str">
        <f ca="1">Master_List!$AW$5</f>
        <v>65</v>
      </c>
      <c r="K147" s="6" t="s">
        <v>582</v>
      </c>
      <c r="L147" s="21" t="str">
        <f ca="1">IFERROR(VLOOKUP(B147, Master_List!$A:$I, 2, FALSE), "-")</f>
        <v/>
      </c>
      <c r="M147" s="22" t="str">
        <f ca="1">IFERROR(VLOOKUP(B147, Master_List!$A:$I, 3, FALSE), "-")</f>
        <v/>
      </c>
      <c r="N147" s="22" t="str">
        <f ca="1">IFERROR(VLOOKUP(B147, Master_List!$A:$I, 4, FALSE), "-")</f>
        <v/>
      </c>
      <c r="O147" s="22" t="str">
        <f ca="1">IFERROR(VLOOKUP(B147, Master_List!$A:$I, 5, FALSE), "-")</f>
        <v/>
      </c>
      <c r="P147" s="22" t="str">
        <f ca="1">IFERROR(VLOOKUP(B147, Master_List!$A:$I, 6, FALSE), "-")</f>
        <v/>
      </c>
      <c r="Q147" s="22" t="str">
        <f ca="1">IFERROR(VLOOKUP(B147, Master_List!$A:$I, 7, FALSE), "-")</f>
        <v/>
      </c>
      <c r="R147" s="22" t="str">
        <f ca="1">IFERROR(VLOOKUP(B147, Master_List!$A:$I, 8, FALSE), "-")</f>
        <v/>
      </c>
      <c r="S147" s="22" t="str">
        <f ca="1">IFERROR(VLOOKUP(B147, Master_List!$A:$I, 9, FALSE), "-")</f>
        <v/>
      </c>
      <c r="T147" s="20" t="str">
        <f ca="1">Master_List!$AW$6</f>
        <v>TOSHIBA</v>
      </c>
      <c r="U147" s="20" t="str">
        <f ca="1">Master_List!$AW$7</f>
        <v>MRMU</v>
      </c>
      <c r="V147" s="20" t="str">
        <f ca="1">Master_List!$AW$8</f>
        <v>12kV</v>
      </c>
      <c r="W147" s="20" t="str">
        <f ca="1">Master_List!$AW$9</f>
        <v>2S1F</v>
      </c>
      <c r="X147" s="20" t="str">
        <f ca="1">Master_List!$AW$10</f>
        <v>MTM</v>
      </c>
      <c r="Y147" s="20" t="str">
        <f ca="1">Master_List!$AW$11</f>
        <v>HERMETICALLY SEAL</v>
      </c>
      <c r="Z147" s="20" t="str">
        <f ca="1">Master_List!$AW$12</f>
        <v>750kVA</v>
      </c>
      <c r="AA147" s="20" t="str">
        <f ca="1">Master_List!$AW$13</f>
        <v>1317</v>
      </c>
      <c r="AB147" s="20">
        <f ca="1">Master_List!$AW$14</f>
        <v>0</v>
      </c>
      <c r="AC147" s="20">
        <f ca="1">Master_List!$AW$15</f>
        <v>0</v>
      </c>
      <c r="AD147" s="20">
        <f ca="1">Master_List!$AW$16</f>
        <v>0</v>
      </c>
      <c r="AE147" s="20">
        <f ca="1">Master_List!$AW$17</f>
        <v>0</v>
      </c>
      <c r="AF147" s="20" t="str">
        <f ca="1">Master_List!$AW$18</f>
        <v>INDKOM</v>
      </c>
      <c r="AG147" s="20" t="str">
        <f ca="1">Master_List!$AW$19</f>
        <v>J-SLOTTED</v>
      </c>
      <c r="AH147" s="20" t="str">
        <f ca="1">Master_List!$AW$20</f>
        <v>1600A</v>
      </c>
      <c r="AI147" s="20" t="str">
        <f ca="1">Master_List!$AW$21</f>
        <v>LV5080090</v>
      </c>
      <c r="AJ147" s="20" t="str">
        <f ca="1">Master_List!$AW$22</f>
        <v>LVDB TX1</v>
      </c>
      <c r="AK147" s="20">
        <f ca="1">Master_List!$AW$23</f>
        <v>0</v>
      </c>
      <c r="AL147" s="20">
        <f ca="1">Master_List!$AW$24</f>
        <v>0</v>
      </c>
      <c r="AM147" s="20">
        <f ca="1">Master_List!$AW$25</f>
        <v>0</v>
      </c>
      <c r="AN147" s="20">
        <f ca="1">Master_List!$AW$26</f>
        <v>0</v>
      </c>
      <c r="AO147" s="20" t="str">
        <f ca="1">Master_List!$AW$27</f>
        <v>LVDB TX2</v>
      </c>
      <c r="AP147" s="20" t="str">
        <f ca="1">Master_List!$AW$28</f>
        <v>SUNPOWER TECHNOLOGIES</v>
      </c>
      <c r="AQ147" s="20" t="str">
        <f ca="1">Master_List!$AW$29</f>
        <v>SPS 30-10 L</v>
      </c>
      <c r="AR147" s="20" t="str">
        <f ca="1">Master_List!$AW$30</f>
        <v>11193-8527</v>
      </c>
      <c r="AS147" s="20">
        <f ca="1">Master_List!$AW$31</f>
        <v>0</v>
      </c>
      <c r="AT147" s="20">
        <f ca="1">Master_List!$AW$32</f>
        <v>0</v>
      </c>
      <c r="AU147" s="20">
        <f ca="1">Master_List!$AW$33</f>
        <v>0</v>
      </c>
      <c r="AV147" s="20">
        <f ca="1">Master_List!$AW$34</f>
        <v>0</v>
      </c>
      <c r="AW147" s="20">
        <f ca="1">Master_List!$AW$35</f>
        <v>0</v>
      </c>
      <c r="AX147" s="20">
        <f ca="1">Master_List!$AW$36</f>
        <v>0</v>
      </c>
      <c r="AY147" s="20">
        <f ca="1">Master_List!$AW$37</f>
        <v>0</v>
      </c>
      <c r="AZ147" s="20">
        <f ca="1">Master_List!$AW$38</f>
        <v>0</v>
      </c>
      <c r="BA147" s="20">
        <f ca="1">Master_List!$AW$39</f>
        <v>0</v>
      </c>
      <c r="BB147" s="20" t="s">
        <v>2240</v>
      </c>
      <c r="BC147" s="20" t="s">
        <v>2241</v>
      </c>
      <c r="BD147" s="6" t="s">
        <v>1744</v>
      </c>
      <c r="BE147" s="6" t="s">
        <v>1823</v>
      </c>
      <c r="BF147" s="6" t="s">
        <v>1748</v>
      </c>
      <c r="BG147" s="6" t="str">
        <f t="shared" si="2"/>
        <v>C:\Users\aremi\Desktop\REPORT CBM\PO 42289580 - Pahang 11kV SECOND CYCLE AZZAD 2026\RAW MATERIAL\047. TNB BARU (IR+VI)\RAW DATA\IR</v>
      </c>
      <c r="BH147" s="24" t="s">
        <v>678</v>
      </c>
    </row>
    <row r="148" spans="1:60" ht="30" customHeight="1" x14ac:dyDescent="0.25">
      <c r="A148" s="6">
        <v>74</v>
      </c>
      <c r="B148" s="6" t="s">
        <v>1557</v>
      </c>
      <c r="C148" s="6">
        <v>1</v>
      </c>
      <c r="D148" s="6" t="s">
        <v>2242</v>
      </c>
      <c r="E148" s="6">
        <v>74</v>
      </c>
      <c r="F148" s="6" t="str">
        <f ca="1">Master_List!$AW$1</f>
        <v>PERPUSTAKAAN PUSAT</v>
      </c>
      <c r="G148" s="27" t="str">
        <f ca="1">Master_List!$AW$2</f>
        <v>09:30 PM</v>
      </c>
      <c r="H148" s="32" t="str">
        <f ca="1">Master_List!$AW$3</f>
        <v>20/07/2026</v>
      </c>
      <c r="I148" s="28" t="str">
        <f ca="1">Master_List!$AW$4</f>
        <v>28.5</v>
      </c>
      <c r="J148" s="6" t="str">
        <f ca="1">Master_List!$AW$5</f>
        <v>65</v>
      </c>
      <c r="K148" s="6" t="s">
        <v>585</v>
      </c>
      <c r="L148" s="21" t="str">
        <f ca="1">IFERROR(VLOOKUP(B148, Master_List!$A:$I, 2, FALSE), "-")</f>
        <v/>
      </c>
      <c r="M148" s="22" t="str">
        <f ca="1">IFERROR(VLOOKUP(B148, Master_List!$A:$I, 3, FALSE), "-")</f>
        <v/>
      </c>
      <c r="N148" s="22" t="str">
        <f ca="1">IFERROR(VLOOKUP(B148, Master_List!$A:$I, 4, FALSE), "-")</f>
        <v/>
      </c>
      <c r="O148" s="22" t="str">
        <f ca="1">IFERROR(VLOOKUP(B148, Master_List!$A:$I, 5, FALSE), "-")</f>
        <v/>
      </c>
      <c r="P148" s="22" t="str">
        <f ca="1">IFERROR(VLOOKUP(B148, Master_List!$A:$I, 6, FALSE), "-")</f>
        <v/>
      </c>
      <c r="Q148" s="22" t="str">
        <f ca="1">IFERROR(VLOOKUP(B148, Master_List!$A:$I, 7, FALSE), "-")</f>
        <v/>
      </c>
      <c r="R148" s="22" t="str">
        <f ca="1">IFERROR(VLOOKUP(B148, Master_List!$A:$I, 8, FALSE), "-")</f>
        <v/>
      </c>
      <c r="S148" s="22" t="str">
        <f ca="1">IFERROR(VLOOKUP(B148, Master_List!$A:$I, 9, FALSE), "-")</f>
        <v/>
      </c>
      <c r="T148" s="20" t="str">
        <f ca="1">Master_List!$AW$6</f>
        <v>TOSHIBA</v>
      </c>
      <c r="U148" s="20" t="str">
        <f ca="1">Master_List!$AW$7</f>
        <v>MRMU</v>
      </c>
      <c r="V148" s="20" t="str">
        <f ca="1">Master_List!$AW$8</f>
        <v>12kV</v>
      </c>
      <c r="W148" s="20" t="str">
        <f ca="1">Master_List!$AW$9</f>
        <v>2S1F</v>
      </c>
      <c r="X148" s="20" t="str">
        <f ca="1">Master_List!$AW$10</f>
        <v>MTM</v>
      </c>
      <c r="Y148" s="20" t="str">
        <f ca="1">Master_List!$AW$11</f>
        <v>HERMETICALLY SEAL</v>
      </c>
      <c r="Z148" s="20" t="str">
        <f ca="1">Master_List!$AW$12</f>
        <v>750kVA</v>
      </c>
      <c r="AA148" s="20" t="str">
        <f ca="1">Master_List!$AW$13</f>
        <v>1317</v>
      </c>
      <c r="AB148" s="20">
        <f ca="1">Master_List!$AW$14</f>
        <v>0</v>
      </c>
      <c r="AC148" s="20">
        <f ca="1">Master_List!$AW$15</f>
        <v>0</v>
      </c>
      <c r="AD148" s="20">
        <f ca="1">Master_List!$AW$16</f>
        <v>0</v>
      </c>
      <c r="AE148" s="20">
        <f ca="1">Master_List!$AW$17</f>
        <v>0</v>
      </c>
      <c r="AF148" s="20" t="str">
        <f ca="1">Master_List!$AW$18</f>
        <v>INDKOM</v>
      </c>
      <c r="AG148" s="20" t="str">
        <f ca="1">Master_List!$AW$19</f>
        <v>J-SLOTTED</v>
      </c>
      <c r="AH148" s="20" t="str">
        <f ca="1">Master_List!$AW$20</f>
        <v>1600A</v>
      </c>
      <c r="AI148" s="20" t="str">
        <f ca="1">Master_List!$AW$21</f>
        <v>LV5080090</v>
      </c>
      <c r="AJ148" s="20" t="str">
        <f ca="1">Master_List!$AW$22</f>
        <v>LVDB TX1</v>
      </c>
      <c r="AK148" s="20">
        <f ca="1">Master_List!$AW$23</f>
        <v>0</v>
      </c>
      <c r="AL148" s="20">
        <f ca="1">Master_List!$AW$24</f>
        <v>0</v>
      </c>
      <c r="AM148" s="20">
        <f ca="1">Master_List!$AW$25</f>
        <v>0</v>
      </c>
      <c r="AN148" s="20">
        <f ca="1">Master_List!$AW$26</f>
        <v>0</v>
      </c>
      <c r="AO148" s="20" t="str">
        <f ca="1">Master_List!$AW$27</f>
        <v>LVDB TX2</v>
      </c>
      <c r="AP148" s="20" t="str">
        <f ca="1">Master_List!$AW$28</f>
        <v>SUNPOWER TECHNOLOGIES</v>
      </c>
      <c r="AQ148" s="20" t="str">
        <f ca="1">Master_List!$AW$29</f>
        <v>SPS 30-10 L</v>
      </c>
      <c r="AR148" s="20" t="str">
        <f ca="1">Master_List!$AW$30</f>
        <v>11193-8527</v>
      </c>
      <c r="AS148" s="20">
        <f ca="1">Master_List!$AW$31</f>
        <v>0</v>
      </c>
      <c r="AT148" s="20">
        <f ca="1">Master_List!$AW$32</f>
        <v>0</v>
      </c>
      <c r="AU148" s="20">
        <f ca="1">Master_List!$AW$33</f>
        <v>0</v>
      </c>
      <c r="AV148" s="20">
        <f ca="1">Master_List!$AW$34</f>
        <v>0</v>
      </c>
      <c r="AW148" s="20">
        <f ca="1">Master_List!$AW$35</f>
        <v>0</v>
      </c>
      <c r="AX148" s="20">
        <f ca="1">Master_List!$AW$36</f>
        <v>0</v>
      </c>
      <c r="AY148" s="20">
        <f ca="1">Master_List!$AW$37</f>
        <v>0</v>
      </c>
      <c r="AZ148" s="20">
        <f ca="1">Master_List!$AW$38</f>
        <v>0</v>
      </c>
      <c r="BA148" s="20">
        <f ca="1">Master_List!$AW$39</f>
        <v>0</v>
      </c>
      <c r="BB148" s="20" t="s">
        <v>2240</v>
      </c>
      <c r="BC148" s="20" t="s">
        <v>2241</v>
      </c>
      <c r="BD148" s="6" t="s">
        <v>1744</v>
      </c>
      <c r="BE148" s="6" t="s">
        <v>1824</v>
      </c>
      <c r="BF148" s="6" t="s">
        <v>1746</v>
      </c>
      <c r="BG148" s="6" t="str">
        <f t="shared" si="2"/>
        <v>C:\Users\aremi\Desktop\REPORT CBM\PO 42289580 - Pahang 11kV SECOND CYCLE AZZAD 2026\RAW MATERIAL\047. TNB BARU (IR+VI)\RAW DATA\IR</v>
      </c>
      <c r="BH148" s="24" t="s">
        <v>680</v>
      </c>
    </row>
    <row r="149" spans="1:60" ht="30" customHeight="1" x14ac:dyDescent="0.25">
      <c r="A149" s="6">
        <v>74</v>
      </c>
      <c r="B149" s="6" t="s">
        <v>1557</v>
      </c>
      <c r="C149" s="6">
        <v>1</v>
      </c>
      <c r="D149" s="6" t="s">
        <v>2242</v>
      </c>
      <c r="E149" s="6">
        <v>74</v>
      </c>
      <c r="F149" s="6" t="str">
        <f ca="1">Master_List!$AW$1</f>
        <v>PERPUSTAKAAN PUSAT</v>
      </c>
      <c r="G149" s="27" t="str">
        <f ca="1">Master_List!$AW$2</f>
        <v>09:30 PM</v>
      </c>
      <c r="H149" s="32" t="str">
        <f ca="1">Master_List!$AW$3</f>
        <v>20/07/2026</v>
      </c>
      <c r="I149" s="28" t="str">
        <f ca="1">Master_List!$AW$4</f>
        <v>28.5</v>
      </c>
      <c r="J149" s="6" t="str">
        <f ca="1">Master_List!$AW$5</f>
        <v>65</v>
      </c>
      <c r="K149" s="6" t="s">
        <v>585</v>
      </c>
      <c r="L149" s="21" t="str">
        <f ca="1">IFERROR(VLOOKUP(B149, Master_List!$A:$I, 2, FALSE), "-")</f>
        <v/>
      </c>
      <c r="M149" s="22" t="str">
        <f ca="1">IFERROR(VLOOKUP(B149, Master_List!$A:$I, 3, FALSE), "-")</f>
        <v/>
      </c>
      <c r="N149" s="22" t="str">
        <f ca="1">IFERROR(VLOOKUP(B149, Master_List!$A:$I, 4, FALSE), "-")</f>
        <v/>
      </c>
      <c r="O149" s="22" t="str">
        <f ca="1">IFERROR(VLOOKUP(B149, Master_List!$A:$I, 5, FALSE), "-")</f>
        <v/>
      </c>
      <c r="P149" s="22" t="str">
        <f ca="1">IFERROR(VLOOKUP(B149, Master_List!$A:$I, 6, FALSE), "-")</f>
        <v/>
      </c>
      <c r="Q149" s="22" t="str">
        <f ca="1">IFERROR(VLOOKUP(B149, Master_List!$A:$I, 7, FALSE), "-")</f>
        <v/>
      </c>
      <c r="R149" s="22" t="str">
        <f ca="1">IFERROR(VLOOKUP(B149, Master_List!$A:$I, 8, FALSE), "-")</f>
        <v/>
      </c>
      <c r="S149" s="22" t="str">
        <f ca="1">IFERROR(VLOOKUP(B149, Master_List!$A:$I, 9, FALSE), "-")</f>
        <v/>
      </c>
      <c r="T149" s="20" t="str">
        <f ca="1">Master_List!$AW$6</f>
        <v>TOSHIBA</v>
      </c>
      <c r="U149" s="20" t="str">
        <f ca="1">Master_List!$AW$7</f>
        <v>MRMU</v>
      </c>
      <c r="V149" s="20" t="str">
        <f ca="1">Master_List!$AW$8</f>
        <v>12kV</v>
      </c>
      <c r="W149" s="20" t="str">
        <f ca="1">Master_List!$AW$9</f>
        <v>2S1F</v>
      </c>
      <c r="X149" s="20" t="str">
        <f ca="1">Master_List!$AW$10</f>
        <v>MTM</v>
      </c>
      <c r="Y149" s="20" t="str">
        <f ca="1">Master_List!$AW$11</f>
        <v>HERMETICALLY SEAL</v>
      </c>
      <c r="Z149" s="20" t="str">
        <f ca="1">Master_List!$AW$12</f>
        <v>750kVA</v>
      </c>
      <c r="AA149" s="20" t="str">
        <f ca="1">Master_List!$AW$13</f>
        <v>1317</v>
      </c>
      <c r="AB149" s="20">
        <f ca="1">Master_List!$AW$14</f>
        <v>0</v>
      </c>
      <c r="AC149" s="20">
        <f ca="1">Master_List!$AW$15</f>
        <v>0</v>
      </c>
      <c r="AD149" s="20">
        <f ca="1">Master_List!$AW$16</f>
        <v>0</v>
      </c>
      <c r="AE149" s="20">
        <f ca="1">Master_List!$AW$17</f>
        <v>0</v>
      </c>
      <c r="AF149" s="20" t="str">
        <f ca="1">Master_List!$AW$18</f>
        <v>INDKOM</v>
      </c>
      <c r="AG149" s="20" t="str">
        <f ca="1">Master_List!$AW$19</f>
        <v>J-SLOTTED</v>
      </c>
      <c r="AH149" s="20" t="str">
        <f ca="1">Master_List!$AW$20</f>
        <v>1600A</v>
      </c>
      <c r="AI149" s="20" t="str">
        <f ca="1">Master_List!$AW$21</f>
        <v>LV5080090</v>
      </c>
      <c r="AJ149" s="20" t="str">
        <f ca="1">Master_List!$AW$22</f>
        <v>LVDB TX1</v>
      </c>
      <c r="AK149" s="20">
        <f ca="1">Master_List!$AW$23</f>
        <v>0</v>
      </c>
      <c r="AL149" s="20">
        <f ca="1">Master_List!$AW$24</f>
        <v>0</v>
      </c>
      <c r="AM149" s="20">
        <f ca="1">Master_List!$AW$25</f>
        <v>0</v>
      </c>
      <c r="AN149" s="20">
        <f ca="1">Master_List!$AW$26</f>
        <v>0</v>
      </c>
      <c r="AO149" s="20" t="str">
        <f ca="1">Master_List!$AW$27</f>
        <v>LVDB TX2</v>
      </c>
      <c r="AP149" s="20" t="str">
        <f ca="1">Master_List!$AW$28</f>
        <v>SUNPOWER TECHNOLOGIES</v>
      </c>
      <c r="AQ149" s="20" t="str">
        <f ca="1">Master_List!$AW$29</f>
        <v>SPS 30-10 L</v>
      </c>
      <c r="AR149" s="20" t="str">
        <f ca="1">Master_List!$AW$30</f>
        <v>11193-8527</v>
      </c>
      <c r="AS149" s="20">
        <f ca="1">Master_List!$AW$31</f>
        <v>0</v>
      </c>
      <c r="AT149" s="20">
        <f ca="1">Master_List!$AW$32</f>
        <v>0</v>
      </c>
      <c r="AU149" s="20">
        <f ca="1">Master_List!$AW$33</f>
        <v>0</v>
      </c>
      <c r="AV149" s="20">
        <f ca="1">Master_List!$AW$34</f>
        <v>0</v>
      </c>
      <c r="AW149" s="20">
        <f ca="1">Master_List!$AW$35</f>
        <v>0</v>
      </c>
      <c r="AX149" s="20">
        <f ca="1">Master_List!$AW$36</f>
        <v>0</v>
      </c>
      <c r="AY149" s="20">
        <f ca="1">Master_List!$AW$37</f>
        <v>0</v>
      </c>
      <c r="AZ149" s="20">
        <f ca="1">Master_List!$AW$38</f>
        <v>0</v>
      </c>
      <c r="BA149" s="20">
        <f ca="1">Master_List!$AW$39</f>
        <v>0</v>
      </c>
      <c r="BB149" s="20" t="s">
        <v>2240</v>
      </c>
      <c r="BC149" s="20" t="s">
        <v>2241</v>
      </c>
      <c r="BD149" s="6" t="s">
        <v>1744</v>
      </c>
      <c r="BE149" s="6" t="s">
        <v>1824</v>
      </c>
      <c r="BF149" s="6" t="s">
        <v>1748</v>
      </c>
      <c r="BG149" s="6" t="str">
        <f t="shared" si="2"/>
        <v>C:\Users\aremi\Desktop\REPORT CBM\PO 42289580 - Pahang 11kV SECOND CYCLE AZZAD 2026\RAW MATERIAL\047. TNB BARU (IR+VI)\RAW DATA\IR</v>
      </c>
      <c r="BH149" s="24" t="s">
        <v>681</v>
      </c>
    </row>
    <row r="150" spans="1:60" ht="30" customHeight="1" x14ac:dyDescent="0.25">
      <c r="A150" s="6">
        <v>75</v>
      </c>
      <c r="B150" s="6" t="s">
        <v>1557</v>
      </c>
      <c r="C150" s="6">
        <v>1</v>
      </c>
      <c r="D150" s="6" t="s">
        <v>2243</v>
      </c>
      <c r="E150" s="6">
        <v>75</v>
      </c>
      <c r="F150" s="6" t="str">
        <f ca="1">Master_List!$AW$1</f>
        <v>PERPUSTAKAAN PUSAT</v>
      </c>
      <c r="G150" s="27" t="str">
        <f ca="1">Master_List!$AW$2</f>
        <v>09:30 PM</v>
      </c>
      <c r="H150" s="32" t="str">
        <f ca="1">Master_List!$AW$3</f>
        <v>20/07/2026</v>
      </c>
      <c r="I150" s="28" t="str">
        <f ca="1">Master_List!$AW$4</f>
        <v>28.5</v>
      </c>
      <c r="J150" s="6" t="str">
        <f ca="1">Master_List!$AW$5</f>
        <v>65</v>
      </c>
      <c r="K150" s="6" t="s">
        <v>588</v>
      </c>
      <c r="L150" s="21" t="str">
        <f ca="1">IFERROR(VLOOKUP(B150, Master_List!$A:$I, 2, FALSE), "-")</f>
        <v/>
      </c>
      <c r="M150" s="22" t="str">
        <f ca="1">IFERROR(VLOOKUP(B150, Master_List!$A:$I, 3, FALSE), "-")</f>
        <v/>
      </c>
      <c r="N150" s="22" t="str">
        <f ca="1">IFERROR(VLOOKUP(B150, Master_List!$A:$I, 4, FALSE), "-")</f>
        <v/>
      </c>
      <c r="O150" s="22" t="str">
        <f ca="1">IFERROR(VLOOKUP(B150, Master_List!$A:$I, 5, FALSE), "-")</f>
        <v/>
      </c>
      <c r="P150" s="22" t="str">
        <f ca="1">IFERROR(VLOOKUP(B150, Master_List!$A:$I, 6, FALSE), "-")</f>
        <v/>
      </c>
      <c r="Q150" s="22" t="str">
        <f ca="1">IFERROR(VLOOKUP(B150, Master_List!$A:$I, 7, FALSE), "-")</f>
        <v/>
      </c>
      <c r="R150" s="22" t="str">
        <f ca="1">IFERROR(VLOOKUP(B150, Master_List!$A:$I, 8, FALSE), "-")</f>
        <v/>
      </c>
      <c r="S150" s="22" t="str">
        <f ca="1">IFERROR(VLOOKUP(B150, Master_List!$A:$I, 9, FALSE), "-")</f>
        <v/>
      </c>
      <c r="T150" s="20" t="str">
        <f ca="1">Master_List!$AW$6</f>
        <v>TOSHIBA</v>
      </c>
      <c r="U150" s="20" t="str">
        <f ca="1">Master_List!$AW$7</f>
        <v>MRMU</v>
      </c>
      <c r="V150" s="20" t="str">
        <f ca="1">Master_List!$AW$8</f>
        <v>12kV</v>
      </c>
      <c r="W150" s="20" t="str">
        <f ca="1">Master_List!$AW$9</f>
        <v>2S1F</v>
      </c>
      <c r="X150" s="20" t="str">
        <f ca="1">Master_List!$AW$10</f>
        <v>MTM</v>
      </c>
      <c r="Y150" s="20" t="str">
        <f ca="1">Master_List!$AW$11</f>
        <v>HERMETICALLY SEAL</v>
      </c>
      <c r="Z150" s="20" t="str">
        <f ca="1">Master_List!$AW$12</f>
        <v>750kVA</v>
      </c>
      <c r="AA150" s="20" t="str">
        <f ca="1">Master_List!$AW$13</f>
        <v>1317</v>
      </c>
      <c r="AB150" s="20">
        <f ca="1">Master_List!$AW$14</f>
        <v>0</v>
      </c>
      <c r="AC150" s="20">
        <f ca="1">Master_List!$AW$15</f>
        <v>0</v>
      </c>
      <c r="AD150" s="20">
        <f ca="1">Master_List!$AW$16</f>
        <v>0</v>
      </c>
      <c r="AE150" s="20">
        <f ca="1">Master_List!$AW$17</f>
        <v>0</v>
      </c>
      <c r="AF150" s="20" t="str">
        <f ca="1">Master_List!$AW$18</f>
        <v>INDKOM</v>
      </c>
      <c r="AG150" s="20" t="str">
        <f ca="1">Master_List!$AW$19</f>
        <v>J-SLOTTED</v>
      </c>
      <c r="AH150" s="20" t="str">
        <f ca="1">Master_List!$AW$20</f>
        <v>1600A</v>
      </c>
      <c r="AI150" s="20" t="str">
        <f ca="1">Master_List!$AW$21</f>
        <v>LV5080090</v>
      </c>
      <c r="AJ150" s="20" t="str">
        <f ca="1">Master_List!$AW$22</f>
        <v>LVDB TX1</v>
      </c>
      <c r="AK150" s="20">
        <f ca="1">Master_List!$AW$23</f>
        <v>0</v>
      </c>
      <c r="AL150" s="20">
        <f ca="1">Master_List!$AW$24</f>
        <v>0</v>
      </c>
      <c r="AM150" s="20">
        <f ca="1">Master_List!$AW$25</f>
        <v>0</v>
      </c>
      <c r="AN150" s="20">
        <f ca="1">Master_List!$AW$26</f>
        <v>0</v>
      </c>
      <c r="AO150" s="20" t="str">
        <f ca="1">Master_List!$AW$27</f>
        <v>LVDB TX2</v>
      </c>
      <c r="AP150" s="20" t="str">
        <f ca="1">Master_List!$AW$28</f>
        <v>SUNPOWER TECHNOLOGIES</v>
      </c>
      <c r="AQ150" s="20" t="str">
        <f ca="1">Master_List!$AW$29</f>
        <v>SPS 30-10 L</v>
      </c>
      <c r="AR150" s="20" t="str">
        <f ca="1">Master_List!$AW$30</f>
        <v>11193-8527</v>
      </c>
      <c r="AS150" s="20">
        <f ca="1">Master_List!$AW$31</f>
        <v>0</v>
      </c>
      <c r="AT150" s="20">
        <f ca="1">Master_List!$AW$32</f>
        <v>0</v>
      </c>
      <c r="AU150" s="20">
        <f ca="1">Master_List!$AW$33</f>
        <v>0</v>
      </c>
      <c r="AV150" s="20">
        <f ca="1">Master_List!$AW$34</f>
        <v>0</v>
      </c>
      <c r="AW150" s="20">
        <f ca="1">Master_List!$AW$35</f>
        <v>0</v>
      </c>
      <c r="AX150" s="20">
        <f ca="1">Master_List!$AW$36</f>
        <v>0</v>
      </c>
      <c r="AY150" s="20">
        <f ca="1">Master_List!$AW$37</f>
        <v>0</v>
      </c>
      <c r="AZ150" s="20">
        <f ca="1">Master_List!$AW$38</f>
        <v>0</v>
      </c>
      <c r="BA150" s="20">
        <f ca="1">Master_List!$AW$39</f>
        <v>0</v>
      </c>
      <c r="BB150" s="20" t="s">
        <v>2240</v>
      </c>
      <c r="BC150" s="20" t="s">
        <v>2241</v>
      </c>
      <c r="BD150" s="6" t="s">
        <v>1744</v>
      </c>
      <c r="BE150" s="6" t="s">
        <v>1825</v>
      </c>
      <c r="BF150" s="6" t="s">
        <v>1746</v>
      </c>
      <c r="BG150" s="6" t="str">
        <f t="shared" si="2"/>
        <v>C:\Users\aremi\Desktop\REPORT CBM\PO 42289580 - Pahang 11kV SECOND CYCLE AZZAD 2026\RAW MATERIAL\047. TNB BARU (IR+VI)\RAW DATA\IR</v>
      </c>
      <c r="BH150" s="24" t="s">
        <v>682</v>
      </c>
    </row>
    <row r="151" spans="1:60" ht="30" customHeight="1" x14ac:dyDescent="0.25">
      <c r="A151" s="6">
        <v>75</v>
      </c>
      <c r="B151" s="6" t="s">
        <v>1557</v>
      </c>
      <c r="C151" s="6">
        <v>1</v>
      </c>
      <c r="D151" s="6" t="s">
        <v>2243</v>
      </c>
      <c r="E151" s="6">
        <v>75</v>
      </c>
      <c r="F151" s="6" t="str">
        <f ca="1">Master_List!$AW$1</f>
        <v>PERPUSTAKAAN PUSAT</v>
      </c>
      <c r="G151" s="27" t="str">
        <f ca="1">Master_List!$AW$2</f>
        <v>09:30 PM</v>
      </c>
      <c r="H151" s="32" t="str">
        <f ca="1">Master_List!$AW$3</f>
        <v>20/07/2026</v>
      </c>
      <c r="I151" s="28" t="str">
        <f ca="1">Master_List!$AW$4</f>
        <v>28.5</v>
      </c>
      <c r="J151" s="6" t="str">
        <f ca="1">Master_List!$AW$5</f>
        <v>65</v>
      </c>
      <c r="K151" s="6" t="s">
        <v>588</v>
      </c>
      <c r="L151" s="21" t="str">
        <f ca="1">IFERROR(VLOOKUP(B151, Master_List!$A:$I, 2, FALSE), "-")</f>
        <v/>
      </c>
      <c r="M151" s="22" t="str">
        <f ca="1">IFERROR(VLOOKUP(B151, Master_List!$A:$I, 3, FALSE), "-")</f>
        <v/>
      </c>
      <c r="N151" s="22" t="str">
        <f ca="1">IFERROR(VLOOKUP(B151, Master_List!$A:$I, 4, FALSE), "-")</f>
        <v/>
      </c>
      <c r="O151" s="22" t="str">
        <f ca="1">IFERROR(VLOOKUP(B151, Master_List!$A:$I, 5, FALSE), "-")</f>
        <v/>
      </c>
      <c r="P151" s="22" t="str">
        <f ca="1">IFERROR(VLOOKUP(B151, Master_List!$A:$I, 6, FALSE), "-")</f>
        <v/>
      </c>
      <c r="Q151" s="22" t="str">
        <f ca="1">IFERROR(VLOOKUP(B151, Master_List!$A:$I, 7, FALSE), "-")</f>
        <v/>
      </c>
      <c r="R151" s="22" t="str">
        <f ca="1">IFERROR(VLOOKUP(B151, Master_List!$A:$I, 8, FALSE), "-")</f>
        <v/>
      </c>
      <c r="S151" s="22" t="str">
        <f ca="1">IFERROR(VLOOKUP(B151, Master_List!$A:$I, 9, FALSE), "-")</f>
        <v/>
      </c>
      <c r="T151" s="20" t="str">
        <f ca="1">Master_List!$AW$6</f>
        <v>TOSHIBA</v>
      </c>
      <c r="U151" s="20" t="str">
        <f ca="1">Master_List!$AW$7</f>
        <v>MRMU</v>
      </c>
      <c r="V151" s="20" t="str">
        <f ca="1">Master_List!$AW$8</f>
        <v>12kV</v>
      </c>
      <c r="W151" s="20" t="str">
        <f ca="1">Master_List!$AW$9</f>
        <v>2S1F</v>
      </c>
      <c r="X151" s="20" t="str">
        <f ca="1">Master_List!$AW$10</f>
        <v>MTM</v>
      </c>
      <c r="Y151" s="20" t="str">
        <f ca="1">Master_List!$AW$11</f>
        <v>HERMETICALLY SEAL</v>
      </c>
      <c r="Z151" s="20" t="str">
        <f ca="1">Master_List!$AW$12</f>
        <v>750kVA</v>
      </c>
      <c r="AA151" s="20" t="str">
        <f ca="1">Master_List!$AW$13</f>
        <v>1317</v>
      </c>
      <c r="AB151" s="20">
        <f ca="1">Master_List!$AW$14</f>
        <v>0</v>
      </c>
      <c r="AC151" s="20">
        <f ca="1">Master_List!$AW$15</f>
        <v>0</v>
      </c>
      <c r="AD151" s="20">
        <f ca="1">Master_List!$AW$16</f>
        <v>0</v>
      </c>
      <c r="AE151" s="20">
        <f ca="1">Master_List!$AW$17</f>
        <v>0</v>
      </c>
      <c r="AF151" s="20" t="str">
        <f ca="1">Master_List!$AW$18</f>
        <v>INDKOM</v>
      </c>
      <c r="AG151" s="20" t="str">
        <f ca="1">Master_List!$AW$19</f>
        <v>J-SLOTTED</v>
      </c>
      <c r="AH151" s="20" t="str">
        <f ca="1">Master_List!$AW$20</f>
        <v>1600A</v>
      </c>
      <c r="AI151" s="20" t="str">
        <f ca="1">Master_List!$AW$21</f>
        <v>LV5080090</v>
      </c>
      <c r="AJ151" s="20" t="str">
        <f ca="1">Master_List!$AW$22</f>
        <v>LVDB TX1</v>
      </c>
      <c r="AK151" s="20">
        <f ca="1">Master_List!$AW$23</f>
        <v>0</v>
      </c>
      <c r="AL151" s="20">
        <f ca="1">Master_List!$AW$24</f>
        <v>0</v>
      </c>
      <c r="AM151" s="20">
        <f ca="1">Master_List!$AW$25</f>
        <v>0</v>
      </c>
      <c r="AN151" s="20">
        <f ca="1">Master_List!$AW$26</f>
        <v>0</v>
      </c>
      <c r="AO151" s="20" t="str">
        <f ca="1">Master_List!$AW$27</f>
        <v>LVDB TX2</v>
      </c>
      <c r="AP151" s="20" t="str">
        <f ca="1">Master_List!$AW$28</f>
        <v>SUNPOWER TECHNOLOGIES</v>
      </c>
      <c r="AQ151" s="20" t="str">
        <f ca="1">Master_List!$AW$29</f>
        <v>SPS 30-10 L</v>
      </c>
      <c r="AR151" s="20" t="str">
        <f ca="1">Master_List!$AW$30</f>
        <v>11193-8527</v>
      </c>
      <c r="AS151" s="20">
        <f ca="1">Master_List!$AW$31</f>
        <v>0</v>
      </c>
      <c r="AT151" s="20">
        <f ca="1">Master_List!$AW$32</f>
        <v>0</v>
      </c>
      <c r="AU151" s="20">
        <f ca="1">Master_List!$AW$33</f>
        <v>0</v>
      </c>
      <c r="AV151" s="20">
        <f ca="1">Master_List!$AW$34</f>
        <v>0</v>
      </c>
      <c r="AW151" s="20">
        <f ca="1">Master_List!$AW$35</f>
        <v>0</v>
      </c>
      <c r="AX151" s="20">
        <f ca="1">Master_List!$AW$36</f>
        <v>0</v>
      </c>
      <c r="AY151" s="20">
        <f ca="1">Master_List!$AW$37</f>
        <v>0</v>
      </c>
      <c r="AZ151" s="20">
        <f ca="1">Master_List!$AW$38</f>
        <v>0</v>
      </c>
      <c r="BA151" s="20">
        <f ca="1">Master_List!$AW$39</f>
        <v>0</v>
      </c>
      <c r="BB151" s="20" t="s">
        <v>2240</v>
      </c>
      <c r="BC151" s="20" t="s">
        <v>2241</v>
      </c>
      <c r="BD151" s="6" t="s">
        <v>1744</v>
      </c>
      <c r="BE151" s="6" t="s">
        <v>1825</v>
      </c>
      <c r="BF151" s="6" t="s">
        <v>1748</v>
      </c>
      <c r="BG151" s="6" t="str">
        <f t="shared" si="2"/>
        <v>C:\Users\aremi\Desktop\REPORT CBM\PO 42289580 - Pahang 11kV SECOND CYCLE AZZAD 2026\RAW MATERIAL\047. TNB BARU (IR+VI)\RAW DATA\IR</v>
      </c>
      <c r="BH151" s="24" t="s">
        <v>683</v>
      </c>
    </row>
    <row r="152" spans="1:60" ht="30" customHeight="1" x14ac:dyDescent="0.25">
      <c r="A152" s="6">
        <v>76</v>
      </c>
      <c r="B152" s="6" t="s">
        <v>1557</v>
      </c>
      <c r="C152" s="6">
        <v>1</v>
      </c>
      <c r="D152" s="6" t="s">
        <v>2244</v>
      </c>
      <c r="E152" s="6">
        <v>76</v>
      </c>
      <c r="F152" s="6" t="str">
        <f ca="1">Master_List!$AW$1</f>
        <v>PERPUSTAKAAN PUSAT</v>
      </c>
      <c r="G152" s="27" t="str">
        <f ca="1">Master_List!$AW$2</f>
        <v>09:30 PM</v>
      </c>
      <c r="H152" s="32" t="str">
        <f ca="1">Master_List!$AW$3</f>
        <v>20/07/2026</v>
      </c>
      <c r="I152" s="28" t="str">
        <f ca="1">Master_List!$AW$4</f>
        <v>28.5</v>
      </c>
      <c r="J152" s="6" t="str">
        <f ca="1">Master_List!$AW$5</f>
        <v>65</v>
      </c>
      <c r="K152" s="6" t="s">
        <v>591</v>
      </c>
      <c r="L152" s="21" t="str">
        <f ca="1">IFERROR(VLOOKUP(B152, Master_List!$A:$I, 2, FALSE), "-")</f>
        <v/>
      </c>
      <c r="M152" s="22" t="str">
        <f ca="1">IFERROR(VLOOKUP(B152, Master_List!$A:$I, 3, FALSE), "-")</f>
        <v/>
      </c>
      <c r="N152" s="22" t="str">
        <f ca="1">IFERROR(VLOOKUP(B152, Master_List!$A:$I, 4, FALSE), "-")</f>
        <v/>
      </c>
      <c r="O152" s="22" t="str">
        <f ca="1">IFERROR(VLOOKUP(B152, Master_List!$A:$I, 5, FALSE), "-")</f>
        <v/>
      </c>
      <c r="P152" s="22" t="str">
        <f ca="1">IFERROR(VLOOKUP(B152, Master_List!$A:$I, 6, FALSE), "-")</f>
        <v/>
      </c>
      <c r="Q152" s="22" t="str">
        <f ca="1">IFERROR(VLOOKUP(B152, Master_List!$A:$I, 7, FALSE), "-")</f>
        <v/>
      </c>
      <c r="R152" s="22" t="str">
        <f ca="1">IFERROR(VLOOKUP(B152, Master_List!$A:$I, 8, FALSE), "-")</f>
        <v/>
      </c>
      <c r="S152" s="22" t="str">
        <f ca="1">IFERROR(VLOOKUP(B152, Master_List!$A:$I, 9, FALSE), "-")</f>
        <v/>
      </c>
      <c r="T152" s="20" t="str">
        <f ca="1">Master_List!$AW$6</f>
        <v>TOSHIBA</v>
      </c>
      <c r="U152" s="20" t="str">
        <f ca="1">Master_List!$AW$7</f>
        <v>MRMU</v>
      </c>
      <c r="V152" s="20" t="str">
        <f ca="1">Master_List!$AW$8</f>
        <v>12kV</v>
      </c>
      <c r="W152" s="20" t="str">
        <f ca="1">Master_List!$AW$9</f>
        <v>2S1F</v>
      </c>
      <c r="X152" s="20" t="str">
        <f ca="1">Master_List!$AW$10</f>
        <v>MTM</v>
      </c>
      <c r="Y152" s="20" t="str">
        <f ca="1">Master_List!$AW$11</f>
        <v>HERMETICALLY SEAL</v>
      </c>
      <c r="Z152" s="20" t="str">
        <f ca="1">Master_List!$AW$12</f>
        <v>750kVA</v>
      </c>
      <c r="AA152" s="20" t="str">
        <f ca="1">Master_List!$AW$13</f>
        <v>1317</v>
      </c>
      <c r="AB152" s="20">
        <f ca="1">Master_List!$AW$14</f>
        <v>0</v>
      </c>
      <c r="AC152" s="20">
        <f ca="1">Master_List!$AW$15</f>
        <v>0</v>
      </c>
      <c r="AD152" s="20">
        <f ca="1">Master_List!$AW$16</f>
        <v>0</v>
      </c>
      <c r="AE152" s="20">
        <f ca="1">Master_List!$AW$17</f>
        <v>0</v>
      </c>
      <c r="AF152" s="20" t="str">
        <f ca="1">Master_List!$AW$18</f>
        <v>INDKOM</v>
      </c>
      <c r="AG152" s="20" t="str">
        <f ca="1">Master_List!$AW$19</f>
        <v>J-SLOTTED</v>
      </c>
      <c r="AH152" s="20" t="str">
        <f ca="1">Master_List!$AW$20</f>
        <v>1600A</v>
      </c>
      <c r="AI152" s="20" t="str">
        <f ca="1">Master_List!$AW$21</f>
        <v>LV5080090</v>
      </c>
      <c r="AJ152" s="20" t="str">
        <f ca="1">Master_List!$AW$22</f>
        <v>LVDB TX1</v>
      </c>
      <c r="AK152" s="20">
        <f ca="1">Master_List!$AW$23</f>
        <v>0</v>
      </c>
      <c r="AL152" s="20">
        <f ca="1">Master_List!$AW$24</f>
        <v>0</v>
      </c>
      <c r="AM152" s="20">
        <f ca="1">Master_List!$AW$25</f>
        <v>0</v>
      </c>
      <c r="AN152" s="20">
        <f ca="1">Master_List!$AW$26</f>
        <v>0</v>
      </c>
      <c r="AO152" s="20" t="str">
        <f ca="1">Master_List!$AW$27</f>
        <v>LVDB TX2</v>
      </c>
      <c r="AP152" s="20" t="str">
        <f ca="1">Master_List!$AW$28</f>
        <v>SUNPOWER TECHNOLOGIES</v>
      </c>
      <c r="AQ152" s="20" t="str">
        <f ca="1">Master_List!$AW$29</f>
        <v>SPS 30-10 L</v>
      </c>
      <c r="AR152" s="20" t="str">
        <f ca="1">Master_List!$AW$30</f>
        <v>11193-8527</v>
      </c>
      <c r="AS152" s="20">
        <f ca="1">Master_List!$AW$31</f>
        <v>0</v>
      </c>
      <c r="AT152" s="20">
        <f ca="1">Master_List!$AW$32</f>
        <v>0</v>
      </c>
      <c r="AU152" s="20">
        <f ca="1">Master_List!$AW$33</f>
        <v>0</v>
      </c>
      <c r="AV152" s="20">
        <f ca="1">Master_List!$AW$34</f>
        <v>0</v>
      </c>
      <c r="AW152" s="20">
        <f ca="1">Master_List!$AW$35</f>
        <v>0</v>
      </c>
      <c r="AX152" s="20">
        <f ca="1">Master_List!$AW$36</f>
        <v>0</v>
      </c>
      <c r="AY152" s="20">
        <f ca="1">Master_List!$AW$37</f>
        <v>0</v>
      </c>
      <c r="AZ152" s="20">
        <f ca="1">Master_List!$AW$38</f>
        <v>0</v>
      </c>
      <c r="BA152" s="20">
        <f ca="1">Master_List!$AW$39</f>
        <v>0</v>
      </c>
      <c r="BB152" s="20" t="s">
        <v>2240</v>
      </c>
      <c r="BC152" s="20" t="s">
        <v>2241</v>
      </c>
      <c r="BD152" s="6" t="s">
        <v>1744</v>
      </c>
      <c r="BE152" s="6" t="s">
        <v>1826</v>
      </c>
      <c r="BF152" s="6" t="s">
        <v>1746</v>
      </c>
      <c r="BG152" s="6" t="str">
        <f t="shared" si="2"/>
        <v>C:\Users\aremi\Desktop\REPORT CBM\PO 42289580 - Pahang 11kV SECOND CYCLE AZZAD 2026\RAW MATERIAL\047. TNB BARU (IR+VI)\RAW DATA\IR</v>
      </c>
      <c r="BH152" s="24" t="s">
        <v>684</v>
      </c>
    </row>
    <row r="153" spans="1:60" ht="30" customHeight="1" x14ac:dyDescent="0.25">
      <c r="A153" s="6">
        <v>76</v>
      </c>
      <c r="B153" s="6" t="s">
        <v>1557</v>
      </c>
      <c r="C153" s="6">
        <v>1</v>
      </c>
      <c r="D153" s="6" t="s">
        <v>2244</v>
      </c>
      <c r="E153" s="6">
        <v>76</v>
      </c>
      <c r="F153" s="6" t="str">
        <f ca="1">Master_List!$AW$1</f>
        <v>PERPUSTAKAAN PUSAT</v>
      </c>
      <c r="G153" s="27" t="str">
        <f ca="1">Master_List!$AW$2</f>
        <v>09:30 PM</v>
      </c>
      <c r="H153" s="32" t="str">
        <f ca="1">Master_List!$AW$3</f>
        <v>20/07/2026</v>
      </c>
      <c r="I153" s="28" t="str">
        <f ca="1">Master_List!$AW$4</f>
        <v>28.5</v>
      </c>
      <c r="J153" s="6" t="str">
        <f ca="1">Master_List!$AW$5</f>
        <v>65</v>
      </c>
      <c r="K153" s="6" t="s">
        <v>591</v>
      </c>
      <c r="L153" s="21" t="str">
        <f ca="1">IFERROR(VLOOKUP(B153, Master_List!$A:$I, 2, FALSE), "-")</f>
        <v/>
      </c>
      <c r="M153" s="22" t="str">
        <f ca="1">IFERROR(VLOOKUP(B153, Master_List!$A:$I, 3, FALSE), "-")</f>
        <v/>
      </c>
      <c r="N153" s="22" t="str">
        <f ca="1">IFERROR(VLOOKUP(B153, Master_List!$A:$I, 4, FALSE), "-")</f>
        <v/>
      </c>
      <c r="O153" s="22" t="str">
        <f ca="1">IFERROR(VLOOKUP(B153, Master_List!$A:$I, 5, FALSE), "-")</f>
        <v/>
      </c>
      <c r="P153" s="22" t="str">
        <f ca="1">IFERROR(VLOOKUP(B153, Master_List!$A:$I, 6, FALSE), "-")</f>
        <v/>
      </c>
      <c r="Q153" s="22" t="str">
        <f ca="1">IFERROR(VLOOKUP(B153, Master_List!$A:$I, 7, FALSE), "-")</f>
        <v/>
      </c>
      <c r="R153" s="22" t="str">
        <f ca="1">IFERROR(VLOOKUP(B153, Master_List!$A:$I, 8, FALSE), "-")</f>
        <v/>
      </c>
      <c r="S153" s="22" t="str">
        <f ca="1">IFERROR(VLOOKUP(B153, Master_List!$A:$I, 9, FALSE), "-")</f>
        <v/>
      </c>
      <c r="T153" s="20" t="str">
        <f ca="1">Master_List!$AW$6</f>
        <v>TOSHIBA</v>
      </c>
      <c r="U153" s="20" t="str">
        <f ca="1">Master_List!$AW$7</f>
        <v>MRMU</v>
      </c>
      <c r="V153" s="20" t="str">
        <f ca="1">Master_List!$AW$8</f>
        <v>12kV</v>
      </c>
      <c r="W153" s="20" t="str">
        <f ca="1">Master_List!$AW$9</f>
        <v>2S1F</v>
      </c>
      <c r="X153" s="20" t="str">
        <f ca="1">Master_List!$AW$10</f>
        <v>MTM</v>
      </c>
      <c r="Y153" s="20" t="str">
        <f ca="1">Master_List!$AW$11</f>
        <v>HERMETICALLY SEAL</v>
      </c>
      <c r="Z153" s="20" t="str">
        <f ca="1">Master_List!$AW$12</f>
        <v>750kVA</v>
      </c>
      <c r="AA153" s="20" t="str">
        <f ca="1">Master_List!$AW$13</f>
        <v>1317</v>
      </c>
      <c r="AB153" s="20">
        <f ca="1">Master_List!$AW$14</f>
        <v>0</v>
      </c>
      <c r="AC153" s="20">
        <f ca="1">Master_List!$AW$15</f>
        <v>0</v>
      </c>
      <c r="AD153" s="20">
        <f ca="1">Master_List!$AW$16</f>
        <v>0</v>
      </c>
      <c r="AE153" s="20">
        <f ca="1">Master_List!$AW$17</f>
        <v>0</v>
      </c>
      <c r="AF153" s="20" t="str">
        <f ca="1">Master_List!$AW$18</f>
        <v>INDKOM</v>
      </c>
      <c r="AG153" s="20" t="str">
        <f ca="1">Master_List!$AW$19</f>
        <v>J-SLOTTED</v>
      </c>
      <c r="AH153" s="20" t="str">
        <f ca="1">Master_List!$AW$20</f>
        <v>1600A</v>
      </c>
      <c r="AI153" s="20" t="str">
        <f ca="1">Master_List!$AW$21</f>
        <v>LV5080090</v>
      </c>
      <c r="AJ153" s="20" t="str">
        <f ca="1">Master_List!$AW$22</f>
        <v>LVDB TX1</v>
      </c>
      <c r="AK153" s="20">
        <f ca="1">Master_List!$AW$23</f>
        <v>0</v>
      </c>
      <c r="AL153" s="20">
        <f ca="1">Master_List!$AW$24</f>
        <v>0</v>
      </c>
      <c r="AM153" s="20">
        <f ca="1">Master_List!$AW$25</f>
        <v>0</v>
      </c>
      <c r="AN153" s="20">
        <f ca="1">Master_List!$AW$26</f>
        <v>0</v>
      </c>
      <c r="AO153" s="20" t="str">
        <f ca="1">Master_List!$AW$27</f>
        <v>LVDB TX2</v>
      </c>
      <c r="AP153" s="20" t="str">
        <f ca="1">Master_List!$AW$28</f>
        <v>SUNPOWER TECHNOLOGIES</v>
      </c>
      <c r="AQ153" s="20" t="str">
        <f ca="1">Master_List!$AW$29</f>
        <v>SPS 30-10 L</v>
      </c>
      <c r="AR153" s="20" t="str">
        <f ca="1">Master_List!$AW$30</f>
        <v>11193-8527</v>
      </c>
      <c r="AS153" s="20">
        <f ca="1">Master_List!$AW$31</f>
        <v>0</v>
      </c>
      <c r="AT153" s="20">
        <f ca="1">Master_List!$AW$32</f>
        <v>0</v>
      </c>
      <c r="AU153" s="20">
        <f ca="1">Master_List!$AW$33</f>
        <v>0</v>
      </c>
      <c r="AV153" s="20">
        <f ca="1">Master_List!$AW$34</f>
        <v>0</v>
      </c>
      <c r="AW153" s="20">
        <f ca="1">Master_List!$AW$35</f>
        <v>0</v>
      </c>
      <c r="AX153" s="20">
        <f ca="1">Master_List!$AW$36</f>
        <v>0</v>
      </c>
      <c r="AY153" s="20">
        <f ca="1">Master_List!$AW$37</f>
        <v>0</v>
      </c>
      <c r="AZ153" s="20">
        <f ca="1">Master_List!$AW$38</f>
        <v>0</v>
      </c>
      <c r="BA153" s="20">
        <f ca="1">Master_List!$AW$39</f>
        <v>0</v>
      </c>
      <c r="BB153" s="20" t="s">
        <v>2240</v>
      </c>
      <c r="BC153" s="20" t="s">
        <v>2241</v>
      </c>
      <c r="BD153" s="6" t="s">
        <v>1744</v>
      </c>
      <c r="BE153" s="6" t="s">
        <v>1826</v>
      </c>
      <c r="BF153" s="6" t="s">
        <v>1748</v>
      </c>
      <c r="BG153" s="6" t="str">
        <f t="shared" si="2"/>
        <v>C:\Users\aremi\Desktop\REPORT CBM\PO 42289580 - Pahang 11kV SECOND CYCLE AZZAD 2026\RAW MATERIAL\047. TNB BARU (IR+VI)\RAW DATA\IR</v>
      </c>
      <c r="BH153" s="24" t="s">
        <v>685</v>
      </c>
    </row>
    <row r="154" spans="1:60" ht="30" customHeight="1" x14ac:dyDescent="0.25">
      <c r="A154" s="6">
        <v>77</v>
      </c>
      <c r="B154" s="6" t="s">
        <v>1562</v>
      </c>
      <c r="C154" s="6">
        <v>1</v>
      </c>
      <c r="D154" s="6" t="s">
        <v>2242</v>
      </c>
      <c r="E154" s="6">
        <v>77</v>
      </c>
      <c r="F154" s="6" t="str">
        <f ca="1">Master_List!$AW$1</f>
        <v>PERPUSTAKAAN PUSAT</v>
      </c>
      <c r="G154" s="27" t="str">
        <f ca="1">Master_List!$AW$2</f>
        <v>09:30 PM</v>
      </c>
      <c r="H154" s="32" t="str">
        <f ca="1">Master_List!$AW$3</f>
        <v>20/07/2026</v>
      </c>
      <c r="I154" s="28" t="str">
        <f ca="1">Master_List!$AW$4</f>
        <v>28.5</v>
      </c>
      <c r="J154" s="6" t="str">
        <f ca="1">Master_List!$AW$5</f>
        <v>65</v>
      </c>
      <c r="K154" s="6" t="s">
        <v>570</v>
      </c>
      <c r="L154" s="21" t="str">
        <f ca="1">IFERROR(VLOOKUP(B154, Master_List!$A:$I, 2, FALSE), "-")</f>
        <v/>
      </c>
      <c r="M154" s="22" t="str">
        <f ca="1">IFERROR(VLOOKUP(B154, Master_List!$A:$I, 3, FALSE), "-")</f>
        <v/>
      </c>
      <c r="N154" s="22" t="str">
        <f ca="1">IFERROR(VLOOKUP(B154, Master_List!$A:$I, 4, FALSE), "-")</f>
        <v/>
      </c>
      <c r="O154" s="22" t="str">
        <f ca="1">IFERROR(VLOOKUP(B154, Master_List!$A:$I, 5, FALSE), "-")</f>
        <v/>
      </c>
      <c r="P154" s="22" t="str">
        <f ca="1">IFERROR(VLOOKUP(B154, Master_List!$A:$I, 6, FALSE), "-")</f>
        <v/>
      </c>
      <c r="Q154" s="22" t="str">
        <f ca="1">IFERROR(VLOOKUP(B154, Master_List!$A:$I, 7, FALSE), "-")</f>
        <v/>
      </c>
      <c r="R154" s="22" t="str">
        <f ca="1">IFERROR(VLOOKUP(B154, Master_List!$A:$I, 8, FALSE), "-")</f>
        <v/>
      </c>
      <c r="S154" s="22" t="str">
        <f ca="1">IFERROR(VLOOKUP(B154, Master_List!$A:$I, 9, FALSE), "-")</f>
        <v/>
      </c>
      <c r="T154" s="20" t="str">
        <f ca="1">Master_List!$AW$6</f>
        <v>TOSHIBA</v>
      </c>
      <c r="U154" s="20" t="str">
        <f ca="1">Master_List!$AW$7</f>
        <v>MRMU</v>
      </c>
      <c r="V154" s="20" t="str">
        <f ca="1">Master_List!$AW$8</f>
        <v>12kV</v>
      </c>
      <c r="W154" s="20" t="str">
        <f ca="1">Master_List!$AW$9</f>
        <v>2S1F</v>
      </c>
      <c r="X154" s="20" t="str">
        <f ca="1">Master_List!$AW$10</f>
        <v>MTM</v>
      </c>
      <c r="Y154" s="20" t="str">
        <f ca="1">Master_List!$AW$11</f>
        <v>HERMETICALLY SEAL</v>
      </c>
      <c r="Z154" s="20" t="str">
        <f ca="1">Master_List!$AW$12</f>
        <v>750kVA</v>
      </c>
      <c r="AA154" s="20" t="str">
        <f ca="1">Master_List!$AW$13</f>
        <v>1317</v>
      </c>
      <c r="AB154" s="20">
        <f ca="1">Master_List!$AW$14</f>
        <v>0</v>
      </c>
      <c r="AC154" s="20">
        <f ca="1">Master_List!$AW$15</f>
        <v>0</v>
      </c>
      <c r="AD154" s="20">
        <f ca="1">Master_List!$AW$16</f>
        <v>0</v>
      </c>
      <c r="AE154" s="20">
        <f ca="1">Master_List!$AW$17</f>
        <v>0</v>
      </c>
      <c r="AF154" s="20" t="str">
        <f ca="1">Master_List!$AW$18</f>
        <v>INDKOM</v>
      </c>
      <c r="AG154" s="20" t="str">
        <f ca="1">Master_List!$AW$19</f>
        <v>J-SLOTTED</v>
      </c>
      <c r="AH154" s="20" t="str">
        <f ca="1">Master_List!$AW$20</f>
        <v>1600A</v>
      </c>
      <c r="AI154" s="20" t="str">
        <f ca="1">Master_List!$AW$21</f>
        <v>LV5080090</v>
      </c>
      <c r="AJ154" s="20" t="str">
        <f ca="1">Master_List!$AW$22</f>
        <v>LVDB TX1</v>
      </c>
      <c r="AK154" s="20">
        <f ca="1">Master_List!$AW$23</f>
        <v>0</v>
      </c>
      <c r="AL154" s="20">
        <f ca="1">Master_List!$AW$24</f>
        <v>0</v>
      </c>
      <c r="AM154" s="20">
        <f ca="1">Master_List!$AW$25</f>
        <v>0</v>
      </c>
      <c r="AN154" s="20">
        <f ca="1">Master_List!$AW$26</f>
        <v>0</v>
      </c>
      <c r="AO154" s="20" t="str">
        <f ca="1">Master_List!$AW$27</f>
        <v>LVDB TX2</v>
      </c>
      <c r="AP154" s="20" t="str">
        <f ca="1">Master_List!$AW$28</f>
        <v>SUNPOWER TECHNOLOGIES</v>
      </c>
      <c r="AQ154" s="20" t="str">
        <f ca="1">Master_List!$AW$29</f>
        <v>SPS 30-10 L</v>
      </c>
      <c r="AR154" s="20" t="str">
        <f ca="1">Master_List!$AW$30</f>
        <v>11193-8527</v>
      </c>
      <c r="AS154" s="20">
        <f ca="1">Master_List!$AW$31</f>
        <v>0</v>
      </c>
      <c r="AT154" s="20">
        <f ca="1">Master_List!$AW$32</f>
        <v>0</v>
      </c>
      <c r="AU154" s="20">
        <f ca="1">Master_List!$AW$33</f>
        <v>0</v>
      </c>
      <c r="AV154" s="20">
        <f ca="1">Master_List!$AW$34</f>
        <v>0</v>
      </c>
      <c r="AW154" s="20">
        <f ca="1">Master_List!$AW$35</f>
        <v>0</v>
      </c>
      <c r="AX154" s="20">
        <f ca="1">Master_List!$AW$36</f>
        <v>0</v>
      </c>
      <c r="AY154" s="20">
        <f ca="1">Master_List!$AW$37</f>
        <v>0</v>
      </c>
      <c r="AZ154" s="20">
        <f ca="1">Master_List!$AW$38</f>
        <v>0</v>
      </c>
      <c r="BA154" s="20">
        <f ca="1">Master_List!$AW$39</f>
        <v>0</v>
      </c>
      <c r="BB154" s="20" t="s">
        <v>2240</v>
      </c>
      <c r="BC154" s="20" t="s">
        <v>2241</v>
      </c>
      <c r="BD154" s="6" t="s">
        <v>1744</v>
      </c>
      <c r="BE154" s="6" t="s">
        <v>1827</v>
      </c>
      <c r="BF154" s="6" t="s">
        <v>1746</v>
      </c>
      <c r="BG154" s="6" t="str">
        <f t="shared" si="2"/>
        <v>C:\Users\aremi\Desktop\REPORT CBM\PO 42289580 - Pahang 11kV SECOND CYCLE AZZAD 2026\RAW MATERIAL\047. TNB BARU (IR+VI)\RAW DATA\IR</v>
      </c>
      <c r="BH154" s="24" t="s">
        <v>686</v>
      </c>
    </row>
    <row r="155" spans="1:60" ht="30" customHeight="1" x14ac:dyDescent="0.25">
      <c r="A155" s="6">
        <v>77</v>
      </c>
      <c r="B155" s="6" t="s">
        <v>1562</v>
      </c>
      <c r="C155" s="6">
        <v>1</v>
      </c>
      <c r="D155" s="6" t="s">
        <v>2242</v>
      </c>
      <c r="E155" s="6">
        <v>77</v>
      </c>
      <c r="F155" s="6" t="str">
        <f ca="1">Master_List!$AW$1</f>
        <v>PERPUSTAKAAN PUSAT</v>
      </c>
      <c r="G155" s="27" t="str">
        <f ca="1">Master_List!$AW$2</f>
        <v>09:30 PM</v>
      </c>
      <c r="H155" s="32" t="str">
        <f ca="1">Master_List!$AW$3</f>
        <v>20/07/2026</v>
      </c>
      <c r="I155" s="28" t="str">
        <f ca="1">Master_List!$AW$4</f>
        <v>28.5</v>
      </c>
      <c r="J155" s="6" t="str">
        <f ca="1">Master_List!$AW$5</f>
        <v>65</v>
      </c>
      <c r="K155" s="6" t="s">
        <v>570</v>
      </c>
      <c r="L155" s="21" t="str">
        <f ca="1">IFERROR(VLOOKUP(B155, Master_List!$A:$I, 2, FALSE), "-")</f>
        <v/>
      </c>
      <c r="M155" s="22" t="str">
        <f ca="1">IFERROR(VLOOKUP(B155, Master_List!$A:$I, 3, FALSE), "-")</f>
        <v/>
      </c>
      <c r="N155" s="22" t="str">
        <f ca="1">IFERROR(VLOOKUP(B155, Master_List!$A:$I, 4, FALSE), "-")</f>
        <v/>
      </c>
      <c r="O155" s="22" t="str">
        <f ca="1">IFERROR(VLOOKUP(B155, Master_List!$A:$I, 5, FALSE), "-")</f>
        <v/>
      </c>
      <c r="P155" s="22" t="str">
        <f ca="1">IFERROR(VLOOKUP(B155, Master_List!$A:$I, 6, FALSE), "-")</f>
        <v/>
      </c>
      <c r="Q155" s="22" t="str">
        <f ca="1">IFERROR(VLOOKUP(B155, Master_List!$A:$I, 7, FALSE), "-")</f>
        <v/>
      </c>
      <c r="R155" s="22" t="str">
        <f ca="1">IFERROR(VLOOKUP(B155, Master_List!$A:$I, 8, FALSE), "-")</f>
        <v/>
      </c>
      <c r="S155" s="22" t="str">
        <f ca="1">IFERROR(VLOOKUP(B155, Master_List!$A:$I, 9, FALSE), "-")</f>
        <v/>
      </c>
      <c r="T155" s="20" t="str">
        <f ca="1">Master_List!$AW$6</f>
        <v>TOSHIBA</v>
      </c>
      <c r="U155" s="20" t="str">
        <f ca="1">Master_List!$AW$7</f>
        <v>MRMU</v>
      </c>
      <c r="V155" s="20" t="str">
        <f ca="1">Master_List!$AW$8</f>
        <v>12kV</v>
      </c>
      <c r="W155" s="20" t="str">
        <f ca="1">Master_List!$AW$9</f>
        <v>2S1F</v>
      </c>
      <c r="X155" s="20" t="str">
        <f ca="1">Master_List!$AW$10</f>
        <v>MTM</v>
      </c>
      <c r="Y155" s="20" t="str">
        <f ca="1">Master_List!$AW$11</f>
        <v>HERMETICALLY SEAL</v>
      </c>
      <c r="Z155" s="20" t="str">
        <f ca="1">Master_List!$AW$12</f>
        <v>750kVA</v>
      </c>
      <c r="AA155" s="20" t="str">
        <f ca="1">Master_List!$AW$13</f>
        <v>1317</v>
      </c>
      <c r="AB155" s="20">
        <f ca="1">Master_List!$AW$14</f>
        <v>0</v>
      </c>
      <c r="AC155" s="20">
        <f ca="1">Master_List!$AW$15</f>
        <v>0</v>
      </c>
      <c r="AD155" s="20">
        <f ca="1">Master_List!$AW$16</f>
        <v>0</v>
      </c>
      <c r="AE155" s="20">
        <f ca="1">Master_List!$AW$17</f>
        <v>0</v>
      </c>
      <c r="AF155" s="20" t="str">
        <f ca="1">Master_List!$AW$18</f>
        <v>INDKOM</v>
      </c>
      <c r="AG155" s="20" t="str">
        <f ca="1">Master_List!$AW$19</f>
        <v>J-SLOTTED</v>
      </c>
      <c r="AH155" s="20" t="str">
        <f ca="1">Master_List!$AW$20</f>
        <v>1600A</v>
      </c>
      <c r="AI155" s="20" t="str">
        <f ca="1">Master_List!$AW$21</f>
        <v>LV5080090</v>
      </c>
      <c r="AJ155" s="20" t="str">
        <f ca="1">Master_List!$AW$22</f>
        <v>LVDB TX1</v>
      </c>
      <c r="AK155" s="20">
        <f ca="1">Master_List!$AW$23</f>
        <v>0</v>
      </c>
      <c r="AL155" s="20">
        <f ca="1">Master_List!$AW$24</f>
        <v>0</v>
      </c>
      <c r="AM155" s="20">
        <f ca="1">Master_List!$AW$25</f>
        <v>0</v>
      </c>
      <c r="AN155" s="20">
        <f ca="1">Master_List!$AW$26</f>
        <v>0</v>
      </c>
      <c r="AO155" s="20" t="str">
        <f ca="1">Master_List!$AW$27</f>
        <v>LVDB TX2</v>
      </c>
      <c r="AP155" s="20" t="str">
        <f ca="1">Master_List!$AW$28</f>
        <v>SUNPOWER TECHNOLOGIES</v>
      </c>
      <c r="AQ155" s="20" t="str">
        <f ca="1">Master_List!$AW$29</f>
        <v>SPS 30-10 L</v>
      </c>
      <c r="AR155" s="20" t="str">
        <f ca="1">Master_List!$AW$30</f>
        <v>11193-8527</v>
      </c>
      <c r="AS155" s="20">
        <f ca="1">Master_List!$AW$31</f>
        <v>0</v>
      </c>
      <c r="AT155" s="20">
        <f ca="1">Master_List!$AW$32</f>
        <v>0</v>
      </c>
      <c r="AU155" s="20">
        <f ca="1">Master_List!$AW$33</f>
        <v>0</v>
      </c>
      <c r="AV155" s="20">
        <f ca="1">Master_List!$AW$34</f>
        <v>0</v>
      </c>
      <c r="AW155" s="20">
        <f ca="1">Master_List!$AW$35</f>
        <v>0</v>
      </c>
      <c r="AX155" s="20">
        <f ca="1">Master_List!$AW$36</f>
        <v>0</v>
      </c>
      <c r="AY155" s="20">
        <f ca="1">Master_List!$AW$37</f>
        <v>0</v>
      </c>
      <c r="AZ155" s="20">
        <f ca="1">Master_List!$AW$38</f>
        <v>0</v>
      </c>
      <c r="BA155" s="20">
        <f ca="1">Master_List!$AW$39</f>
        <v>0</v>
      </c>
      <c r="BB155" s="20" t="s">
        <v>2240</v>
      </c>
      <c r="BC155" s="20" t="s">
        <v>2241</v>
      </c>
      <c r="BD155" s="6" t="s">
        <v>1744</v>
      </c>
      <c r="BE155" s="6" t="s">
        <v>1827</v>
      </c>
      <c r="BF155" s="6" t="s">
        <v>1748</v>
      </c>
      <c r="BG155" s="6" t="str">
        <f t="shared" si="2"/>
        <v>C:\Users\aremi\Desktop\REPORT CBM\PO 42289580 - Pahang 11kV SECOND CYCLE AZZAD 2026\RAW MATERIAL\047. TNB BARU (IR+VI)\RAW DATA\IR</v>
      </c>
      <c r="BH155" s="24" t="s">
        <v>687</v>
      </c>
    </row>
    <row r="156" spans="1:60" ht="30" customHeight="1" x14ac:dyDescent="0.25">
      <c r="A156" s="6">
        <v>78</v>
      </c>
      <c r="B156" s="6" t="s">
        <v>1562</v>
      </c>
      <c r="C156" s="6">
        <v>1</v>
      </c>
      <c r="D156" s="6" t="s">
        <v>2242</v>
      </c>
      <c r="E156" s="6">
        <v>78</v>
      </c>
      <c r="F156" s="6" t="str">
        <f ca="1">Master_List!$AW$1</f>
        <v>PERPUSTAKAAN PUSAT</v>
      </c>
      <c r="G156" s="27" t="str">
        <f ca="1">Master_List!$AW$2</f>
        <v>09:30 PM</v>
      </c>
      <c r="H156" s="32" t="str">
        <f ca="1">Master_List!$AW$3</f>
        <v>20/07/2026</v>
      </c>
      <c r="I156" s="28" t="str">
        <f ca="1">Master_List!$AW$4</f>
        <v>28.5</v>
      </c>
      <c r="J156" s="6" t="str">
        <f ca="1">Master_List!$AW$5</f>
        <v>65</v>
      </c>
      <c r="K156" s="6" t="s">
        <v>573</v>
      </c>
      <c r="L156" s="21" t="str">
        <f ca="1">IFERROR(VLOOKUP(B156, Master_List!$A:$I, 2, FALSE), "-")</f>
        <v/>
      </c>
      <c r="M156" s="22" t="str">
        <f ca="1">IFERROR(VLOOKUP(B156, Master_List!$A:$I, 3, FALSE), "-")</f>
        <v/>
      </c>
      <c r="N156" s="22" t="str">
        <f ca="1">IFERROR(VLOOKUP(B156, Master_List!$A:$I, 4, FALSE), "-")</f>
        <v/>
      </c>
      <c r="O156" s="22" t="str">
        <f ca="1">IFERROR(VLOOKUP(B156, Master_List!$A:$I, 5, FALSE), "-")</f>
        <v/>
      </c>
      <c r="P156" s="22" t="str">
        <f ca="1">IFERROR(VLOOKUP(B156, Master_List!$A:$I, 6, FALSE), "-")</f>
        <v/>
      </c>
      <c r="Q156" s="22" t="str">
        <f ca="1">IFERROR(VLOOKUP(B156, Master_List!$A:$I, 7, FALSE), "-")</f>
        <v/>
      </c>
      <c r="R156" s="22" t="str">
        <f ca="1">IFERROR(VLOOKUP(B156, Master_List!$A:$I, 8, FALSE), "-")</f>
        <v/>
      </c>
      <c r="S156" s="22" t="str">
        <f ca="1">IFERROR(VLOOKUP(B156, Master_List!$A:$I, 9, FALSE), "-")</f>
        <v/>
      </c>
      <c r="T156" s="20" t="str">
        <f ca="1">Master_List!$AW$6</f>
        <v>TOSHIBA</v>
      </c>
      <c r="U156" s="20" t="str">
        <f ca="1">Master_List!$AW$7</f>
        <v>MRMU</v>
      </c>
      <c r="V156" s="20" t="str">
        <f ca="1">Master_List!$AW$8</f>
        <v>12kV</v>
      </c>
      <c r="W156" s="20" t="str">
        <f ca="1">Master_List!$AW$9</f>
        <v>2S1F</v>
      </c>
      <c r="X156" s="20" t="str">
        <f ca="1">Master_List!$AW$10</f>
        <v>MTM</v>
      </c>
      <c r="Y156" s="20" t="str">
        <f ca="1">Master_List!$AW$11</f>
        <v>HERMETICALLY SEAL</v>
      </c>
      <c r="Z156" s="20" t="str">
        <f ca="1">Master_List!$AW$12</f>
        <v>750kVA</v>
      </c>
      <c r="AA156" s="20" t="str">
        <f ca="1">Master_List!$AW$13</f>
        <v>1317</v>
      </c>
      <c r="AB156" s="20">
        <f ca="1">Master_List!$AW$14</f>
        <v>0</v>
      </c>
      <c r="AC156" s="20">
        <f ca="1">Master_List!$AW$15</f>
        <v>0</v>
      </c>
      <c r="AD156" s="20">
        <f ca="1">Master_List!$AW$16</f>
        <v>0</v>
      </c>
      <c r="AE156" s="20">
        <f ca="1">Master_List!$AW$17</f>
        <v>0</v>
      </c>
      <c r="AF156" s="20" t="str">
        <f ca="1">Master_List!$AW$18</f>
        <v>INDKOM</v>
      </c>
      <c r="AG156" s="20" t="str">
        <f ca="1">Master_List!$AW$19</f>
        <v>J-SLOTTED</v>
      </c>
      <c r="AH156" s="20" t="str">
        <f ca="1">Master_List!$AW$20</f>
        <v>1600A</v>
      </c>
      <c r="AI156" s="20" t="str">
        <f ca="1">Master_List!$AW$21</f>
        <v>LV5080090</v>
      </c>
      <c r="AJ156" s="20" t="str">
        <f ca="1">Master_List!$AW$22</f>
        <v>LVDB TX1</v>
      </c>
      <c r="AK156" s="20">
        <f ca="1">Master_List!$AW$23</f>
        <v>0</v>
      </c>
      <c r="AL156" s="20">
        <f ca="1">Master_List!$AW$24</f>
        <v>0</v>
      </c>
      <c r="AM156" s="20">
        <f ca="1">Master_List!$AW$25</f>
        <v>0</v>
      </c>
      <c r="AN156" s="20">
        <f ca="1">Master_List!$AW$26</f>
        <v>0</v>
      </c>
      <c r="AO156" s="20" t="str">
        <f ca="1">Master_List!$AW$27</f>
        <v>LVDB TX2</v>
      </c>
      <c r="AP156" s="20" t="str">
        <f ca="1">Master_List!$AW$28</f>
        <v>SUNPOWER TECHNOLOGIES</v>
      </c>
      <c r="AQ156" s="20" t="str">
        <f ca="1">Master_List!$AW$29</f>
        <v>SPS 30-10 L</v>
      </c>
      <c r="AR156" s="20" t="str">
        <f ca="1">Master_List!$AW$30</f>
        <v>11193-8527</v>
      </c>
      <c r="AS156" s="20">
        <f ca="1">Master_List!$AW$31</f>
        <v>0</v>
      </c>
      <c r="AT156" s="20">
        <f ca="1">Master_List!$AW$32</f>
        <v>0</v>
      </c>
      <c r="AU156" s="20">
        <f ca="1">Master_List!$AW$33</f>
        <v>0</v>
      </c>
      <c r="AV156" s="20">
        <f ca="1">Master_List!$AW$34</f>
        <v>0</v>
      </c>
      <c r="AW156" s="20">
        <f ca="1">Master_List!$AW$35</f>
        <v>0</v>
      </c>
      <c r="AX156" s="20">
        <f ca="1">Master_List!$AW$36</f>
        <v>0</v>
      </c>
      <c r="AY156" s="20">
        <f ca="1">Master_List!$AW$37</f>
        <v>0</v>
      </c>
      <c r="AZ156" s="20">
        <f ca="1">Master_List!$AW$38</f>
        <v>0</v>
      </c>
      <c r="BA156" s="20">
        <f ca="1">Master_List!$AW$39</f>
        <v>0</v>
      </c>
      <c r="BB156" s="20" t="s">
        <v>2240</v>
      </c>
      <c r="BC156" s="20" t="s">
        <v>2241</v>
      </c>
      <c r="BD156" s="6" t="s">
        <v>1744</v>
      </c>
      <c r="BE156" s="6" t="s">
        <v>1828</v>
      </c>
      <c r="BF156" s="6" t="s">
        <v>1746</v>
      </c>
      <c r="BG156" s="6" t="str">
        <f t="shared" si="2"/>
        <v>C:\Users\aremi\Desktop\REPORT CBM\PO 42289580 - Pahang 11kV SECOND CYCLE AZZAD 2026\RAW MATERIAL\047. TNB BARU (IR+VI)\RAW DATA\IR</v>
      </c>
      <c r="BH156" s="24" t="s">
        <v>688</v>
      </c>
    </row>
    <row r="157" spans="1:60" ht="30" customHeight="1" x14ac:dyDescent="0.25">
      <c r="A157" s="6">
        <v>78</v>
      </c>
      <c r="B157" s="6" t="s">
        <v>1562</v>
      </c>
      <c r="C157" s="6">
        <v>1</v>
      </c>
      <c r="D157" s="6" t="s">
        <v>2242</v>
      </c>
      <c r="E157" s="6">
        <v>78</v>
      </c>
      <c r="F157" s="6" t="str">
        <f ca="1">Master_List!$AW$1</f>
        <v>PERPUSTAKAAN PUSAT</v>
      </c>
      <c r="G157" s="27" t="str">
        <f ca="1">Master_List!$AW$2</f>
        <v>09:30 PM</v>
      </c>
      <c r="H157" s="32" t="str">
        <f ca="1">Master_List!$AW$3</f>
        <v>20/07/2026</v>
      </c>
      <c r="I157" s="28" t="str">
        <f ca="1">Master_List!$AW$4</f>
        <v>28.5</v>
      </c>
      <c r="J157" s="6" t="str">
        <f ca="1">Master_List!$AW$5</f>
        <v>65</v>
      </c>
      <c r="K157" s="6" t="s">
        <v>573</v>
      </c>
      <c r="L157" s="21" t="str">
        <f ca="1">IFERROR(VLOOKUP(B157, Master_List!$A:$I, 2, FALSE), "-")</f>
        <v/>
      </c>
      <c r="M157" s="22" t="str">
        <f ca="1">IFERROR(VLOOKUP(B157, Master_List!$A:$I, 3, FALSE), "-")</f>
        <v/>
      </c>
      <c r="N157" s="22" t="str">
        <f ca="1">IFERROR(VLOOKUP(B157, Master_List!$A:$I, 4, FALSE), "-")</f>
        <v/>
      </c>
      <c r="O157" s="22" t="str">
        <f ca="1">IFERROR(VLOOKUP(B157, Master_List!$A:$I, 5, FALSE), "-")</f>
        <v/>
      </c>
      <c r="P157" s="22" t="str">
        <f ca="1">IFERROR(VLOOKUP(B157, Master_List!$A:$I, 6, FALSE), "-")</f>
        <v/>
      </c>
      <c r="Q157" s="22" t="str">
        <f ca="1">IFERROR(VLOOKUP(B157, Master_List!$A:$I, 7, FALSE), "-")</f>
        <v/>
      </c>
      <c r="R157" s="22" t="str">
        <f ca="1">IFERROR(VLOOKUP(B157, Master_List!$A:$I, 8, FALSE), "-")</f>
        <v/>
      </c>
      <c r="S157" s="22" t="str">
        <f ca="1">IFERROR(VLOOKUP(B157, Master_List!$A:$I, 9, FALSE), "-")</f>
        <v/>
      </c>
      <c r="T157" s="20" t="str">
        <f ca="1">Master_List!$AW$6</f>
        <v>TOSHIBA</v>
      </c>
      <c r="U157" s="20" t="str">
        <f ca="1">Master_List!$AW$7</f>
        <v>MRMU</v>
      </c>
      <c r="V157" s="20" t="str">
        <f ca="1">Master_List!$AW$8</f>
        <v>12kV</v>
      </c>
      <c r="W157" s="20" t="str">
        <f ca="1">Master_List!$AW$9</f>
        <v>2S1F</v>
      </c>
      <c r="X157" s="20" t="str">
        <f ca="1">Master_List!$AW$10</f>
        <v>MTM</v>
      </c>
      <c r="Y157" s="20" t="str">
        <f ca="1">Master_List!$AW$11</f>
        <v>HERMETICALLY SEAL</v>
      </c>
      <c r="Z157" s="20" t="str">
        <f ca="1">Master_List!$AW$12</f>
        <v>750kVA</v>
      </c>
      <c r="AA157" s="20" t="str">
        <f ca="1">Master_List!$AW$13</f>
        <v>1317</v>
      </c>
      <c r="AB157" s="20">
        <f ca="1">Master_List!$AW$14</f>
        <v>0</v>
      </c>
      <c r="AC157" s="20">
        <f ca="1">Master_List!$AW$15</f>
        <v>0</v>
      </c>
      <c r="AD157" s="20">
        <f ca="1">Master_List!$AW$16</f>
        <v>0</v>
      </c>
      <c r="AE157" s="20">
        <f ca="1">Master_List!$AW$17</f>
        <v>0</v>
      </c>
      <c r="AF157" s="20" t="str">
        <f ca="1">Master_List!$AW$18</f>
        <v>INDKOM</v>
      </c>
      <c r="AG157" s="20" t="str">
        <f ca="1">Master_List!$AW$19</f>
        <v>J-SLOTTED</v>
      </c>
      <c r="AH157" s="20" t="str">
        <f ca="1">Master_List!$AW$20</f>
        <v>1600A</v>
      </c>
      <c r="AI157" s="20" t="str">
        <f ca="1">Master_List!$AW$21</f>
        <v>LV5080090</v>
      </c>
      <c r="AJ157" s="20" t="str">
        <f ca="1">Master_List!$AW$22</f>
        <v>LVDB TX1</v>
      </c>
      <c r="AK157" s="20">
        <f ca="1">Master_List!$AW$23</f>
        <v>0</v>
      </c>
      <c r="AL157" s="20">
        <f ca="1">Master_List!$AW$24</f>
        <v>0</v>
      </c>
      <c r="AM157" s="20">
        <f ca="1">Master_List!$AW$25</f>
        <v>0</v>
      </c>
      <c r="AN157" s="20">
        <f ca="1">Master_List!$AW$26</f>
        <v>0</v>
      </c>
      <c r="AO157" s="20" t="str">
        <f ca="1">Master_List!$AW$27</f>
        <v>LVDB TX2</v>
      </c>
      <c r="AP157" s="20" t="str">
        <f ca="1">Master_List!$AW$28</f>
        <v>SUNPOWER TECHNOLOGIES</v>
      </c>
      <c r="AQ157" s="20" t="str">
        <f ca="1">Master_List!$AW$29</f>
        <v>SPS 30-10 L</v>
      </c>
      <c r="AR157" s="20" t="str">
        <f ca="1">Master_List!$AW$30</f>
        <v>11193-8527</v>
      </c>
      <c r="AS157" s="20">
        <f ca="1">Master_List!$AW$31</f>
        <v>0</v>
      </c>
      <c r="AT157" s="20">
        <f ca="1">Master_List!$AW$32</f>
        <v>0</v>
      </c>
      <c r="AU157" s="20">
        <f ca="1">Master_List!$AW$33</f>
        <v>0</v>
      </c>
      <c r="AV157" s="20">
        <f ca="1">Master_List!$AW$34</f>
        <v>0</v>
      </c>
      <c r="AW157" s="20">
        <f ca="1">Master_List!$AW$35</f>
        <v>0</v>
      </c>
      <c r="AX157" s="20">
        <f ca="1">Master_List!$AW$36</f>
        <v>0</v>
      </c>
      <c r="AY157" s="20">
        <f ca="1">Master_List!$AW$37</f>
        <v>0</v>
      </c>
      <c r="AZ157" s="20">
        <f ca="1">Master_List!$AW$38</f>
        <v>0</v>
      </c>
      <c r="BA157" s="20">
        <f ca="1">Master_List!$AW$39</f>
        <v>0</v>
      </c>
      <c r="BB157" s="20" t="s">
        <v>2240</v>
      </c>
      <c r="BC157" s="20" t="s">
        <v>2241</v>
      </c>
      <c r="BD157" s="6" t="s">
        <v>1744</v>
      </c>
      <c r="BE157" s="6" t="s">
        <v>1828</v>
      </c>
      <c r="BF157" s="6" t="s">
        <v>1748</v>
      </c>
      <c r="BG157" s="6" t="str">
        <f t="shared" si="2"/>
        <v>C:\Users\aremi\Desktop\REPORT CBM\PO 42289580 - Pahang 11kV SECOND CYCLE AZZAD 2026\RAW MATERIAL\047. TNB BARU (IR+VI)\RAW DATA\IR</v>
      </c>
      <c r="BH157" s="24" t="s">
        <v>689</v>
      </c>
    </row>
    <row r="158" spans="1:60" ht="30" customHeight="1" x14ac:dyDescent="0.25">
      <c r="A158" s="6">
        <v>79</v>
      </c>
      <c r="B158" s="6" t="s">
        <v>1562</v>
      </c>
      <c r="C158" s="6">
        <v>1</v>
      </c>
      <c r="D158" s="6" t="s">
        <v>2242</v>
      </c>
      <c r="E158" s="6">
        <v>79</v>
      </c>
      <c r="F158" s="6" t="str">
        <f ca="1">Master_List!$AW$1</f>
        <v>PERPUSTAKAAN PUSAT</v>
      </c>
      <c r="G158" s="27" t="str">
        <f ca="1">Master_List!$AW$2</f>
        <v>09:30 PM</v>
      </c>
      <c r="H158" s="32" t="str">
        <f ca="1">Master_List!$AW$3</f>
        <v>20/07/2026</v>
      </c>
      <c r="I158" s="28" t="str">
        <f ca="1">Master_List!$AW$4</f>
        <v>28.5</v>
      </c>
      <c r="J158" s="6" t="str">
        <f ca="1">Master_List!$AW$5</f>
        <v>65</v>
      </c>
      <c r="K158" s="6" t="s">
        <v>576</v>
      </c>
      <c r="L158" s="21" t="str">
        <f ca="1">IFERROR(VLOOKUP(B158, Master_List!$A:$I, 2, FALSE), "-")</f>
        <v/>
      </c>
      <c r="M158" s="22" t="str">
        <f ca="1">IFERROR(VLOOKUP(B158, Master_List!$A:$I, 3, FALSE), "-")</f>
        <v/>
      </c>
      <c r="N158" s="22" t="str">
        <f ca="1">IFERROR(VLOOKUP(B158, Master_List!$A:$I, 4, FALSE), "-")</f>
        <v/>
      </c>
      <c r="O158" s="22" t="str">
        <f ca="1">IFERROR(VLOOKUP(B158, Master_List!$A:$I, 5, FALSE), "-")</f>
        <v/>
      </c>
      <c r="P158" s="22" t="str">
        <f ca="1">IFERROR(VLOOKUP(B158, Master_List!$A:$I, 6, FALSE), "-")</f>
        <v/>
      </c>
      <c r="Q158" s="22" t="str">
        <f ca="1">IFERROR(VLOOKUP(B158, Master_List!$A:$I, 7, FALSE), "-")</f>
        <v/>
      </c>
      <c r="R158" s="22" t="str">
        <f ca="1">IFERROR(VLOOKUP(B158, Master_List!$A:$I, 8, FALSE), "-")</f>
        <v/>
      </c>
      <c r="S158" s="22" t="str">
        <f ca="1">IFERROR(VLOOKUP(B158, Master_List!$A:$I, 9, FALSE), "-")</f>
        <v/>
      </c>
      <c r="T158" s="20" t="str">
        <f ca="1">Master_List!$AW$6</f>
        <v>TOSHIBA</v>
      </c>
      <c r="U158" s="20" t="str">
        <f ca="1">Master_List!$AW$7</f>
        <v>MRMU</v>
      </c>
      <c r="V158" s="20" t="str">
        <f ca="1">Master_List!$AW$8</f>
        <v>12kV</v>
      </c>
      <c r="W158" s="20" t="str">
        <f ca="1">Master_List!$AW$9</f>
        <v>2S1F</v>
      </c>
      <c r="X158" s="20" t="str">
        <f ca="1">Master_List!$AW$10</f>
        <v>MTM</v>
      </c>
      <c r="Y158" s="20" t="str">
        <f ca="1">Master_List!$AW$11</f>
        <v>HERMETICALLY SEAL</v>
      </c>
      <c r="Z158" s="20" t="str">
        <f ca="1">Master_List!$AW$12</f>
        <v>750kVA</v>
      </c>
      <c r="AA158" s="20" t="str">
        <f ca="1">Master_List!$AW$13</f>
        <v>1317</v>
      </c>
      <c r="AB158" s="20">
        <f ca="1">Master_List!$AW$14</f>
        <v>0</v>
      </c>
      <c r="AC158" s="20">
        <f ca="1">Master_List!$AW$15</f>
        <v>0</v>
      </c>
      <c r="AD158" s="20">
        <f ca="1">Master_List!$AW$16</f>
        <v>0</v>
      </c>
      <c r="AE158" s="20">
        <f ca="1">Master_List!$AW$17</f>
        <v>0</v>
      </c>
      <c r="AF158" s="20" t="str">
        <f ca="1">Master_List!$AW$18</f>
        <v>INDKOM</v>
      </c>
      <c r="AG158" s="20" t="str">
        <f ca="1">Master_List!$AW$19</f>
        <v>J-SLOTTED</v>
      </c>
      <c r="AH158" s="20" t="str">
        <f ca="1">Master_List!$AW$20</f>
        <v>1600A</v>
      </c>
      <c r="AI158" s="20" t="str">
        <f ca="1">Master_List!$AW$21</f>
        <v>LV5080090</v>
      </c>
      <c r="AJ158" s="20" t="str">
        <f ca="1">Master_List!$AW$22</f>
        <v>LVDB TX1</v>
      </c>
      <c r="AK158" s="20">
        <f ca="1">Master_List!$AW$23</f>
        <v>0</v>
      </c>
      <c r="AL158" s="20">
        <f ca="1">Master_List!$AW$24</f>
        <v>0</v>
      </c>
      <c r="AM158" s="20">
        <f ca="1">Master_List!$AW$25</f>
        <v>0</v>
      </c>
      <c r="AN158" s="20">
        <f ca="1">Master_List!$AW$26</f>
        <v>0</v>
      </c>
      <c r="AO158" s="20" t="str">
        <f ca="1">Master_List!$AW$27</f>
        <v>LVDB TX2</v>
      </c>
      <c r="AP158" s="20" t="str">
        <f ca="1">Master_List!$AW$28</f>
        <v>SUNPOWER TECHNOLOGIES</v>
      </c>
      <c r="AQ158" s="20" t="str">
        <f ca="1">Master_List!$AW$29</f>
        <v>SPS 30-10 L</v>
      </c>
      <c r="AR158" s="20" t="str">
        <f ca="1">Master_List!$AW$30</f>
        <v>11193-8527</v>
      </c>
      <c r="AS158" s="20">
        <f ca="1">Master_List!$AW$31</f>
        <v>0</v>
      </c>
      <c r="AT158" s="20">
        <f ca="1">Master_List!$AW$32</f>
        <v>0</v>
      </c>
      <c r="AU158" s="20">
        <f ca="1">Master_List!$AW$33</f>
        <v>0</v>
      </c>
      <c r="AV158" s="20">
        <f ca="1">Master_List!$AW$34</f>
        <v>0</v>
      </c>
      <c r="AW158" s="20">
        <f ca="1">Master_List!$AW$35</f>
        <v>0</v>
      </c>
      <c r="AX158" s="20">
        <f ca="1">Master_List!$AW$36</f>
        <v>0</v>
      </c>
      <c r="AY158" s="20">
        <f ca="1">Master_List!$AW$37</f>
        <v>0</v>
      </c>
      <c r="AZ158" s="20">
        <f ca="1">Master_List!$AW$38</f>
        <v>0</v>
      </c>
      <c r="BA158" s="20">
        <f ca="1">Master_List!$AW$39</f>
        <v>0</v>
      </c>
      <c r="BB158" s="20" t="s">
        <v>2240</v>
      </c>
      <c r="BC158" s="20" t="s">
        <v>2241</v>
      </c>
      <c r="BD158" s="6" t="s">
        <v>1744</v>
      </c>
      <c r="BE158" s="6" t="s">
        <v>1829</v>
      </c>
      <c r="BF158" s="6" t="s">
        <v>1746</v>
      </c>
      <c r="BG158" s="6" t="str">
        <f t="shared" si="2"/>
        <v>C:\Users\aremi\Desktop\REPORT CBM\PO 42289580 - Pahang 11kV SECOND CYCLE AZZAD 2026\RAW MATERIAL\047. TNB BARU (IR+VI)\RAW DATA\IR</v>
      </c>
      <c r="BH158" s="24" t="s">
        <v>690</v>
      </c>
    </row>
    <row r="159" spans="1:60" ht="30" customHeight="1" x14ac:dyDescent="0.25">
      <c r="A159" s="6">
        <v>79</v>
      </c>
      <c r="B159" s="6" t="s">
        <v>1562</v>
      </c>
      <c r="C159" s="6">
        <v>1</v>
      </c>
      <c r="D159" s="6" t="s">
        <v>2242</v>
      </c>
      <c r="E159" s="6">
        <v>79</v>
      </c>
      <c r="F159" s="6" t="str">
        <f ca="1">Master_List!$AW$1</f>
        <v>PERPUSTAKAAN PUSAT</v>
      </c>
      <c r="G159" s="27" t="str">
        <f ca="1">Master_List!$AW$2</f>
        <v>09:30 PM</v>
      </c>
      <c r="H159" s="32" t="str">
        <f ca="1">Master_List!$AW$3</f>
        <v>20/07/2026</v>
      </c>
      <c r="I159" s="28" t="str">
        <f ca="1">Master_List!$AW$4</f>
        <v>28.5</v>
      </c>
      <c r="J159" s="6" t="str">
        <f ca="1">Master_List!$AW$5</f>
        <v>65</v>
      </c>
      <c r="K159" s="6" t="s">
        <v>576</v>
      </c>
      <c r="L159" s="21" t="str">
        <f ca="1">IFERROR(VLOOKUP(B159, Master_List!$A:$I, 2, FALSE), "-")</f>
        <v/>
      </c>
      <c r="M159" s="22" t="str">
        <f ca="1">IFERROR(VLOOKUP(B159, Master_List!$A:$I, 3, FALSE), "-")</f>
        <v/>
      </c>
      <c r="N159" s="22" t="str">
        <f ca="1">IFERROR(VLOOKUP(B159, Master_List!$A:$I, 4, FALSE), "-")</f>
        <v/>
      </c>
      <c r="O159" s="22" t="str">
        <f ca="1">IFERROR(VLOOKUP(B159, Master_List!$A:$I, 5, FALSE), "-")</f>
        <v/>
      </c>
      <c r="P159" s="22" t="str">
        <f ca="1">IFERROR(VLOOKUP(B159, Master_List!$A:$I, 6, FALSE), "-")</f>
        <v/>
      </c>
      <c r="Q159" s="22" t="str">
        <f ca="1">IFERROR(VLOOKUP(B159, Master_List!$A:$I, 7, FALSE), "-")</f>
        <v/>
      </c>
      <c r="R159" s="22" t="str">
        <f ca="1">IFERROR(VLOOKUP(B159, Master_List!$A:$I, 8, FALSE), "-")</f>
        <v/>
      </c>
      <c r="S159" s="22" t="str">
        <f ca="1">IFERROR(VLOOKUP(B159, Master_List!$A:$I, 9, FALSE), "-")</f>
        <v/>
      </c>
      <c r="T159" s="20" t="str">
        <f ca="1">Master_List!$AW$6</f>
        <v>TOSHIBA</v>
      </c>
      <c r="U159" s="20" t="str">
        <f ca="1">Master_List!$AW$7</f>
        <v>MRMU</v>
      </c>
      <c r="V159" s="20" t="str">
        <f ca="1">Master_List!$AW$8</f>
        <v>12kV</v>
      </c>
      <c r="W159" s="20" t="str">
        <f ca="1">Master_List!$AW$9</f>
        <v>2S1F</v>
      </c>
      <c r="X159" s="20" t="str">
        <f ca="1">Master_List!$AW$10</f>
        <v>MTM</v>
      </c>
      <c r="Y159" s="20" t="str">
        <f ca="1">Master_List!$AW$11</f>
        <v>HERMETICALLY SEAL</v>
      </c>
      <c r="Z159" s="20" t="str">
        <f ca="1">Master_List!$AW$12</f>
        <v>750kVA</v>
      </c>
      <c r="AA159" s="20" t="str">
        <f ca="1">Master_List!$AW$13</f>
        <v>1317</v>
      </c>
      <c r="AB159" s="20">
        <f ca="1">Master_List!$AW$14</f>
        <v>0</v>
      </c>
      <c r="AC159" s="20">
        <f ca="1">Master_List!$AW$15</f>
        <v>0</v>
      </c>
      <c r="AD159" s="20">
        <f ca="1">Master_List!$AW$16</f>
        <v>0</v>
      </c>
      <c r="AE159" s="20">
        <f ca="1">Master_List!$AW$17</f>
        <v>0</v>
      </c>
      <c r="AF159" s="20" t="str">
        <f ca="1">Master_List!$AW$18</f>
        <v>INDKOM</v>
      </c>
      <c r="AG159" s="20" t="str">
        <f ca="1">Master_List!$AW$19</f>
        <v>J-SLOTTED</v>
      </c>
      <c r="AH159" s="20" t="str">
        <f ca="1">Master_List!$AW$20</f>
        <v>1600A</v>
      </c>
      <c r="AI159" s="20" t="str">
        <f ca="1">Master_List!$AW$21</f>
        <v>LV5080090</v>
      </c>
      <c r="AJ159" s="20" t="str">
        <f ca="1">Master_List!$AW$22</f>
        <v>LVDB TX1</v>
      </c>
      <c r="AK159" s="20">
        <f ca="1">Master_List!$AW$23</f>
        <v>0</v>
      </c>
      <c r="AL159" s="20">
        <f ca="1">Master_List!$AW$24</f>
        <v>0</v>
      </c>
      <c r="AM159" s="20">
        <f ca="1">Master_List!$AW$25</f>
        <v>0</v>
      </c>
      <c r="AN159" s="20">
        <f ca="1">Master_List!$AW$26</f>
        <v>0</v>
      </c>
      <c r="AO159" s="20" t="str">
        <f ca="1">Master_List!$AW$27</f>
        <v>LVDB TX2</v>
      </c>
      <c r="AP159" s="20" t="str">
        <f ca="1">Master_List!$AW$28</f>
        <v>SUNPOWER TECHNOLOGIES</v>
      </c>
      <c r="AQ159" s="20" t="str">
        <f ca="1">Master_List!$AW$29</f>
        <v>SPS 30-10 L</v>
      </c>
      <c r="AR159" s="20" t="str">
        <f ca="1">Master_List!$AW$30</f>
        <v>11193-8527</v>
      </c>
      <c r="AS159" s="20">
        <f ca="1">Master_List!$AW$31</f>
        <v>0</v>
      </c>
      <c r="AT159" s="20">
        <f ca="1">Master_List!$AW$32</f>
        <v>0</v>
      </c>
      <c r="AU159" s="20">
        <f ca="1">Master_List!$AW$33</f>
        <v>0</v>
      </c>
      <c r="AV159" s="20">
        <f ca="1">Master_List!$AW$34</f>
        <v>0</v>
      </c>
      <c r="AW159" s="20">
        <f ca="1">Master_List!$AW$35</f>
        <v>0</v>
      </c>
      <c r="AX159" s="20">
        <f ca="1">Master_List!$AW$36</f>
        <v>0</v>
      </c>
      <c r="AY159" s="20">
        <f ca="1">Master_List!$AW$37</f>
        <v>0</v>
      </c>
      <c r="AZ159" s="20">
        <f ca="1">Master_List!$AW$38</f>
        <v>0</v>
      </c>
      <c r="BA159" s="20">
        <f ca="1">Master_List!$AW$39</f>
        <v>0</v>
      </c>
      <c r="BB159" s="20" t="s">
        <v>2240</v>
      </c>
      <c r="BC159" s="20" t="s">
        <v>2241</v>
      </c>
      <c r="BD159" s="6" t="s">
        <v>1744</v>
      </c>
      <c r="BE159" s="6" t="s">
        <v>1829</v>
      </c>
      <c r="BF159" s="6" t="s">
        <v>1748</v>
      </c>
      <c r="BG159" s="6" t="str">
        <f t="shared" si="2"/>
        <v>C:\Users\aremi\Desktop\REPORT CBM\PO 42289580 - Pahang 11kV SECOND CYCLE AZZAD 2026\RAW MATERIAL\047. TNB BARU (IR+VI)\RAW DATA\IR</v>
      </c>
      <c r="BH159" s="24" t="s">
        <v>691</v>
      </c>
    </row>
    <row r="160" spans="1:60" ht="30" customHeight="1" x14ac:dyDescent="0.25">
      <c r="A160" s="6">
        <v>80</v>
      </c>
      <c r="B160" s="6" t="s">
        <v>1562</v>
      </c>
      <c r="C160" s="6">
        <v>1</v>
      </c>
      <c r="D160" s="6" t="s">
        <v>2242</v>
      </c>
      <c r="E160" s="6">
        <v>80</v>
      </c>
      <c r="F160" s="6" t="str">
        <f ca="1">Master_List!$AW$1</f>
        <v>PERPUSTAKAAN PUSAT</v>
      </c>
      <c r="G160" s="27" t="str">
        <f ca="1">Master_List!$AW$2</f>
        <v>09:30 PM</v>
      </c>
      <c r="H160" s="32" t="str">
        <f ca="1">Master_List!$AW$3</f>
        <v>20/07/2026</v>
      </c>
      <c r="I160" s="28" t="str">
        <f ca="1">Master_List!$AW$4</f>
        <v>28.5</v>
      </c>
      <c r="J160" s="6" t="str">
        <f ca="1">Master_List!$AW$5</f>
        <v>65</v>
      </c>
      <c r="K160" s="6" t="s">
        <v>579</v>
      </c>
      <c r="L160" s="21" t="str">
        <f ca="1">IFERROR(VLOOKUP(B160, Master_List!$A:$I, 2, FALSE), "-")</f>
        <v/>
      </c>
      <c r="M160" s="22" t="str">
        <f ca="1">IFERROR(VLOOKUP(B160, Master_List!$A:$I, 3, FALSE), "-")</f>
        <v/>
      </c>
      <c r="N160" s="22" t="str">
        <f ca="1">IFERROR(VLOOKUP(B160, Master_List!$A:$I, 4, FALSE), "-")</f>
        <v/>
      </c>
      <c r="O160" s="22" t="str">
        <f ca="1">IFERROR(VLOOKUP(B160, Master_List!$A:$I, 5, FALSE), "-")</f>
        <v/>
      </c>
      <c r="P160" s="22" t="str">
        <f ca="1">IFERROR(VLOOKUP(B160, Master_List!$A:$I, 6, FALSE), "-")</f>
        <v/>
      </c>
      <c r="Q160" s="22" t="str">
        <f ca="1">IFERROR(VLOOKUP(B160, Master_List!$A:$I, 7, FALSE), "-")</f>
        <v/>
      </c>
      <c r="R160" s="22" t="str">
        <f ca="1">IFERROR(VLOOKUP(B160, Master_List!$A:$I, 8, FALSE), "-")</f>
        <v/>
      </c>
      <c r="S160" s="22" t="str">
        <f ca="1">IFERROR(VLOOKUP(B160, Master_List!$A:$I, 9, FALSE), "-")</f>
        <v/>
      </c>
      <c r="T160" s="20" t="str">
        <f ca="1">Master_List!$AW$6</f>
        <v>TOSHIBA</v>
      </c>
      <c r="U160" s="20" t="str">
        <f ca="1">Master_List!$AW$7</f>
        <v>MRMU</v>
      </c>
      <c r="V160" s="20" t="str">
        <f ca="1">Master_List!$AW$8</f>
        <v>12kV</v>
      </c>
      <c r="W160" s="20" t="str">
        <f ca="1">Master_List!$AW$9</f>
        <v>2S1F</v>
      </c>
      <c r="X160" s="20" t="str">
        <f ca="1">Master_List!$AW$10</f>
        <v>MTM</v>
      </c>
      <c r="Y160" s="20" t="str">
        <f ca="1">Master_List!$AW$11</f>
        <v>HERMETICALLY SEAL</v>
      </c>
      <c r="Z160" s="20" t="str">
        <f ca="1">Master_List!$AW$12</f>
        <v>750kVA</v>
      </c>
      <c r="AA160" s="20" t="str">
        <f ca="1">Master_List!$AW$13</f>
        <v>1317</v>
      </c>
      <c r="AB160" s="20">
        <f ca="1">Master_List!$AW$14</f>
        <v>0</v>
      </c>
      <c r="AC160" s="20">
        <f ca="1">Master_List!$AW$15</f>
        <v>0</v>
      </c>
      <c r="AD160" s="20">
        <f ca="1">Master_List!$AW$16</f>
        <v>0</v>
      </c>
      <c r="AE160" s="20">
        <f ca="1">Master_List!$AW$17</f>
        <v>0</v>
      </c>
      <c r="AF160" s="20" t="str">
        <f ca="1">Master_List!$AW$18</f>
        <v>INDKOM</v>
      </c>
      <c r="AG160" s="20" t="str">
        <f ca="1">Master_List!$AW$19</f>
        <v>J-SLOTTED</v>
      </c>
      <c r="AH160" s="20" t="str">
        <f ca="1">Master_List!$AW$20</f>
        <v>1600A</v>
      </c>
      <c r="AI160" s="20" t="str">
        <f ca="1">Master_List!$AW$21</f>
        <v>LV5080090</v>
      </c>
      <c r="AJ160" s="20" t="str">
        <f ca="1">Master_List!$AW$22</f>
        <v>LVDB TX1</v>
      </c>
      <c r="AK160" s="20">
        <f ca="1">Master_List!$AW$23</f>
        <v>0</v>
      </c>
      <c r="AL160" s="20">
        <f ca="1">Master_List!$AW$24</f>
        <v>0</v>
      </c>
      <c r="AM160" s="20">
        <f ca="1">Master_List!$AW$25</f>
        <v>0</v>
      </c>
      <c r="AN160" s="20">
        <f ca="1">Master_List!$AW$26</f>
        <v>0</v>
      </c>
      <c r="AO160" s="20" t="str">
        <f ca="1">Master_List!$AW$27</f>
        <v>LVDB TX2</v>
      </c>
      <c r="AP160" s="20" t="str">
        <f ca="1">Master_List!$AW$28</f>
        <v>SUNPOWER TECHNOLOGIES</v>
      </c>
      <c r="AQ160" s="20" t="str">
        <f ca="1">Master_List!$AW$29</f>
        <v>SPS 30-10 L</v>
      </c>
      <c r="AR160" s="20" t="str">
        <f ca="1">Master_List!$AW$30</f>
        <v>11193-8527</v>
      </c>
      <c r="AS160" s="20">
        <f ca="1">Master_List!$AW$31</f>
        <v>0</v>
      </c>
      <c r="AT160" s="20">
        <f ca="1">Master_List!$AW$32</f>
        <v>0</v>
      </c>
      <c r="AU160" s="20">
        <f ca="1">Master_List!$AW$33</f>
        <v>0</v>
      </c>
      <c r="AV160" s="20">
        <f ca="1">Master_List!$AW$34</f>
        <v>0</v>
      </c>
      <c r="AW160" s="20">
        <f ca="1">Master_List!$AW$35</f>
        <v>0</v>
      </c>
      <c r="AX160" s="20">
        <f ca="1">Master_List!$AW$36</f>
        <v>0</v>
      </c>
      <c r="AY160" s="20">
        <f ca="1">Master_List!$AW$37</f>
        <v>0</v>
      </c>
      <c r="AZ160" s="20">
        <f ca="1">Master_List!$AW$38</f>
        <v>0</v>
      </c>
      <c r="BA160" s="20">
        <f ca="1">Master_List!$AW$39</f>
        <v>0</v>
      </c>
      <c r="BB160" s="20" t="s">
        <v>2240</v>
      </c>
      <c r="BC160" s="20" t="s">
        <v>2241</v>
      </c>
      <c r="BD160" s="6" t="s">
        <v>1744</v>
      </c>
      <c r="BE160" s="6" t="s">
        <v>1830</v>
      </c>
      <c r="BF160" s="6" t="s">
        <v>1746</v>
      </c>
      <c r="BG160" s="6" t="str">
        <f t="shared" si="2"/>
        <v>C:\Users\aremi\Desktop\REPORT CBM\PO 42289580 - Pahang 11kV SECOND CYCLE AZZAD 2026\RAW MATERIAL\047. TNB BARU (IR+VI)\RAW DATA\IR</v>
      </c>
      <c r="BH160" s="24" t="s">
        <v>692</v>
      </c>
    </row>
    <row r="161" spans="1:60" ht="30" customHeight="1" x14ac:dyDescent="0.25">
      <c r="A161" s="6">
        <v>80</v>
      </c>
      <c r="B161" s="6" t="s">
        <v>1562</v>
      </c>
      <c r="C161" s="6">
        <v>1</v>
      </c>
      <c r="D161" s="6" t="s">
        <v>2242</v>
      </c>
      <c r="E161" s="6">
        <v>80</v>
      </c>
      <c r="F161" s="6" t="str">
        <f ca="1">Master_List!$AW$1</f>
        <v>PERPUSTAKAAN PUSAT</v>
      </c>
      <c r="G161" s="27" t="str">
        <f ca="1">Master_List!$AW$2</f>
        <v>09:30 PM</v>
      </c>
      <c r="H161" s="32" t="str">
        <f ca="1">Master_List!$AW$3</f>
        <v>20/07/2026</v>
      </c>
      <c r="I161" s="28" t="str">
        <f ca="1">Master_List!$AW$4</f>
        <v>28.5</v>
      </c>
      <c r="J161" s="6" t="str">
        <f ca="1">Master_List!$AW$5</f>
        <v>65</v>
      </c>
      <c r="K161" s="6" t="s">
        <v>579</v>
      </c>
      <c r="L161" s="21" t="str">
        <f ca="1">IFERROR(VLOOKUP(B161, Master_List!$A:$I, 2, FALSE), "-")</f>
        <v/>
      </c>
      <c r="M161" s="22" t="str">
        <f ca="1">IFERROR(VLOOKUP(B161, Master_List!$A:$I, 3, FALSE), "-")</f>
        <v/>
      </c>
      <c r="N161" s="22" t="str">
        <f ca="1">IFERROR(VLOOKUP(B161, Master_List!$A:$I, 4, FALSE), "-")</f>
        <v/>
      </c>
      <c r="O161" s="22" t="str">
        <f ca="1">IFERROR(VLOOKUP(B161, Master_List!$A:$I, 5, FALSE), "-")</f>
        <v/>
      </c>
      <c r="P161" s="22" t="str">
        <f ca="1">IFERROR(VLOOKUP(B161, Master_List!$A:$I, 6, FALSE), "-")</f>
        <v/>
      </c>
      <c r="Q161" s="22" t="str">
        <f ca="1">IFERROR(VLOOKUP(B161, Master_List!$A:$I, 7, FALSE), "-")</f>
        <v/>
      </c>
      <c r="R161" s="22" t="str">
        <f ca="1">IFERROR(VLOOKUP(B161, Master_List!$A:$I, 8, FALSE), "-")</f>
        <v/>
      </c>
      <c r="S161" s="22" t="str">
        <f ca="1">IFERROR(VLOOKUP(B161, Master_List!$A:$I, 9, FALSE), "-")</f>
        <v/>
      </c>
      <c r="T161" s="20" t="str">
        <f ca="1">Master_List!$AW$6</f>
        <v>TOSHIBA</v>
      </c>
      <c r="U161" s="20" t="str">
        <f ca="1">Master_List!$AW$7</f>
        <v>MRMU</v>
      </c>
      <c r="V161" s="20" t="str">
        <f ca="1">Master_List!$AW$8</f>
        <v>12kV</v>
      </c>
      <c r="W161" s="20" t="str">
        <f ca="1">Master_List!$AW$9</f>
        <v>2S1F</v>
      </c>
      <c r="X161" s="20" t="str">
        <f ca="1">Master_List!$AW$10</f>
        <v>MTM</v>
      </c>
      <c r="Y161" s="20" t="str">
        <f ca="1">Master_List!$AW$11</f>
        <v>HERMETICALLY SEAL</v>
      </c>
      <c r="Z161" s="20" t="str">
        <f ca="1">Master_List!$AW$12</f>
        <v>750kVA</v>
      </c>
      <c r="AA161" s="20" t="str">
        <f ca="1">Master_List!$AW$13</f>
        <v>1317</v>
      </c>
      <c r="AB161" s="20">
        <f ca="1">Master_List!$AW$14</f>
        <v>0</v>
      </c>
      <c r="AC161" s="20">
        <f ca="1">Master_List!$AW$15</f>
        <v>0</v>
      </c>
      <c r="AD161" s="20">
        <f ca="1">Master_List!$AW$16</f>
        <v>0</v>
      </c>
      <c r="AE161" s="20">
        <f ca="1">Master_List!$AW$17</f>
        <v>0</v>
      </c>
      <c r="AF161" s="20" t="str">
        <f ca="1">Master_List!$AW$18</f>
        <v>INDKOM</v>
      </c>
      <c r="AG161" s="20" t="str">
        <f ca="1">Master_List!$AW$19</f>
        <v>J-SLOTTED</v>
      </c>
      <c r="AH161" s="20" t="str">
        <f ca="1">Master_List!$AW$20</f>
        <v>1600A</v>
      </c>
      <c r="AI161" s="20" t="str">
        <f ca="1">Master_List!$AW$21</f>
        <v>LV5080090</v>
      </c>
      <c r="AJ161" s="20" t="str">
        <f ca="1">Master_List!$AW$22</f>
        <v>LVDB TX1</v>
      </c>
      <c r="AK161" s="20">
        <f ca="1">Master_List!$AW$23</f>
        <v>0</v>
      </c>
      <c r="AL161" s="20">
        <f ca="1">Master_List!$AW$24</f>
        <v>0</v>
      </c>
      <c r="AM161" s="20">
        <f ca="1">Master_List!$AW$25</f>
        <v>0</v>
      </c>
      <c r="AN161" s="20">
        <f ca="1">Master_List!$AW$26</f>
        <v>0</v>
      </c>
      <c r="AO161" s="20" t="str">
        <f ca="1">Master_List!$AW$27</f>
        <v>LVDB TX2</v>
      </c>
      <c r="AP161" s="20" t="str">
        <f ca="1">Master_List!$AW$28</f>
        <v>SUNPOWER TECHNOLOGIES</v>
      </c>
      <c r="AQ161" s="20" t="str">
        <f ca="1">Master_List!$AW$29</f>
        <v>SPS 30-10 L</v>
      </c>
      <c r="AR161" s="20" t="str">
        <f ca="1">Master_List!$AW$30</f>
        <v>11193-8527</v>
      </c>
      <c r="AS161" s="20">
        <f ca="1">Master_List!$AW$31</f>
        <v>0</v>
      </c>
      <c r="AT161" s="20">
        <f ca="1">Master_List!$AW$32</f>
        <v>0</v>
      </c>
      <c r="AU161" s="20">
        <f ca="1">Master_List!$AW$33</f>
        <v>0</v>
      </c>
      <c r="AV161" s="20">
        <f ca="1">Master_List!$AW$34</f>
        <v>0</v>
      </c>
      <c r="AW161" s="20">
        <f ca="1">Master_List!$AW$35</f>
        <v>0</v>
      </c>
      <c r="AX161" s="20">
        <f ca="1">Master_List!$AW$36</f>
        <v>0</v>
      </c>
      <c r="AY161" s="20">
        <f ca="1">Master_List!$AW$37</f>
        <v>0</v>
      </c>
      <c r="AZ161" s="20">
        <f ca="1">Master_List!$AW$38</f>
        <v>0</v>
      </c>
      <c r="BA161" s="20">
        <f ca="1">Master_List!$AW$39</f>
        <v>0</v>
      </c>
      <c r="BB161" s="20" t="s">
        <v>2240</v>
      </c>
      <c r="BC161" s="20" t="s">
        <v>2241</v>
      </c>
      <c r="BD161" s="6" t="s">
        <v>1744</v>
      </c>
      <c r="BE161" s="6" t="s">
        <v>1830</v>
      </c>
      <c r="BF161" s="6" t="s">
        <v>1748</v>
      </c>
      <c r="BG161" s="6" t="str">
        <f t="shared" si="2"/>
        <v>C:\Users\aremi\Desktop\REPORT CBM\PO 42289580 - Pahang 11kV SECOND CYCLE AZZAD 2026\RAW MATERIAL\047. TNB BARU (IR+VI)\RAW DATA\IR</v>
      </c>
      <c r="BH161" s="24" t="s">
        <v>693</v>
      </c>
    </row>
    <row r="162" spans="1:60" ht="30" customHeight="1" x14ac:dyDescent="0.25">
      <c r="A162" s="6">
        <v>81</v>
      </c>
      <c r="B162" s="6" t="s">
        <v>1562</v>
      </c>
      <c r="C162" s="6">
        <v>1</v>
      </c>
      <c r="D162" s="6" t="s">
        <v>2242</v>
      </c>
      <c r="E162" s="6">
        <v>81</v>
      </c>
      <c r="F162" s="6" t="str">
        <f ca="1">Master_List!$AW$1</f>
        <v>PERPUSTAKAAN PUSAT</v>
      </c>
      <c r="G162" s="27" t="str">
        <f ca="1">Master_List!$AW$2</f>
        <v>09:30 PM</v>
      </c>
      <c r="H162" s="32" t="str">
        <f ca="1">Master_List!$AW$3</f>
        <v>20/07/2026</v>
      </c>
      <c r="I162" s="28" t="str">
        <f ca="1">Master_List!$AW$4</f>
        <v>28.5</v>
      </c>
      <c r="J162" s="6" t="str">
        <f ca="1">Master_List!$AW$5</f>
        <v>65</v>
      </c>
      <c r="K162" s="6" t="s">
        <v>582</v>
      </c>
      <c r="L162" s="21" t="str">
        <f ca="1">IFERROR(VLOOKUP(B162, Master_List!$A:$I, 2, FALSE), "-")</f>
        <v/>
      </c>
      <c r="M162" s="22" t="str">
        <f ca="1">IFERROR(VLOOKUP(B162, Master_List!$A:$I, 3, FALSE), "-")</f>
        <v/>
      </c>
      <c r="N162" s="22" t="str">
        <f ca="1">IFERROR(VLOOKUP(B162, Master_List!$A:$I, 4, FALSE), "-")</f>
        <v/>
      </c>
      <c r="O162" s="22" t="str">
        <f ca="1">IFERROR(VLOOKUP(B162, Master_List!$A:$I, 5, FALSE), "-")</f>
        <v/>
      </c>
      <c r="P162" s="22" t="str">
        <f ca="1">IFERROR(VLOOKUP(B162, Master_List!$A:$I, 6, FALSE), "-")</f>
        <v/>
      </c>
      <c r="Q162" s="22" t="str">
        <f ca="1">IFERROR(VLOOKUP(B162, Master_List!$A:$I, 7, FALSE), "-")</f>
        <v/>
      </c>
      <c r="R162" s="22" t="str">
        <f ca="1">IFERROR(VLOOKUP(B162, Master_List!$A:$I, 8, FALSE), "-")</f>
        <v/>
      </c>
      <c r="S162" s="22" t="str">
        <f ca="1">IFERROR(VLOOKUP(B162, Master_List!$A:$I, 9, FALSE), "-")</f>
        <v/>
      </c>
      <c r="T162" s="20" t="str">
        <f ca="1">Master_List!$AW$6</f>
        <v>TOSHIBA</v>
      </c>
      <c r="U162" s="20" t="str">
        <f ca="1">Master_List!$AW$7</f>
        <v>MRMU</v>
      </c>
      <c r="V162" s="20" t="str">
        <f ca="1">Master_List!$AW$8</f>
        <v>12kV</v>
      </c>
      <c r="W162" s="20" t="str">
        <f ca="1">Master_List!$AW$9</f>
        <v>2S1F</v>
      </c>
      <c r="X162" s="20" t="str">
        <f ca="1">Master_List!$AW$10</f>
        <v>MTM</v>
      </c>
      <c r="Y162" s="20" t="str">
        <f ca="1">Master_List!$AW$11</f>
        <v>HERMETICALLY SEAL</v>
      </c>
      <c r="Z162" s="20" t="str">
        <f ca="1">Master_List!$AW$12</f>
        <v>750kVA</v>
      </c>
      <c r="AA162" s="20" t="str">
        <f ca="1">Master_List!$AW$13</f>
        <v>1317</v>
      </c>
      <c r="AB162" s="20">
        <f ca="1">Master_List!$AW$14</f>
        <v>0</v>
      </c>
      <c r="AC162" s="20">
        <f ca="1">Master_List!$AW$15</f>
        <v>0</v>
      </c>
      <c r="AD162" s="20">
        <f ca="1">Master_List!$AW$16</f>
        <v>0</v>
      </c>
      <c r="AE162" s="20">
        <f ca="1">Master_List!$AW$17</f>
        <v>0</v>
      </c>
      <c r="AF162" s="20" t="str">
        <f ca="1">Master_List!$AW$18</f>
        <v>INDKOM</v>
      </c>
      <c r="AG162" s="20" t="str">
        <f ca="1">Master_List!$AW$19</f>
        <v>J-SLOTTED</v>
      </c>
      <c r="AH162" s="20" t="str">
        <f ca="1">Master_List!$AW$20</f>
        <v>1600A</v>
      </c>
      <c r="AI162" s="20" t="str">
        <f ca="1">Master_List!$AW$21</f>
        <v>LV5080090</v>
      </c>
      <c r="AJ162" s="20" t="str">
        <f ca="1">Master_List!$AW$22</f>
        <v>LVDB TX1</v>
      </c>
      <c r="AK162" s="20">
        <f ca="1">Master_List!$AW$23</f>
        <v>0</v>
      </c>
      <c r="AL162" s="20">
        <f ca="1">Master_List!$AW$24</f>
        <v>0</v>
      </c>
      <c r="AM162" s="20">
        <f ca="1">Master_List!$AW$25</f>
        <v>0</v>
      </c>
      <c r="AN162" s="20">
        <f ca="1">Master_List!$AW$26</f>
        <v>0</v>
      </c>
      <c r="AO162" s="20" t="str">
        <f ca="1">Master_List!$AW$27</f>
        <v>LVDB TX2</v>
      </c>
      <c r="AP162" s="20" t="str">
        <f ca="1">Master_List!$AW$28</f>
        <v>SUNPOWER TECHNOLOGIES</v>
      </c>
      <c r="AQ162" s="20" t="str">
        <f ca="1">Master_List!$AW$29</f>
        <v>SPS 30-10 L</v>
      </c>
      <c r="AR162" s="20" t="str">
        <f ca="1">Master_List!$AW$30</f>
        <v>11193-8527</v>
      </c>
      <c r="AS162" s="20">
        <f ca="1">Master_List!$AW$31</f>
        <v>0</v>
      </c>
      <c r="AT162" s="20">
        <f ca="1">Master_List!$AW$32</f>
        <v>0</v>
      </c>
      <c r="AU162" s="20">
        <f ca="1">Master_List!$AW$33</f>
        <v>0</v>
      </c>
      <c r="AV162" s="20">
        <f ca="1">Master_List!$AW$34</f>
        <v>0</v>
      </c>
      <c r="AW162" s="20">
        <f ca="1">Master_List!$AW$35</f>
        <v>0</v>
      </c>
      <c r="AX162" s="20">
        <f ca="1">Master_List!$AW$36</f>
        <v>0</v>
      </c>
      <c r="AY162" s="20">
        <f ca="1">Master_List!$AW$37</f>
        <v>0</v>
      </c>
      <c r="AZ162" s="20">
        <f ca="1">Master_List!$AW$38</f>
        <v>0</v>
      </c>
      <c r="BA162" s="20">
        <f ca="1">Master_List!$AW$39</f>
        <v>0</v>
      </c>
      <c r="BB162" s="20" t="s">
        <v>2240</v>
      </c>
      <c r="BC162" s="20" t="s">
        <v>2241</v>
      </c>
      <c r="BD162" s="6" t="s">
        <v>1744</v>
      </c>
      <c r="BE162" s="6" t="s">
        <v>1831</v>
      </c>
      <c r="BF162" s="6" t="s">
        <v>1746</v>
      </c>
      <c r="BG162" s="6" t="str">
        <f t="shared" si="2"/>
        <v>C:\Users\aremi\Desktop\REPORT CBM\PO 42289580 - Pahang 11kV SECOND CYCLE AZZAD 2026\RAW MATERIAL\047. TNB BARU (IR+VI)\RAW DATA\IR</v>
      </c>
      <c r="BH162" s="24" t="s">
        <v>694</v>
      </c>
    </row>
    <row r="163" spans="1:60" ht="30" customHeight="1" x14ac:dyDescent="0.25">
      <c r="A163" s="6">
        <v>81</v>
      </c>
      <c r="B163" s="6" t="s">
        <v>1562</v>
      </c>
      <c r="C163" s="6">
        <v>1</v>
      </c>
      <c r="D163" s="6" t="s">
        <v>2242</v>
      </c>
      <c r="E163" s="6">
        <v>81</v>
      </c>
      <c r="F163" s="6" t="str">
        <f ca="1">Master_List!$AW$1</f>
        <v>PERPUSTAKAAN PUSAT</v>
      </c>
      <c r="G163" s="27" t="str">
        <f ca="1">Master_List!$AW$2</f>
        <v>09:30 PM</v>
      </c>
      <c r="H163" s="32" t="str">
        <f ca="1">Master_List!$AW$3</f>
        <v>20/07/2026</v>
      </c>
      <c r="I163" s="28" t="str">
        <f ca="1">Master_List!$AW$4</f>
        <v>28.5</v>
      </c>
      <c r="J163" s="6" t="str">
        <f ca="1">Master_List!$AW$5</f>
        <v>65</v>
      </c>
      <c r="K163" s="6" t="s">
        <v>582</v>
      </c>
      <c r="L163" s="21" t="str">
        <f ca="1">IFERROR(VLOOKUP(B163, Master_List!$A:$I, 2, FALSE), "-")</f>
        <v/>
      </c>
      <c r="M163" s="22" t="str">
        <f ca="1">IFERROR(VLOOKUP(B163, Master_List!$A:$I, 3, FALSE), "-")</f>
        <v/>
      </c>
      <c r="N163" s="22" t="str">
        <f ca="1">IFERROR(VLOOKUP(B163, Master_List!$A:$I, 4, FALSE), "-")</f>
        <v/>
      </c>
      <c r="O163" s="22" t="str">
        <f ca="1">IFERROR(VLOOKUP(B163, Master_List!$A:$I, 5, FALSE), "-")</f>
        <v/>
      </c>
      <c r="P163" s="22" t="str">
        <f ca="1">IFERROR(VLOOKUP(B163, Master_List!$A:$I, 6, FALSE), "-")</f>
        <v/>
      </c>
      <c r="Q163" s="22" t="str">
        <f ca="1">IFERROR(VLOOKUP(B163, Master_List!$A:$I, 7, FALSE), "-")</f>
        <v/>
      </c>
      <c r="R163" s="22" t="str">
        <f ca="1">IFERROR(VLOOKUP(B163, Master_List!$A:$I, 8, FALSE), "-")</f>
        <v/>
      </c>
      <c r="S163" s="22" t="str">
        <f ca="1">IFERROR(VLOOKUP(B163, Master_List!$A:$I, 9, FALSE), "-")</f>
        <v/>
      </c>
      <c r="T163" s="20" t="str">
        <f ca="1">Master_List!$AW$6</f>
        <v>TOSHIBA</v>
      </c>
      <c r="U163" s="20" t="str">
        <f ca="1">Master_List!$AW$7</f>
        <v>MRMU</v>
      </c>
      <c r="V163" s="20" t="str">
        <f ca="1">Master_List!$AW$8</f>
        <v>12kV</v>
      </c>
      <c r="W163" s="20" t="str">
        <f ca="1">Master_List!$AW$9</f>
        <v>2S1F</v>
      </c>
      <c r="X163" s="20" t="str">
        <f ca="1">Master_List!$AW$10</f>
        <v>MTM</v>
      </c>
      <c r="Y163" s="20" t="str">
        <f ca="1">Master_List!$AW$11</f>
        <v>HERMETICALLY SEAL</v>
      </c>
      <c r="Z163" s="20" t="str">
        <f ca="1">Master_List!$AW$12</f>
        <v>750kVA</v>
      </c>
      <c r="AA163" s="20" t="str">
        <f ca="1">Master_List!$AW$13</f>
        <v>1317</v>
      </c>
      <c r="AB163" s="20">
        <f ca="1">Master_List!$AW$14</f>
        <v>0</v>
      </c>
      <c r="AC163" s="20">
        <f ca="1">Master_List!$AW$15</f>
        <v>0</v>
      </c>
      <c r="AD163" s="20">
        <f ca="1">Master_List!$AW$16</f>
        <v>0</v>
      </c>
      <c r="AE163" s="20">
        <f ca="1">Master_List!$AW$17</f>
        <v>0</v>
      </c>
      <c r="AF163" s="20" t="str">
        <f ca="1">Master_List!$AW$18</f>
        <v>INDKOM</v>
      </c>
      <c r="AG163" s="20" t="str">
        <f ca="1">Master_List!$AW$19</f>
        <v>J-SLOTTED</v>
      </c>
      <c r="AH163" s="20" t="str">
        <f ca="1">Master_List!$AW$20</f>
        <v>1600A</v>
      </c>
      <c r="AI163" s="20" t="str">
        <f ca="1">Master_List!$AW$21</f>
        <v>LV5080090</v>
      </c>
      <c r="AJ163" s="20" t="str">
        <f ca="1">Master_List!$AW$22</f>
        <v>LVDB TX1</v>
      </c>
      <c r="AK163" s="20">
        <f ca="1">Master_List!$AW$23</f>
        <v>0</v>
      </c>
      <c r="AL163" s="20">
        <f ca="1">Master_List!$AW$24</f>
        <v>0</v>
      </c>
      <c r="AM163" s="20">
        <f ca="1">Master_List!$AW$25</f>
        <v>0</v>
      </c>
      <c r="AN163" s="20">
        <f ca="1">Master_List!$AW$26</f>
        <v>0</v>
      </c>
      <c r="AO163" s="20" t="str">
        <f ca="1">Master_List!$AW$27</f>
        <v>LVDB TX2</v>
      </c>
      <c r="AP163" s="20" t="str">
        <f ca="1">Master_List!$AW$28</f>
        <v>SUNPOWER TECHNOLOGIES</v>
      </c>
      <c r="AQ163" s="20" t="str">
        <f ca="1">Master_List!$AW$29</f>
        <v>SPS 30-10 L</v>
      </c>
      <c r="AR163" s="20" t="str">
        <f ca="1">Master_List!$AW$30</f>
        <v>11193-8527</v>
      </c>
      <c r="AS163" s="20">
        <f ca="1">Master_List!$AW$31</f>
        <v>0</v>
      </c>
      <c r="AT163" s="20">
        <f ca="1">Master_List!$AW$32</f>
        <v>0</v>
      </c>
      <c r="AU163" s="20">
        <f ca="1">Master_List!$AW$33</f>
        <v>0</v>
      </c>
      <c r="AV163" s="20">
        <f ca="1">Master_List!$AW$34</f>
        <v>0</v>
      </c>
      <c r="AW163" s="20">
        <f ca="1">Master_List!$AW$35</f>
        <v>0</v>
      </c>
      <c r="AX163" s="20">
        <f ca="1">Master_List!$AW$36</f>
        <v>0</v>
      </c>
      <c r="AY163" s="20">
        <f ca="1">Master_List!$AW$37</f>
        <v>0</v>
      </c>
      <c r="AZ163" s="20">
        <f ca="1">Master_List!$AW$38</f>
        <v>0</v>
      </c>
      <c r="BA163" s="20">
        <f ca="1">Master_List!$AW$39</f>
        <v>0</v>
      </c>
      <c r="BB163" s="20" t="s">
        <v>2240</v>
      </c>
      <c r="BC163" s="20" t="s">
        <v>2241</v>
      </c>
      <c r="BD163" s="6" t="s">
        <v>1744</v>
      </c>
      <c r="BE163" s="6" t="s">
        <v>1831</v>
      </c>
      <c r="BF163" s="6" t="s">
        <v>1748</v>
      </c>
      <c r="BG163" s="6" t="str">
        <f t="shared" si="2"/>
        <v>C:\Users\aremi\Desktop\REPORT CBM\PO 42289580 - Pahang 11kV SECOND CYCLE AZZAD 2026\RAW MATERIAL\047. TNB BARU (IR+VI)\RAW DATA\IR</v>
      </c>
      <c r="BH163" s="24" t="s">
        <v>695</v>
      </c>
    </row>
    <row r="164" spans="1:60" ht="30" customHeight="1" x14ac:dyDescent="0.25">
      <c r="A164" s="6">
        <v>82</v>
      </c>
      <c r="B164" s="6" t="s">
        <v>1562</v>
      </c>
      <c r="C164" s="6">
        <v>1</v>
      </c>
      <c r="D164" s="6" t="s">
        <v>2242</v>
      </c>
      <c r="E164" s="6">
        <v>82</v>
      </c>
      <c r="F164" s="6" t="str">
        <f ca="1">Master_List!$AW$1</f>
        <v>PERPUSTAKAAN PUSAT</v>
      </c>
      <c r="G164" s="27" t="str">
        <f ca="1">Master_List!$AW$2</f>
        <v>09:30 PM</v>
      </c>
      <c r="H164" s="32" t="str">
        <f ca="1">Master_List!$AW$3</f>
        <v>20/07/2026</v>
      </c>
      <c r="I164" s="28" t="str">
        <f ca="1">Master_List!$AW$4</f>
        <v>28.5</v>
      </c>
      <c r="J164" s="6" t="str">
        <f ca="1">Master_List!$AW$5</f>
        <v>65</v>
      </c>
      <c r="K164" s="6" t="s">
        <v>585</v>
      </c>
      <c r="L164" s="21" t="str">
        <f ca="1">IFERROR(VLOOKUP(B164, Master_List!$A:$I, 2, FALSE), "-")</f>
        <v/>
      </c>
      <c r="M164" s="22" t="str">
        <f ca="1">IFERROR(VLOOKUP(B164, Master_List!$A:$I, 3, FALSE), "-")</f>
        <v/>
      </c>
      <c r="N164" s="22" t="str">
        <f ca="1">IFERROR(VLOOKUP(B164, Master_List!$A:$I, 4, FALSE), "-")</f>
        <v/>
      </c>
      <c r="O164" s="22" t="str">
        <f ca="1">IFERROR(VLOOKUP(B164, Master_List!$A:$I, 5, FALSE), "-")</f>
        <v/>
      </c>
      <c r="P164" s="22" t="str">
        <f ca="1">IFERROR(VLOOKUP(B164, Master_List!$A:$I, 6, FALSE), "-")</f>
        <v/>
      </c>
      <c r="Q164" s="22" t="str">
        <f ca="1">IFERROR(VLOOKUP(B164, Master_List!$A:$I, 7, FALSE), "-")</f>
        <v/>
      </c>
      <c r="R164" s="22" t="str">
        <f ca="1">IFERROR(VLOOKUP(B164, Master_List!$A:$I, 8, FALSE), "-")</f>
        <v/>
      </c>
      <c r="S164" s="22" t="str">
        <f ca="1">IFERROR(VLOOKUP(B164, Master_List!$A:$I, 9, FALSE), "-")</f>
        <v/>
      </c>
      <c r="T164" s="20" t="str">
        <f ca="1">Master_List!$AW$6</f>
        <v>TOSHIBA</v>
      </c>
      <c r="U164" s="20" t="str">
        <f ca="1">Master_List!$AW$7</f>
        <v>MRMU</v>
      </c>
      <c r="V164" s="20" t="str">
        <f ca="1">Master_List!$AW$8</f>
        <v>12kV</v>
      </c>
      <c r="W164" s="20" t="str">
        <f ca="1">Master_List!$AW$9</f>
        <v>2S1F</v>
      </c>
      <c r="X164" s="20" t="str">
        <f ca="1">Master_List!$AW$10</f>
        <v>MTM</v>
      </c>
      <c r="Y164" s="20" t="str">
        <f ca="1">Master_List!$AW$11</f>
        <v>HERMETICALLY SEAL</v>
      </c>
      <c r="Z164" s="20" t="str">
        <f ca="1">Master_List!$AW$12</f>
        <v>750kVA</v>
      </c>
      <c r="AA164" s="20" t="str">
        <f ca="1">Master_List!$AW$13</f>
        <v>1317</v>
      </c>
      <c r="AB164" s="20">
        <f ca="1">Master_List!$AW$14</f>
        <v>0</v>
      </c>
      <c r="AC164" s="20">
        <f ca="1">Master_List!$AW$15</f>
        <v>0</v>
      </c>
      <c r="AD164" s="20">
        <f ca="1">Master_List!$AW$16</f>
        <v>0</v>
      </c>
      <c r="AE164" s="20">
        <f ca="1">Master_List!$AW$17</f>
        <v>0</v>
      </c>
      <c r="AF164" s="20" t="str">
        <f ca="1">Master_List!$AW$18</f>
        <v>INDKOM</v>
      </c>
      <c r="AG164" s="20" t="str">
        <f ca="1">Master_List!$AW$19</f>
        <v>J-SLOTTED</v>
      </c>
      <c r="AH164" s="20" t="str">
        <f ca="1">Master_List!$AW$20</f>
        <v>1600A</v>
      </c>
      <c r="AI164" s="20" t="str">
        <f ca="1">Master_List!$AW$21</f>
        <v>LV5080090</v>
      </c>
      <c r="AJ164" s="20" t="str">
        <f ca="1">Master_List!$AW$22</f>
        <v>LVDB TX1</v>
      </c>
      <c r="AK164" s="20">
        <f ca="1">Master_List!$AW$23</f>
        <v>0</v>
      </c>
      <c r="AL164" s="20">
        <f ca="1">Master_List!$AW$24</f>
        <v>0</v>
      </c>
      <c r="AM164" s="20">
        <f ca="1">Master_List!$AW$25</f>
        <v>0</v>
      </c>
      <c r="AN164" s="20">
        <f ca="1">Master_List!$AW$26</f>
        <v>0</v>
      </c>
      <c r="AO164" s="20" t="str">
        <f ca="1">Master_List!$AW$27</f>
        <v>LVDB TX2</v>
      </c>
      <c r="AP164" s="20" t="str">
        <f ca="1">Master_List!$AW$28</f>
        <v>SUNPOWER TECHNOLOGIES</v>
      </c>
      <c r="AQ164" s="20" t="str">
        <f ca="1">Master_List!$AW$29</f>
        <v>SPS 30-10 L</v>
      </c>
      <c r="AR164" s="20" t="str">
        <f ca="1">Master_List!$AW$30</f>
        <v>11193-8527</v>
      </c>
      <c r="AS164" s="20">
        <f ca="1">Master_List!$AW$31</f>
        <v>0</v>
      </c>
      <c r="AT164" s="20">
        <f ca="1">Master_List!$AW$32</f>
        <v>0</v>
      </c>
      <c r="AU164" s="20">
        <f ca="1">Master_List!$AW$33</f>
        <v>0</v>
      </c>
      <c r="AV164" s="20">
        <f ca="1">Master_List!$AW$34</f>
        <v>0</v>
      </c>
      <c r="AW164" s="20">
        <f ca="1">Master_List!$AW$35</f>
        <v>0</v>
      </c>
      <c r="AX164" s="20">
        <f ca="1">Master_List!$AW$36</f>
        <v>0</v>
      </c>
      <c r="AY164" s="20">
        <f ca="1">Master_List!$AW$37</f>
        <v>0</v>
      </c>
      <c r="AZ164" s="20">
        <f ca="1">Master_List!$AW$38</f>
        <v>0</v>
      </c>
      <c r="BA164" s="20">
        <f ca="1">Master_List!$AW$39</f>
        <v>0</v>
      </c>
      <c r="BB164" s="20" t="s">
        <v>2240</v>
      </c>
      <c r="BC164" s="20" t="s">
        <v>2241</v>
      </c>
      <c r="BD164" s="6" t="s">
        <v>1744</v>
      </c>
      <c r="BE164" s="6" t="s">
        <v>1832</v>
      </c>
      <c r="BF164" s="6" t="s">
        <v>1746</v>
      </c>
      <c r="BG164" s="6" t="str">
        <f t="shared" si="2"/>
        <v>C:\Users\aremi\Desktop\REPORT CBM\PO 42289580 - Pahang 11kV SECOND CYCLE AZZAD 2026\RAW MATERIAL\047. TNB BARU (IR+VI)\RAW DATA\IR</v>
      </c>
      <c r="BH164" s="24" t="s">
        <v>697</v>
      </c>
    </row>
    <row r="165" spans="1:60" ht="30" customHeight="1" x14ac:dyDescent="0.25">
      <c r="A165" s="6">
        <v>82</v>
      </c>
      <c r="B165" s="6" t="s">
        <v>1562</v>
      </c>
      <c r="C165" s="6">
        <v>1</v>
      </c>
      <c r="D165" s="6" t="s">
        <v>2242</v>
      </c>
      <c r="E165" s="6">
        <v>82</v>
      </c>
      <c r="F165" s="6" t="str">
        <f ca="1">Master_List!$AW$1</f>
        <v>PERPUSTAKAAN PUSAT</v>
      </c>
      <c r="G165" s="27" t="str">
        <f ca="1">Master_List!$AW$2</f>
        <v>09:30 PM</v>
      </c>
      <c r="H165" s="32" t="str">
        <f ca="1">Master_List!$AW$3</f>
        <v>20/07/2026</v>
      </c>
      <c r="I165" s="28" t="str">
        <f ca="1">Master_List!$AW$4</f>
        <v>28.5</v>
      </c>
      <c r="J165" s="6" t="str">
        <f ca="1">Master_List!$AW$5</f>
        <v>65</v>
      </c>
      <c r="K165" s="6" t="s">
        <v>585</v>
      </c>
      <c r="L165" s="21" t="str">
        <f ca="1">IFERROR(VLOOKUP(B165, Master_List!$A:$I, 2, FALSE), "-")</f>
        <v/>
      </c>
      <c r="M165" s="22" t="str">
        <f ca="1">IFERROR(VLOOKUP(B165, Master_List!$A:$I, 3, FALSE), "-")</f>
        <v/>
      </c>
      <c r="N165" s="22" t="str">
        <f ca="1">IFERROR(VLOOKUP(B165, Master_List!$A:$I, 4, FALSE), "-")</f>
        <v/>
      </c>
      <c r="O165" s="22" t="str">
        <f ca="1">IFERROR(VLOOKUP(B165, Master_List!$A:$I, 5, FALSE), "-")</f>
        <v/>
      </c>
      <c r="P165" s="22" t="str">
        <f ca="1">IFERROR(VLOOKUP(B165, Master_List!$A:$I, 6, FALSE), "-")</f>
        <v/>
      </c>
      <c r="Q165" s="22" t="str">
        <f ca="1">IFERROR(VLOOKUP(B165, Master_List!$A:$I, 7, FALSE), "-")</f>
        <v/>
      </c>
      <c r="R165" s="22" t="str">
        <f ca="1">IFERROR(VLOOKUP(B165, Master_List!$A:$I, 8, FALSE), "-")</f>
        <v/>
      </c>
      <c r="S165" s="22" t="str">
        <f ca="1">IFERROR(VLOOKUP(B165, Master_List!$A:$I, 9, FALSE), "-")</f>
        <v/>
      </c>
      <c r="T165" s="20" t="str">
        <f ca="1">Master_List!$AW$6</f>
        <v>TOSHIBA</v>
      </c>
      <c r="U165" s="20" t="str">
        <f ca="1">Master_List!$AW$7</f>
        <v>MRMU</v>
      </c>
      <c r="V165" s="20" t="str">
        <f ca="1">Master_List!$AW$8</f>
        <v>12kV</v>
      </c>
      <c r="W165" s="20" t="str">
        <f ca="1">Master_List!$AW$9</f>
        <v>2S1F</v>
      </c>
      <c r="X165" s="20" t="str">
        <f ca="1">Master_List!$AW$10</f>
        <v>MTM</v>
      </c>
      <c r="Y165" s="20" t="str">
        <f ca="1">Master_List!$AW$11</f>
        <v>HERMETICALLY SEAL</v>
      </c>
      <c r="Z165" s="20" t="str">
        <f ca="1">Master_List!$AW$12</f>
        <v>750kVA</v>
      </c>
      <c r="AA165" s="20" t="str">
        <f ca="1">Master_List!$AW$13</f>
        <v>1317</v>
      </c>
      <c r="AB165" s="20">
        <f ca="1">Master_List!$AW$14</f>
        <v>0</v>
      </c>
      <c r="AC165" s="20">
        <f ca="1">Master_List!$AW$15</f>
        <v>0</v>
      </c>
      <c r="AD165" s="20">
        <f ca="1">Master_List!$AW$16</f>
        <v>0</v>
      </c>
      <c r="AE165" s="20">
        <f ca="1">Master_List!$AW$17</f>
        <v>0</v>
      </c>
      <c r="AF165" s="20" t="str">
        <f ca="1">Master_List!$AW$18</f>
        <v>INDKOM</v>
      </c>
      <c r="AG165" s="20" t="str">
        <f ca="1">Master_List!$AW$19</f>
        <v>J-SLOTTED</v>
      </c>
      <c r="AH165" s="20" t="str">
        <f ca="1">Master_List!$AW$20</f>
        <v>1600A</v>
      </c>
      <c r="AI165" s="20" t="str">
        <f ca="1">Master_List!$AW$21</f>
        <v>LV5080090</v>
      </c>
      <c r="AJ165" s="20" t="str">
        <f ca="1">Master_List!$AW$22</f>
        <v>LVDB TX1</v>
      </c>
      <c r="AK165" s="20">
        <f ca="1">Master_List!$AW$23</f>
        <v>0</v>
      </c>
      <c r="AL165" s="20">
        <f ca="1">Master_List!$AW$24</f>
        <v>0</v>
      </c>
      <c r="AM165" s="20">
        <f ca="1">Master_List!$AW$25</f>
        <v>0</v>
      </c>
      <c r="AN165" s="20">
        <f ca="1">Master_List!$AW$26</f>
        <v>0</v>
      </c>
      <c r="AO165" s="20" t="str">
        <f ca="1">Master_List!$AW$27</f>
        <v>LVDB TX2</v>
      </c>
      <c r="AP165" s="20" t="str">
        <f ca="1">Master_List!$AW$28</f>
        <v>SUNPOWER TECHNOLOGIES</v>
      </c>
      <c r="AQ165" s="20" t="str">
        <f ca="1">Master_List!$AW$29</f>
        <v>SPS 30-10 L</v>
      </c>
      <c r="AR165" s="20" t="str">
        <f ca="1">Master_List!$AW$30</f>
        <v>11193-8527</v>
      </c>
      <c r="AS165" s="20">
        <f ca="1">Master_List!$AW$31</f>
        <v>0</v>
      </c>
      <c r="AT165" s="20">
        <f ca="1">Master_List!$AW$32</f>
        <v>0</v>
      </c>
      <c r="AU165" s="20">
        <f ca="1">Master_List!$AW$33</f>
        <v>0</v>
      </c>
      <c r="AV165" s="20">
        <f ca="1">Master_List!$AW$34</f>
        <v>0</v>
      </c>
      <c r="AW165" s="20">
        <f ca="1">Master_List!$AW$35</f>
        <v>0</v>
      </c>
      <c r="AX165" s="20">
        <f ca="1">Master_List!$AW$36</f>
        <v>0</v>
      </c>
      <c r="AY165" s="20">
        <f ca="1">Master_List!$AW$37</f>
        <v>0</v>
      </c>
      <c r="AZ165" s="20">
        <f ca="1">Master_List!$AW$38</f>
        <v>0</v>
      </c>
      <c r="BA165" s="20">
        <f ca="1">Master_List!$AW$39</f>
        <v>0</v>
      </c>
      <c r="BB165" s="20" t="s">
        <v>2240</v>
      </c>
      <c r="BC165" s="20" t="s">
        <v>2241</v>
      </c>
      <c r="BD165" s="6" t="s">
        <v>1744</v>
      </c>
      <c r="BE165" s="6" t="s">
        <v>1832</v>
      </c>
      <c r="BF165" s="6" t="s">
        <v>1748</v>
      </c>
      <c r="BG165" s="6" t="str">
        <f t="shared" si="2"/>
        <v>C:\Users\aremi\Desktop\REPORT CBM\PO 42289580 - Pahang 11kV SECOND CYCLE AZZAD 2026\RAW MATERIAL\047. TNB BARU (IR+VI)\RAW DATA\IR</v>
      </c>
      <c r="BH165" s="24" t="s">
        <v>698</v>
      </c>
    </row>
    <row r="166" spans="1:60" ht="30" customHeight="1" x14ac:dyDescent="0.25">
      <c r="A166" s="6">
        <v>83</v>
      </c>
      <c r="B166" s="6" t="s">
        <v>1562</v>
      </c>
      <c r="C166" s="6">
        <v>1</v>
      </c>
      <c r="D166" s="6" t="s">
        <v>2243</v>
      </c>
      <c r="E166" s="6">
        <v>83</v>
      </c>
      <c r="F166" s="6" t="str">
        <f ca="1">Master_List!$AW$1</f>
        <v>PERPUSTAKAAN PUSAT</v>
      </c>
      <c r="G166" s="27" t="str">
        <f ca="1">Master_List!$AW$2</f>
        <v>09:30 PM</v>
      </c>
      <c r="H166" s="32" t="str">
        <f ca="1">Master_List!$AW$3</f>
        <v>20/07/2026</v>
      </c>
      <c r="I166" s="28" t="str">
        <f ca="1">Master_List!$AW$4</f>
        <v>28.5</v>
      </c>
      <c r="J166" s="6" t="str">
        <f ca="1">Master_List!$AW$5</f>
        <v>65</v>
      </c>
      <c r="K166" s="6" t="s">
        <v>588</v>
      </c>
      <c r="L166" s="21" t="str">
        <f ca="1">IFERROR(VLOOKUP(B166, Master_List!$A:$I, 2, FALSE), "-")</f>
        <v/>
      </c>
      <c r="M166" s="22" t="str">
        <f ca="1">IFERROR(VLOOKUP(B166, Master_List!$A:$I, 3, FALSE), "-")</f>
        <v/>
      </c>
      <c r="N166" s="22" t="str">
        <f ca="1">IFERROR(VLOOKUP(B166, Master_List!$A:$I, 4, FALSE), "-")</f>
        <v/>
      </c>
      <c r="O166" s="22" t="str">
        <f ca="1">IFERROR(VLOOKUP(B166, Master_List!$A:$I, 5, FALSE), "-")</f>
        <v/>
      </c>
      <c r="P166" s="22" t="str">
        <f ca="1">IFERROR(VLOOKUP(B166, Master_List!$A:$I, 6, FALSE), "-")</f>
        <v/>
      </c>
      <c r="Q166" s="22" t="str">
        <f ca="1">IFERROR(VLOOKUP(B166, Master_List!$A:$I, 7, FALSE), "-")</f>
        <v/>
      </c>
      <c r="R166" s="22" t="str">
        <f ca="1">IFERROR(VLOOKUP(B166, Master_List!$A:$I, 8, FALSE), "-")</f>
        <v/>
      </c>
      <c r="S166" s="22" t="str">
        <f ca="1">IFERROR(VLOOKUP(B166, Master_List!$A:$I, 9, FALSE), "-")</f>
        <v/>
      </c>
      <c r="T166" s="20" t="str">
        <f ca="1">Master_List!$AW$6</f>
        <v>TOSHIBA</v>
      </c>
      <c r="U166" s="20" t="str">
        <f ca="1">Master_List!$AW$7</f>
        <v>MRMU</v>
      </c>
      <c r="V166" s="20" t="str">
        <f ca="1">Master_List!$AW$8</f>
        <v>12kV</v>
      </c>
      <c r="W166" s="20" t="str">
        <f ca="1">Master_List!$AW$9</f>
        <v>2S1F</v>
      </c>
      <c r="X166" s="20" t="str">
        <f ca="1">Master_List!$AW$10</f>
        <v>MTM</v>
      </c>
      <c r="Y166" s="20" t="str">
        <f ca="1">Master_List!$AW$11</f>
        <v>HERMETICALLY SEAL</v>
      </c>
      <c r="Z166" s="20" t="str">
        <f ca="1">Master_List!$AW$12</f>
        <v>750kVA</v>
      </c>
      <c r="AA166" s="20" t="str">
        <f ca="1">Master_List!$AW$13</f>
        <v>1317</v>
      </c>
      <c r="AB166" s="20">
        <f ca="1">Master_List!$AW$14</f>
        <v>0</v>
      </c>
      <c r="AC166" s="20">
        <f ca="1">Master_List!$AW$15</f>
        <v>0</v>
      </c>
      <c r="AD166" s="20">
        <f ca="1">Master_List!$AW$16</f>
        <v>0</v>
      </c>
      <c r="AE166" s="20">
        <f ca="1">Master_List!$AW$17</f>
        <v>0</v>
      </c>
      <c r="AF166" s="20" t="str">
        <f ca="1">Master_List!$AW$18</f>
        <v>INDKOM</v>
      </c>
      <c r="AG166" s="20" t="str">
        <f ca="1">Master_List!$AW$19</f>
        <v>J-SLOTTED</v>
      </c>
      <c r="AH166" s="20" t="str">
        <f ca="1">Master_List!$AW$20</f>
        <v>1600A</v>
      </c>
      <c r="AI166" s="20" t="str">
        <f ca="1">Master_List!$AW$21</f>
        <v>LV5080090</v>
      </c>
      <c r="AJ166" s="20" t="str">
        <f ca="1">Master_List!$AW$22</f>
        <v>LVDB TX1</v>
      </c>
      <c r="AK166" s="20">
        <f ca="1">Master_List!$AW$23</f>
        <v>0</v>
      </c>
      <c r="AL166" s="20">
        <f ca="1">Master_List!$AW$24</f>
        <v>0</v>
      </c>
      <c r="AM166" s="20">
        <f ca="1">Master_List!$AW$25</f>
        <v>0</v>
      </c>
      <c r="AN166" s="20">
        <f ca="1">Master_List!$AW$26</f>
        <v>0</v>
      </c>
      <c r="AO166" s="20" t="str">
        <f ca="1">Master_List!$AW$27</f>
        <v>LVDB TX2</v>
      </c>
      <c r="AP166" s="20" t="str">
        <f ca="1">Master_List!$AW$28</f>
        <v>SUNPOWER TECHNOLOGIES</v>
      </c>
      <c r="AQ166" s="20" t="str">
        <f ca="1">Master_List!$AW$29</f>
        <v>SPS 30-10 L</v>
      </c>
      <c r="AR166" s="20" t="str">
        <f ca="1">Master_List!$AW$30</f>
        <v>11193-8527</v>
      </c>
      <c r="AS166" s="20">
        <f ca="1">Master_List!$AW$31</f>
        <v>0</v>
      </c>
      <c r="AT166" s="20">
        <f ca="1">Master_List!$AW$32</f>
        <v>0</v>
      </c>
      <c r="AU166" s="20">
        <f ca="1">Master_List!$AW$33</f>
        <v>0</v>
      </c>
      <c r="AV166" s="20">
        <f ca="1">Master_List!$AW$34</f>
        <v>0</v>
      </c>
      <c r="AW166" s="20">
        <f ca="1">Master_List!$AW$35</f>
        <v>0</v>
      </c>
      <c r="AX166" s="20">
        <f ca="1">Master_List!$AW$36</f>
        <v>0</v>
      </c>
      <c r="AY166" s="20">
        <f ca="1">Master_List!$AW$37</f>
        <v>0</v>
      </c>
      <c r="AZ166" s="20">
        <f ca="1">Master_List!$AW$38</f>
        <v>0</v>
      </c>
      <c r="BA166" s="20">
        <f ca="1">Master_List!$AW$39</f>
        <v>0</v>
      </c>
      <c r="BB166" s="20" t="s">
        <v>2240</v>
      </c>
      <c r="BC166" s="20" t="s">
        <v>2241</v>
      </c>
      <c r="BD166" s="6" t="s">
        <v>1744</v>
      </c>
      <c r="BE166" s="6" t="s">
        <v>1833</v>
      </c>
      <c r="BF166" s="6" t="s">
        <v>1746</v>
      </c>
      <c r="BG166" s="6" t="str">
        <f t="shared" si="2"/>
        <v>C:\Users\aremi\Desktop\REPORT CBM\PO 42289580 - Pahang 11kV SECOND CYCLE AZZAD 2026\RAW MATERIAL\047. TNB BARU (IR+VI)\RAW DATA\IR</v>
      </c>
      <c r="BH166" s="24" t="s">
        <v>699</v>
      </c>
    </row>
    <row r="167" spans="1:60" ht="30" customHeight="1" x14ac:dyDescent="0.25">
      <c r="A167" s="6">
        <v>83</v>
      </c>
      <c r="B167" s="6" t="s">
        <v>1562</v>
      </c>
      <c r="C167" s="6">
        <v>1</v>
      </c>
      <c r="D167" s="6" t="s">
        <v>2243</v>
      </c>
      <c r="E167" s="6">
        <v>83</v>
      </c>
      <c r="F167" s="6" t="str">
        <f ca="1">Master_List!$AW$1</f>
        <v>PERPUSTAKAAN PUSAT</v>
      </c>
      <c r="G167" s="27" t="str">
        <f ca="1">Master_List!$AW$2</f>
        <v>09:30 PM</v>
      </c>
      <c r="H167" s="32" t="str">
        <f ca="1">Master_List!$AW$3</f>
        <v>20/07/2026</v>
      </c>
      <c r="I167" s="28" t="str">
        <f ca="1">Master_List!$AW$4</f>
        <v>28.5</v>
      </c>
      <c r="J167" s="6" t="str">
        <f ca="1">Master_List!$AW$5</f>
        <v>65</v>
      </c>
      <c r="K167" s="6" t="s">
        <v>588</v>
      </c>
      <c r="L167" s="21" t="str">
        <f ca="1">IFERROR(VLOOKUP(B167, Master_List!$A:$I, 2, FALSE), "-")</f>
        <v/>
      </c>
      <c r="M167" s="22" t="str">
        <f ca="1">IFERROR(VLOOKUP(B167, Master_List!$A:$I, 3, FALSE), "-")</f>
        <v/>
      </c>
      <c r="N167" s="22" t="str">
        <f ca="1">IFERROR(VLOOKUP(B167, Master_List!$A:$I, 4, FALSE), "-")</f>
        <v/>
      </c>
      <c r="O167" s="22" t="str">
        <f ca="1">IFERROR(VLOOKUP(B167, Master_List!$A:$I, 5, FALSE), "-")</f>
        <v/>
      </c>
      <c r="P167" s="22" t="str">
        <f ca="1">IFERROR(VLOOKUP(B167, Master_List!$A:$I, 6, FALSE), "-")</f>
        <v/>
      </c>
      <c r="Q167" s="22" t="str">
        <f ca="1">IFERROR(VLOOKUP(B167, Master_List!$A:$I, 7, FALSE), "-")</f>
        <v/>
      </c>
      <c r="R167" s="22" t="str">
        <f ca="1">IFERROR(VLOOKUP(B167, Master_List!$A:$I, 8, FALSE), "-")</f>
        <v/>
      </c>
      <c r="S167" s="22" t="str">
        <f ca="1">IFERROR(VLOOKUP(B167, Master_List!$A:$I, 9, FALSE), "-")</f>
        <v/>
      </c>
      <c r="T167" s="20" t="str">
        <f ca="1">Master_List!$AW$6</f>
        <v>TOSHIBA</v>
      </c>
      <c r="U167" s="20" t="str">
        <f ca="1">Master_List!$AW$7</f>
        <v>MRMU</v>
      </c>
      <c r="V167" s="20" t="str">
        <f ca="1">Master_List!$AW$8</f>
        <v>12kV</v>
      </c>
      <c r="W167" s="20" t="str">
        <f ca="1">Master_List!$AW$9</f>
        <v>2S1F</v>
      </c>
      <c r="X167" s="20" t="str">
        <f ca="1">Master_List!$AW$10</f>
        <v>MTM</v>
      </c>
      <c r="Y167" s="20" t="str">
        <f ca="1">Master_List!$AW$11</f>
        <v>HERMETICALLY SEAL</v>
      </c>
      <c r="Z167" s="20" t="str">
        <f ca="1">Master_List!$AW$12</f>
        <v>750kVA</v>
      </c>
      <c r="AA167" s="20" t="str">
        <f ca="1">Master_List!$AW$13</f>
        <v>1317</v>
      </c>
      <c r="AB167" s="20">
        <f ca="1">Master_List!$AW$14</f>
        <v>0</v>
      </c>
      <c r="AC167" s="20">
        <f ca="1">Master_List!$AW$15</f>
        <v>0</v>
      </c>
      <c r="AD167" s="20">
        <f ca="1">Master_List!$AW$16</f>
        <v>0</v>
      </c>
      <c r="AE167" s="20">
        <f ca="1">Master_List!$AW$17</f>
        <v>0</v>
      </c>
      <c r="AF167" s="20" t="str">
        <f ca="1">Master_List!$AW$18</f>
        <v>INDKOM</v>
      </c>
      <c r="AG167" s="20" t="str">
        <f ca="1">Master_List!$AW$19</f>
        <v>J-SLOTTED</v>
      </c>
      <c r="AH167" s="20" t="str">
        <f ca="1">Master_List!$AW$20</f>
        <v>1600A</v>
      </c>
      <c r="AI167" s="20" t="str">
        <f ca="1">Master_List!$AW$21</f>
        <v>LV5080090</v>
      </c>
      <c r="AJ167" s="20" t="str">
        <f ca="1">Master_List!$AW$22</f>
        <v>LVDB TX1</v>
      </c>
      <c r="AK167" s="20">
        <f ca="1">Master_List!$AW$23</f>
        <v>0</v>
      </c>
      <c r="AL167" s="20">
        <f ca="1">Master_List!$AW$24</f>
        <v>0</v>
      </c>
      <c r="AM167" s="20">
        <f ca="1">Master_List!$AW$25</f>
        <v>0</v>
      </c>
      <c r="AN167" s="20">
        <f ca="1">Master_List!$AW$26</f>
        <v>0</v>
      </c>
      <c r="AO167" s="20" t="str">
        <f ca="1">Master_List!$AW$27</f>
        <v>LVDB TX2</v>
      </c>
      <c r="AP167" s="20" t="str">
        <f ca="1">Master_List!$AW$28</f>
        <v>SUNPOWER TECHNOLOGIES</v>
      </c>
      <c r="AQ167" s="20" t="str">
        <f ca="1">Master_List!$AW$29</f>
        <v>SPS 30-10 L</v>
      </c>
      <c r="AR167" s="20" t="str">
        <f ca="1">Master_List!$AW$30</f>
        <v>11193-8527</v>
      </c>
      <c r="AS167" s="20">
        <f ca="1">Master_List!$AW$31</f>
        <v>0</v>
      </c>
      <c r="AT167" s="20">
        <f ca="1">Master_List!$AW$32</f>
        <v>0</v>
      </c>
      <c r="AU167" s="20">
        <f ca="1">Master_List!$AW$33</f>
        <v>0</v>
      </c>
      <c r="AV167" s="20">
        <f ca="1">Master_List!$AW$34</f>
        <v>0</v>
      </c>
      <c r="AW167" s="20">
        <f ca="1">Master_List!$AW$35</f>
        <v>0</v>
      </c>
      <c r="AX167" s="20">
        <f ca="1">Master_List!$AW$36</f>
        <v>0</v>
      </c>
      <c r="AY167" s="20">
        <f ca="1">Master_List!$AW$37</f>
        <v>0</v>
      </c>
      <c r="AZ167" s="20">
        <f ca="1">Master_List!$AW$38</f>
        <v>0</v>
      </c>
      <c r="BA167" s="20">
        <f ca="1">Master_List!$AW$39</f>
        <v>0</v>
      </c>
      <c r="BB167" s="20" t="s">
        <v>2240</v>
      </c>
      <c r="BC167" s="20" t="s">
        <v>2241</v>
      </c>
      <c r="BD167" s="6" t="s">
        <v>1744</v>
      </c>
      <c r="BE167" s="6" t="s">
        <v>1833</v>
      </c>
      <c r="BF167" s="6" t="s">
        <v>1748</v>
      </c>
      <c r="BG167" s="6" t="str">
        <f t="shared" si="2"/>
        <v>C:\Users\aremi\Desktop\REPORT CBM\PO 42289580 - Pahang 11kV SECOND CYCLE AZZAD 2026\RAW MATERIAL\047. TNB BARU (IR+VI)\RAW DATA\IR</v>
      </c>
      <c r="BH167" s="24" t="s">
        <v>700</v>
      </c>
    </row>
    <row r="168" spans="1:60" ht="30" customHeight="1" x14ac:dyDescent="0.25">
      <c r="A168" s="6">
        <v>84</v>
      </c>
      <c r="B168" s="6" t="s">
        <v>1562</v>
      </c>
      <c r="C168" s="6">
        <v>1</v>
      </c>
      <c r="D168" s="6" t="s">
        <v>2244</v>
      </c>
      <c r="E168" s="6">
        <v>84</v>
      </c>
      <c r="F168" s="6" t="str">
        <f ca="1">Master_List!$AW$1</f>
        <v>PERPUSTAKAAN PUSAT</v>
      </c>
      <c r="G168" s="27" t="str">
        <f ca="1">Master_List!$AW$2</f>
        <v>09:30 PM</v>
      </c>
      <c r="H168" s="32" t="str">
        <f ca="1">Master_List!$AW$3</f>
        <v>20/07/2026</v>
      </c>
      <c r="I168" s="28" t="str">
        <f ca="1">Master_List!$AW$4</f>
        <v>28.5</v>
      </c>
      <c r="J168" s="6" t="str">
        <f ca="1">Master_List!$AW$5</f>
        <v>65</v>
      </c>
      <c r="K168" s="6" t="s">
        <v>591</v>
      </c>
      <c r="L168" s="21" t="str">
        <f ca="1">IFERROR(VLOOKUP(B168, Master_List!$A:$I, 2, FALSE), "-")</f>
        <v/>
      </c>
      <c r="M168" s="22" t="str">
        <f ca="1">IFERROR(VLOOKUP(B168, Master_List!$A:$I, 3, FALSE), "-")</f>
        <v/>
      </c>
      <c r="N168" s="22" t="str">
        <f ca="1">IFERROR(VLOOKUP(B168, Master_List!$A:$I, 4, FALSE), "-")</f>
        <v/>
      </c>
      <c r="O168" s="22" t="str">
        <f ca="1">IFERROR(VLOOKUP(B168, Master_List!$A:$I, 5, FALSE), "-")</f>
        <v/>
      </c>
      <c r="P168" s="22" t="str">
        <f ca="1">IFERROR(VLOOKUP(B168, Master_List!$A:$I, 6, FALSE), "-")</f>
        <v/>
      </c>
      <c r="Q168" s="22" t="str">
        <f ca="1">IFERROR(VLOOKUP(B168, Master_List!$A:$I, 7, FALSE), "-")</f>
        <v/>
      </c>
      <c r="R168" s="22" t="str">
        <f ca="1">IFERROR(VLOOKUP(B168, Master_List!$A:$I, 8, FALSE), "-")</f>
        <v/>
      </c>
      <c r="S168" s="22" t="str">
        <f ca="1">IFERROR(VLOOKUP(B168, Master_List!$A:$I, 9, FALSE), "-")</f>
        <v/>
      </c>
      <c r="T168" s="20" t="str">
        <f ca="1">Master_List!$AW$6</f>
        <v>TOSHIBA</v>
      </c>
      <c r="U168" s="20" t="str">
        <f ca="1">Master_List!$AW$7</f>
        <v>MRMU</v>
      </c>
      <c r="V168" s="20" t="str">
        <f ca="1">Master_List!$AW$8</f>
        <v>12kV</v>
      </c>
      <c r="W168" s="20" t="str">
        <f ca="1">Master_List!$AW$9</f>
        <v>2S1F</v>
      </c>
      <c r="X168" s="20" t="str">
        <f ca="1">Master_List!$AW$10</f>
        <v>MTM</v>
      </c>
      <c r="Y168" s="20" t="str">
        <f ca="1">Master_List!$AW$11</f>
        <v>HERMETICALLY SEAL</v>
      </c>
      <c r="Z168" s="20" t="str">
        <f ca="1">Master_List!$AW$12</f>
        <v>750kVA</v>
      </c>
      <c r="AA168" s="20" t="str">
        <f ca="1">Master_List!$AW$13</f>
        <v>1317</v>
      </c>
      <c r="AB168" s="20">
        <f ca="1">Master_List!$AW$14</f>
        <v>0</v>
      </c>
      <c r="AC168" s="20">
        <f ca="1">Master_List!$AW$15</f>
        <v>0</v>
      </c>
      <c r="AD168" s="20">
        <f ca="1">Master_List!$AW$16</f>
        <v>0</v>
      </c>
      <c r="AE168" s="20">
        <f ca="1">Master_List!$AW$17</f>
        <v>0</v>
      </c>
      <c r="AF168" s="20" t="str">
        <f ca="1">Master_List!$AW$18</f>
        <v>INDKOM</v>
      </c>
      <c r="AG168" s="20" t="str">
        <f ca="1">Master_List!$AW$19</f>
        <v>J-SLOTTED</v>
      </c>
      <c r="AH168" s="20" t="str">
        <f ca="1">Master_List!$AW$20</f>
        <v>1600A</v>
      </c>
      <c r="AI168" s="20" t="str">
        <f ca="1">Master_List!$AW$21</f>
        <v>LV5080090</v>
      </c>
      <c r="AJ168" s="20" t="str">
        <f ca="1">Master_List!$AW$22</f>
        <v>LVDB TX1</v>
      </c>
      <c r="AK168" s="20">
        <f ca="1">Master_List!$AW$23</f>
        <v>0</v>
      </c>
      <c r="AL168" s="20">
        <f ca="1">Master_List!$AW$24</f>
        <v>0</v>
      </c>
      <c r="AM168" s="20">
        <f ca="1">Master_List!$AW$25</f>
        <v>0</v>
      </c>
      <c r="AN168" s="20">
        <f ca="1">Master_List!$AW$26</f>
        <v>0</v>
      </c>
      <c r="AO168" s="20" t="str">
        <f ca="1">Master_List!$AW$27</f>
        <v>LVDB TX2</v>
      </c>
      <c r="AP168" s="20" t="str">
        <f ca="1">Master_List!$AW$28</f>
        <v>SUNPOWER TECHNOLOGIES</v>
      </c>
      <c r="AQ168" s="20" t="str">
        <f ca="1">Master_List!$AW$29</f>
        <v>SPS 30-10 L</v>
      </c>
      <c r="AR168" s="20" t="str">
        <f ca="1">Master_List!$AW$30</f>
        <v>11193-8527</v>
      </c>
      <c r="AS168" s="20">
        <f ca="1">Master_List!$AW$31</f>
        <v>0</v>
      </c>
      <c r="AT168" s="20">
        <f ca="1">Master_List!$AW$32</f>
        <v>0</v>
      </c>
      <c r="AU168" s="20">
        <f ca="1">Master_List!$AW$33</f>
        <v>0</v>
      </c>
      <c r="AV168" s="20">
        <f ca="1">Master_List!$AW$34</f>
        <v>0</v>
      </c>
      <c r="AW168" s="20">
        <f ca="1">Master_List!$AW$35</f>
        <v>0</v>
      </c>
      <c r="AX168" s="20">
        <f ca="1">Master_List!$AW$36</f>
        <v>0</v>
      </c>
      <c r="AY168" s="20">
        <f ca="1">Master_List!$AW$37</f>
        <v>0</v>
      </c>
      <c r="AZ168" s="20">
        <f ca="1">Master_List!$AW$38</f>
        <v>0</v>
      </c>
      <c r="BA168" s="20">
        <f ca="1">Master_List!$AW$39</f>
        <v>0</v>
      </c>
      <c r="BB168" s="20" t="s">
        <v>2240</v>
      </c>
      <c r="BC168" s="20" t="s">
        <v>2241</v>
      </c>
      <c r="BD168" s="6" t="s">
        <v>1744</v>
      </c>
      <c r="BE168" s="6" t="s">
        <v>1834</v>
      </c>
      <c r="BF168" s="6" t="s">
        <v>1746</v>
      </c>
      <c r="BG168" s="6" t="str">
        <f t="shared" si="2"/>
        <v>C:\Users\aremi\Desktop\REPORT CBM\PO 42289580 - Pahang 11kV SECOND CYCLE AZZAD 2026\RAW MATERIAL\047. TNB BARU (IR+VI)\RAW DATA\IR</v>
      </c>
      <c r="BH168" s="24" t="s">
        <v>701</v>
      </c>
    </row>
    <row r="169" spans="1:60" ht="30" customHeight="1" x14ac:dyDescent="0.25">
      <c r="A169" s="6">
        <v>84</v>
      </c>
      <c r="B169" s="6" t="s">
        <v>1562</v>
      </c>
      <c r="C169" s="6">
        <v>1</v>
      </c>
      <c r="D169" s="6" t="s">
        <v>2244</v>
      </c>
      <c r="E169" s="6">
        <v>84</v>
      </c>
      <c r="F169" s="6" t="str">
        <f ca="1">Master_List!$AW$1</f>
        <v>PERPUSTAKAAN PUSAT</v>
      </c>
      <c r="G169" s="27" t="str">
        <f ca="1">Master_List!$AW$2</f>
        <v>09:30 PM</v>
      </c>
      <c r="H169" s="32" t="str">
        <f ca="1">Master_List!$AW$3</f>
        <v>20/07/2026</v>
      </c>
      <c r="I169" s="28" t="str">
        <f ca="1">Master_List!$AW$4</f>
        <v>28.5</v>
      </c>
      <c r="J169" s="6" t="str">
        <f ca="1">Master_List!$AW$5</f>
        <v>65</v>
      </c>
      <c r="K169" s="6" t="s">
        <v>591</v>
      </c>
      <c r="L169" s="21" t="str">
        <f ca="1">IFERROR(VLOOKUP(B169, Master_List!$A:$I, 2, FALSE), "-")</f>
        <v/>
      </c>
      <c r="M169" s="22" t="str">
        <f ca="1">IFERROR(VLOOKUP(B169, Master_List!$A:$I, 3, FALSE), "-")</f>
        <v/>
      </c>
      <c r="N169" s="22" t="str">
        <f ca="1">IFERROR(VLOOKUP(B169, Master_List!$A:$I, 4, FALSE), "-")</f>
        <v/>
      </c>
      <c r="O169" s="22" t="str">
        <f ca="1">IFERROR(VLOOKUP(B169, Master_List!$A:$I, 5, FALSE), "-")</f>
        <v/>
      </c>
      <c r="P169" s="22" t="str">
        <f ca="1">IFERROR(VLOOKUP(B169, Master_List!$A:$I, 6, FALSE), "-")</f>
        <v/>
      </c>
      <c r="Q169" s="22" t="str">
        <f ca="1">IFERROR(VLOOKUP(B169, Master_List!$A:$I, 7, FALSE), "-")</f>
        <v/>
      </c>
      <c r="R169" s="22" t="str">
        <f ca="1">IFERROR(VLOOKUP(B169, Master_List!$A:$I, 8, FALSE), "-")</f>
        <v/>
      </c>
      <c r="S169" s="22" t="str">
        <f ca="1">IFERROR(VLOOKUP(B169, Master_List!$A:$I, 9, FALSE), "-")</f>
        <v/>
      </c>
      <c r="T169" s="20" t="str">
        <f ca="1">Master_List!$AW$6</f>
        <v>TOSHIBA</v>
      </c>
      <c r="U169" s="20" t="str">
        <f ca="1">Master_List!$AW$7</f>
        <v>MRMU</v>
      </c>
      <c r="V169" s="20" t="str">
        <f ca="1">Master_List!$AW$8</f>
        <v>12kV</v>
      </c>
      <c r="W169" s="20" t="str">
        <f ca="1">Master_List!$AW$9</f>
        <v>2S1F</v>
      </c>
      <c r="X169" s="20" t="str">
        <f ca="1">Master_List!$AW$10</f>
        <v>MTM</v>
      </c>
      <c r="Y169" s="20" t="str">
        <f ca="1">Master_List!$AW$11</f>
        <v>HERMETICALLY SEAL</v>
      </c>
      <c r="Z169" s="20" t="str">
        <f ca="1">Master_List!$AW$12</f>
        <v>750kVA</v>
      </c>
      <c r="AA169" s="20" t="str">
        <f ca="1">Master_List!$AW$13</f>
        <v>1317</v>
      </c>
      <c r="AB169" s="20">
        <f ca="1">Master_List!$AW$14</f>
        <v>0</v>
      </c>
      <c r="AC169" s="20">
        <f ca="1">Master_List!$AW$15</f>
        <v>0</v>
      </c>
      <c r="AD169" s="20">
        <f ca="1">Master_List!$AW$16</f>
        <v>0</v>
      </c>
      <c r="AE169" s="20">
        <f ca="1">Master_List!$AW$17</f>
        <v>0</v>
      </c>
      <c r="AF169" s="20" t="str">
        <f ca="1">Master_List!$AW$18</f>
        <v>INDKOM</v>
      </c>
      <c r="AG169" s="20" t="str">
        <f ca="1">Master_List!$AW$19</f>
        <v>J-SLOTTED</v>
      </c>
      <c r="AH169" s="20" t="str">
        <f ca="1">Master_List!$AW$20</f>
        <v>1600A</v>
      </c>
      <c r="AI169" s="20" t="str">
        <f ca="1">Master_List!$AW$21</f>
        <v>LV5080090</v>
      </c>
      <c r="AJ169" s="20" t="str">
        <f ca="1">Master_List!$AW$22</f>
        <v>LVDB TX1</v>
      </c>
      <c r="AK169" s="20">
        <f ca="1">Master_List!$AW$23</f>
        <v>0</v>
      </c>
      <c r="AL169" s="20">
        <f ca="1">Master_List!$AW$24</f>
        <v>0</v>
      </c>
      <c r="AM169" s="20">
        <f ca="1">Master_List!$AW$25</f>
        <v>0</v>
      </c>
      <c r="AN169" s="20">
        <f ca="1">Master_List!$AW$26</f>
        <v>0</v>
      </c>
      <c r="AO169" s="20" t="str">
        <f ca="1">Master_List!$AW$27</f>
        <v>LVDB TX2</v>
      </c>
      <c r="AP169" s="20" t="str">
        <f ca="1">Master_List!$AW$28</f>
        <v>SUNPOWER TECHNOLOGIES</v>
      </c>
      <c r="AQ169" s="20" t="str">
        <f ca="1">Master_List!$AW$29</f>
        <v>SPS 30-10 L</v>
      </c>
      <c r="AR169" s="20" t="str">
        <f ca="1">Master_List!$AW$30</f>
        <v>11193-8527</v>
      </c>
      <c r="AS169" s="20">
        <f ca="1">Master_List!$AW$31</f>
        <v>0</v>
      </c>
      <c r="AT169" s="20">
        <f ca="1">Master_List!$AW$32</f>
        <v>0</v>
      </c>
      <c r="AU169" s="20">
        <f ca="1">Master_List!$AW$33</f>
        <v>0</v>
      </c>
      <c r="AV169" s="20">
        <f ca="1">Master_List!$AW$34</f>
        <v>0</v>
      </c>
      <c r="AW169" s="20">
        <f ca="1">Master_List!$AW$35</f>
        <v>0</v>
      </c>
      <c r="AX169" s="20">
        <f ca="1">Master_List!$AW$36</f>
        <v>0</v>
      </c>
      <c r="AY169" s="20">
        <f ca="1">Master_List!$AW$37</f>
        <v>0</v>
      </c>
      <c r="AZ169" s="20">
        <f ca="1">Master_List!$AW$38</f>
        <v>0</v>
      </c>
      <c r="BA169" s="20">
        <f ca="1">Master_List!$AW$39</f>
        <v>0</v>
      </c>
      <c r="BB169" s="20" t="s">
        <v>2240</v>
      </c>
      <c r="BC169" s="20" t="s">
        <v>2241</v>
      </c>
      <c r="BD169" s="6" t="s">
        <v>1744</v>
      </c>
      <c r="BE169" s="6" t="s">
        <v>1834</v>
      </c>
      <c r="BF169" s="6" t="s">
        <v>1748</v>
      </c>
      <c r="BG169" s="6" t="str">
        <f t="shared" si="2"/>
        <v>C:\Users\aremi\Desktop\REPORT CBM\PO 42289580 - Pahang 11kV SECOND CYCLE AZZAD 2026\RAW MATERIAL\047. TNB BARU (IR+VI)\RAW DATA\IR</v>
      </c>
      <c r="BH169" s="24" t="s">
        <v>702</v>
      </c>
    </row>
    <row r="170" spans="1:60" ht="30" customHeight="1" x14ac:dyDescent="0.25">
      <c r="A170" s="6">
        <v>85</v>
      </c>
      <c r="B170" s="6" t="s">
        <v>1567</v>
      </c>
      <c r="C170" s="6">
        <v>1</v>
      </c>
      <c r="D170" s="6" t="s">
        <v>2242</v>
      </c>
      <c r="E170" s="6">
        <v>85</v>
      </c>
      <c r="F170" s="6" t="str">
        <f ca="1">Master_List!$AW$1</f>
        <v>PERPUSTAKAAN PUSAT</v>
      </c>
      <c r="G170" s="27" t="str">
        <f ca="1">Master_List!$AW$2</f>
        <v>09:30 PM</v>
      </c>
      <c r="H170" s="32" t="str">
        <f ca="1">Master_List!$AW$3</f>
        <v>20/07/2026</v>
      </c>
      <c r="I170" s="28" t="str">
        <f ca="1">Master_List!$AW$4</f>
        <v>28.5</v>
      </c>
      <c r="J170" s="6" t="str">
        <f ca="1">Master_List!$AW$5</f>
        <v>65</v>
      </c>
      <c r="K170" s="6" t="s">
        <v>570</v>
      </c>
      <c r="L170" s="21" t="str">
        <f ca="1">IFERROR(VLOOKUP(B170, Master_List!$A:$I, 2, FALSE), "-")</f>
        <v/>
      </c>
      <c r="M170" s="22" t="str">
        <f ca="1">IFERROR(VLOOKUP(B170, Master_List!$A:$I, 3, FALSE), "-")</f>
        <v/>
      </c>
      <c r="N170" s="22" t="str">
        <f ca="1">IFERROR(VLOOKUP(B170, Master_List!$A:$I, 4, FALSE), "-")</f>
        <v/>
      </c>
      <c r="O170" s="22" t="str">
        <f ca="1">IFERROR(VLOOKUP(B170, Master_List!$A:$I, 5, FALSE), "-")</f>
        <v/>
      </c>
      <c r="P170" s="22" t="str">
        <f ca="1">IFERROR(VLOOKUP(B170, Master_List!$A:$I, 6, FALSE), "-")</f>
        <v/>
      </c>
      <c r="Q170" s="22" t="str">
        <f ca="1">IFERROR(VLOOKUP(B170, Master_List!$A:$I, 7, FALSE), "-")</f>
        <v/>
      </c>
      <c r="R170" s="22" t="str">
        <f ca="1">IFERROR(VLOOKUP(B170, Master_List!$A:$I, 8, FALSE), "-")</f>
        <v/>
      </c>
      <c r="S170" s="22" t="str">
        <f ca="1">IFERROR(VLOOKUP(B170, Master_List!$A:$I, 9, FALSE), "-")</f>
        <v/>
      </c>
      <c r="T170" s="20" t="str">
        <f ca="1">Master_List!$AW$6</f>
        <v>TOSHIBA</v>
      </c>
      <c r="U170" s="20" t="str">
        <f ca="1">Master_List!$AW$7</f>
        <v>MRMU</v>
      </c>
      <c r="V170" s="20" t="str">
        <f ca="1">Master_List!$AW$8</f>
        <v>12kV</v>
      </c>
      <c r="W170" s="20" t="str">
        <f ca="1">Master_List!$AW$9</f>
        <v>2S1F</v>
      </c>
      <c r="X170" s="20" t="str">
        <f ca="1">Master_List!$AW$10</f>
        <v>MTM</v>
      </c>
      <c r="Y170" s="20" t="str">
        <f ca="1">Master_List!$AW$11</f>
        <v>HERMETICALLY SEAL</v>
      </c>
      <c r="Z170" s="20" t="str">
        <f ca="1">Master_List!$AW$12</f>
        <v>750kVA</v>
      </c>
      <c r="AA170" s="20" t="str">
        <f ca="1">Master_List!$AW$13</f>
        <v>1317</v>
      </c>
      <c r="AB170" s="20">
        <f ca="1">Master_List!$AW$14</f>
        <v>0</v>
      </c>
      <c r="AC170" s="20">
        <f ca="1">Master_List!$AW$15</f>
        <v>0</v>
      </c>
      <c r="AD170" s="20">
        <f ca="1">Master_List!$AW$16</f>
        <v>0</v>
      </c>
      <c r="AE170" s="20">
        <f ca="1">Master_List!$AW$17</f>
        <v>0</v>
      </c>
      <c r="AF170" s="20" t="str">
        <f ca="1">Master_List!$AW$18</f>
        <v>INDKOM</v>
      </c>
      <c r="AG170" s="20" t="str">
        <f ca="1">Master_List!$AW$19</f>
        <v>J-SLOTTED</v>
      </c>
      <c r="AH170" s="20" t="str">
        <f ca="1">Master_List!$AW$20</f>
        <v>1600A</v>
      </c>
      <c r="AI170" s="20" t="str">
        <f ca="1">Master_List!$AW$21</f>
        <v>LV5080090</v>
      </c>
      <c r="AJ170" s="20" t="str">
        <f ca="1">Master_List!$AW$22</f>
        <v>LVDB TX1</v>
      </c>
      <c r="AK170" s="20">
        <f ca="1">Master_List!$AW$23</f>
        <v>0</v>
      </c>
      <c r="AL170" s="20">
        <f ca="1">Master_List!$AW$24</f>
        <v>0</v>
      </c>
      <c r="AM170" s="20">
        <f ca="1">Master_List!$AW$25</f>
        <v>0</v>
      </c>
      <c r="AN170" s="20">
        <f ca="1">Master_List!$AW$26</f>
        <v>0</v>
      </c>
      <c r="AO170" s="20" t="str">
        <f ca="1">Master_List!$AW$27</f>
        <v>LVDB TX2</v>
      </c>
      <c r="AP170" s="20" t="str">
        <f ca="1">Master_List!$AW$28</f>
        <v>SUNPOWER TECHNOLOGIES</v>
      </c>
      <c r="AQ170" s="20" t="str">
        <f ca="1">Master_List!$AW$29</f>
        <v>SPS 30-10 L</v>
      </c>
      <c r="AR170" s="20" t="str">
        <f ca="1">Master_List!$AW$30</f>
        <v>11193-8527</v>
      </c>
      <c r="AS170" s="20">
        <f ca="1">Master_List!$AW$31</f>
        <v>0</v>
      </c>
      <c r="AT170" s="20">
        <f ca="1">Master_List!$AW$32</f>
        <v>0</v>
      </c>
      <c r="AU170" s="20">
        <f ca="1">Master_List!$AW$33</f>
        <v>0</v>
      </c>
      <c r="AV170" s="20">
        <f ca="1">Master_List!$AW$34</f>
        <v>0</v>
      </c>
      <c r="AW170" s="20">
        <f ca="1">Master_List!$AW$35</f>
        <v>0</v>
      </c>
      <c r="AX170" s="20">
        <f ca="1">Master_List!$AW$36</f>
        <v>0</v>
      </c>
      <c r="AY170" s="20">
        <f ca="1">Master_List!$AW$37</f>
        <v>0</v>
      </c>
      <c r="AZ170" s="20">
        <f ca="1">Master_List!$AW$38</f>
        <v>0</v>
      </c>
      <c r="BA170" s="20">
        <f ca="1">Master_List!$AW$39</f>
        <v>0</v>
      </c>
      <c r="BB170" s="20" t="s">
        <v>2240</v>
      </c>
      <c r="BC170" s="20" t="s">
        <v>2241</v>
      </c>
      <c r="BD170" s="6" t="s">
        <v>1744</v>
      </c>
      <c r="BE170" s="6" t="s">
        <v>1835</v>
      </c>
      <c r="BF170" s="6" t="s">
        <v>1746</v>
      </c>
      <c r="BG170" s="6" t="str">
        <f t="shared" si="2"/>
        <v>C:\Users\aremi\Desktop\REPORT CBM\PO 42289580 - Pahang 11kV SECOND CYCLE AZZAD 2026\RAW MATERIAL\047. TNB BARU (IR+VI)\RAW DATA\IR</v>
      </c>
      <c r="BH170" s="24" t="s">
        <v>703</v>
      </c>
    </row>
    <row r="171" spans="1:60" ht="30" customHeight="1" x14ac:dyDescent="0.25">
      <c r="A171" s="6">
        <v>85</v>
      </c>
      <c r="B171" s="6" t="s">
        <v>1567</v>
      </c>
      <c r="C171" s="6">
        <v>1</v>
      </c>
      <c r="D171" s="6" t="s">
        <v>2242</v>
      </c>
      <c r="E171" s="6">
        <v>85</v>
      </c>
      <c r="F171" s="6" t="str">
        <f ca="1">Master_List!$AW$1</f>
        <v>PERPUSTAKAAN PUSAT</v>
      </c>
      <c r="G171" s="27" t="str">
        <f ca="1">Master_List!$AW$2</f>
        <v>09:30 PM</v>
      </c>
      <c r="H171" s="32" t="str">
        <f ca="1">Master_List!$AW$3</f>
        <v>20/07/2026</v>
      </c>
      <c r="I171" s="28" t="str">
        <f ca="1">Master_List!$AW$4</f>
        <v>28.5</v>
      </c>
      <c r="J171" s="6" t="str">
        <f ca="1">Master_List!$AW$5</f>
        <v>65</v>
      </c>
      <c r="K171" s="6" t="s">
        <v>570</v>
      </c>
      <c r="L171" s="21" t="str">
        <f ca="1">IFERROR(VLOOKUP(B171, Master_List!$A:$I, 2, FALSE), "-")</f>
        <v/>
      </c>
      <c r="M171" s="22" t="str">
        <f ca="1">IFERROR(VLOOKUP(B171, Master_List!$A:$I, 3, FALSE), "-")</f>
        <v/>
      </c>
      <c r="N171" s="22" t="str">
        <f ca="1">IFERROR(VLOOKUP(B171, Master_List!$A:$I, 4, FALSE), "-")</f>
        <v/>
      </c>
      <c r="O171" s="22" t="str">
        <f ca="1">IFERROR(VLOOKUP(B171, Master_List!$A:$I, 5, FALSE), "-")</f>
        <v/>
      </c>
      <c r="P171" s="22" t="str">
        <f ca="1">IFERROR(VLOOKUP(B171, Master_List!$A:$I, 6, FALSE), "-")</f>
        <v/>
      </c>
      <c r="Q171" s="22" t="str">
        <f ca="1">IFERROR(VLOOKUP(B171, Master_List!$A:$I, 7, FALSE), "-")</f>
        <v/>
      </c>
      <c r="R171" s="22" t="str">
        <f ca="1">IFERROR(VLOOKUP(B171, Master_List!$A:$I, 8, FALSE), "-")</f>
        <v/>
      </c>
      <c r="S171" s="22" t="str">
        <f ca="1">IFERROR(VLOOKUP(B171, Master_List!$A:$I, 9, FALSE), "-")</f>
        <v/>
      </c>
      <c r="T171" s="20" t="str">
        <f ca="1">Master_List!$AW$6</f>
        <v>TOSHIBA</v>
      </c>
      <c r="U171" s="20" t="str">
        <f ca="1">Master_List!$AW$7</f>
        <v>MRMU</v>
      </c>
      <c r="V171" s="20" t="str">
        <f ca="1">Master_List!$AW$8</f>
        <v>12kV</v>
      </c>
      <c r="W171" s="20" t="str">
        <f ca="1">Master_List!$AW$9</f>
        <v>2S1F</v>
      </c>
      <c r="X171" s="20" t="str">
        <f ca="1">Master_List!$AW$10</f>
        <v>MTM</v>
      </c>
      <c r="Y171" s="20" t="str">
        <f ca="1">Master_List!$AW$11</f>
        <v>HERMETICALLY SEAL</v>
      </c>
      <c r="Z171" s="20" t="str">
        <f ca="1">Master_List!$AW$12</f>
        <v>750kVA</v>
      </c>
      <c r="AA171" s="20" t="str">
        <f ca="1">Master_List!$AW$13</f>
        <v>1317</v>
      </c>
      <c r="AB171" s="20">
        <f ca="1">Master_List!$AW$14</f>
        <v>0</v>
      </c>
      <c r="AC171" s="20">
        <f ca="1">Master_List!$AW$15</f>
        <v>0</v>
      </c>
      <c r="AD171" s="20">
        <f ca="1">Master_List!$AW$16</f>
        <v>0</v>
      </c>
      <c r="AE171" s="20">
        <f ca="1">Master_List!$AW$17</f>
        <v>0</v>
      </c>
      <c r="AF171" s="20" t="str">
        <f ca="1">Master_List!$AW$18</f>
        <v>INDKOM</v>
      </c>
      <c r="AG171" s="20" t="str">
        <f ca="1">Master_List!$AW$19</f>
        <v>J-SLOTTED</v>
      </c>
      <c r="AH171" s="20" t="str">
        <f ca="1">Master_List!$AW$20</f>
        <v>1600A</v>
      </c>
      <c r="AI171" s="20" t="str">
        <f ca="1">Master_List!$AW$21</f>
        <v>LV5080090</v>
      </c>
      <c r="AJ171" s="20" t="str">
        <f ca="1">Master_List!$AW$22</f>
        <v>LVDB TX1</v>
      </c>
      <c r="AK171" s="20">
        <f ca="1">Master_List!$AW$23</f>
        <v>0</v>
      </c>
      <c r="AL171" s="20">
        <f ca="1">Master_List!$AW$24</f>
        <v>0</v>
      </c>
      <c r="AM171" s="20">
        <f ca="1">Master_List!$AW$25</f>
        <v>0</v>
      </c>
      <c r="AN171" s="20">
        <f ca="1">Master_List!$AW$26</f>
        <v>0</v>
      </c>
      <c r="AO171" s="20" t="str">
        <f ca="1">Master_List!$AW$27</f>
        <v>LVDB TX2</v>
      </c>
      <c r="AP171" s="20" t="str">
        <f ca="1">Master_List!$AW$28</f>
        <v>SUNPOWER TECHNOLOGIES</v>
      </c>
      <c r="AQ171" s="20" t="str">
        <f ca="1">Master_List!$AW$29</f>
        <v>SPS 30-10 L</v>
      </c>
      <c r="AR171" s="20" t="str">
        <f ca="1">Master_List!$AW$30</f>
        <v>11193-8527</v>
      </c>
      <c r="AS171" s="20">
        <f ca="1">Master_List!$AW$31</f>
        <v>0</v>
      </c>
      <c r="AT171" s="20">
        <f ca="1">Master_List!$AW$32</f>
        <v>0</v>
      </c>
      <c r="AU171" s="20">
        <f ca="1">Master_List!$AW$33</f>
        <v>0</v>
      </c>
      <c r="AV171" s="20">
        <f ca="1">Master_List!$AW$34</f>
        <v>0</v>
      </c>
      <c r="AW171" s="20">
        <f ca="1">Master_List!$AW$35</f>
        <v>0</v>
      </c>
      <c r="AX171" s="20">
        <f ca="1">Master_List!$AW$36</f>
        <v>0</v>
      </c>
      <c r="AY171" s="20">
        <f ca="1">Master_List!$AW$37</f>
        <v>0</v>
      </c>
      <c r="AZ171" s="20">
        <f ca="1">Master_List!$AW$38</f>
        <v>0</v>
      </c>
      <c r="BA171" s="20">
        <f ca="1">Master_List!$AW$39</f>
        <v>0</v>
      </c>
      <c r="BB171" s="20" t="s">
        <v>2240</v>
      </c>
      <c r="BC171" s="20" t="s">
        <v>2241</v>
      </c>
      <c r="BD171" s="6" t="s">
        <v>1744</v>
      </c>
      <c r="BE171" s="6" t="s">
        <v>1835</v>
      </c>
      <c r="BF171" s="6" t="s">
        <v>1748</v>
      </c>
      <c r="BG171" s="6" t="str">
        <f t="shared" si="2"/>
        <v>C:\Users\aremi\Desktop\REPORT CBM\PO 42289580 - Pahang 11kV SECOND CYCLE AZZAD 2026\RAW MATERIAL\047. TNB BARU (IR+VI)\RAW DATA\IR</v>
      </c>
      <c r="BH171" s="24" t="s">
        <v>704</v>
      </c>
    </row>
    <row r="172" spans="1:60" ht="30" customHeight="1" x14ac:dyDescent="0.25">
      <c r="A172" s="6">
        <v>86</v>
      </c>
      <c r="B172" s="6" t="s">
        <v>1567</v>
      </c>
      <c r="C172" s="6">
        <v>1</v>
      </c>
      <c r="D172" s="6" t="s">
        <v>2242</v>
      </c>
      <c r="E172" s="6">
        <v>86</v>
      </c>
      <c r="F172" s="6" t="str">
        <f ca="1">Master_List!$AW$1</f>
        <v>PERPUSTAKAAN PUSAT</v>
      </c>
      <c r="G172" s="27" t="str">
        <f ca="1">Master_List!$AW$2</f>
        <v>09:30 PM</v>
      </c>
      <c r="H172" s="32" t="str">
        <f ca="1">Master_List!$AW$3</f>
        <v>20/07/2026</v>
      </c>
      <c r="I172" s="28" t="str">
        <f ca="1">Master_List!$AW$4</f>
        <v>28.5</v>
      </c>
      <c r="J172" s="6" t="str">
        <f ca="1">Master_List!$AW$5</f>
        <v>65</v>
      </c>
      <c r="K172" s="6" t="s">
        <v>573</v>
      </c>
      <c r="L172" s="21" t="str">
        <f ca="1">IFERROR(VLOOKUP(B172, Master_List!$A:$I, 2, FALSE), "-")</f>
        <v/>
      </c>
      <c r="M172" s="22" t="str">
        <f ca="1">IFERROR(VLOOKUP(B172, Master_List!$A:$I, 3, FALSE), "-")</f>
        <v/>
      </c>
      <c r="N172" s="22" t="str">
        <f ca="1">IFERROR(VLOOKUP(B172, Master_List!$A:$I, 4, FALSE), "-")</f>
        <v/>
      </c>
      <c r="O172" s="22" t="str">
        <f ca="1">IFERROR(VLOOKUP(B172, Master_List!$A:$I, 5, FALSE), "-")</f>
        <v/>
      </c>
      <c r="P172" s="22" t="str">
        <f ca="1">IFERROR(VLOOKUP(B172, Master_List!$A:$I, 6, FALSE), "-")</f>
        <v/>
      </c>
      <c r="Q172" s="22" t="str">
        <f ca="1">IFERROR(VLOOKUP(B172, Master_List!$A:$I, 7, FALSE), "-")</f>
        <v/>
      </c>
      <c r="R172" s="22" t="str">
        <f ca="1">IFERROR(VLOOKUP(B172, Master_List!$A:$I, 8, FALSE), "-")</f>
        <v/>
      </c>
      <c r="S172" s="22" t="str">
        <f ca="1">IFERROR(VLOOKUP(B172, Master_List!$A:$I, 9, FALSE), "-")</f>
        <v/>
      </c>
      <c r="T172" s="20" t="str">
        <f ca="1">Master_List!$AW$6</f>
        <v>TOSHIBA</v>
      </c>
      <c r="U172" s="20" t="str">
        <f ca="1">Master_List!$AW$7</f>
        <v>MRMU</v>
      </c>
      <c r="V172" s="20" t="str">
        <f ca="1">Master_List!$AW$8</f>
        <v>12kV</v>
      </c>
      <c r="W172" s="20" t="str">
        <f ca="1">Master_List!$AW$9</f>
        <v>2S1F</v>
      </c>
      <c r="X172" s="20" t="str">
        <f ca="1">Master_List!$AW$10</f>
        <v>MTM</v>
      </c>
      <c r="Y172" s="20" t="str">
        <f ca="1">Master_List!$AW$11</f>
        <v>HERMETICALLY SEAL</v>
      </c>
      <c r="Z172" s="20" t="str">
        <f ca="1">Master_List!$AW$12</f>
        <v>750kVA</v>
      </c>
      <c r="AA172" s="20" t="str">
        <f ca="1">Master_List!$AW$13</f>
        <v>1317</v>
      </c>
      <c r="AB172" s="20">
        <f ca="1">Master_List!$AW$14</f>
        <v>0</v>
      </c>
      <c r="AC172" s="20">
        <f ca="1">Master_List!$AW$15</f>
        <v>0</v>
      </c>
      <c r="AD172" s="20">
        <f ca="1">Master_List!$AW$16</f>
        <v>0</v>
      </c>
      <c r="AE172" s="20">
        <f ca="1">Master_List!$AW$17</f>
        <v>0</v>
      </c>
      <c r="AF172" s="20" t="str">
        <f ca="1">Master_List!$AW$18</f>
        <v>INDKOM</v>
      </c>
      <c r="AG172" s="20" t="str">
        <f ca="1">Master_List!$AW$19</f>
        <v>J-SLOTTED</v>
      </c>
      <c r="AH172" s="20" t="str">
        <f ca="1">Master_List!$AW$20</f>
        <v>1600A</v>
      </c>
      <c r="AI172" s="20" t="str">
        <f ca="1">Master_List!$AW$21</f>
        <v>LV5080090</v>
      </c>
      <c r="AJ172" s="20" t="str">
        <f ca="1">Master_List!$AW$22</f>
        <v>LVDB TX1</v>
      </c>
      <c r="AK172" s="20">
        <f ca="1">Master_List!$AW$23</f>
        <v>0</v>
      </c>
      <c r="AL172" s="20">
        <f ca="1">Master_List!$AW$24</f>
        <v>0</v>
      </c>
      <c r="AM172" s="20">
        <f ca="1">Master_List!$AW$25</f>
        <v>0</v>
      </c>
      <c r="AN172" s="20">
        <f ca="1">Master_List!$AW$26</f>
        <v>0</v>
      </c>
      <c r="AO172" s="20" t="str">
        <f ca="1">Master_List!$AW$27</f>
        <v>LVDB TX2</v>
      </c>
      <c r="AP172" s="20" t="str">
        <f ca="1">Master_List!$AW$28</f>
        <v>SUNPOWER TECHNOLOGIES</v>
      </c>
      <c r="AQ172" s="20" t="str">
        <f ca="1">Master_List!$AW$29</f>
        <v>SPS 30-10 L</v>
      </c>
      <c r="AR172" s="20" t="str">
        <f ca="1">Master_List!$AW$30</f>
        <v>11193-8527</v>
      </c>
      <c r="AS172" s="20">
        <f ca="1">Master_List!$AW$31</f>
        <v>0</v>
      </c>
      <c r="AT172" s="20">
        <f ca="1">Master_List!$AW$32</f>
        <v>0</v>
      </c>
      <c r="AU172" s="20">
        <f ca="1">Master_List!$AW$33</f>
        <v>0</v>
      </c>
      <c r="AV172" s="20">
        <f ca="1">Master_List!$AW$34</f>
        <v>0</v>
      </c>
      <c r="AW172" s="20">
        <f ca="1">Master_List!$AW$35</f>
        <v>0</v>
      </c>
      <c r="AX172" s="20">
        <f ca="1">Master_List!$AW$36</f>
        <v>0</v>
      </c>
      <c r="AY172" s="20">
        <f ca="1">Master_List!$AW$37</f>
        <v>0</v>
      </c>
      <c r="AZ172" s="20">
        <f ca="1">Master_List!$AW$38</f>
        <v>0</v>
      </c>
      <c r="BA172" s="20">
        <f ca="1">Master_List!$AW$39</f>
        <v>0</v>
      </c>
      <c r="BB172" s="20" t="s">
        <v>2240</v>
      </c>
      <c r="BC172" s="20" t="s">
        <v>2241</v>
      </c>
      <c r="BD172" s="6" t="s">
        <v>1744</v>
      </c>
      <c r="BE172" s="6" t="s">
        <v>1836</v>
      </c>
      <c r="BF172" s="6" t="s">
        <v>1746</v>
      </c>
      <c r="BG172" s="6" t="str">
        <f t="shared" si="2"/>
        <v>C:\Users\aremi\Desktop\REPORT CBM\PO 42289580 - Pahang 11kV SECOND CYCLE AZZAD 2026\RAW MATERIAL\047. TNB BARU (IR+VI)\RAW DATA\IR</v>
      </c>
      <c r="BH172" s="24" t="s">
        <v>705</v>
      </c>
    </row>
    <row r="173" spans="1:60" ht="30" customHeight="1" x14ac:dyDescent="0.25">
      <c r="A173" s="6">
        <v>86</v>
      </c>
      <c r="B173" s="6" t="s">
        <v>1567</v>
      </c>
      <c r="C173" s="6">
        <v>1</v>
      </c>
      <c r="D173" s="6" t="s">
        <v>2242</v>
      </c>
      <c r="E173" s="6">
        <v>86</v>
      </c>
      <c r="F173" s="6" t="str">
        <f ca="1">Master_List!$AW$1</f>
        <v>PERPUSTAKAAN PUSAT</v>
      </c>
      <c r="G173" s="27" t="str">
        <f ca="1">Master_List!$AW$2</f>
        <v>09:30 PM</v>
      </c>
      <c r="H173" s="32" t="str">
        <f ca="1">Master_List!$AW$3</f>
        <v>20/07/2026</v>
      </c>
      <c r="I173" s="28" t="str">
        <f ca="1">Master_List!$AW$4</f>
        <v>28.5</v>
      </c>
      <c r="J173" s="6" t="str">
        <f ca="1">Master_List!$AW$5</f>
        <v>65</v>
      </c>
      <c r="K173" s="6" t="s">
        <v>573</v>
      </c>
      <c r="L173" s="21" t="str">
        <f ca="1">IFERROR(VLOOKUP(B173, Master_List!$A:$I, 2, FALSE), "-")</f>
        <v/>
      </c>
      <c r="M173" s="22" t="str">
        <f ca="1">IFERROR(VLOOKUP(B173, Master_List!$A:$I, 3, FALSE), "-")</f>
        <v/>
      </c>
      <c r="N173" s="22" t="str">
        <f ca="1">IFERROR(VLOOKUP(B173, Master_List!$A:$I, 4, FALSE), "-")</f>
        <v/>
      </c>
      <c r="O173" s="22" t="str">
        <f ca="1">IFERROR(VLOOKUP(B173, Master_List!$A:$I, 5, FALSE), "-")</f>
        <v/>
      </c>
      <c r="P173" s="22" t="str">
        <f ca="1">IFERROR(VLOOKUP(B173, Master_List!$A:$I, 6, FALSE), "-")</f>
        <v/>
      </c>
      <c r="Q173" s="22" t="str">
        <f ca="1">IFERROR(VLOOKUP(B173, Master_List!$A:$I, 7, FALSE), "-")</f>
        <v/>
      </c>
      <c r="R173" s="22" t="str">
        <f ca="1">IFERROR(VLOOKUP(B173, Master_List!$A:$I, 8, FALSE), "-")</f>
        <v/>
      </c>
      <c r="S173" s="22" t="str">
        <f ca="1">IFERROR(VLOOKUP(B173, Master_List!$A:$I, 9, FALSE), "-")</f>
        <v/>
      </c>
      <c r="T173" s="20" t="str">
        <f ca="1">Master_List!$AW$6</f>
        <v>TOSHIBA</v>
      </c>
      <c r="U173" s="20" t="str">
        <f ca="1">Master_List!$AW$7</f>
        <v>MRMU</v>
      </c>
      <c r="V173" s="20" t="str">
        <f ca="1">Master_List!$AW$8</f>
        <v>12kV</v>
      </c>
      <c r="W173" s="20" t="str">
        <f ca="1">Master_List!$AW$9</f>
        <v>2S1F</v>
      </c>
      <c r="X173" s="20" t="str">
        <f ca="1">Master_List!$AW$10</f>
        <v>MTM</v>
      </c>
      <c r="Y173" s="20" t="str">
        <f ca="1">Master_List!$AW$11</f>
        <v>HERMETICALLY SEAL</v>
      </c>
      <c r="Z173" s="20" t="str">
        <f ca="1">Master_List!$AW$12</f>
        <v>750kVA</v>
      </c>
      <c r="AA173" s="20" t="str">
        <f ca="1">Master_List!$AW$13</f>
        <v>1317</v>
      </c>
      <c r="AB173" s="20">
        <f ca="1">Master_List!$AW$14</f>
        <v>0</v>
      </c>
      <c r="AC173" s="20">
        <f ca="1">Master_List!$AW$15</f>
        <v>0</v>
      </c>
      <c r="AD173" s="20">
        <f ca="1">Master_List!$AW$16</f>
        <v>0</v>
      </c>
      <c r="AE173" s="20">
        <f ca="1">Master_List!$AW$17</f>
        <v>0</v>
      </c>
      <c r="AF173" s="20" t="str">
        <f ca="1">Master_List!$AW$18</f>
        <v>INDKOM</v>
      </c>
      <c r="AG173" s="20" t="str">
        <f ca="1">Master_List!$AW$19</f>
        <v>J-SLOTTED</v>
      </c>
      <c r="AH173" s="20" t="str">
        <f ca="1">Master_List!$AW$20</f>
        <v>1600A</v>
      </c>
      <c r="AI173" s="20" t="str">
        <f ca="1">Master_List!$AW$21</f>
        <v>LV5080090</v>
      </c>
      <c r="AJ173" s="20" t="str">
        <f ca="1">Master_List!$AW$22</f>
        <v>LVDB TX1</v>
      </c>
      <c r="AK173" s="20">
        <f ca="1">Master_List!$AW$23</f>
        <v>0</v>
      </c>
      <c r="AL173" s="20">
        <f ca="1">Master_List!$AW$24</f>
        <v>0</v>
      </c>
      <c r="AM173" s="20">
        <f ca="1">Master_List!$AW$25</f>
        <v>0</v>
      </c>
      <c r="AN173" s="20">
        <f ca="1">Master_List!$AW$26</f>
        <v>0</v>
      </c>
      <c r="AO173" s="20" t="str">
        <f ca="1">Master_List!$AW$27</f>
        <v>LVDB TX2</v>
      </c>
      <c r="AP173" s="20" t="str">
        <f ca="1">Master_List!$AW$28</f>
        <v>SUNPOWER TECHNOLOGIES</v>
      </c>
      <c r="AQ173" s="20" t="str">
        <f ca="1">Master_List!$AW$29</f>
        <v>SPS 30-10 L</v>
      </c>
      <c r="AR173" s="20" t="str">
        <f ca="1">Master_List!$AW$30</f>
        <v>11193-8527</v>
      </c>
      <c r="AS173" s="20">
        <f ca="1">Master_List!$AW$31</f>
        <v>0</v>
      </c>
      <c r="AT173" s="20">
        <f ca="1">Master_List!$AW$32</f>
        <v>0</v>
      </c>
      <c r="AU173" s="20">
        <f ca="1">Master_List!$AW$33</f>
        <v>0</v>
      </c>
      <c r="AV173" s="20">
        <f ca="1">Master_List!$AW$34</f>
        <v>0</v>
      </c>
      <c r="AW173" s="20">
        <f ca="1">Master_List!$AW$35</f>
        <v>0</v>
      </c>
      <c r="AX173" s="20">
        <f ca="1">Master_List!$AW$36</f>
        <v>0</v>
      </c>
      <c r="AY173" s="20">
        <f ca="1">Master_List!$AW$37</f>
        <v>0</v>
      </c>
      <c r="AZ173" s="20">
        <f ca="1">Master_List!$AW$38</f>
        <v>0</v>
      </c>
      <c r="BA173" s="20">
        <f ca="1">Master_List!$AW$39</f>
        <v>0</v>
      </c>
      <c r="BB173" s="20" t="s">
        <v>2240</v>
      </c>
      <c r="BC173" s="20" t="s">
        <v>2241</v>
      </c>
      <c r="BD173" s="6" t="s">
        <v>1744</v>
      </c>
      <c r="BE173" s="6" t="s">
        <v>1836</v>
      </c>
      <c r="BF173" s="6" t="s">
        <v>1748</v>
      </c>
      <c r="BG173" s="6" t="str">
        <f t="shared" si="2"/>
        <v>C:\Users\aremi\Desktop\REPORT CBM\PO 42289580 - Pahang 11kV SECOND CYCLE AZZAD 2026\RAW MATERIAL\047. TNB BARU (IR+VI)\RAW DATA\IR</v>
      </c>
      <c r="BH173" s="24" t="s">
        <v>706</v>
      </c>
    </row>
    <row r="174" spans="1:60" ht="30" customHeight="1" x14ac:dyDescent="0.25">
      <c r="A174" s="6">
        <v>87</v>
      </c>
      <c r="B174" s="6" t="s">
        <v>1567</v>
      </c>
      <c r="C174" s="6">
        <v>1</v>
      </c>
      <c r="D174" s="6" t="s">
        <v>2242</v>
      </c>
      <c r="E174" s="6">
        <v>87</v>
      </c>
      <c r="F174" s="6" t="str">
        <f ca="1">Master_List!$AW$1</f>
        <v>PERPUSTAKAAN PUSAT</v>
      </c>
      <c r="G174" s="27" t="str">
        <f ca="1">Master_List!$AW$2</f>
        <v>09:30 PM</v>
      </c>
      <c r="H174" s="32" t="str">
        <f ca="1">Master_List!$AW$3</f>
        <v>20/07/2026</v>
      </c>
      <c r="I174" s="28" t="str">
        <f ca="1">Master_List!$AW$4</f>
        <v>28.5</v>
      </c>
      <c r="J174" s="6" t="str">
        <f ca="1">Master_List!$AW$5</f>
        <v>65</v>
      </c>
      <c r="K174" s="6" t="s">
        <v>576</v>
      </c>
      <c r="L174" s="21" t="str">
        <f ca="1">IFERROR(VLOOKUP(B174, Master_List!$A:$I, 2, FALSE), "-")</f>
        <v/>
      </c>
      <c r="M174" s="22" t="str">
        <f ca="1">IFERROR(VLOOKUP(B174, Master_List!$A:$I, 3, FALSE), "-")</f>
        <v/>
      </c>
      <c r="N174" s="22" t="str">
        <f ca="1">IFERROR(VLOOKUP(B174, Master_List!$A:$I, 4, FALSE), "-")</f>
        <v/>
      </c>
      <c r="O174" s="22" t="str">
        <f ca="1">IFERROR(VLOOKUP(B174, Master_List!$A:$I, 5, FALSE), "-")</f>
        <v/>
      </c>
      <c r="P174" s="22" t="str">
        <f ca="1">IFERROR(VLOOKUP(B174, Master_List!$A:$I, 6, FALSE), "-")</f>
        <v/>
      </c>
      <c r="Q174" s="22" t="str">
        <f ca="1">IFERROR(VLOOKUP(B174, Master_List!$A:$I, 7, FALSE), "-")</f>
        <v/>
      </c>
      <c r="R174" s="22" t="str">
        <f ca="1">IFERROR(VLOOKUP(B174, Master_List!$A:$I, 8, FALSE), "-")</f>
        <v/>
      </c>
      <c r="S174" s="22" t="str">
        <f ca="1">IFERROR(VLOOKUP(B174, Master_List!$A:$I, 9, FALSE), "-")</f>
        <v/>
      </c>
      <c r="T174" s="20" t="str">
        <f ca="1">Master_List!$AW$6</f>
        <v>TOSHIBA</v>
      </c>
      <c r="U174" s="20" t="str">
        <f ca="1">Master_List!$AW$7</f>
        <v>MRMU</v>
      </c>
      <c r="V174" s="20" t="str">
        <f ca="1">Master_List!$AW$8</f>
        <v>12kV</v>
      </c>
      <c r="W174" s="20" t="str">
        <f ca="1">Master_List!$AW$9</f>
        <v>2S1F</v>
      </c>
      <c r="X174" s="20" t="str">
        <f ca="1">Master_List!$AW$10</f>
        <v>MTM</v>
      </c>
      <c r="Y174" s="20" t="str">
        <f ca="1">Master_List!$AW$11</f>
        <v>HERMETICALLY SEAL</v>
      </c>
      <c r="Z174" s="20" t="str">
        <f ca="1">Master_List!$AW$12</f>
        <v>750kVA</v>
      </c>
      <c r="AA174" s="20" t="str">
        <f ca="1">Master_List!$AW$13</f>
        <v>1317</v>
      </c>
      <c r="AB174" s="20">
        <f ca="1">Master_List!$AW$14</f>
        <v>0</v>
      </c>
      <c r="AC174" s="20">
        <f ca="1">Master_List!$AW$15</f>
        <v>0</v>
      </c>
      <c r="AD174" s="20">
        <f ca="1">Master_List!$AW$16</f>
        <v>0</v>
      </c>
      <c r="AE174" s="20">
        <f ca="1">Master_List!$AW$17</f>
        <v>0</v>
      </c>
      <c r="AF174" s="20" t="str">
        <f ca="1">Master_List!$AW$18</f>
        <v>INDKOM</v>
      </c>
      <c r="AG174" s="20" t="str">
        <f ca="1">Master_List!$AW$19</f>
        <v>J-SLOTTED</v>
      </c>
      <c r="AH174" s="20" t="str">
        <f ca="1">Master_List!$AW$20</f>
        <v>1600A</v>
      </c>
      <c r="AI174" s="20" t="str">
        <f ca="1">Master_List!$AW$21</f>
        <v>LV5080090</v>
      </c>
      <c r="AJ174" s="20" t="str">
        <f ca="1">Master_List!$AW$22</f>
        <v>LVDB TX1</v>
      </c>
      <c r="AK174" s="20">
        <f ca="1">Master_List!$AW$23</f>
        <v>0</v>
      </c>
      <c r="AL174" s="20">
        <f ca="1">Master_List!$AW$24</f>
        <v>0</v>
      </c>
      <c r="AM174" s="20">
        <f ca="1">Master_List!$AW$25</f>
        <v>0</v>
      </c>
      <c r="AN174" s="20">
        <f ca="1">Master_List!$AW$26</f>
        <v>0</v>
      </c>
      <c r="AO174" s="20" t="str">
        <f ca="1">Master_List!$AW$27</f>
        <v>LVDB TX2</v>
      </c>
      <c r="AP174" s="20" t="str">
        <f ca="1">Master_List!$AW$28</f>
        <v>SUNPOWER TECHNOLOGIES</v>
      </c>
      <c r="AQ174" s="20" t="str">
        <f ca="1">Master_List!$AW$29</f>
        <v>SPS 30-10 L</v>
      </c>
      <c r="AR174" s="20" t="str">
        <f ca="1">Master_List!$AW$30</f>
        <v>11193-8527</v>
      </c>
      <c r="AS174" s="20">
        <f ca="1">Master_List!$AW$31</f>
        <v>0</v>
      </c>
      <c r="AT174" s="20">
        <f ca="1">Master_List!$AW$32</f>
        <v>0</v>
      </c>
      <c r="AU174" s="20">
        <f ca="1">Master_List!$AW$33</f>
        <v>0</v>
      </c>
      <c r="AV174" s="20">
        <f ca="1">Master_List!$AW$34</f>
        <v>0</v>
      </c>
      <c r="AW174" s="20">
        <f ca="1">Master_List!$AW$35</f>
        <v>0</v>
      </c>
      <c r="AX174" s="20">
        <f ca="1">Master_List!$AW$36</f>
        <v>0</v>
      </c>
      <c r="AY174" s="20">
        <f ca="1">Master_List!$AW$37</f>
        <v>0</v>
      </c>
      <c r="AZ174" s="20">
        <f ca="1">Master_List!$AW$38</f>
        <v>0</v>
      </c>
      <c r="BA174" s="20">
        <f ca="1">Master_List!$AW$39</f>
        <v>0</v>
      </c>
      <c r="BB174" s="20" t="s">
        <v>2240</v>
      </c>
      <c r="BC174" s="20" t="s">
        <v>2241</v>
      </c>
      <c r="BD174" s="6" t="s">
        <v>1744</v>
      </c>
      <c r="BE174" s="6" t="s">
        <v>1837</v>
      </c>
      <c r="BF174" s="6" t="s">
        <v>1746</v>
      </c>
      <c r="BG174" s="6" t="str">
        <f t="shared" si="2"/>
        <v>C:\Users\aremi\Desktop\REPORT CBM\PO 42289580 - Pahang 11kV SECOND CYCLE AZZAD 2026\RAW MATERIAL\047. TNB BARU (IR+VI)\RAW DATA\IR</v>
      </c>
      <c r="BH174" s="24" t="s">
        <v>707</v>
      </c>
    </row>
    <row r="175" spans="1:60" ht="30" customHeight="1" x14ac:dyDescent="0.25">
      <c r="A175" s="6">
        <v>87</v>
      </c>
      <c r="B175" s="6" t="s">
        <v>1567</v>
      </c>
      <c r="C175" s="6">
        <v>1</v>
      </c>
      <c r="D175" s="6" t="s">
        <v>2242</v>
      </c>
      <c r="E175" s="6">
        <v>87</v>
      </c>
      <c r="F175" s="6" t="str">
        <f ca="1">Master_List!$AW$1</f>
        <v>PERPUSTAKAAN PUSAT</v>
      </c>
      <c r="G175" s="27" t="str">
        <f ca="1">Master_List!$AW$2</f>
        <v>09:30 PM</v>
      </c>
      <c r="H175" s="32" t="str">
        <f ca="1">Master_List!$AW$3</f>
        <v>20/07/2026</v>
      </c>
      <c r="I175" s="28" t="str">
        <f ca="1">Master_List!$AW$4</f>
        <v>28.5</v>
      </c>
      <c r="J175" s="6" t="str">
        <f ca="1">Master_List!$AW$5</f>
        <v>65</v>
      </c>
      <c r="K175" s="6" t="s">
        <v>576</v>
      </c>
      <c r="L175" s="21" t="str">
        <f ca="1">IFERROR(VLOOKUP(B175, Master_List!$A:$I, 2, FALSE), "-")</f>
        <v/>
      </c>
      <c r="M175" s="22" t="str">
        <f ca="1">IFERROR(VLOOKUP(B175, Master_List!$A:$I, 3, FALSE), "-")</f>
        <v/>
      </c>
      <c r="N175" s="22" t="str">
        <f ca="1">IFERROR(VLOOKUP(B175, Master_List!$A:$I, 4, FALSE), "-")</f>
        <v/>
      </c>
      <c r="O175" s="22" t="str">
        <f ca="1">IFERROR(VLOOKUP(B175, Master_List!$A:$I, 5, FALSE), "-")</f>
        <v/>
      </c>
      <c r="P175" s="22" t="str">
        <f ca="1">IFERROR(VLOOKUP(B175, Master_List!$A:$I, 6, FALSE), "-")</f>
        <v/>
      </c>
      <c r="Q175" s="22" t="str">
        <f ca="1">IFERROR(VLOOKUP(B175, Master_List!$A:$I, 7, FALSE), "-")</f>
        <v/>
      </c>
      <c r="R175" s="22" t="str">
        <f ca="1">IFERROR(VLOOKUP(B175, Master_List!$A:$I, 8, FALSE), "-")</f>
        <v/>
      </c>
      <c r="S175" s="22" t="str">
        <f ca="1">IFERROR(VLOOKUP(B175, Master_List!$A:$I, 9, FALSE), "-")</f>
        <v/>
      </c>
      <c r="T175" s="20" t="str">
        <f ca="1">Master_List!$AW$6</f>
        <v>TOSHIBA</v>
      </c>
      <c r="U175" s="20" t="str">
        <f ca="1">Master_List!$AW$7</f>
        <v>MRMU</v>
      </c>
      <c r="V175" s="20" t="str">
        <f ca="1">Master_List!$AW$8</f>
        <v>12kV</v>
      </c>
      <c r="W175" s="20" t="str">
        <f ca="1">Master_List!$AW$9</f>
        <v>2S1F</v>
      </c>
      <c r="X175" s="20" t="str">
        <f ca="1">Master_List!$AW$10</f>
        <v>MTM</v>
      </c>
      <c r="Y175" s="20" t="str">
        <f ca="1">Master_List!$AW$11</f>
        <v>HERMETICALLY SEAL</v>
      </c>
      <c r="Z175" s="20" t="str">
        <f ca="1">Master_List!$AW$12</f>
        <v>750kVA</v>
      </c>
      <c r="AA175" s="20" t="str">
        <f ca="1">Master_List!$AW$13</f>
        <v>1317</v>
      </c>
      <c r="AB175" s="20">
        <f ca="1">Master_List!$AW$14</f>
        <v>0</v>
      </c>
      <c r="AC175" s="20">
        <f ca="1">Master_List!$AW$15</f>
        <v>0</v>
      </c>
      <c r="AD175" s="20">
        <f ca="1">Master_List!$AW$16</f>
        <v>0</v>
      </c>
      <c r="AE175" s="20">
        <f ca="1">Master_List!$AW$17</f>
        <v>0</v>
      </c>
      <c r="AF175" s="20" t="str">
        <f ca="1">Master_List!$AW$18</f>
        <v>INDKOM</v>
      </c>
      <c r="AG175" s="20" t="str">
        <f ca="1">Master_List!$AW$19</f>
        <v>J-SLOTTED</v>
      </c>
      <c r="AH175" s="20" t="str">
        <f ca="1">Master_List!$AW$20</f>
        <v>1600A</v>
      </c>
      <c r="AI175" s="20" t="str">
        <f ca="1">Master_List!$AW$21</f>
        <v>LV5080090</v>
      </c>
      <c r="AJ175" s="20" t="str">
        <f ca="1">Master_List!$AW$22</f>
        <v>LVDB TX1</v>
      </c>
      <c r="AK175" s="20">
        <f ca="1">Master_List!$AW$23</f>
        <v>0</v>
      </c>
      <c r="AL175" s="20">
        <f ca="1">Master_List!$AW$24</f>
        <v>0</v>
      </c>
      <c r="AM175" s="20">
        <f ca="1">Master_List!$AW$25</f>
        <v>0</v>
      </c>
      <c r="AN175" s="20">
        <f ca="1">Master_List!$AW$26</f>
        <v>0</v>
      </c>
      <c r="AO175" s="20" t="str">
        <f ca="1">Master_List!$AW$27</f>
        <v>LVDB TX2</v>
      </c>
      <c r="AP175" s="20" t="str">
        <f ca="1">Master_List!$AW$28</f>
        <v>SUNPOWER TECHNOLOGIES</v>
      </c>
      <c r="AQ175" s="20" t="str">
        <f ca="1">Master_List!$AW$29</f>
        <v>SPS 30-10 L</v>
      </c>
      <c r="AR175" s="20" t="str">
        <f ca="1">Master_List!$AW$30</f>
        <v>11193-8527</v>
      </c>
      <c r="AS175" s="20">
        <f ca="1">Master_List!$AW$31</f>
        <v>0</v>
      </c>
      <c r="AT175" s="20">
        <f ca="1">Master_List!$AW$32</f>
        <v>0</v>
      </c>
      <c r="AU175" s="20">
        <f ca="1">Master_List!$AW$33</f>
        <v>0</v>
      </c>
      <c r="AV175" s="20">
        <f ca="1">Master_List!$AW$34</f>
        <v>0</v>
      </c>
      <c r="AW175" s="20">
        <f ca="1">Master_List!$AW$35</f>
        <v>0</v>
      </c>
      <c r="AX175" s="20">
        <f ca="1">Master_List!$AW$36</f>
        <v>0</v>
      </c>
      <c r="AY175" s="20">
        <f ca="1">Master_List!$AW$37</f>
        <v>0</v>
      </c>
      <c r="AZ175" s="20">
        <f ca="1">Master_List!$AW$38</f>
        <v>0</v>
      </c>
      <c r="BA175" s="20">
        <f ca="1">Master_List!$AW$39</f>
        <v>0</v>
      </c>
      <c r="BB175" s="20" t="s">
        <v>2240</v>
      </c>
      <c r="BC175" s="20" t="s">
        <v>2241</v>
      </c>
      <c r="BD175" s="6" t="s">
        <v>1744</v>
      </c>
      <c r="BE175" s="6" t="s">
        <v>1837</v>
      </c>
      <c r="BF175" s="6" t="s">
        <v>1748</v>
      </c>
      <c r="BG175" s="6" t="str">
        <f t="shared" si="2"/>
        <v>C:\Users\aremi\Desktop\REPORT CBM\PO 42289580 - Pahang 11kV SECOND CYCLE AZZAD 2026\RAW MATERIAL\047. TNB BARU (IR+VI)\RAW DATA\IR</v>
      </c>
      <c r="BH175" s="24" t="s">
        <v>708</v>
      </c>
    </row>
    <row r="176" spans="1:60" ht="30" customHeight="1" x14ac:dyDescent="0.25">
      <c r="A176" s="6">
        <v>88</v>
      </c>
      <c r="B176" s="6" t="s">
        <v>1567</v>
      </c>
      <c r="C176" s="6">
        <v>1</v>
      </c>
      <c r="D176" s="6" t="s">
        <v>2242</v>
      </c>
      <c r="E176" s="6">
        <v>88</v>
      </c>
      <c r="F176" s="6" t="str">
        <f ca="1">Master_List!$AW$1</f>
        <v>PERPUSTAKAAN PUSAT</v>
      </c>
      <c r="G176" s="27" t="str">
        <f ca="1">Master_List!$AW$2</f>
        <v>09:30 PM</v>
      </c>
      <c r="H176" s="32" t="str">
        <f ca="1">Master_List!$AW$3</f>
        <v>20/07/2026</v>
      </c>
      <c r="I176" s="28" t="str">
        <f ca="1">Master_List!$AW$4</f>
        <v>28.5</v>
      </c>
      <c r="J176" s="6" t="str">
        <f ca="1">Master_List!$AW$5</f>
        <v>65</v>
      </c>
      <c r="K176" s="6" t="s">
        <v>579</v>
      </c>
      <c r="L176" s="21" t="str">
        <f ca="1">IFERROR(VLOOKUP(B176, Master_List!$A:$I, 2, FALSE), "-")</f>
        <v/>
      </c>
      <c r="M176" s="22" t="str">
        <f ca="1">IFERROR(VLOOKUP(B176, Master_List!$A:$I, 3, FALSE), "-")</f>
        <v/>
      </c>
      <c r="N176" s="22" t="str">
        <f ca="1">IFERROR(VLOOKUP(B176, Master_List!$A:$I, 4, FALSE), "-")</f>
        <v/>
      </c>
      <c r="O176" s="22" t="str">
        <f ca="1">IFERROR(VLOOKUP(B176, Master_List!$A:$I, 5, FALSE), "-")</f>
        <v/>
      </c>
      <c r="P176" s="22" t="str">
        <f ca="1">IFERROR(VLOOKUP(B176, Master_List!$A:$I, 6, FALSE), "-")</f>
        <v/>
      </c>
      <c r="Q176" s="22" t="str">
        <f ca="1">IFERROR(VLOOKUP(B176, Master_List!$A:$I, 7, FALSE), "-")</f>
        <v/>
      </c>
      <c r="R176" s="22" t="str">
        <f ca="1">IFERROR(VLOOKUP(B176, Master_List!$A:$I, 8, FALSE), "-")</f>
        <v/>
      </c>
      <c r="S176" s="22" t="str">
        <f ca="1">IFERROR(VLOOKUP(B176, Master_List!$A:$I, 9, FALSE), "-")</f>
        <v/>
      </c>
      <c r="T176" s="20" t="str">
        <f ca="1">Master_List!$AW$6</f>
        <v>TOSHIBA</v>
      </c>
      <c r="U176" s="20" t="str">
        <f ca="1">Master_List!$AW$7</f>
        <v>MRMU</v>
      </c>
      <c r="V176" s="20" t="str">
        <f ca="1">Master_List!$AW$8</f>
        <v>12kV</v>
      </c>
      <c r="W176" s="20" t="str">
        <f ca="1">Master_List!$AW$9</f>
        <v>2S1F</v>
      </c>
      <c r="X176" s="20" t="str">
        <f ca="1">Master_List!$AW$10</f>
        <v>MTM</v>
      </c>
      <c r="Y176" s="20" t="str">
        <f ca="1">Master_List!$AW$11</f>
        <v>HERMETICALLY SEAL</v>
      </c>
      <c r="Z176" s="20" t="str">
        <f ca="1">Master_List!$AW$12</f>
        <v>750kVA</v>
      </c>
      <c r="AA176" s="20" t="str">
        <f ca="1">Master_List!$AW$13</f>
        <v>1317</v>
      </c>
      <c r="AB176" s="20">
        <f ca="1">Master_List!$AW$14</f>
        <v>0</v>
      </c>
      <c r="AC176" s="20">
        <f ca="1">Master_List!$AW$15</f>
        <v>0</v>
      </c>
      <c r="AD176" s="20">
        <f ca="1">Master_List!$AW$16</f>
        <v>0</v>
      </c>
      <c r="AE176" s="20">
        <f ca="1">Master_List!$AW$17</f>
        <v>0</v>
      </c>
      <c r="AF176" s="20" t="str">
        <f ca="1">Master_List!$AW$18</f>
        <v>INDKOM</v>
      </c>
      <c r="AG176" s="20" t="str">
        <f ca="1">Master_List!$AW$19</f>
        <v>J-SLOTTED</v>
      </c>
      <c r="AH176" s="20" t="str">
        <f ca="1">Master_List!$AW$20</f>
        <v>1600A</v>
      </c>
      <c r="AI176" s="20" t="str">
        <f ca="1">Master_List!$AW$21</f>
        <v>LV5080090</v>
      </c>
      <c r="AJ176" s="20" t="str">
        <f ca="1">Master_List!$AW$22</f>
        <v>LVDB TX1</v>
      </c>
      <c r="AK176" s="20">
        <f ca="1">Master_List!$AW$23</f>
        <v>0</v>
      </c>
      <c r="AL176" s="20">
        <f ca="1">Master_List!$AW$24</f>
        <v>0</v>
      </c>
      <c r="AM176" s="20">
        <f ca="1">Master_List!$AW$25</f>
        <v>0</v>
      </c>
      <c r="AN176" s="20">
        <f ca="1">Master_List!$AW$26</f>
        <v>0</v>
      </c>
      <c r="AO176" s="20" t="str">
        <f ca="1">Master_List!$AW$27</f>
        <v>LVDB TX2</v>
      </c>
      <c r="AP176" s="20" t="str">
        <f ca="1">Master_List!$AW$28</f>
        <v>SUNPOWER TECHNOLOGIES</v>
      </c>
      <c r="AQ176" s="20" t="str">
        <f ca="1">Master_List!$AW$29</f>
        <v>SPS 30-10 L</v>
      </c>
      <c r="AR176" s="20" t="str">
        <f ca="1">Master_List!$AW$30</f>
        <v>11193-8527</v>
      </c>
      <c r="AS176" s="20">
        <f ca="1">Master_List!$AW$31</f>
        <v>0</v>
      </c>
      <c r="AT176" s="20">
        <f ca="1">Master_List!$AW$32</f>
        <v>0</v>
      </c>
      <c r="AU176" s="20">
        <f ca="1">Master_List!$AW$33</f>
        <v>0</v>
      </c>
      <c r="AV176" s="20">
        <f ca="1">Master_List!$AW$34</f>
        <v>0</v>
      </c>
      <c r="AW176" s="20">
        <f ca="1">Master_List!$AW$35</f>
        <v>0</v>
      </c>
      <c r="AX176" s="20">
        <f ca="1">Master_List!$AW$36</f>
        <v>0</v>
      </c>
      <c r="AY176" s="20">
        <f ca="1">Master_List!$AW$37</f>
        <v>0</v>
      </c>
      <c r="AZ176" s="20">
        <f ca="1">Master_List!$AW$38</f>
        <v>0</v>
      </c>
      <c r="BA176" s="20">
        <f ca="1">Master_List!$AW$39</f>
        <v>0</v>
      </c>
      <c r="BB176" s="20" t="s">
        <v>2240</v>
      </c>
      <c r="BC176" s="20" t="s">
        <v>2241</v>
      </c>
      <c r="BD176" s="6" t="s">
        <v>1744</v>
      </c>
      <c r="BE176" s="6" t="s">
        <v>1838</v>
      </c>
      <c r="BF176" s="6" t="s">
        <v>1746</v>
      </c>
      <c r="BG176" s="6" t="str">
        <f t="shared" si="2"/>
        <v>C:\Users\aremi\Desktop\REPORT CBM\PO 42289580 - Pahang 11kV SECOND CYCLE AZZAD 2026\RAW MATERIAL\047. TNB BARU (IR+VI)\RAW DATA\IR</v>
      </c>
      <c r="BH176" s="24" t="s">
        <v>709</v>
      </c>
    </row>
    <row r="177" spans="1:60" ht="30" customHeight="1" x14ac:dyDescent="0.25">
      <c r="A177" s="6">
        <v>88</v>
      </c>
      <c r="B177" s="6" t="s">
        <v>1567</v>
      </c>
      <c r="C177" s="6">
        <v>1</v>
      </c>
      <c r="D177" s="6" t="s">
        <v>2242</v>
      </c>
      <c r="E177" s="6">
        <v>88</v>
      </c>
      <c r="F177" s="6" t="str">
        <f ca="1">Master_List!$AW$1</f>
        <v>PERPUSTAKAAN PUSAT</v>
      </c>
      <c r="G177" s="27" t="str">
        <f ca="1">Master_List!$AW$2</f>
        <v>09:30 PM</v>
      </c>
      <c r="H177" s="32" t="str">
        <f ca="1">Master_List!$AW$3</f>
        <v>20/07/2026</v>
      </c>
      <c r="I177" s="28" t="str">
        <f ca="1">Master_List!$AW$4</f>
        <v>28.5</v>
      </c>
      <c r="J177" s="6" t="str">
        <f ca="1">Master_List!$AW$5</f>
        <v>65</v>
      </c>
      <c r="K177" s="6" t="s">
        <v>579</v>
      </c>
      <c r="L177" s="21" t="str">
        <f ca="1">IFERROR(VLOOKUP(B177, Master_List!$A:$I, 2, FALSE), "-")</f>
        <v/>
      </c>
      <c r="M177" s="22" t="str">
        <f ca="1">IFERROR(VLOOKUP(B177, Master_List!$A:$I, 3, FALSE), "-")</f>
        <v/>
      </c>
      <c r="N177" s="22" t="str">
        <f ca="1">IFERROR(VLOOKUP(B177, Master_List!$A:$I, 4, FALSE), "-")</f>
        <v/>
      </c>
      <c r="O177" s="22" t="str">
        <f ca="1">IFERROR(VLOOKUP(B177, Master_List!$A:$I, 5, FALSE), "-")</f>
        <v/>
      </c>
      <c r="P177" s="22" t="str">
        <f ca="1">IFERROR(VLOOKUP(B177, Master_List!$A:$I, 6, FALSE), "-")</f>
        <v/>
      </c>
      <c r="Q177" s="22" t="str">
        <f ca="1">IFERROR(VLOOKUP(B177, Master_List!$A:$I, 7, FALSE), "-")</f>
        <v/>
      </c>
      <c r="R177" s="22" t="str">
        <f ca="1">IFERROR(VLOOKUP(B177, Master_List!$A:$I, 8, FALSE), "-")</f>
        <v/>
      </c>
      <c r="S177" s="22" t="str">
        <f ca="1">IFERROR(VLOOKUP(B177, Master_List!$A:$I, 9, FALSE), "-")</f>
        <v/>
      </c>
      <c r="T177" s="20" t="str">
        <f ca="1">Master_List!$AW$6</f>
        <v>TOSHIBA</v>
      </c>
      <c r="U177" s="20" t="str">
        <f ca="1">Master_List!$AW$7</f>
        <v>MRMU</v>
      </c>
      <c r="V177" s="20" t="str">
        <f ca="1">Master_List!$AW$8</f>
        <v>12kV</v>
      </c>
      <c r="W177" s="20" t="str">
        <f ca="1">Master_List!$AW$9</f>
        <v>2S1F</v>
      </c>
      <c r="X177" s="20" t="str">
        <f ca="1">Master_List!$AW$10</f>
        <v>MTM</v>
      </c>
      <c r="Y177" s="20" t="str">
        <f ca="1">Master_List!$AW$11</f>
        <v>HERMETICALLY SEAL</v>
      </c>
      <c r="Z177" s="20" t="str">
        <f ca="1">Master_List!$AW$12</f>
        <v>750kVA</v>
      </c>
      <c r="AA177" s="20" t="str">
        <f ca="1">Master_List!$AW$13</f>
        <v>1317</v>
      </c>
      <c r="AB177" s="20">
        <f ca="1">Master_List!$AW$14</f>
        <v>0</v>
      </c>
      <c r="AC177" s="20">
        <f ca="1">Master_List!$AW$15</f>
        <v>0</v>
      </c>
      <c r="AD177" s="20">
        <f ca="1">Master_List!$AW$16</f>
        <v>0</v>
      </c>
      <c r="AE177" s="20">
        <f ca="1">Master_List!$AW$17</f>
        <v>0</v>
      </c>
      <c r="AF177" s="20" t="str">
        <f ca="1">Master_List!$AW$18</f>
        <v>INDKOM</v>
      </c>
      <c r="AG177" s="20" t="str">
        <f ca="1">Master_List!$AW$19</f>
        <v>J-SLOTTED</v>
      </c>
      <c r="AH177" s="20" t="str">
        <f ca="1">Master_List!$AW$20</f>
        <v>1600A</v>
      </c>
      <c r="AI177" s="20" t="str">
        <f ca="1">Master_List!$AW$21</f>
        <v>LV5080090</v>
      </c>
      <c r="AJ177" s="20" t="str">
        <f ca="1">Master_List!$AW$22</f>
        <v>LVDB TX1</v>
      </c>
      <c r="AK177" s="20">
        <f ca="1">Master_List!$AW$23</f>
        <v>0</v>
      </c>
      <c r="AL177" s="20">
        <f ca="1">Master_List!$AW$24</f>
        <v>0</v>
      </c>
      <c r="AM177" s="20">
        <f ca="1">Master_List!$AW$25</f>
        <v>0</v>
      </c>
      <c r="AN177" s="20">
        <f ca="1">Master_List!$AW$26</f>
        <v>0</v>
      </c>
      <c r="AO177" s="20" t="str">
        <f ca="1">Master_List!$AW$27</f>
        <v>LVDB TX2</v>
      </c>
      <c r="AP177" s="20" t="str">
        <f ca="1">Master_List!$AW$28</f>
        <v>SUNPOWER TECHNOLOGIES</v>
      </c>
      <c r="AQ177" s="20" t="str">
        <f ca="1">Master_List!$AW$29</f>
        <v>SPS 30-10 L</v>
      </c>
      <c r="AR177" s="20" t="str">
        <f ca="1">Master_List!$AW$30</f>
        <v>11193-8527</v>
      </c>
      <c r="AS177" s="20">
        <f ca="1">Master_List!$AW$31</f>
        <v>0</v>
      </c>
      <c r="AT177" s="20">
        <f ca="1">Master_List!$AW$32</f>
        <v>0</v>
      </c>
      <c r="AU177" s="20">
        <f ca="1">Master_List!$AW$33</f>
        <v>0</v>
      </c>
      <c r="AV177" s="20">
        <f ca="1">Master_List!$AW$34</f>
        <v>0</v>
      </c>
      <c r="AW177" s="20">
        <f ca="1">Master_List!$AW$35</f>
        <v>0</v>
      </c>
      <c r="AX177" s="20">
        <f ca="1">Master_List!$AW$36</f>
        <v>0</v>
      </c>
      <c r="AY177" s="20">
        <f ca="1">Master_List!$AW$37</f>
        <v>0</v>
      </c>
      <c r="AZ177" s="20">
        <f ca="1">Master_List!$AW$38</f>
        <v>0</v>
      </c>
      <c r="BA177" s="20">
        <f ca="1">Master_List!$AW$39</f>
        <v>0</v>
      </c>
      <c r="BB177" s="20" t="s">
        <v>2240</v>
      </c>
      <c r="BC177" s="20" t="s">
        <v>2241</v>
      </c>
      <c r="BD177" s="6" t="s">
        <v>1744</v>
      </c>
      <c r="BE177" s="6" t="s">
        <v>1838</v>
      </c>
      <c r="BF177" s="6" t="s">
        <v>1748</v>
      </c>
      <c r="BG177" s="6" t="str">
        <f t="shared" si="2"/>
        <v>C:\Users\aremi\Desktop\REPORT CBM\PO 42289580 - Pahang 11kV SECOND CYCLE AZZAD 2026\RAW MATERIAL\047. TNB BARU (IR+VI)\RAW DATA\IR</v>
      </c>
      <c r="BH177" s="24" t="s">
        <v>710</v>
      </c>
    </row>
    <row r="178" spans="1:60" ht="30" customHeight="1" x14ac:dyDescent="0.25">
      <c r="A178" s="6">
        <v>89</v>
      </c>
      <c r="B178" s="6" t="s">
        <v>1567</v>
      </c>
      <c r="C178" s="6">
        <v>1</v>
      </c>
      <c r="D178" s="6" t="s">
        <v>2242</v>
      </c>
      <c r="E178" s="6">
        <v>89</v>
      </c>
      <c r="F178" s="6" t="str">
        <f ca="1">Master_List!$AW$1</f>
        <v>PERPUSTAKAAN PUSAT</v>
      </c>
      <c r="G178" s="27" t="str">
        <f ca="1">Master_List!$AW$2</f>
        <v>09:30 PM</v>
      </c>
      <c r="H178" s="32" t="str">
        <f ca="1">Master_List!$AW$3</f>
        <v>20/07/2026</v>
      </c>
      <c r="I178" s="28" t="str">
        <f ca="1">Master_List!$AW$4</f>
        <v>28.5</v>
      </c>
      <c r="J178" s="6" t="str">
        <f ca="1">Master_List!$AW$5</f>
        <v>65</v>
      </c>
      <c r="K178" s="6" t="s">
        <v>582</v>
      </c>
      <c r="L178" s="21" t="str">
        <f ca="1">IFERROR(VLOOKUP(B178, Master_List!$A:$I, 2, FALSE), "-")</f>
        <v/>
      </c>
      <c r="M178" s="22" t="str">
        <f ca="1">IFERROR(VLOOKUP(B178, Master_List!$A:$I, 3, FALSE), "-")</f>
        <v/>
      </c>
      <c r="N178" s="22" t="str">
        <f ca="1">IFERROR(VLOOKUP(B178, Master_List!$A:$I, 4, FALSE), "-")</f>
        <v/>
      </c>
      <c r="O178" s="22" t="str">
        <f ca="1">IFERROR(VLOOKUP(B178, Master_List!$A:$I, 5, FALSE), "-")</f>
        <v/>
      </c>
      <c r="P178" s="22" t="str">
        <f ca="1">IFERROR(VLOOKUP(B178, Master_List!$A:$I, 6, FALSE), "-")</f>
        <v/>
      </c>
      <c r="Q178" s="22" t="str">
        <f ca="1">IFERROR(VLOOKUP(B178, Master_List!$A:$I, 7, FALSE), "-")</f>
        <v/>
      </c>
      <c r="R178" s="22" t="str">
        <f ca="1">IFERROR(VLOOKUP(B178, Master_List!$A:$I, 8, FALSE), "-")</f>
        <v/>
      </c>
      <c r="S178" s="22" t="str">
        <f ca="1">IFERROR(VLOOKUP(B178, Master_List!$A:$I, 9, FALSE), "-")</f>
        <v/>
      </c>
      <c r="T178" s="20" t="str">
        <f ca="1">Master_List!$AW$6</f>
        <v>TOSHIBA</v>
      </c>
      <c r="U178" s="20" t="str">
        <f ca="1">Master_List!$AW$7</f>
        <v>MRMU</v>
      </c>
      <c r="V178" s="20" t="str">
        <f ca="1">Master_List!$AW$8</f>
        <v>12kV</v>
      </c>
      <c r="W178" s="20" t="str">
        <f ca="1">Master_List!$AW$9</f>
        <v>2S1F</v>
      </c>
      <c r="X178" s="20" t="str">
        <f ca="1">Master_List!$AW$10</f>
        <v>MTM</v>
      </c>
      <c r="Y178" s="20" t="str">
        <f ca="1">Master_List!$AW$11</f>
        <v>HERMETICALLY SEAL</v>
      </c>
      <c r="Z178" s="20" t="str">
        <f ca="1">Master_List!$AW$12</f>
        <v>750kVA</v>
      </c>
      <c r="AA178" s="20" t="str">
        <f ca="1">Master_List!$AW$13</f>
        <v>1317</v>
      </c>
      <c r="AB178" s="20">
        <f ca="1">Master_List!$AW$14</f>
        <v>0</v>
      </c>
      <c r="AC178" s="20">
        <f ca="1">Master_List!$AW$15</f>
        <v>0</v>
      </c>
      <c r="AD178" s="20">
        <f ca="1">Master_List!$AW$16</f>
        <v>0</v>
      </c>
      <c r="AE178" s="20">
        <f ca="1">Master_List!$AW$17</f>
        <v>0</v>
      </c>
      <c r="AF178" s="20" t="str">
        <f ca="1">Master_List!$AW$18</f>
        <v>INDKOM</v>
      </c>
      <c r="AG178" s="20" t="str">
        <f ca="1">Master_List!$AW$19</f>
        <v>J-SLOTTED</v>
      </c>
      <c r="AH178" s="20" t="str">
        <f ca="1">Master_List!$AW$20</f>
        <v>1600A</v>
      </c>
      <c r="AI178" s="20" t="str">
        <f ca="1">Master_List!$AW$21</f>
        <v>LV5080090</v>
      </c>
      <c r="AJ178" s="20" t="str">
        <f ca="1">Master_List!$AW$22</f>
        <v>LVDB TX1</v>
      </c>
      <c r="AK178" s="20">
        <f ca="1">Master_List!$AW$23</f>
        <v>0</v>
      </c>
      <c r="AL178" s="20">
        <f ca="1">Master_List!$AW$24</f>
        <v>0</v>
      </c>
      <c r="AM178" s="20">
        <f ca="1">Master_List!$AW$25</f>
        <v>0</v>
      </c>
      <c r="AN178" s="20">
        <f ca="1">Master_List!$AW$26</f>
        <v>0</v>
      </c>
      <c r="AO178" s="20" t="str">
        <f ca="1">Master_List!$AW$27</f>
        <v>LVDB TX2</v>
      </c>
      <c r="AP178" s="20" t="str">
        <f ca="1">Master_List!$AW$28</f>
        <v>SUNPOWER TECHNOLOGIES</v>
      </c>
      <c r="AQ178" s="20" t="str">
        <f ca="1">Master_List!$AW$29</f>
        <v>SPS 30-10 L</v>
      </c>
      <c r="AR178" s="20" t="str">
        <f ca="1">Master_List!$AW$30</f>
        <v>11193-8527</v>
      </c>
      <c r="AS178" s="20">
        <f ca="1">Master_List!$AW$31</f>
        <v>0</v>
      </c>
      <c r="AT178" s="20">
        <f ca="1">Master_List!$AW$32</f>
        <v>0</v>
      </c>
      <c r="AU178" s="20">
        <f ca="1">Master_List!$AW$33</f>
        <v>0</v>
      </c>
      <c r="AV178" s="20">
        <f ca="1">Master_List!$AW$34</f>
        <v>0</v>
      </c>
      <c r="AW178" s="20">
        <f ca="1">Master_List!$AW$35</f>
        <v>0</v>
      </c>
      <c r="AX178" s="20">
        <f ca="1">Master_List!$AW$36</f>
        <v>0</v>
      </c>
      <c r="AY178" s="20">
        <f ca="1">Master_List!$AW$37</f>
        <v>0</v>
      </c>
      <c r="AZ178" s="20">
        <f ca="1">Master_List!$AW$38</f>
        <v>0</v>
      </c>
      <c r="BA178" s="20">
        <f ca="1">Master_List!$AW$39</f>
        <v>0</v>
      </c>
      <c r="BB178" s="20" t="s">
        <v>2240</v>
      </c>
      <c r="BC178" s="20" t="s">
        <v>2241</v>
      </c>
      <c r="BD178" s="6" t="s">
        <v>1744</v>
      </c>
      <c r="BE178" s="6" t="s">
        <v>1839</v>
      </c>
      <c r="BF178" s="6" t="s">
        <v>1746</v>
      </c>
      <c r="BG178" s="6" t="str">
        <f t="shared" si="2"/>
        <v>C:\Users\aremi\Desktop\REPORT CBM\PO 42289580 - Pahang 11kV SECOND CYCLE AZZAD 2026\RAW MATERIAL\047. TNB BARU (IR+VI)\RAW DATA\IR</v>
      </c>
      <c r="BH178" s="24" t="s">
        <v>711</v>
      </c>
    </row>
    <row r="179" spans="1:60" ht="30" customHeight="1" x14ac:dyDescent="0.25">
      <c r="A179" s="6">
        <v>89</v>
      </c>
      <c r="B179" s="6" t="s">
        <v>1567</v>
      </c>
      <c r="C179" s="6">
        <v>1</v>
      </c>
      <c r="D179" s="6" t="s">
        <v>2242</v>
      </c>
      <c r="E179" s="6">
        <v>89</v>
      </c>
      <c r="F179" s="6" t="str">
        <f ca="1">Master_List!$AW$1</f>
        <v>PERPUSTAKAAN PUSAT</v>
      </c>
      <c r="G179" s="27" t="str">
        <f ca="1">Master_List!$AW$2</f>
        <v>09:30 PM</v>
      </c>
      <c r="H179" s="32" t="str">
        <f ca="1">Master_List!$AW$3</f>
        <v>20/07/2026</v>
      </c>
      <c r="I179" s="28" t="str">
        <f ca="1">Master_List!$AW$4</f>
        <v>28.5</v>
      </c>
      <c r="J179" s="6" t="str">
        <f ca="1">Master_List!$AW$5</f>
        <v>65</v>
      </c>
      <c r="K179" s="6" t="s">
        <v>582</v>
      </c>
      <c r="L179" s="21" t="str">
        <f ca="1">IFERROR(VLOOKUP(B179, Master_List!$A:$I, 2, FALSE), "-")</f>
        <v/>
      </c>
      <c r="M179" s="22" t="str">
        <f ca="1">IFERROR(VLOOKUP(B179, Master_List!$A:$I, 3, FALSE), "-")</f>
        <v/>
      </c>
      <c r="N179" s="22" t="str">
        <f ca="1">IFERROR(VLOOKUP(B179, Master_List!$A:$I, 4, FALSE), "-")</f>
        <v/>
      </c>
      <c r="O179" s="22" t="str">
        <f ca="1">IFERROR(VLOOKUP(B179, Master_List!$A:$I, 5, FALSE), "-")</f>
        <v/>
      </c>
      <c r="P179" s="22" t="str">
        <f ca="1">IFERROR(VLOOKUP(B179, Master_List!$A:$I, 6, FALSE), "-")</f>
        <v/>
      </c>
      <c r="Q179" s="22" t="str">
        <f ca="1">IFERROR(VLOOKUP(B179, Master_List!$A:$I, 7, FALSE), "-")</f>
        <v/>
      </c>
      <c r="R179" s="22" t="str">
        <f ca="1">IFERROR(VLOOKUP(B179, Master_List!$A:$I, 8, FALSE), "-")</f>
        <v/>
      </c>
      <c r="S179" s="22" t="str">
        <f ca="1">IFERROR(VLOOKUP(B179, Master_List!$A:$I, 9, FALSE), "-")</f>
        <v/>
      </c>
      <c r="T179" s="20" t="str">
        <f ca="1">Master_List!$AW$6</f>
        <v>TOSHIBA</v>
      </c>
      <c r="U179" s="20" t="str">
        <f ca="1">Master_List!$AW$7</f>
        <v>MRMU</v>
      </c>
      <c r="V179" s="20" t="str">
        <f ca="1">Master_List!$AW$8</f>
        <v>12kV</v>
      </c>
      <c r="W179" s="20" t="str">
        <f ca="1">Master_List!$AW$9</f>
        <v>2S1F</v>
      </c>
      <c r="X179" s="20" t="str">
        <f ca="1">Master_List!$AW$10</f>
        <v>MTM</v>
      </c>
      <c r="Y179" s="20" t="str">
        <f ca="1">Master_List!$AW$11</f>
        <v>HERMETICALLY SEAL</v>
      </c>
      <c r="Z179" s="20" t="str">
        <f ca="1">Master_List!$AW$12</f>
        <v>750kVA</v>
      </c>
      <c r="AA179" s="20" t="str">
        <f ca="1">Master_List!$AW$13</f>
        <v>1317</v>
      </c>
      <c r="AB179" s="20">
        <f ca="1">Master_List!$AW$14</f>
        <v>0</v>
      </c>
      <c r="AC179" s="20">
        <f ca="1">Master_List!$AW$15</f>
        <v>0</v>
      </c>
      <c r="AD179" s="20">
        <f ca="1">Master_List!$AW$16</f>
        <v>0</v>
      </c>
      <c r="AE179" s="20">
        <f ca="1">Master_List!$AW$17</f>
        <v>0</v>
      </c>
      <c r="AF179" s="20" t="str">
        <f ca="1">Master_List!$AW$18</f>
        <v>INDKOM</v>
      </c>
      <c r="AG179" s="20" t="str">
        <f ca="1">Master_List!$AW$19</f>
        <v>J-SLOTTED</v>
      </c>
      <c r="AH179" s="20" t="str">
        <f ca="1">Master_List!$AW$20</f>
        <v>1600A</v>
      </c>
      <c r="AI179" s="20" t="str">
        <f ca="1">Master_List!$AW$21</f>
        <v>LV5080090</v>
      </c>
      <c r="AJ179" s="20" t="str">
        <f ca="1">Master_List!$AW$22</f>
        <v>LVDB TX1</v>
      </c>
      <c r="AK179" s="20">
        <f ca="1">Master_List!$AW$23</f>
        <v>0</v>
      </c>
      <c r="AL179" s="20">
        <f ca="1">Master_List!$AW$24</f>
        <v>0</v>
      </c>
      <c r="AM179" s="20">
        <f ca="1">Master_List!$AW$25</f>
        <v>0</v>
      </c>
      <c r="AN179" s="20">
        <f ca="1">Master_List!$AW$26</f>
        <v>0</v>
      </c>
      <c r="AO179" s="20" t="str">
        <f ca="1">Master_List!$AW$27</f>
        <v>LVDB TX2</v>
      </c>
      <c r="AP179" s="20" t="str">
        <f ca="1">Master_List!$AW$28</f>
        <v>SUNPOWER TECHNOLOGIES</v>
      </c>
      <c r="AQ179" s="20" t="str">
        <f ca="1">Master_List!$AW$29</f>
        <v>SPS 30-10 L</v>
      </c>
      <c r="AR179" s="20" t="str">
        <f ca="1">Master_List!$AW$30</f>
        <v>11193-8527</v>
      </c>
      <c r="AS179" s="20">
        <f ca="1">Master_List!$AW$31</f>
        <v>0</v>
      </c>
      <c r="AT179" s="20">
        <f ca="1">Master_List!$AW$32</f>
        <v>0</v>
      </c>
      <c r="AU179" s="20">
        <f ca="1">Master_List!$AW$33</f>
        <v>0</v>
      </c>
      <c r="AV179" s="20">
        <f ca="1">Master_List!$AW$34</f>
        <v>0</v>
      </c>
      <c r="AW179" s="20">
        <f ca="1">Master_List!$AW$35</f>
        <v>0</v>
      </c>
      <c r="AX179" s="20">
        <f ca="1">Master_List!$AW$36</f>
        <v>0</v>
      </c>
      <c r="AY179" s="20">
        <f ca="1">Master_List!$AW$37</f>
        <v>0</v>
      </c>
      <c r="AZ179" s="20">
        <f ca="1">Master_List!$AW$38</f>
        <v>0</v>
      </c>
      <c r="BA179" s="20">
        <f ca="1">Master_List!$AW$39</f>
        <v>0</v>
      </c>
      <c r="BB179" s="20" t="s">
        <v>2240</v>
      </c>
      <c r="BC179" s="20" t="s">
        <v>2241</v>
      </c>
      <c r="BD179" s="6" t="s">
        <v>1744</v>
      </c>
      <c r="BE179" s="6" t="s">
        <v>1839</v>
      </c>
      <c r="BF179" s="6" t="s">
        <v>1748</v>
      </c>
      <c r="BG179" s="6" t="str">
        <f t="shared" si="2"/>
        <v>C:\Users\aremi\Desktop\REPORT CBM\PO 42289580 - Pahang 11kV SECOND CYCLE AZZAD 2026\RAW MATERIAL\047. TNB BARU (IR+VI)\RAW DATA\IR</v>
      </c>
      <c r="BH179" s="24" t="s">
        <v>712</v>
      </c>
    </row>
    <row r="180" spans="1:60" ht="30" customHeight="1" x14ac:dyDescent="0.25">
      <c r="A180" s="6">
        <v>90</v>
      </c>
      <c r="B180" s="6" t="s">
        <v>1567</v>
      </c>
      <c r="C180" s="6">
        <v>1</v>
      </c>
      <c r="D180" s="6" t="s">
        <v>2242</v>
      </c>
      <c r="E180" s="6">
        <v>90</v>
      </c>
      <c r="F180" s="6" t="str">
        <f ca="1">Master_List!$AW$1</f>
        <v>PERPUSTAKAAN PUSAT</v>
      </c>
      <c r="G180" s="27" t="str">
        <f ca="1">Master_List!$AW$2</f>
        <v>09:30 PM</v>
      </c>
      <c r="H180" s="32" t="str">
        <f ca="1">Master_List!$AW$3</f>
        <v>20/07/2026</v>
      </c>
      <c r="I180" s="28" t="str">
        <f ca="1">Master_List!$AW$4</f>
        <v>28.5</v>
      </c>
      <c r="J180" s="6" t="str">
        <f ca="1">Master_List!$AW$5</f>
        <v>65</v>
      </c>
      <c r="K180" s="6" t="s">
        <v>585</v>
      </c>
      <c r="L180" s="21" t="str">
        <f ca="1">IFERROR(VLOOKUP(B180, Master_List!$A:$I, 2, FALSE), "-")</f>
        <v/>
      </c>
      <c r="M180" s="22" t="str">
        <f ca="1">IFERROR(VLOOKUP(B180, Master_List!$A:$I, 3, FALSE), "-")</f>
        <v/>
      </c>
      <c r="N180" s="22" t="str">
        <f ca="1">IFERROR(VLOOKUP(B180, Master_List!$A:$I, 4, FALSE), "-")</f>
        <v/>
      </c>
      <c r="O180" s="22" t="str">
        <f ca="1">IFERROR(VLOOKUP(B180, Master_List!$A:$I, 5, FALSE), "-")</f>
        <v/>
      </c>
      <c r="P180" s="22" t="str">
        <f ca="1">IFERROR(VLOOKUP(B180, Master_List!$A:$I, 6, FALSE), "-")</f>
        <v/>
      </c>
      <c r="Q180" s="22" t="str">
        <f ca="1">IFERROR(VLOOKUP(B180, Master_List!$A:$I, 7, FALSE), "-")</f>
        <v/>
      </c>
      <c r="R180" s="22" t="str">
        <f ca="1">IFERROR(VLOOKUP(B180, Master_List!$A:$I, 8, FALSE), "-")</f>
        <v/>
      </c>
      <c r="S180" s="22" t="str">
        <f ca="1">IFERROR(VLOOKUP(B180, Master_List!$A:$I, 9, FALSE), "-")</f>
        <v/>
      </c>
      <c r="T180" s="20" t="str">
        <f ca="1">Master_List!$AW$6</f>
        <v>TOSHIBA</v>
      </c>
      <c r="U180" s="20" t="str">
        <f ca="1">Master_List!$AW$7</f>
        <v>MRMU</v>
      </c>
      <c r="V180" s="20" t="str">
        <f ca="1">Master_List!$AW$8</f>
        <v>12kV</v>
      </c>
      <c r="W180" s="20" t="str">
        <f ca="1">Master_List!$AW$9</f>
        <v>2S1F</v>
      </c>
      <c r="X180" s="20" t="str">
        <f ca="1">Master_List!$AW$10</f>
        <v>MTM</v>
      </c>
      <c r="Y180" s="20" t="str">
        <f ca="1">Master_List!$AW$11</f>
        <v>HERMETICALLY SEAL</v>
      </c>
      <c r="Z180" s="20" t="str">
        <f ca="1">Master_List!$AW$12</f>
        <v>750kVA</v>
      </c>
      <c r="AA180" s="20" t="str">
        <f ca="1">Master_List!$AW$13</f>
        <v>1317</v>
      </c>
      <c r="AB180" s="20">
        <f ca="1">Master_List!$AW$14</f>
        <v>0</v>
      </c>
      <c r="AC180" s="20">
        <f ca="1">Master_List!$AW$15</f>
        <v>0</v>
      </c>
      <c r="AD180" s="20">
        <f ca="1">Master_List!$AW$16</f>
        <v>0</v>
      </c>
      <c r="AE180" s="20">
        <f ca="1">Master_List!$AW$17</f>
        <v>0</v>
      </c>
      <c r="AF180" s="20" t="str">
        <f ca="1">Master_List!$AW$18</f>
        <v>INDKOM</v>
      </c>
      <c r="AG180" s="20" t="str">
        <f ca="1">Master_List!$AW$19</f>
        <v>J-SLOTTED</v>
      </c>
      <c r="AH180" s="20" t="str">
        <f ca="1">Master_List!$AW$20</f>
        <v>1600A</v>
      </c>
      <c r="AI180" s="20" t="str">
        <f ca="1">Master_List!$AW$21</f>
        <v>LV5080090</v>
      </c>
      <c r="AJ180" s="20" t="str">
        <f ca="1">Master_List!$AW$22</f>
        <v>LVDB TX1</v>
      </c>
      <c r="AK180" s="20">
        <f ca="1">Master_List!$AW$23</f>
        <v>0</v>
      </c>
      <c r="AL180" s="20">
        <f ca="1">Master_List!$AW$24</f>
        <v>0</v>
      </c>
      <c r="AM180" s="20">
        <f ca="1">Master_List!$AW$25</f>
        <v>0</v>
      </c>
      <c r="AN180" s="20">
        <f ca="1">Master_List!$AW$26</f>
        <v>0</v>
      </c>
      <c r="AO180" s="20" t="str">
        <f ca="1">Master_List!$AW$27</f>
        <v>LVDB TX2</v>
      </c>
      <c r="AP180" s="20" t="str">
        <f ca="1">Master_List!$AW$28</f>
        <v>SUNPOWER TECHNOLOGIES</v>
      </c>
      <c r="AQ180" s="20" t="str">
        <f ca="1">Master_List!$AW$29</f>
        <v>SPS 30-10 L</v>
      </c>
      <c r="AR180" s="20" t="str">
        <f ca="1">Master_List!$AW$30</f>
        <v>11193-8527</v>
      </c>
      <c r="AS180" s="20">
        <f ca="1">Master_List!$AW$31</f>
        <v>0</v>
      </c>
      <c r="AT180" s="20">
        <f ca="1">Master_List!$AW$32</f>
        <v>0</v>
      </c>
      <c r="AU180" s="20">
        <f ca="1">Master_List!$AW$33</f>
        <v>0</v>
      </c>
      <c r="AV180" s="20">
        <f ca="1">Master_List!$AW$34</f>
        <v>0</v>
      </c>
      <c r="AW180" s="20">
        <f ca="1">Master_List!$AW$35</f>
        <v>0</v>
      </c>
      <c r="AX180" s="20">
        <f ca="1">Master_List!$AW$36</f>
        <v>0</v>
      </c>
      <c r="AY180" s="20">
        <f ca="1">Master_List!$AW$37</f>
        <v>0</v>
      </c>
      <c r="AZ180" s="20">
        <f ca="1">Master_List!$AW$38</f>
        <v>0</v>
      </c>
      <c r="BA180" s="20">
        <f ca="1">Master_List!$AW$39</f>
        <v>0</v>
      </c>
      <c r="BB180" s="20" t="s">
        <v>2240</v>
      </c>
      <c r="BC180" s="20" t="s">
        <v>2241</v>
      </c>
      <c r="BD180" s="6" t="s">
        <v>1744</v>
      </c>
      <c r="BE180" s="6" t="s">
        <v>1840</v>
      </c>
      <c r="BF180" s="6" t="s">
        <v>1746</v>
      </c>
      <c r="BG180" s="6" t="str">
        <f t="shared" si="2"/>
        <v>C:\Users\aremi\Desktop\REPORT CBM\PO 42289580 - Pahang 11kV SECOND CYCLE AZZAD 2026\RAW MATERIAL\047. TNB BARU (IR+VI)\RAW DATA\IR</v>
      </c>
      <c r="BH180" s="24" t="s">
        <v>714</v>
      </c>
    </row>
    <row r="181" spans="1:60" ht="30" customHeight="1" x14ac:dyDescent="0.25">
      <c r="A181" s="6">
        <v>90</v>
      </c>
      <c r="B181" s="6" t="s">
        <v>1567</v>
      </c>
      <c r="C181" s="6">
        <v>1</v>
      </c>
      <c r="D181" s="6" t="s">
        <v>2242</v>
      </c>
      <c r="E181" s="6">
        <v>90</v>
      </c>
      <c r="F181" s="6" t="str">
        <f ca="1">Master_List!$AW$1</f>
        <v>PERPUSTAKAAN PUSAT</v>
      </c>
      <c r="G181" s="27" t="str">
        <f ca="1">Master_List!$AW$2</f>
        <v>09:30 PM</v>
      </c>
      <c r="H181" s="32" t="str">
        <f ca="1">Master_List!$AW$3</f>
        <v>20/07/2026</v>
      </c>
      <c r="I181" s="28" t="str">
        <f ca="1">Master_List!$AW$4</f>
        <v>28.5</v>
      </c>
      <c r="J181" s="6" t="str">
        <f ca="1">Master_List!$AW$5</f>
        <v>65</v>
      </c>
      <c r="K181" s="6" t="s">
        <v>585</v>
      </c>
      <c r="L181" s="21" t="str">
        <f ca="1">IFERROR(VLOOKUP(B181, Master_List!$A:$I, 2, FALSE), "-")</f>
        <v/>
      </c>
      <c r="M181" s="22" t="str">
        <f ca="1">IFERROR(VLOOKUP(B181, Master_List!$A:$I, 3, FALSE), "-")</f>
        <v/>
      </c>
      <c r="N181" s="22" t="str">
        <f ca="1">IFERROR(VLOOKUP(B181, Master_List!$A:$I, 4, FALSE), "-")</f>
        <v/>
      </c>
      <c r="O181" s="22" t="str">
        <f ca="1">IFERROR(VLOOKUP(B181, Master_List!$A:$I, 5, FALSE), "-")</f>
        <v/>
      </c>
      <c r="P181" s="22" t="str">
        <f ca="1">IFERROR(VLOOKUP(B181, Master_List!$A:$I, 6, FALSE), "-")</f>
        <v/>
      </c>
      <c r="Q181" s="22" t="str">
        <f ca="1">IFERROR(VLOOKUP(B181, Master_List!$A:$I, 7, FALSE), "-")</f>
        <v/>
      </c>
      <c r="R181" s="22" t="str">
        <f ca="1">IFERROR(VLOOKUP(B181, Master_List!$A:$I, 8, FALSE), "-")</f>
        <v/>
      </c>
      <c r="S181" s="22" t="str">
        <f ca="1">IFERROR(VLOOKUP(B181, Master_List!$A:$I, 9, FALSE), "-")</f>
        <v/>
      </c>
      <c r="T181" s="20" t="str">
        <f ca="1">Master_List!$AW$6</f>
        <v>TOSHIBA</v>
      </c>
      <c r="U181" s="20" t="str">
        <f ca="1">Master_List!$AW$7</f>
        <v>MRMU</v>
      </c>
      <c r="V181" s="20" t="str">
        <f ca="1">Master_List!$AW$8</f>
        <v>12kV</v>
      </c>
      <c r="W181" s="20" t="str">
        <f ca="1">Master_List!$AW$9</f>
        <v>2S1F</v>
      </c>
      <c r="X181" s="20" t="str">
        <f ca="1">Master_List!$AW$10</f>
        <v>MTM</v>
      </c>
      <c r="Y181" s="20" t="str">
        <f ca="1">Master_List!$AW$11</f>
        <v>HERMETICALLY SEAL</v>
      </c>
      <c r="Z181" s="20" t="str">
        <f ca="1">Master_List!$AW$12</f>
        <v>750kVA</v>
      </c>
      <c r="AA181" s="20" t="str">
        <f ca="1">Master_List!$AW$13</f>
        <v>1317</v>
      </c>
      <c r="AB181" s="20">
        <f ca="1">Master_List!$AW$14</f>
        <v>0</v>
      </c>
      <c r="AC181" s="20">
        <f ca="1">Master_List!$AW$15</f>
        <v>0</v>
      </c>
      <c r="AD181" s="20">
        <f ca="1">Master_List!$AW$16</f>
        <v>0</v>
      </c>
      <c r="AE181" s="20">
        <f ca="1">Master_List!$AW$17</f>
        <v>0</v>
      </c>
      <c r="AF181" s="20" t="str">
        <f ca="1">Master_List!$AW$18</f>
        <v>INDKOM</v>
      </c>
      <c r="AG181" s="20" t="str">
        <f ca="1">Master_List!$AW$19</f>
        <v>J-SLOTTED</v>
      </c>
      <c r="AH181" s="20" t="str">
        <f ca="1">Master_List!$AW$20</f>
        <v>1600A</v>
      </c>
      <c r="AI181" s="20" t="str">
        <f ca="1">Master_List!$AW$21</f>
        <v>LV5080090</v>
      </c>
      <c r="AJ181" s="20" t="str">
        <f ca="1">Master_List!$AW$22</f>
        <v>LVDB TX1</v>
      </c>
      <c r="AK181" s="20">
        <f ca="1">Master_List!$AW$23</f>
        <v>0</v>
      </c>
      <c r="AL181" s="20">
        <f ca="1">Master_List!$AW$24</f>
        <v>0</v>
      </c>
      <c r="AM181" s="20">
        <f ca="1">Master_List!$AW$25</f>
        <v>0</v>
      </c>
      <c r="AN181" s="20">
        <f ca="1">Master_List!$AW$26</f>
        <v>0</v>
      </c>
      <c r="AO181" s="20" t="str">
        <f ca="1">Master_List!$AW$27</f>
        <v>LVDB TX2</v>
      </c>
      <c r="AP181" s="20" t="str">
        <f ca="1">Master_List!$AW$28</f>
        <v>SUNPOWER TECHNOLOGIES</v>
      </c>
      <c r="AQ181" s="20" t="str">
        <f ca="1">Master_List!$AW$29</f>
        <v>SPS 30-10 L</v>
      </c>
      <c r="AR181" s="20" t="str">
        <f ca="1">Master_List!$AW$30</f>
        <v>11193-8527</v>
      </c>
      <c r="AS181" s="20">
        <f ca="1">Master_List!$AW$31</f>
        <v>0</v>
      </c>
      <c r="AT181" s="20">
        <f ca="1">Master_List!$AW$32</f>
        <v>0</v>
      </c>
      <c r="AU181" s="20">
        <f ca="1">Master_List!$AW$33</f>
        <v>0</v>
      </c>
      <c r="AV181" s="20">
        <f ca="1">Master_List!$AW$34</f>
        <v>0</v>
      </c>
      <c r="AW181" s="20">
        <f ca="1">Master_List!$AW$35</f>
        <v>0</v>
      </c>
      <c r="AX181" s="20">
        <f ca="1">Master_List!$AW$36</f>
        <v>0</v>
      </c>
      <c r="AY181" s="20">
        <f ca="1">Master_List!$AW$37</f>
        <v>0</v>
      </c>
      <c r="AZ181" s="20">
        <f ca="1">Master_List!$AW$38</f>
        <v>0</v>
      </c>
      <c r="BA181" s="20">
        <f ca="1">Master_List!$AW$39</f>
        <v>0</v>
      </c>
      <c r="BB181" s="20" t="s">
        <v>2240</v>
      </c>
      <c r="BC181" s="20" t="s">
        <v>2241</v>
      </c>
      <c r="BD181" s="6" t="s">
        <v>1744</v>
      </c>
      <c r="BE181" s="6" t="s">
        <v>1840</v>
      </c>
      <c r="BF181" s="6" t="s">
        <v>1748</v>
      </c>
      <c r="BG181" s="6" t="str">
        <f t="shared" si="2"/>
        <v>C:\Users\aremi\Desktop\REPORT CBM\PO 42289580 - Pahang 11kV SECOND CYCLE AZZAD 2026\RAW MATERIAL\047. TNB BARU (IR+VI)\RAW DATA\IR</v>
      </c>
      <c r="BH181" s="24" t="s">
        <v>715</v>
      </c>
    </row>
    <row r="182" spans="1:60" ht="30" customHeight="1" x14ac:dyDescent="0.25">
      <c r="A182" s="6">
        <v>91</v>
      </c>
      <c r="B182" s="6" t="s">
        <v>1567</v>
      </c>
      <c r="C182" s="6">
        <v>1</v>
      </c>
      <c r="D182" s="6" t="s">
        <v>2243</v>
      </c>
      <c r="E182" s="6">
        <v>91</v>
      </c>
      <c r="F182" s="6" t="str">
        <f ca="1">Master_List!$AW$1</f>
        <v>PERPUSTAKAAN PUSAT</v>
      </c>
      <c r="G182" s="27" t="str">
        <f ca="1">Master_List!$AW$2</f>
        <v>09:30 PM</v>
      </c>
      <c r="H182" s="32" t="str">
        <f ca="1">Master_List!$AW$3</f>
        <v>20/07/2026</v>
      </c>
      <c r="I182" s="28" t="str">
        <f ca="1">Master_List!$AW$4</f>
        <v>28.5</v>
      </c>
      <c r="J182" s="6" t="str">
        <f ca="1">Master_List!$AW$5</f>
        <v>65</v>
      </c>
      <c r="K182" s="6" t="s">
        <v>588</v>
      </c>
      <c r="L182" s="21" t="str">
        <f ca="1">IFERROR(VLOOKUP(B182, Master_List!$A:$I, 2, FALSE), "-")</f>
        <v/>
      </c>
      <c r="M182" s="22" t="str">
        <f ca="1">IFERROR(VLOOKUP(B182, Master_List!$A:$I, 3, FALSE), "-")</f>
        <v/>
      </c>
      <c r="N182" s="22" t="str">
        <f ca="1">IFERROR(VLOOKUP(B182, Master_List!$A:$I, 4, FALSE), "-")</f>
        <v/>
      </c>
      <c r="O182" s="22" t="str">
        <f ca="1">IFERROR(VLOOKUP(B182, Master_List!$A:$I, 5, FALSE), "-")</f>
        <v/>
      </c>
      <c r="P182" s="22" t="str">
        <f ca="1">IFERROR(VLOOKUP(B182, Master_List!$A:$I, 6, FALSE), "-")</f>
        <v/>
      </c>
      <c r="Q182" s="22" t="str">
        <f ca="1">IFERROR(VLOOKUP(B182, Master_List!$A:$I, 7, FALSE), "-")</f>
        <v/>
      </c>
      <c r="R182" s="22" t="str">
        <f ca="1">IFERROR(VLOOKUP(B182, Master_List!$A:$I, 8, FALSE), "-")</f>
        <v/>
      </c>
      <c r="S182" s="22" t="str">
        <f ca="1">IFERROR(VLOOKUP(B182, Master_List!$A:$I, 9, FALSE), "-")</f>
        <v/>
      </c>
      <c r="T182" s="20" t="str">
        <f ca="1">Master_List!$AW$6</f>
        <v>TOSHIBA</v>
      </c>
      <c r="U182" s="20" t="str">
        <f ca="1">Master_List!$AW$7</f>
        <v>MRMU</v>
      </c>
      <c r="V182" s="20" t="str">
        <f ca="1">Master_List!$AW$8</f>
        <v>12kV</v>
      </c>
      <c r="W182" s="20" t="str">
        <f ca="1">Master_List!$AW$9</f>
        <v>2S1F</v>
      </c>
      <c r="X182" s="20" t="str">
        <f ca="1">Master_List!$AW$10</f>
        <v>MTM</v>
      </c>
      <c r="Y182" s="20" t="str">
        <f ca="1">Master_List!$AW$11</f>
        <v>HERMETICALLY SEAL</v>
      </c>
      <c r="Z182" s="20" t="str">
        <f ca="1">Master_List!$AW$12</f>
        <v>750kVA</v>
      </c>
      <c r="AA182" s="20" t="str">
        <f ca="1">Master_List!$AW$13</f>
        <v>1317</v>
      </c>
      <c r="AB182" s="20">
        <f ca="1">Master_List!$AW$14</f>
        <v>0</v>
      </c>
      <c r="AC182" s="20">
        <f ca="1">Master_List!$AW$15</f>
        <v>0</v>
      </c>
      <c r="AD182" s="20">
        <f ca="1">Master_List!$AW$16</f>
        <v>0</v>
      </c>
      <c r="AE182" s="20">
        <f ca="1">Master_List!$AW$17</f>
        <v>0</v>
      </c>
      <c r="AF182" s="20" t="str">
        <f ca="1">Master_List!$AW$18</f>
        <v>INDKOM</v>
      </c>
      <c r="AG182" s="20" t="str">
        <f ca="1">Master_List!$AW$19</f>
        <v>J-SLOTTED</v>
      </c>
      <c r="AH182" s="20" t="str">
        <f ca="1">Master_List!$AW$20</f>
        <v>1600A</v>
      </c>
      <c r="AI182" s="20" t="str">
        <f ca="1">Master_List!$AW$21</f>
        <v>LV5080090</v>
      </c>
      <c r="AJ182" s="20" t="str">
        <f ca="1">Master_List!$AW$22</f>
        <v>LVDB TX1</v>
      </c>
      <c r="AK182" s="20">
        <f ca="1">Master_List!$AW$23</f>
        <v>0</v>
      </c>
      <c r="AL182" s="20">
        <f ca="1">Master_List!$AW$24</f>
        <v>0</v>
      </c>
      <c r="AM182" s="20">
        <f ca="1">Master_List!$AW$25</f>
        <v>0</v>
      </c>
      <c r="AN182" s="20">
        <f ca="1">Master_List!$AW$26</f>
        <v>0</v>
      </c>
      <c r="AO182" s="20" t="str">
        <f ca="1">Master_List!$AW$27</f>
        <v>LVDB TX2</v>
      </c>
      <c r="AP182" s="20" t="str">
        <f ca="1">Master_List!$AW$28</f>
        <v>SUNPOWER TECHNOLOGIES</v>
      </c>
      <c r="AQ182" s="20" t="str">
        <f ca="1">Master_List!$AW$29</f>
        <v>SPS 30-10 L</v>
      </c>
      <c r="AR182" s="20" t="str">
        <f ca="1">Master_List!$AW$30</f>
        <v>11193-8527</v>
      </c>
      <c r="AS182" s="20">
        <f ca="1">Master_List!$AW$31</f>
        <v>0</v>
      </c>
      <c r="AT182" s="20">
        <f ca="1">Master_List!$AW$32</f>
        <v>0</v>
      </c>
      <c r="AU182" s="20">
        <f ca="1">Master_List!$AW$33</f>
        <v>0</v>
      </c>
      <c r="AV182" s="20">
        <f ca="1">Master_List!$AW$34</f>
        <v>0</v>
      </c>
      <c r="AW182" s="20">
        <f ca="1">Master_List!$AW$35</f>
        <v>0</v>
      </c>
      <c r="AX182" s="20">
        <f ca="1">Master_List!$AW$36</f>
        <v>0</v>
      </c>
      <c r="AY182" s="20">
        <f ca="1">Master_List!$AW$37</f>
        <v>0</v>
      </c>
      <c r="AZ182" s="20">
        <f ca="1">Master_List!$AW$38</f>
        <v>0</v>
      </c>
      <c r="BA182" s="20">
        <f ca="1">Master_List!$AW$39</f>
        <v>0</v>
      </c>
      <c r="BB182" s="20" t="s">
        <v>2240</v>
      </c>
      <c r="BC182" s="20" t="s">
        <v>2241</v>
      </c>
      <c r="BD182" s="6" t="s">
        <v>1744</v>
      </c>
      <c r="BE182" s="6" t="s">
        <v>1841</v>
      </c>
      <c r="BF182" s="6" t="s">
        <v>1746</v>
      </c>
      <c r="BG182" s="6" t="str">
        <f t="shared" si="2"/>
        <v>C:\Users\aremi\Desktop\REPORT CBM\PO 42289580 - Pahang 11kV SECOND CYCLE AZZAD 2026\RAW MATERIAL\047. TNB BARU (IR+VI)\RAW DATA\IR</v>
      </c>
      <c r="BH182" s="24" t="s">
        <v>716</v>
      </c>
    </row>
    <row r="183" spans="1:60" ht="30" customHeight="1" x14ac:dyDescent="0.25">
      <c r="A183" s="6">
        <v>91</v>
      </c>
      <c r="B183" s="6" t="s">
        <v>1567</v>
      </c>
      <c r="C183" s="6">
        <v>1</v>
      </c>
      <c r="D183" s="6" t="s">
        <v>2243</v>
      </c>
      <c r="E183" s="6">
        <v>91</v>
      </c>
      <c r="F183" s="6" t="str">
        <f ca="1">Master_List!$AW$1</f>
        <v>PERPUSTAKAAN PUSAT</v>
      </c>
      <c r="G183" s="27" t="str">
        <f ca="1">Master_List!$AW$2</f>
        <v>09:30 PM</v>
      </c>
      <c r="H183" s="32" t="str">
        <f ca="1">Master_List!$AW$3</f>
        <v>20/07/2026</v>
      </c>
      <c r="I183" s="28" t="str">
        <f ca="1">Master_List!$AW$4</f>
        <v>28.5</v>
      </c>
      <c r="J183" s="6" t="str">
        <f ca="1">Master_List!$AW$5</f>
        <v>65</v>
      </c>
      <c r="K183" s="6" t="s">
        <v>588</v>
      </c>
      <c r="L183" s="21" t="str">
        <f ca="1">IFERROR(VLOOKUP(B183, Master_List!$A:$I, 2, FALSE), "-")</f>
        <v/>
      </c>
      <c r="M183" s="22" t="str">
        <f ca="1">IFERROR(VLOOKUP(B183, Master_List!$A:$I, 3, FALSE), "-")</f>
        <v/>
      </c>
      <c r="N183" s="22" t="str">
        <f ca="1">IFERROR(VLOOKUP(B183, Master_List!$A:$I, 4, FALSE), "-")</f>
        <v/>
      </c>
      <c r="O183" s="22" t="str">
        <f ca="1">IFERROR(VLOOKUP(B183, Master_List!$A:$I, 5, FALSE), "-")</f>
        <v/>
      </c>
      <c r="P183" s="22" t="str">
        <f ca="1">IFERROR(VLOOKUP(B183, Master_List!$A:$I, 6, FALSE), "-")</f>
        <v/>
      </c>
      <c r="Q183" s="22" t="str">
        <f ca="1">IFERROR(VLOOKUP(B183, Master_List!$A:$I, 7, FALSE), "-")</f>
        <v/>
      </c>
      <c r="R183" s="22" t="str">
        <f ca="1">IFERROR(VLOOKUP(B183, Master_List!$A:$I, 8, FALSE), "-")</f>
        <v/>
      </c>
      <c r="S183" s="22" t="str">
        <f ca="1">IFERROR(VLOOKUP(B183, Master_List!$A:$I, 9, FALSE), "-")</f>
        <v/>
      </c>
      <c r="T183" s="20" t="str">
        <f ca="1">Master_List!$AW$6</f>
        <v>TOSHIBA</v>
      </c>
      <c r="U183" s="20" t="str">
        <f ca="1">Master_List!$AW$7</f>
        <v>MRMU</v>
      </c>
      <c r="V183" s="20" t="str">
        <f ca="1">Master_List!$AW$8</f>
        <v>12kV</v>
      </c>
      <c r="W183" s="20" t="str">
        <f ca="1">Master_List!$AW$9</f>
        <v>2S1F</v>
      </c>
      <c r="X183" s="20" t="str">
        <f ca="1">Master_List!$AW$10</f>
        <v>MTM</v>
      </c>
      <c r="Y183" s="20" t="str">
        <f ca="1">Master_List!$AW$11</f>
        <v>HERMETICALLY SEAL</v>
      </c>
      <c r="Z183" s="20" t="str">
        <f ca="1">Master_List!$AW$12</f>
        <v>750kVA</v>
      </c>
      <c r="AA183" s="20" t="str">
        <f ca="1">Master_List!$AW$13</f>
        <v>1317</v>
      </c>
      <c r="AB183" s="20">
        <f ca="1">Master_List!$AW$14</f>
        <v>0</v>
      </c>
      <c r="AC183" s="20">
        <f ca="1">Master_List!$AW$15</f>
        <v>0</v>
      </c>
      <c r="AD183" s="20">
        <f ca="1">Master_List!$AW$16</f>
        <v>0</v>
      </c>
      <c r="AE183" s="20">
        <f ca="1">Master_List!$AW$17</f>
        <v>0</v>
      </c>
      <c r="AF183" s="20" t="str">
        <f ca="1">Master_List!$AW$18</f>
        <v>INDKOM</v>
      </c>
      <c r="AG183" s="20" t="str">
        <f ca="1">Master_List!$AW$19</f>
        <v>J-SLOTTED</v>
      </c>
      <c r="AH183" s="20" t="str">
        <f ca="1">Master_List!$AW$20</f>
        <v>1600A</v>
      </c>
      <c r="AI183" s="20" t="str">
        <f ca="1">Master_List!$AW$21</f>
        <v>LV5080090</v>
      </c>
      <c r="AJ183" s="20" t="str">
        <f ca="1">Master_List!$AW$22</f>
        <v>LVDB TX1</v>
      </c>
      <c r="AK183" s="20">
        <f ca="1">Master_List!$AW$23</f>
        <v>0</v>
      </c>
      <c r="AL183" s="20">
        <f ca="1">Master_List!$AW$24</f>
        <v>0</v>
      </c>
      <c r="AM183" s="20">
        <f ca="1">Master_List!$AW$25</f>
        <v>0</v>
      </c>
      <c r="AN183" s="20">
        <f ca="1">Master_List!$AW$26</f>
        <v>0</v>
      </c>
      <c r="AO183" s="20" t="str">
        <f ca="1">Master_List!$AW$27</f>
        <v>LVDB TX2</v>
      </c>
      <c r="AP183" s="20" t="str">
        <f ca="1">Master_List!$AW$28</f>
        <v>SUNPOWER TECHNOLOGIES</v>
      </c>
      <c r="AQ183" s="20" t="str">
        <f ca="1">Master_List!$AW$29</f>
        <v>SPS 30-10 L</v>
      </c>
      <c r="AR183" s="20" t="str">
        <f ca="1">Master_List!$AW$30</f>
        <v>11193-8527</v>
      </c>
      <c r="AS183" s="20">
        <f ca="1">Master_List!$AW$31</f>
        <v>0</v>
      </c>
      <c r="AT183" s="20">
        <f ca="1">Master_List!$AW$32</f>
        <v>0</v>
      </c>
      <c r="AU183" s="20">
        <f ca="1">Master_List!$AW$33</f>
        <v>0</v>
      </c>
      <c r="AV183" s="20">
        <f ca="1">Master_List!$AW$34</f>
        <v>0</v>
      </c>
      <c r="AW183" s="20">
        <f ca="1">Master_List!$AW$35</f>
        <v>0</v>
      </c>
      <c r="AX183" s="20">
        <f ca="1">Master_List!$AW$36</f>
        <v>0</v>
      </c>
      <c r="AY183" s="20">
        <f ca="1">Master_List!$AW$37</f>
        <v>0</v>
      </c>
      <c r="AZ183" s="20">
        <f ca="1">Master_List!$AW$38</f>
        <v>0</v>
      </c>
      <c r="BA183" s="20">
        <f ca="1">Master_List!$AW$39</f>
        <v>0</v>
      </c>
      <c r="BB183" s="20" t="s">
        <v>2240</v>
      </c>
      <c r="BC183" s="20" t="s">
        <v>2241</v>
      </c>
      <c r="BD183" s="6" t="s">
        <v>1744</v>
      </c>
      <c r="BE183" s="6" t="s">
        <v>1841</v>
      </c>
      <c r="BF183" s="6" t="s">
        <v>1748</v>
      </c>
      <c r="BG183" s="6" t="str">
        <f t="shared" si="2"/>
        <v>C:\Users\aremi\Desktop\REPORT CBM\PO 42289580 - Pahang 11kV SECOND CYCLE AZZAD 2026\RAW MATERIAL\047. TNB BARU (IR+VI)\RAW DATA\IR</v>
      </c>
      <c r="BH183" s="24" t="s">
        <v>717</v>
      </c>
    </row>
    <row r="184" spans="1:60" ht="30" customHeight="1" x14ac:dyDescent="0.25">
      <c r="A184" s="6">
        <v>92</v>
      </c>
      <c r="B184" s="6" t="s">
        <v>1567</v>
      </c>
      <c r="C184" s="6">
        <v>1</v>
      </c>
      <c r="D184" s="6" t="s">
        <v>2244</v>
      </c>
      <c r="E184" s="6">
        <v>92</v>
      </c>
      <c r="F184" s="6" t="str">
        <f ca="1">Master_List!$AW$1</f>
        <v>PERPUSTAKAAN PUSAT</v>
      </c>
      <c r="G184" s="27" t="str">
        <f ca="1">Master_List!$AW$2</f>
        <v>09:30 PM</v>
      </c>
      <c r="H184" s="32" t="str">
        <f ca="1">Master_List!$AW$3</f>
        <v>20/07/2026</v>
      </c>
      <c r="I184" s="28" t="str">
        <f ca="1">Master_List!$AW$4</f>
        <v>28.5</v>
      </c>
      <c r="J184" s="6" t="str">
        <f ca="1">Master_List!$AW$5</f>
        <v>65</v>
      </c>
      <c r="K184" s="6" t="s">
        <v>591</v>
      </c>
      <c r="L184" s="21" t="str">
        <f ca="1">IFERROR(VLOOKUP(B184, Master_List!$A:$I, 2, FALSE), "-")</f>
        <v/>
      </c>
      <c r="M184" s="22" t="str">
        <f ca="1">IFERROR(VLOOKUP(B184, Master_List!$A:$I, 3, FALSE), "-")</f>
        <v/>
      </c>
      <c r="N184" s="22" t="str">
        <f ca="1">IFERROR(VLOOKUP(B184, Master_List!$A:$I, 4, FALSE), "-")</f>
        <v/>
      </c>
      <c r="O184" s="22" t="str">
        <f ca="1">IFERROR(VLOOKUP(B184, Master_List!$A:$I, 5, FALSE), "-")</f>
        <v/>
      </c>
      <c r="P184" s="22" t="str">
        <f ca="1">IFERROR(VLOOKUP(B184, Master_List!$A:$I, 6, FALSE), "-")</f>
        <v/>
      </c>
      <c r="Q184" s="22" t="str">
        <f ca="1">IFERROR(VLOOKUP(B184, Master_List!$A:$I, 7, FALSE), "-")</f>
        <v/>
      </c>
      <c r="R184" s="22" t="str">
        <f ca="1">IFERROR(VLOOKUP(B184, Master_List!$A:$I, 8, FALSE), "-")</f>
        <v/>
      </c>
      <c r="S184" s="22" t="str">
        <f ca="1">IFERROR(VLOOKUP(B184, Master_List!$A:$I, 9, FALSE), "-")</f>
        <v/>
      </c>
      <c r="T184" s="20" t="str">
        <f ca="1">Master_List!$AW$6</f>
        <v>TOSHIBA</v>
      </c>
      <c r="U184" s="20" t="str">
        <f ca="1">Master_List!$AW$7</f>
        <v>MRMU</v>
      </c>
      <c r="V184" s="20" t="str">
        <f ca="1">Master_List!$AW$8</f>
        <v>12kV</v>
      </c>
      <c r="W184" s="20" t="str">
        <f ca="1">Master_List!$AW$9</f>
        <v>2S1F</v>
      </c>
      <c r="X184" s="20" t="str">
        <f ca="1">Master_List!$AW$10</f>
        <v>MTM</v>
      </c>
      <c r="Y184" s="20" t="str">
        <f ca="1">Master_List!$AW$11</f>
        <v>HERMETICALLY SEAL</v>
      </c>
      <c r="Z184" s="20" t="str">
        <f ca="1">Master_List!$AW$12</f>
        <v>750kVA</v>
      </c>
      <c r="AA184" s="20" t="str">
        <f ca="1">Master_List!$AW$13</f>
        <v>1317</v>
      </c>
      <c r="AB184" s="20">
        <f ca="1">Master_List!$AW$14</f>
        <v>0</v>
      </c>
      <c r="AC184" s="20">
        <f ca="1">Master_List!$AW$15</f>
        <v>0</v>
      </c>
      <c r="AD184" s="20">
        <f ca="1">Master_List!$AW$16</f>
        <v>0</v>
      </c>
      <c r="AE184" s="20">
        <f ca="1">Master_List!$AW$17</f>
        <v>0</v>
      </c>
      <c r="AF184" s="20" t="str">
        <f ca="1">Master_List!$AW$18</f>
        <v>INDKOM</v>
      </c>
      <c r="AG184" s="20" t="str">
        <f ca="1">Master_List!$AW$19</f>
        <v>J-SLOTTED</v>
      </c>
      <c r="AH184" s="20" t="str">
        <f ca="1">Master_List!$AW$20</f>
        <v>1600A</v>
      </c>
      <c r="AI184" s="20" t="str">
        <f ca="1">Master_List!$AW$21</f>
        <v>LV5080090</v>
      </c>
      <c r="AJ184" s="20" t="str">
        <f ca="1">Master_List!$AW$22</f>
        <v>LVDB TX1</v>
      </c>
      <c r="AK184" s="20">
        <f ca="1">Master_List!$AW$23</f>
        <v>0</v>
      </c>
      <c r="AL184" s="20">
        <f ca="1">Master_List!$AW$24</f>
        <v>0</v>
      </c>
      <c r="AM184" s="20">
        <f ca="1">Master_List!$AW$25</f>
        <v>0</v>
      </c>
      <c r="AN184" s="20">
        <f ca="1">Master_List!$AW$26</f>
        <v>0</v>
      </c>
      <c r="AO184" s="20" t="str">
        <f ca="1">Master_List!$AW$27</f>
        <v>LVDB TX2</v>
      </c>
      <c r="AP184" s="20" t="str">
        <f ca="1">Master_List!$AW$28</f>
        <v>SUNPOWER TECHNOLOGIES</v>
      </c>
      <c r="AQ184" s="20" t="str">
        <f ca="1">Master_List!$AW$29</f>
        <v>SPS 30-10 L</v>
      </c>
      <c r="AR184" s="20" t="str">
        <f ca="1">Master_List!$AW$30</f>
        <v>11193-8527</v>
      </c>
      <c r="AS184" s="20">
        <f ca="1">Master_List!$AW$31</f>
        <v>0</v>
      </c>
      <c r="AT184" s="20">
        <f ca="1">Master_List!$AW$32</f>
        <v>0</v>
      </c>
      <c r="AU184" s="20">
        <f ca="1">Master_List!$AW$33</f>
        <v>0</v>
      </c>
      <c r="AV184" s="20">
        <f ca="1">Master_List!$AW$34</f>
        <v>0</v>
      </c>
      <c r="AW184" s="20">
        <f ca="1">Master_List!$AW$35</f>
        <v>0</v>
      </c>
      <c r="AX184" s="20">
        <f ca="1">Master_List!$AW$36</f>
        <v>0</v>
      </c>
      <c r="AY184" s="20">
        <f ca="1">Master_List!$AW$37</f>
        <v>0</v>
      </c>
      <c r="AZ184" s="20">
        <f ca="1">Master_List!$AW$38</f>
        <v>0</v>
      </c>
      <c r="BA184" s="20">
        <f ca="1">Master_List!$AW$39</f>
        <v>0</v>
      </c>
      <c r="BB184" s="20" t="s">
        <v>2240</v>
      </c>
      <c r="BC184" s="20" t="s">
        <v>2241</v>
      </c>
      <c r="BD184" s="6" t="s">
        <v>1744</v>
      </c>
      <c r="BE184" s="6" t="s">
        <v>1842</v>
      </c>
      <c r="BF184" s="6" t="s">
        <v>1746</v>
      </c>
      <c r="BG184" s="6" t="str">
        <f t="shared" si="2"/>
        <v>C:\Users\aremi\Desktop\REPORT CBM\PO 42289580 - Pahang 11kV SECOND CYCLE AZZAD 2026\RAW MATERIAL\047. TNB BARU (IR+VI)\RAW DATA\IR</v>
      </c>
      <c r="BH184" s="24" t="s">
        <v>718</v>
      </c>
    </row>
    <row r="185" spans="1:60" ht="30" customHeight="1" x14ac:dyDescent="0.25">
      <c r="A185" s="6">
        <v>92</v>
      </c>
      <c r="B185" s="6" t="s">
        <v>1567</v>
      </c>
      <c r="C185" s="6">
        <v>1</v>
      </c>
      <c r="D185" s="6" t="s">
        <v>2244</v>
      </c>
      <c r="E185" s="6">
        <v>92</v>
      </c>
      <c r="F185" s="6" t="str">
        <f ca="1">Master_List!$AW$1</f>
        <v>PERPUSTAKAAN PUSAT</v>
      </c>
      <c r="G185" s="27" t="str">
        <f ca="1">Master_List!$AW$2</f>
        <v>09:30 PM</v>
      </c>
      <c r="H185" s="32" t="str">
        <f ca="1">Master_List!$AW$3</f>
        <v>20/07/2026</v>
      </c>
      <c r="I185" s="28" t="str">
        <f ca="1">Master_List!$AW$4</f>
        <v>28.5</v>
      </c>
      <c r="J185" s="6" t="str">
        <f ca="1">Master_List!$AW$5</f>
        <v>65</v>
      </c>
      <c r="K185" s="6" t="s">
        <v>591</v>
      </c>
      <c r="L185" s="21" t="str">
        <f ca="1">IFERROR(VLOOKUP(B185, Master_List!$A:$I, 2, FALSE), "-")</f>
        <v/>
      </c>
      <c r="M185" s="22" t="str">
        <f ca="1">IFERROR(VLOOKUP(B185, Master_List!$A:$I, 3, FALSE), "-")</f>
        <v/>
      </c>
      <c r="N185" s="22" t="str">
        <f ca="1">IFERROR(VLOOKUP(B185, Master_List!$A:$I, 4, FALSE), "-")</f>
        <v/>
      </c>
      <c r="O185" s="22" t="str">
        <f ca="1">IFERROR(VLOOKUP(B185, Master_List!$A:$I, 5, FALSE), "-")</f>
        <v/>
      </c>
      <c r="P185" s="22" t="str">
        <f ca="1">IFERROR(VLOOKUP(B185, Master_List!$A:$I, 6, FALSE), "-")</f>
        <v/>
      </c>
      <c r="Q185" s="22" t="str">
        <f ca="1">IFERROR(VLOOKUP(B185, Master_List!$A:$I, 7, FALSE), "-")</f>
        <v/>
      </c>
      <c r="R185" s="22" t="str">
        <f ca="1">IFERROR(VLOOKUP(B185, Master_List!$A:$I, 8, FALSE), "-")</f>
        <v/>
      </c>
      <c r="S185" s="22" t="str">
        <f ca="1">IFERROR(VLOOKUP(B185, Master_List!$A:$I, 9, FALSE), "-")</f>
        <v/>
      </c>
      <c r="T185" s="20" t="str">
        <f ca="1">Master_List!$AW$6</f>
        <v>TOSHIBA</v>
      </c>
      <c r="U185" s="20" t="str">
        <f ca="1">Master_List!$AW$7</f>
        <v>MRMU</v>
      </c>
      <c r="V185" s="20" t="str">
        <f ca="1">Master_List!$AW$8</f>
        <v>12kV</v>
      </c>
      <c r="W185" s="20" t="str">
        <f ca="1">Master_List!$AW$9</f>
        <v>2S1F</v>
      </c>
      <c r="X185" s="20" t="str">
        <f ca="1">Master_List!$AW$10</f>
        <v>MTM</v>
      </c>
      <c r="Y185" s="20" t="str">
        <f ca="1">Master_List!$AW$11</f>
        <v>HERMETICALLY SEAL</v>
      </c>
      <c r="Z185" s="20" t="str">
        <f ca="1">Master_List!$AW$12</f>
        <v>750kVA</v>
      </c>
      <c r="AA185" s="20" t="str">
        <f ca="1">Master_List!$AW$13</f>
        <v>1317</v>
      </c>
      <c r="AB185" s="20">
        <f ca="1">Master_List!$AW$14</f>
        <v>0</v>
      </c>
      <c r="AC185" s="20">
        <f ca="1">Master_List!$AW$15</f>
        <v>0</v>
      </c>
      <c r="AD185" s="20">
        <f ca="1">Master_List!$AW$16</f>
        <v>0</v>
      </c>
      <c r="AE185" s="20">
        <f ca="1">Master_List!$AW$17</f>
        <v>0</v>
      </c>
      <c r="AF185" s="20" t="str">
        <f ca="1">Master_List!$AW$18</f>
        <v>INDKOM</v>
      </c>
      <c r="AG185" s="20" t="str">
        <f ca="1">Master_List!$AW$19</f>
        <v>J-SLOTTED</v>
      </c>
      <c r="AH185" s="20" t="str">
        <f ca="1">Master_List!$AW$20</f>
        <v>1600A</v>
      </c>
      <c r="AI185" s="20" t="str">
        <f ca="1">Master_List!$AW$21</f>
        <v>LV5080090</v>
      </c>
      <c r="AJ185" s="20" t="str">
        <f ca="1">Master_List!$AW$22</f>
        <v>LVDB TX1</v>
      </c>
      <c r="AK185" s="20">
        <f ca="1">Master_List!$AW$23</f>
        <v>0</v>
      </c>
      <c r="AL185" s="20">
        <f ca="1">Master_List!$AW$24</f>
        <v>0</v>
      </c>
      <c r="AM185" s="20">
        <f ca="1">Master_List!$AW$25</f>
        <v>0</v>
      </c>
      <c r="AN185" s="20">
        <f ca="1">Master_List!$AW$26</f>
        <v>0</v>
      </c>
      <c r="AO185" s="20" t="str">
        <f ca="1">Master_List!$AW$27</f>
        <v>LVDB TX2</v>
      </c>
      <c r="AP185" s="20" t="str">
        <f ca="1">Master_List!$AW$28</f>
        <v>SUNPOWER TECHNOLOGIES</v>
      </c>
      <c r="AQ185" s="20" t="str">
        <f ca="1">Master_List!$AW$29</f>
        <v>SPS 30-10 L</v>
      </c>
      <c r="AR185" s="20" t="str">
        <f ca="1">Master_List!$AW$30</f>
        <v>11193-8527</v>
      </c>
      <c r="AS185" s="20">
        <f ca="1">Master_List!$AW$31</f>
        <v>0</v>
      </c>
      <c r="AT185" s="20">
        <f ca="1">Master_List!$AW$32</f>
        <v>0</v>
      </c>
      <c r="AU185" s="20">
        <f ca="1">Master_List!$AW$33</f>
        <v>0</v>
      </c>
      <c r="AV185" s="20">
        <f ca="1">Master_List!$AW$34</f>
        <v>0</v>
      </c>
      <c r="AW185" s="20">
        <f ca="1">Master_List!$AW$35</f>
        <v>0</v>
      </c>
      <c r="AX185" s="20">
        <f ca="1">Master_List!$AW$36</f>
        <v>0</v>
      </c>
      <c r="AY185" s="20">
        <f ca="1">Master_List!$AW$37</f>
        <v>0</v>
      </c>
      <c r="AZ185" s="20">
        <f ca="1">Master_List!$AW$38</f>
        <v>0</v>
      </c>
      <c r="BA185" s="20">
        <f ca="1">Master_List!$AW$39</f>
        <v>0</v>
      </c>
      <c r="BB185" s="20" t="s">
        <v>2240</v>
      </c>
      <c r="BC185" s="20" t="s">
        <v>2241</v>
      </c>
      <c r="BD185" s="6" t="s">
        <v>1744</v>
      </c>
      <c r="BE185" s="6" t="s">
        <v>1842</v>
      </c>
      <c r="BF185" s="6" t="s">
        <v>1748</v>
      </c>
      <c r="BG185" s="6" t="str">
        <f t="shared" si="2"/>
        <v>C:\Users\aremi\Desktop\REPORT CBM\PO 42289580 - Pahang 11kV SECOND CYCLE AZZAD 2026\RAW MATERIAL\047. TNB BARU (IR+VI)\RAW DATA\IR</v>
      </c>
      <c r="BH185" s="24" t="s">
        <v>719</v>
      </c>
    </row>
    <row r="186" spans="1:60" ht="30" customHeight="1" x14ac:dyDescent="0.25">
      <c r="A186" s="6">
        <v>93</v>
      </c>
      <c r="B186" s="6" t="s">
        <v>1587</v>
      </c>
      <c r="C186" s="6">
        <v>1</v>
      </c>
      <c r="D186" s="6" t="s">
        <v>2242</v>
      </c>
      <c r="E186" s="6">
        <v>93</v>
      </c>
      <c r="F186" s="6" t="str">
        <f ca="1">Master_List!$AW$1</f>
        <v>PERPUSTAKAAN PUSAT</v>
      </c>
      <c r="G186" s="27" t="str">
        <f ca="1">Master_List!$AW$2</f>
        <v>09:30 PM</v>
      </c>
      <c r="H186" s="32" t="str">
        <f ca="1">Master_List!$AW$3</f>
        <v>20/07/2026</v>
      </c>
      <c r="I186" s="28" t="str">
        <f ca="1">Master_List!$AW$4</f>
        <v>28.5</v>
      </c>
      <c r="J186" s="6" t="str">
        <f ca="1">Master_List!$AW$5</f>
        <v>65</v>
      </c>
      <c r="K186" s="6" t="s">
        <v>570</v>
      </c>
      <c r="L186" s="21" t="str">
        <f ca="1">IFERROR(VLOOKUP(B186, Master_List!$A:$I, 2, FALSE), "-")</f>
        <v/>
      </c>
      <c r="M186" s="22" t="str">
        <f ca="1">IFERROR(VLOOKUP(B186, Master_List!$A:$I, 3, FALSE), "-")</f>
        <v/>
      </c>
      <c r="N186" s="22" t="str">
        <f ca="1">IFERROR(VLOOKUP(B186, Master_List!$A:$I, 4, FALSE), "-")</f>
        <v/>
      </c>
      <c r="O186" s="22" t="str">
        <f ca="1">IFERROR(VLOOKUP(B186, Master_List!$A:$I, 5, FALSE), "-")</f>
        <v/>
      </c>
      <c r="P186" s="22" t="str">
        <f ca="1">IFERROR(VLOOKUP(B186, Master_List!$A:$I, 6, FALSE), "-")</f>
        <v/>
      </c>
      <c r="Q186" s="22" t="str">
        <f ca="1">IFERROR(VLOOKUP(B186, Master_List!$A:$I, 7, FALSE), "-")</f>
        <v/>
      </c>
      <c r="R186" s="22" t="str">
        <f ca="1">IFERROR(VLOOKUP(B186, Master_List!$A:$I, 8, FALSE), "-")</f>
        <v/>
      </c>
      <c r="S186" s="22" t="str">
        <f ca="1">IFERROR(VLOOKUP(B186, Master_List!$A:$I, 9, FALSE), "-")</f>
        <v/>
      </c>
      <c r="T186" s="20" t="str">
        <f ca="1">Master_List!$AW$6</f>
        <v>TOSHIBA</v>
      </c>
      <c r="U186" s="20" t="str">
        <f ca="1">Master_List!$AW$7</f>
        <v>MRMU</v>
      </c>
      <c r="V186" s="20" t="str">
        <f ca="1">Master_List!$AW$8</f>
        <v>12kV</v>
      </c>
      <c r="W186" s="20" t="str">
        <f ca="1">Master_List!$AW$9</f>
        <v>2S1F</v>
      </c>
      <c r="X186" s="20" t="str">
        <f ca="1">Master_List!$AW$10</f>
        <v>MTM</v>
      </c>
      <c r="Y186" s="20" t="str">
        <f ca="1">Master_List!$AW$11</f>
        <v>HERMETICALLY SEAL</v>
      </c>
      <c r="Z186" s="20" t="str">
        <f ca="1">Master_List!$AW$12</f>
        <v>750kVA</v>
      </c>
      <c r="AA186" s="20" t="str">
        <f ca="1">Master_List!$AW$13</f>
        <v>1317</v>
      </c>
      <c r="AB186" s="20">
        <f ca="1">Master_List!$AW$14</f>
        <v>0</v>
      </c>
      <c r="AC186" s="20">
        <f ca="1">Master_List!$AW$15</f>
        <v>0</v>
      </c>
      <c r="AD186" s="20">
        <f ca="1">Master_List!$AW$16</f>
        <v>0</v>
      </c>
      <c r="AE186" s="20">
        <f ca="1">Master_List!$AW$17</f>
        <v>0</v>
      </c>
      <c r="AF186" s="20" t="str">
        <f ca="1">Master_List!$AW$18</f>
        <v>INDKOM</v>
      </c>
      <c r="AG186" s="20" t="str">
        <f ca="1">Master_List!$AW$19</f>
        <v>J-SLOTTED</v>
      </c>
      <c r="AH186" s="20" t="str">
        <f ca="1">Master_List!$AW$20</f>
        <v>1600A</v>
      </c>
      <c r="AI186" s="20" t="str">
        <f ca="1">Master_List!$AW$21</f>
        <v>LV5080090</v>
      </c>
      <c r="AJ186" s="20" t="str">
        <f ca="1">Master_List!$AW$22</f>
        <v>LVDB TX1</v>
      </c>
      <c r="AK186" s="20">
        <f ca="1">Master_List!$AW$23</f>
        <v>0</v>
      </c>
      <c r="AL186" s="20">
        <f ca="1">Master_List!$AW$24</f>
        <v>0</v>
      </c>
      <c r="AM186" s="20">
        <f ca="1">Master_List!$AW$25</f>
        <v>0</v>
      </c>
      <c r="AN186" s="20">
        <f ca="1">Master_List!$AW$26</f>
        <v>0</v>
      </c>
      <c r="AO186" s="20" t="str">
        <f ca="1">Master_List!$AW$27</f>
        <v>LVDB TX2</v>
      </c>
      <c r="AP186" s="20" t="str">
        <f ca="1">Master_List!$AW$28</f>
        <v>SUNPOWER TECHNOLOGIES</v>
      </c>
      <c r="AQ186" s="20" t="str">
        <f ca="1">Master_List!$AW$29</f>
        <v>SPS 30-10 L</v>
      </c>
      <c r="AR186" s="20" t="str">
        <f ca="1">Master_List!$AW$30</f>
        <v>11193-8527</v>
      </c>
      <c r="AS186" s="20">
        <f ca="1">Master_List!$AW$31</f>
        <v>0</v>
      </c>
      <c r="AT186" s="20">
        <f ca="1">Master_List!$AW$32</f>
        <v>0</v>
      </c>
      <c r="AU186" s="20">
        <f ca="1">Master_List!$AW$33</f>
        <v>0</v>
      </c>
      <c r="AV186" s="20">
        <f ca="1">Master_List!$AW$34</f>
        <v>0</v>
      </c>
      <c r="AW186" s="20">
        <f ca="1">Master_List!$AW$35</f>
        <v>0</v>
      </c>
      <c r="AX186" s="20">
        <f ca="1">Master_List!$AW$36</f>
        <v>0</v>
      </c>
      <c r="AY186" s="20">
        <f ca="1">Master_List!$AW$37</f>
        <v>0</v>
      </c>
      <c r="AZ186" s="20">
        <f ca="1">Master_List!$AW$38</f>
        <v>0</v>
      </c>
      <c r="BA186" s="20">
        <f ca="1">Master_List!$AW$39</f>
        <v>0</v>
      </c>
      <c r="BB186" s="20" t="s">
        <v>2240</v>
      </c>
      <c r="BC186" s="20" t="s">
        <v>2241</v>
      </c>
      <c r="BD186" s="6" t="s">
        <v>1744</v>
      </c>
      <c r="BE186" s="6" t="s">
        <v>1843</v>
      </c>
      <c r="BF186" s="6" t="s">
        <v>1746</v>
      </c>
      <c r="BG186" s="6" t="str">
        <f t="shared" si="2"/>
        <v>C:\Users\aremi\Desktop\REPORT CBM\PO 42289580 - Pahang 11kV SECOND CYCLE AZZAD 2026\RAW MATERIAL\047. TNB BARU (IR+VI)\RAW DATA\IR</v>
      </c>
      <c r="BH186" s="24" t="s">
        <v>720</v>
      </c>
    </row>
    <row r="187" spans="1:60" ht="30" customHeight="1" x14ac:dyDescent="0.25">
      <c r="A187" s="6">
        <v>93</v>
      </c>
      <c r="B187" s="6" t="s">
        <v>1587</v>
      </c>
      <c r="C187" s="6">
        <v>1</v>
      </c>
      <c r="D187" s="6" t="s">
        <v>2242</v>
      </c>
      <c r="E187" s="6">
        <v>93</v>
      </c>
      <c r="F187" s="6" t="str">
        <f ca="1">Master_List!$AW$1</f>
        <v>PERPUSTAKAAN PUSAT</v>
      </c>
      <c r="G187" s="27" t="str">
        <f ca="1">Master_List!$AW$2</f>
        <v>09:30 PM</v>
      </c>
      <c r="H187" s="32" t="str">
        <f ca="1">Master_List!$AW$3</f>
        <v>20/07/2026</v>
      </c>
      <c r="I187" s="28" t="str">
        <f ca="1">Master_List!$AW$4</f>
        <v>28.5</v>
      </c>
      <c r="J187" s="6" t="str">
        <f ca="1">Master_List!$AW$5</f>
        <v>65</v>
      </c>
      <c r="K187" s="6" t="s">
        <v>570</v>
      </c>
      <c r="L187" s="21" t="str">
        <f ca="1">IFERROR(VLOOKUP(B187, Master_List!$A:$I, 2, FALSE), "-")</f>
        <v/>
      </c>
      <c r="M187" s="22" t="str">
        <f ca="1">IFERROR(VLOOKUP(B187, Master_List!$A:$I, 3, FALSE), "-")</f>
        <v/>
      </c>
      <c r="N187" s="22" t="str">
        <f ca="1">IFERROR(VLOOKUP(B187, Master_List!$A:$I, 4, FALSE), "-")</f>
        <v/>
      </c>
      <c r="O187" s="22" t="str">
        <f ca="1">IFERROR(VLOOKUP(B187, Master_List!$A:$I, 5, FALSE), "-")</f>
        <v/>
      </c>
      <c r="P187" s="22" t="str">
        <f ca="1">IFERROR(VLOOKUP(B187, Master_List!$A:$I, 6, FALSE), "-")</f>
        <v/>
      </c>
      <c r="Q187" s="22" t="str">
        <f ca="1">IFERROR(VLOOKUP(B187, Master_List!$A:$I, 7, FALSE), "-")</f>
        <v/>
      </c>
      <c r="R187" s="22" t="str">
        <f ca="1">IFERROR(VLOOKUP(B187, Master_List!$A:$I, 8, FALSE), "-")</f>
        <v/>
      </c>
      <c r="S187" s="22" t="str">
        <f ca="1">IFERROR(VLOOKUP(B187, Master_List!$A:$I, 9, FALSE), "-")</f>
        <v/>
      </c>
      <c r="T187" s="20" t="str">
        <f ca="1">Master_List!$AW$6</f>
        <v>TOSHIBA</v>
      </c>
      <c r="U187" s="20" t="str">
        <f ca="1">Master_List!$AW$7</f>
        <v>MRMU</v>
      </c>
      <c r="V187" s="20" t="str">
        <f ca="1">Master_List!$AW$8</f>
        <v>12kV</v>
      </c>
      <c r="W187" s="20" t="str">
        <f ca="1">Master_List!$AW$9</f>
        <v>2S1F</v>
      </c>
      <c r="X187" s="20" t="str">
        <f ca="1">Master_List!$AW$10</f>
        <v>MTM</v>
      </c>
      <c r="Y187" s="20" t="str">
        <f ca="1">Master_List!$AW$11</f>
        <v>HERMETICALLY SEAL</v>
      </c>
      <c r="Z187" s="20" t="str">
        <f ca="1">Master_List!$AW$12</f>
        <v>750kVA</v>
      </c>
      <c r="AA187" s="20" t="str">
        <f ca="1">Master_List!$AW$13</f>
        <v>1317</v>
      </c>
      <c r="AB187" s="20">
        <f ca="1">Master_List!$AW$14</f>
        <v>0</v>
      </c>
      <c r="AC187" s="20">
        <f ca="1">Master_List!$AW$15</f>
        <v>0</v>
      </c>
      <c r="AD187" s="20">
        <f ca="1">Master_List!$AW$16</f>
        <v>0</v>
      </c>
      <c r="AE187" s="20">
        <f ca="1">Master_List!$AW$17</f>
        <v>0</v>
      </c>
      <c r="AF187" s="20" t="str">
        <f ca="1">Master_List!$AW$18</f>
        <v>INDKOM</v>
      </c>
      <c r="AG187" s="20" t="str">
        <f ca="1">Master_List!$AW$19</f>
        <v>J-SLOTTED</v>
      </c>
      <c r="AH187" s="20" t="str">
        <f ca="1">Master_List!$AW$20</f>
        <v>1600A</v>
      </c>
      <c r="AI187" s="20" t="str">
        <f ca="1">Master_List!$AW$21</f>
        <v>LV5080090</v>
      </c>
      <c r="AJ187" s="20" t="str">
        <f ca="1">Master_List!$AW$22</f>
        <v>LVDB TX1</v>
      </c>
      <c r="AK187" s="20">
        <f ca="1">Master_List!$AW$23</f>
        <v>0</v>
      </c>
      <c r="AL187" s="20">
        <f ca="1">Master_List!$AW$24</f>
        <v>0</v>
      </c>
      <c r="AM187" s="20">
        <f ca="1">Master_List!$AW$25</f>
        <v>0</v>
      </c>
      <c r="AN187" s="20">
        <f ca="1">Master_List!$AW$26</f>
        <v>0</v>
      </c>
      <c r="AO187" s="20" t="str">
        <f ca="1">Master_List!$AW$27</f>
        <v>LVDB TX2</v>
      </c>
      <c r="AP187" s="20" t="str">
        <f ca="1">Master_List!$AW$28</f>
        <v>SUNPOWER TECHNOLOGIES</v>
      </c>
      <c r="AQ187" s="20" t="str">
        <f ca="1">Master_List!$AW$29</f>
        <v>SPS 30-10 L</v>
      </c>
      <c r="AR187" s="20" t="str">
        <f ca="1">Master_List!$AW$30</f>
        <v>11193-8527</v>
      </c>
      <c r="AS187" s="20">
        <f ca="1">Master_List!$AW$31</f>
        <v>0</v>
      </c>
      <c r="AT187" s="20">
        <f ca="1">Master_List!$AW$32</f>
        <v>0</v>
      </c>
      <c r="AU187" s="20">
        <f ca="1">Master_List!$AW$33</f>
        <v>0</v>
      </c>
      <c r="AV187" s="20">
        <f ca="1">Master_List!$AW$34</f>
        <v>0</v>
      </c>
      <c r="AW187" s="20">
        <f ca="1">Master_List!$AW$35</f>
        <v>0</v>
      </c>
      <c r="AX187" s="20">
        <f ca="1">Master_List!$AW$36</f>
        <v>0</v>
      </c>
      <c r="AY187" s="20">
        <f ca="1">Master_List!$AW$37</f>
        <v>0</v>
      </c>
      <c r="AZ187" s="20">
        <f ca="1">Master_List!$AW$38</f>
        <v>0</v>
      </c>
      <c r="BA187" s="20">
        <f ca="1">Master_List!$AW$39</f>
        <v>0</v>
      </c>
      <c r="BB187" s="20" t="s">
        <v>2240</v>
      </c>
      <c r="BC187" s="20" t="s">
        <v>2241</v>
      </c>
      <c r="BD187" s="6" t="s">
        <v>1744</v>
      </c>
      <c r="BE187" s="6" t="s">
        <v>1843</v>
      </c>
      <c r="BF187" s="6" t="s">
        <v>1748</v>
      </c>
      <c r="BG187" s="6" t="str">
        <f t="shared" si="2"/>
        <v>C:\Users\aremi\Desktop\REPORT CBM\PO 42289580 - Pahang 11kV SECOND CYCLE AZZAD 2026\RAW MATERIAL\047. TNB BARU (IR+VI)\RAW DATA\IR</v>
      </c>
      <c r="BH187" s="24" t="s">
        <v>721</v>
      </c>
    </row>
    <row r="188" spans="1:60" ht="30" customHeight="1" x14ac:dyDescent="0.25">
      <c r="A188" s="6">
        <v>94</v>
      </c>
      <c r="B188" s="6" t="s">
        <v>1587</v>
      </c>
      <c r="C188" s="6">
        <v>1</v>
      </c>
      <c r="D188" s="6" t="s">
        <v>2242</v>
      </c>
      <c r="E188" s="6">
        <v>94</v>
      </c>
      <c r="F188" s="6" t="str">
        <f ca="1">Master_List!$AW$1</f>
        <v>PERPUSTAKAAN PUSAT</v>
      </c>
      <c r="G188" s="27" t="str">
        <f ca="1">Master_List!$AW$2</f>
        <v>09:30 PM</v>
      </c>
      <c r="H188" s="32" t="str">
        <f ca="1">Master_List!$AW$3</f>
        <v>20/07/2026</v>
      </c>
      <c r="I188" s="28" t="str">
        <f ca="1">Master_List!$AW$4</f>
        <v>28.5</v>
      </c>
      <c r="J188" s="6" t="str">
        <f ca="1">Master_List!$AW$5</f>
        <v>65</v>
      </c>
      <c r="K188" s="6" t="s">
        <v>573</v>
      </c>
      <c r="L188" s="21" t="str">
        <f ca="1">IFERROR(VLOOKUP(B188, Master_List!$A:$I, 2, FALSE), "-")</f>
        <v/>
      </c>
      <c r="M188" s="22" t="str">
        <f ca="1">IFERROR(VLOOKUP(B188, Master_List!$A:$I, 3, FALSE), "-")</f>
        <v/>
      </c>
      <c r="N188" s="22" t="str">
        <f ca="1">IFERROR(VLOOKUP(B188, Master_List!$A:$I, 4, FALSE), "-")</f>
        <v/>
      </c>
      <c r="O188" s="22" t="str">
        <f ca="1">IFERROR(VLOOKUP(B188, Master_List!$A:$I, 5, FALSE), "-")</f>
        <v/>
      </c>
      <c r="P188" s="22" t="str">
        <f ca="1">IFERROR(VLOOKUP(B188, Master_List!$A:$I, 6, FALSE), "-")</f>
        <v/>
      </c>
      <c r="Q188" s="22" t="str">
        <f ca="1">IFERROR(VLOOKUP(B188, Master_List!$A:$I, 7, FALSE), "-")</f>
        <v/>
      </c>
      <c r="R188" s="22" t="str">
        <f ca="1">IFERROR(VLOOKUP(B188, Master_List!$A:$I, 8, FALSE), "-")</f>
        <v/>
      </c>
      <c r="S188" s="22" t="str">
        <f ca="1">IFERROR(VLOOKUP(B188, Master_List!$A:$I, 9, FALSE), "-")</f>
        <v/>
      </c>
      <c r="T188" s="20" t="str">
        <f ca="1">Master_List!$AW$6</f>
        <v>TOSHIBA</v>
      </c>
      <c r="U188" s="20" t="str">
        <f ca="1">Master_List!$AW$7</f>
        <v>MRMU</v>
      </c>
      <c r="V188" s="20" t="str">
        <f ca="1">Master_List!$AW$8</f>
        <v>12kV</v>
      </c>
      <c r="W188" s="20" t="str">
        <f ca="1">Master_List!$AW$9</f>
        <v>2S1F</v>
      </c>
      <c r="X188" s="20" t="str">
        <f ca="1">Master_List!$AW$10</f>
        <v>MTM</v>
      </c>
      <c r="Y188" s="20" t="str">
        <f ca="1">Master_List!$AW$11</f>
        <v>HERMETICALLY SEAL</v>
      </c>
      <c r="Z188" s="20" t="str">
        <f ca="1">Master_List!$AW$12</f>
        <v>750kVA</v>
      </c>
      <c r="AA188" s="20" t="str">
        <f ca="1">Master_List!$AW$13</f>
        <v>1317</v>
      </c>
      <c r="AB188" s="20">
        <f ca="1">Master_List!$AW$14</f>
        <v>0</v>
      </c>
      <c r="AC188" s="20">
        <f ca="1">Master_List!$AW$15</f>
        <v>0</v>
      </c>
      <c r="AD188" s="20">
        <f ca="1">Master_List!$AW$16</f>
        <v>0</v>
      </c>
      <c r="AE188" s="20">
        <f ca="1">Master_List!$AW$17</f>
        <v>0</v>
      </c>
      <c r="AF188" s="20" t="str">
        <f ca="1">Master_List!$AW$18</f>
        <v>INDKOM</v>
      </c>
      <c r="AG188" s="20" t="str">
        <f ca="1">Master_List!$AW$19</f>
        <v>J-SLOTTED</v>
      </c>
      <c r="AH188" s="20" t="str">
        <f ca="1">Master_List!$AW$20</f>
        <v>1600A</v>
      </c>
      <c r="AI188" s="20" t="str">
        <f ca="1">Master_List!$AW$21</f>
        <v>LV5080090</v>
      </c>
      <c r="AJ188" s="20" t="str">
        <f ca="1">Master_List!$AW$22</f>
        <v>LVDB TX1</v>
      </c>
      <c r="AK188" s="20">
        <f ca="1">Master_List!$AW$23</f>
        <v>0</v>
      </c>
      <c r="AL188" s="20">
        <f ca="1">Master_List!$AW$24</f>
        <v>0</v>
      </c>
      <c r="AM188" s="20">
        <f ca="1">Master_List!$AW$25</f>
        <v>0</v>
      </c>
      <c r="AN188" s="20">
        <f ca="1">Master_List!$AW$26</f>
        <v>0</v>
      </c>
      <c r="AO188" s="20" t="str">
        <f ca="1">Master_List!$AW$27</f>
        <v>LVDB TX2</v>
      </c>
      <c r="AP188" s="20" t="str">
        <f ca="1">Master_List!$AW$28</f>
        <v>SUNPOWER TECHNOLOGIES</v>
      </c>
      <c r="AQ188" s="20" t="str">
        <f ca="1">Master_List!$AW$29</f>
        <v>SPS 30-10 L</v>
      </c>
      <c r="AR188" s="20" t="str">
        <f ca="1">Master_List!$AW$30</f>
        <v>11193-8527</v>
      </c>
      <c r="AS188" s="20">
        <f ca="1">Master_List!$AW$31</f>
        <v>0</v>
      </c>
      <c r="AT188" s="20">
        <f ca="1">Master_List!$AW$32</f>
        <v>0</v>
      </c>
      <c r="AU188" s="20">
        <f ca="1">Master_List!$AW$33</f>
        <v>0</v>
      </c>
      <c r="AV188" s="20">
        <f ca="1">Master_List!$AW$34</f>
        <v>0</v>
      </c>
      <c r="AW188" s="20">
        <f ca="1">Master_List!$AW$35</f>
        <v>0</v>
      </c>
      <c r="AX188" s="20">
        <f ca="1">Master_List!$AW$36</f>
        <v>0</v>
      </c>
      <c r="AY188" s="20">
        <f ca="1">Master_List!$AW$37</f>
        <v>0</v>
      </c>
      <c r="AZ188" s="20">
        <f ca="1">Master_List!$AW$38</f>
        <v>0</v>
      </c>
      <c r="BA188" s="20">
        <f ca="1">Master_List!$AW$39</f>
        <v>0</v>
      </c>
      <c r="BB188" s="20" t="s">
        <v>2240</v>
      </c>
      <c r="BC188" s="20" t="s">
        <v>2241</v>
      </c>
      <c r="BD188" s="6" t="s">
        <v>1744</v>
      </c>
      <c r="BE188" s="6" t="s">
        <v>1844</v>
      </c>
      <c r="BF188" s="6" t="s">
        <v>1746</v>
      </c>
      <c r="BG188" s="6" t="str">
        <f t="shared" si="2"/>
        <v>C:\Users\aremi\Desktop\REPORT CBM\PO 42289580 - Pahang 11kV SECOND CYCLE AZZAD 2026\RAW MATERIAL\047. TNB BARU (IR+VI)\RAW DATA\IR</v>
      </c>
      <c r="BH188" s="24" t="s">
        <v>722</v>
      </c>
    </row>
    <row r="189" spans="1:60" ht="30" customHeight="1" x14ac:dyDescent="0.25">
      <c r="A189" s="6">
        <v>94</v>
      </c>
      <c r="B189" s="6" t="s">
        <v>1587</v>
      </c>
      <c r="C189" s="6">
        <v>1</v>
      </c>
      <c r="D189" s="6" t="s">
        <v>2242</v>
      </c>
      <c r="E189" s="6">
        <v>94</v>
      </c>
      <c r="F189" s="6" t="str">
        <f ca="1">Master_List!$AW$1</f>
        <v>PERPUSTAKAAN PUSAT</v>
      </c>
      <c r="G189" s="27" t="str">
        <f ca="1">Master_List!$AW$2</f>
        <v>09:30 PM</v>
      </c>
      <c r="H189" s="32" t="str">
        <f ca="1">Master_List!$AW$3</f>
        <v>20/07/2026</v>
      </c>
      <c r="I189" s="28" t="str">
        <f ca="1">Master_List!$AW$4</f>
        <v>28.5</v>
      </c>
      <c r="J189" s="6" t="str">
        <f ca="1">Master_List!$AW$5</f>
        <v>65</v>
      </c>
      <c r="K189" s="6" t="s">
        <v>573</v>
      </c>
      <c r="L189" s="21" t="str">
        <f ca="1">IFERROR(VLOOKUP(B189, Master_List!$A:$I, 2, FALSE), "-")</f>
        <v/>
      </c>
      <c r="M189" s="22" t="str">
        <f ca="1">IFERROR(VLOOKUP(B189, Master_List!$A:$I, 3, FALSE), "-")</f>
        <v/>
      </c>
      <c r="N189" s="22" t="str">
        <f ca="1">IFERROR(VLOOKUP(B189, Master_List!$A:$I, 4, FALSE), "-")</f>
        <v/>
      </c>
      <c r="O189" s="22" t="str">
        <f ca="1">IFERROR(VLOOKUP(B189, Master_List!$A:$I, 5, FALSE), "-")</f>
        <v/>
      </c>
      <c r="P189" s="22" t="str">
        <f ca="1">IFERROR(VLOOKUP(B189, Master_List!$A:$I, 6, FALSE), "-")</f>
        <v/>
      </c>
      <c r="Q189" s="22" t="str">
        <f ca="1">IFERROR(VLOOKUP(B189, Master_List!$A:$I, 7, FALSE), "-")</f>
        <v/>
      </c>
      <c r="R189" s="22" t="str">
        <f ca="1">IFERROR(VLOOKUP(B189, Master_List!$A:$I, 8, FALSE), "-")</f>
        <v/>
      </c>
      <c r="S189" s="22" t="str">
        <f ca="1">IFERROR(VLOOKUP(B189, Master_List!$A:$I, 9, FALSE), "-")</f>
        <v/>
      </c>
      <c r="T189" s="20" t="str">
        <f ca="1">Master_List!$AW$6</f>
        <v>TOSHIBA</v>
      </c>
      <c r="U189" s="20" t="str">
        <f ca="1">Master_List!$AW$7</f>
        <v>MRMU</v>
      </c>
      <c r="V189" s="20" t="str">
        <f ca="1">Master_List!$AW$8</f>
        <v>12kV</v>
      </c>
      <c r="W189" s="20" t="str">
        <f ca="1">Master_List!$AW$9</f>
        <v>2S1F</v>
      </c>
      <c r="X189" s="20" t="str">
        <f ca="1">Master_List!$AW$10</f>
        <v>MTM</v>
      </c>
      <c r="Y189" s="20" t="str">
        <f ca="1">Master_List!$AW$11</f>
        <v>HERMETICALLY SEAL</v>
      </c>
      <c r="Z189" s="20" t="str">
        <f ca="1">Master_List!$AW$12</f>
        <v>750kVA</v>
      </c>
      <c r="AA189" s="20" t="str">
        <f ca="1">Master_List!$AW$13</f>
        <v>1317</v>
      </c>
      <c r="AB189" s="20">
        <f ca="1">Master_List!$AW$14</f>
        <v>0</v>
      </c>
      <c r="AC189" s="20">
        <f ca="1">Master_List!$AW$15</f>
        <v>0</v>
      </c>
      <c r="AD189" s="20">
        <f ca="1">Master_List!$AW$16</f>
        <v>0</v>
      </c>
      <c r="AE189" s="20">
        <f ca="1">Master_List!$AW$17</f>
        <v>0</v>
      </c>
      <c r="AF189" s="20" t="str">
        <f ca="1">Master_List!$AW$18</f>
        <v>INDKOM</v>
      </c>
      <c r="AG189" s="20" t="str">
        <f ca="1">Master_List!$AW$19</f>
        <v>J-SLOTTED</v>
      </c>
      <c r="AH189" s="20" t="str">
        <f ca="1">Master_List!$AW$20</f>
        <v>1600A</v>
      </c>
      <c r="AI189" s="20" t="str">
        <f ca="1">Master_List!$AW$21</f>
        <v>LV5080090</v>
      </c>
      <c r="AJ189" s="20" t="str">
        <f ca="1">Master_List!$AW$22</f>
        <v>LVDB TX1</v>
      </c>
      <c r="AK189" s="20">
        <f ca="1">Master_List!$AW$23</f>
        <v>0</v>
      </c>
      <c r="AL189" s="20">
        <f ca="1">Master_List!$AW$24</f>
        <v>0</v>
      </c>
      <c r="AM189" s="20">
        <f ca="1">Master_List!$AW$25</f>
        <v>0</v>
      </c>
      <c r="AN189" s="20">
        <f ca="1">Master_List!$AW$26</f>
        <v>0</v>
      </c>
      <c r="AO189" s="20" t="str">
        <f ca="1">Master_List!$AW$27</f>
        <v>LVDB TX2</v>
      </c>
      <c r="AP189" s="20" t="str">
        <f ca="1">Master_List!$AW$28</f>
        <v>SUNPOWER TECHNOLOGIES</v>
      </c>
      <c r="AQ189" s="20" t="str">
        <f ca="1">Master_List!$AW$29</f>
        <v>SPS 30-10 L</v>
      </c>
      <c r="AR189" s="20" t="str">
        <f ca="1">Master_List!$AW$30</f>
        <v>11193-8527</v>
      </c>
      <c r="AS189" s="20">
        <f ca="1">Master_List!$AW$31</f>
        <v>0</v>
      </c>
      <c r="AT189" s="20">
        <f ca="1">Master_List!$AW$32</f>
        <v>0</v>
      </c>
      <c r="AU189" s="20">
        <f ca="1">Master_List!$AW$33</f>
        <v>0</v>
      </c>
      <c r="AV189" s="20">
        <f ca="1">Master_List!$AW$34</f>
        <v>0</v>
      </c>
      <c r="AW189" s="20">
        <f ca="1">Master_List!$AW$35</f>
        <v>0</v>
      </c>
      <c r="AX189" s="20">
        <f ca="1">Master_List!$AW$36</f>
        <v>0</v>
      </c>
      <c r="AY189" s="20">
        <f ca="1">Master_List!$AW$37</f>
        <v>0</v>
      </c>
      <c r="AZ189" s="20">
        <f ca="1">Master_List!$AW$38</f>
        <v>0</v>
      </c>
      <c r="BA189" s="20">
        <f ca="1">Master_List!$AW$39</f>
        <v>0</v>
      </c>
      <c r="BB189" s="20" t="s">
        <v>2240</v>
      </c>
      <c r="BC189" s="20" t="s">
        <v>2241</v>
      </c>
      <c r="BD189" s="6" t="s">
        <v>1744</v>
      </c>
      <c r="BE189" s="6" t="s">
        <v>1844</v>
      </c>
      <c r="BF189" s="6" t="s">
        <v>1748</v>
      </c>
      <c r="BG189" s="6" t="str">
        <f t="shared" si="2"/>
        <v>C:\Users\aremi\Desktop\REPORT CBM\PO 42289580 - Pahang 11kV SECOND CYCLE AZZAD 2026\RAW MATERIAL\047. TNB BARU (IR+VI)\RAW DATA\IR</v>
      </c>
      <c r="BH189" s="24" t="s">
        <v>723</v>
      </c>
    </row>
    <row r="190" spans="1:60" ht="30" customHeight="1" x14ac:dyDescent="0.25">
      <c r="A190" s="6">
        <v>95</v>
      </c>
      <c r="B190" s="6" t="s">
        <v>1587</v>
      </c>
      <c r="C190" s="6">
        <v>1</v>
      </c>
      <c r="D190" s="6" t="s">
        <v>2242</v>
      </c>
      <c r="E190" s="6">
        <v>95</v>
      </c>
      <c r="F190" s="6" t="str">
        <f ca="1">Master_List!$AW$1</f>
        <v>PERPUSTAKAAN PUSAT</v>
      </c>
      <c r="G190" s="27" t="str">
        <f ca="1">Master_List!$AW$2</f>
        <v>09:30 PM</v>
      </c>
      <c r="H190" s="32" t="str">
        <f ca="1">Master_List!$AW$3</f>
        <v>20/07/2026</v>
      </c>
      <c r="I190" s="28" t="str">
        <f ca="1">Master_List!$AW$4</f>
        <v>28.5</v>
      </c>
      <c r="J190" s="6" t="str">
        <f ca="1">Master_List!$AW$5</f>
        <v>65</v>
      </c>
      <c r="K190" s="6" t="s">
        <v>576</v>
      </c>
      <c r="L190" s="21" t="str">
        <f ca="1">IFERROR(VLOOKUP(B190, Master_List!$A:$I, 2, FALSE), "-")</f>
        <v/>
      </c>
      <c r="M190" s="22" t="str">
        <f ca="1">IFERROR(VLOOKUP(B190, Master_List!$A:$I, 3, FALSE), "-")</f>
        <v/>
      </c>
      <c r="N190" s="22" t="str">
        <f ca="1">IFERROR(VLOOKUP(B190, Master_List!$A:$I, 4, FALSE), "-")</f>
        <v/>
      </c>
      <c r="O190" s="22" t="str">
        <f ca="1">IFERROR(VLOOKUP(B190, Master_List!$A:$I, 5, FALSE), "-")</f>
        <v/>
      </c>
      <c r="P190" s="22" t="str">
        <f ca="1">IFERROR(VLOOKUP(B190, Master_List!$A:$I, 6, FALSE), "-")</f>
        <v/>
      </c>
      <c r="Q190" s="22" t="str">
        <f ca="1">IFERROR(VLOOKUP(B190, Master_List!$A:$I, 7, FALSE), "-")</f>
        <v/>
      </c>
      <c r="R190" s="22" t="str">
        <f ca="1">IFERROR(VLOOKUP(B190, Master_List!$A:$I, 8, FALSE), "-")</f>
        <v/>
      </c>
      <c r="S190" s="22" t="str">
        <f ca="1">IFERROR(VLOOKUP(B190, Master_List!$A:$I, 9, FALSE), "-")</f>
        <v/>
      </c>
      <c r="T190" s="20" t="str">
        <f ca="1">Master_List!$AW$6</f>
        <v>TOSHIBA</v>
      </c>
      <c r="U190" s="20" t="str">
        <f ca="1">Master_List!$AW$7</f>
        <v>MRMU</v>
      </c>
      <c r="V190" s="20" t="str">
        <f ca="1">Master_List!$AW$8</f>
        <v>12kV</v>
      </c>
      <c r="W190" s="20" t="str">
        <f ca="1">Master_List!$AW$9</f>
        <v>2S1F</v>
      </c>
      <c r="X190" s="20" t="str">
        <f ca="1">Master_List!$AW$10</f>
        <v>MTM</v>
      </c>
      <c r="Y190" s="20" t="str">
        <f ca="1">Master_List!$AW$11</f>
        <v>HERMETICALLY SEAL</v>
      </c>
      <c r="Z190" s="20" t="str">
        <f ca="1">Master_List!$AW$12</f>
        <v>750kVA</v>
      </c>
      <c r="AA190" s="20" t="str">
        <f ca="1">Master_List!$AW$13</f>
        <v>1317</v>
      </c>
      <c r="AB190" s="20">
        <f ca="1">Master_List!$AW$14</f>
        <v>0</v>
      </c>
      <c r="AC190" s="20">
        <f ca="1">Master_List!$AW$15</f>
        <v>0</v>
      </c>
      <c r="AD190" s="20">
        <f ca="1">Master_List!$AW$16</f>
        <v>0</v>
      </c>
      <c r="AE190" s="20">
        <f ca="1">Master_List!$AW$17</f>
        <v>0</v>
      </c>
      <c r="AF190" s="20" t="str">
        <f ca="1">Master_List!$AW$18</f>
        <v>INDKOM</v>
      </c>
      <c r="AG190" s="20" t="str">
        <f ca="1">Master_List!$AW$19</f>
        <v>J-SLOTTED</v>
      </c>
      <c r="AH190" s="20" t="str">
        <f ca="1">Master_List!$AW$20</f>
        <v>1600A</v>
      </c>
      <c r="AI190" s="20" t="str">
        <f ca="1">Master_List!$AW$21</f>
        <v>LV5080090</v>
      </c>
      <c r="AJ190" s="20" t="str">
        <f ca="1">Master_List!$AW$22</f>
        <v>LVDB TX1</v>
      </c>
      <c r="AK190" s="20">
        <f ca="1">Master_List!$AW$23</f>
        <v>0</v>
      </c>
      <c r="AL190" s="20">
        <f ca="1">Master_List!$AW$24</f>
        <v>0</v>
      </c>
      <c r="AM190" s="20">
        <f ca="1">Master_List!$AW$25</f>
        <v>0</v>
      </c>
      <c r="AN190" s="20">
        <f ca="1">Master_List!$AW$26</f>
        <v>0</v>
      </c>
      <c r="AO190" s="20" t="str">
        <f ca="1">Master_List!$AW$27</f>
        <v>LVDB TX2</v>
      </c>
      <c r="AP190" s="20" t="str">
        <f ca="1">Master_List!$AW$28</f>
        <v>SUNPOWER TECHNOLOGIES</v>
      </c>
      <c r="AQ190" s="20" t="str">
        <f ca="1">Master_List!$AW$29</f>
        <v>SPS 30-10 L</v>
      </c>
      <c r="AR190" s="20" t="str">
        <f ca="1">Master_List!$AW$30</f>
        <v>11193-8527</v>
      </c>
      <c r="AS190" s="20">
        <f ca="1">Master_List!$AW$31</f>
        <v>0</v>
      </c>
      <c r="AT190" s="20">
        <f ca="1">Master_List!$AW$32</f>
        <v>0</v>
      </c>
      <c r="AU190" s="20">
        <f ca="1">Master_List!$AW$33</f>
        <v>0</v>
      </c>
      <c r="AV190" s="20">
        <f ca="1">Master_List!$AW$34</f>
        <v>0</v>
      </c>
      <c r="AW190" s="20">
        <f ca="1">Master_List!$AW$35</f>
        <v>0</v>
      </c>
      <c r="AX190" s="20">
        <f ca="1">Master_List!$AW$36</f>
        <v>0</v>
      </c>
      <c r="AY190" s="20">
        <f ca="1">Master_List!$AW$37</f>
        <v>0</v>
      </c>
      <c r="AZ190" s="20">
        <f ca="1">Master_List!$AW$38</f>
        <v>0</v>
      </c>
      <c r="BA190" s="20">
        <f ca="1">Master_List!$AW$39</f>
        <v>0</v>
      </c>
      <c r="BB190" s="20" t="s">
        <v>2240</v>
      </c>
      <c r="BC190" s="20" t="s">
        <v>2241</v>
      </c>
      <c r="BD190" s="6" t="s">
        <v>1744</v>
      </c>
      <c r="BE190" s="6" t="s">
        <v>1845</v>
      </c>
      <c r="BF190" s="6" t="s">
        <v>1746</v>
      </c>
      <c r="BG190" s="6" t="str">
        <f t="shared" si="2"/>
        <v>C:\Users\aremi\Desktop\REPORT CBM\PO 42289580 - Pahang 11kV SECOND CYCLE AZZAD 2026\RAW MATERIAL\047. TNB BARU (IR+VI)\RAW DATA\IR</v>
      </c>
      <c r="BH190" s="24" t="s">
        <v>724</v>
      </c>
    </row>
    <row r="191" spans="1:60" ht="30" customHeight="1" x14ac:dyDescent="0.25">
      <c r="A191" s="6">
        <v>95</v>
      </c>
      <c r="B191" s="6" t="s">
        <v>1587</v>
      </c>
      <c r="C191" s="6">
        <v>1</v>
      </c>
      <c r="D191" s="6" t="s">
        <v>2242</v>
      </c>
      <c r="E191" s="6">
        <v>95</v>
      </c>
      <c r="F191" s="6" t="str">
        <f ca="1">Master_List!$AW$1</f>
        <v>PERPUSTAKAAN PUSAT</v>
      </c>
      <c r="G191" s="27" t="str">
        <f ca="1">Master_List!$AW$2</f>
        <v>09:30 PM</v>
      </c>
      <c r="H191" s="32" t="str">
        <f ca="1">Master_List!$AW$3</f>
        <v>20/07/2026</v>
      </c>
      <c r="I191" s="28" t="str">
        <f ca="1">Master_List!$AW$4</f>
        <v>28.5</v>
      </c>
      <c r="J191" s="6" t="str">
        <f ca="1">Master_List!$AW$5</f>
        <v>65</v>
      </c>
      <c r="K191" s="6" t="s">
        <v>576</v>
      </c>
      <c r="L191" s="21" t="str">
        <f ca="1">IFERROR(VLOOKUP(B191, Master_List!$A:$I, 2, FALSE), "-")</f>
        <v/>
      </c>
      <c r="M191" s="22" t="str">
        <f ca="1">IFERROR(VLOOKUP(B191, Master_List!$A:$I, 3, FALSE), "-")</f>
        <v/>
      </c>
      <c r="N191" s="22" t="str">
        <f ca="1">IFERROR(VLOOKUP(B191, Master_List!$A:$I, 4, FALSE), "-")</f>
        <v/>
      </c>
      <c r="O191" s="22" t="str">
        <f ca="1">IFERROR(VLOOKUP(B191, Master_List!$A:$I, 5, FALSE), "-")</f>
        <v/>
      </c>
      <c r="P191" s="22" t="str">
        <f ca="1">IFERROR(VLOOKUP(B191, Master_List!$A:$I, 6, FALSE), "-")</f>
        <v/>
      </c>
      <c r="Q191" s="22" t="str">
        <f ca="1">IFERROR(VLOOKUP(B191, Master_List!$A:$I, 7, FALSE), "-")</f>
        <v/>
      </c>
      <c r="R191" s="22" t="str">
        <f ca="1">IFERROR(VLOOKUP(B191, Master_List!$A:$I, 8, FALSE), "-")</f>
        <v/>
      </c>
      <c r="S191" s="22" t="str">
        <f ca="1">IFERROR(VLOOKUP(B191, Master_List!$A:$I, 9, FALSE), "-")</f>
        <v/>
      </c>
      <c r="T191" s="20" t="str">
        <f ca="1">Master_List!$AW$6</f>
        <v>TOSHIBA</v>
      </c>
      <c r="U191" s="20" t="str">
        <f ca="1">Master_List!$AW$7</f>
        <v>MRMU</v>
      </c>
      <c r="V191" s="20" t="str">
        <f ca="1">Master_List!$AW$8</f>
        <v>12kV</v>
      </c>
      <c r="W191" s="20" t="str">
        <f ca="1">Master_List!$AW$9</f>
        <v>2S1F</v>
      </c>
      <c r="X191" s="20" t="str">
        <f ca="1">Master_List!$AW$10</f>
        <v>MTM</v>
      </c>
      <c r="Y191" s="20" t="str">
        <f ca="1">Master_List!$AW$11</f>
        <v>HERMETICALLY SEAL</v>
      </c>
      <c r="Z191" s="20" t="str">
        <f ca="1">Master_List!$AW$12</f>
        <v>750kVA</v>
      </c>
      <c r="AA191" s="20" t="str">
        <f ca="1">Master_List!$AW$13</f>
        <v>1317</v>
      </c>
      <c r="AB191" s="20">
        <f ca="1">Master_List!$AW$14</f>
        <v>0</v>
      </c>
      <c r="AC191" s="20">
        <f ca="1">Master_List!$AW$15</f>
        <v>0</v>
      </c>
      <c r="AD191" s="20">
        <f ca="1">Master_List!$AW$16</f>
        <v>0</v>
      </c>
      <c r="AE191" s="20">
        <f ca="1">Master_List!$AW$17</f>
        <v>0</v>
      </c>
      <c r="AF191" s="20" t="str">
        <f ca="1">Master_List!$AW$18</f>
        <v>INDKOM</v>
      </c>
      <c r="AG191" s="20" t="str">
        <f ca="1">Master_List!$AW$19</f>
        <v>J-SLOTTED</v>
      </c>
      <c r="AH191" s="20" t="str">
        <f ca="1">Master_List!$AW$20</f>
        <v>1600A</v>
      </c>
      <c r="AI191" s="20" t="str">
        <f ca="1">Master_List!$AW$21</f>
        <v>LV5080090</v>
      </c>
      <c r="AJ191" s="20" t="str">
        <f ca="1">Master_List!$AW$22</f>
        <v>LVDB TX1</v>
      </c>
      <c r="AK191" s="20">
        <f ca="1">Master_List!$AW$23</f>
        <v>0</v>
      </c>
      <c r="AL191" s="20">
        <f ca="1">Master_List!$AW$24</f>
        <v>0</v>
      </c>
      <c r="AM191" s="20">
        <f ca="1">Master_List!$AW$25</f>
        <v>0</v>
      </c>
      <c r="AN191" s="20">
        <f ca="1">Master_List!$AW$26</f>
        <v>0</v>
      </c>
      <c r="AO191" s="20" t="str">
        <f ca="1">Master_List!$AW$27</f>
        <v>LVDB TX2</v>
      </c>
      <c r="AP191" s="20" t="str">
        <f ca="1">Master_List!$AW$28</f>
        <v>SUNPOWER TECHNOLOGIES</v>
      </c>
      <c r="AQ191" s="20" t="str">
        <f ca="1">Master_List!$AW$29</f>
        <v>SPS 30-10 L</v>
      </c>
      <c r="AR191" s="20" t="str">
        <f ca="1">Master_List!$AW$30</f>
        <v>11193-8527</v>
      </c>
      <c r="AS191" s="20">
        <f ca="1">Master_List!$AW$31</f>
        <v>0</v>
      </c>
      <c r="AT191" s="20">
        <f ca="1">Master_List!$AW$32</f>
        <v>0</v>
      </c>
      <c r="AU191" s="20">
        <f ca="1">Master_List!$AW$33</f>
        <v>0</v>
      </c>
      <c r="AV191" s="20">
        <f ca="1">Master_List!$AW$34</f>
        <v>0</v>
      </c>
      <c r="AW191" s="20">
        <f ca="1">Master_List!$AW$35</f>
        <v>0</v>
      </c>
      <c r="AX191" s="20">
        <f ca="1">Master_List!$AW$36</f>
        <v>0</v>
      </c>
      <c r="AY191" s="20">
        <f ca="1">Master_List!$AW$37</f>
        <v>0</v>
      </c>
      <c r="AZ191" s="20">
        <f ca="1">Master_List!$AW$38</f>
        <v>0</v>
      </c>
      <c r="BA191" s="20">
        <f ca="1">Master_List!$AW$39</f>
        <v>0</v>
      </c>
      <c r="BB191" s="20" t="s">
        <v>2240</v>
      </c>
      <c r="BC191" s="20" t="s">
        <v>2241</v>
      </c>
      <c r="BD191" s="6" t="s">
        <v>1744</v>
      </c>
      <c r="BE191" s="6" t="s">
        <v>1845</v>
      </c>
      <c r="BF191" s="6" t="s">
        <v>1748</v>
      </c>
      <c r="BG191" s="6" t="str">
        <f t="shared" si="2"/>
        <v>C:\Users\aremi\Desktop\REPORT CBM\PO 42289580 - Pahang 11kV SECOND CYCLE AZZAD 2026\RAW MATERIAL\047. TNB BARU (IR+VI)\RAW DATA\IR</v>
      </c>
      <c r="BH191" s="24" t="s">
        <v>725</v>
      </c>
    </row>
    <row r="192" spans="1:60" ht="30" customHeight="1" x14ac:dyDescent="0.25">
      <c r="A192" s="6">
        <v>96</v>
      </c>
      <c r="B192" s="6" t="s">
        <v>1587</v>
      </c>
      <c r="C192" s="6">
        <v>1</v>
      </c>
      <c r="D192" s="6" t="s">
        <v>2242</v>
      </c>
      <c r="E192" s="6">
        <v>96</v>
      </c>
      <c r="F192" s="6" t="str">
        <f ca="1">Master_List!$AW$1</f>
        <v>PERPUSTAKAAN PUSAT</v>
      </c>
      <c r="G192" s="27" t="str">
        <f ca="1">Master_List!$AW$2</f>
        <v>09:30 PM</v>
      </c>
      <c r="H192" s="32" t="str">
        <f ca="1">Master_List!$AW$3</f>
        <v>20/07/2026</v>
      </c>
      <c r="I192" s="28" t="str">
        <f ca="1">Master_List!$AW$4</f>
        <v>28.5</v>
      </c>
      <c r="J192" s="6" t="str">
        <f ca="1">Master_List!$AW$5</f>
        <v>65</v>
      </c>
      <c r="K192" s="6" t="s">
        <v>579</v>
      </c>
      <c r="L192" s="21" t="str">
        <f ca="1">IFERROR(VLOOKUP(B192, Master_List!$A:$I, 2, FALSE), "-")</f>
        <v/>
      </c>
      <c r="M192" s="22" t="str">
        <f ca="1">IFERROR(VLOOKUP(B192, Master_List!$A:$I, 3, FALSE), "-")</f>
        <v/>
      </c>
      <c r="N192" s="22" t="str">
        <f ca="1">IFERROR(VLOOKUP(B192, Master_List!$A:$I, 4, FALSE), "-")</f>
        <v/>
      </c>
      <c r="O192" s="22" t="str">
        <f ca="1">IFERROR(VLOOKUP(B192, Master_List!$A:$I, 5, FALSE), "-")</f>
        <v/>
      </c>
      <c r="P192" s="22" t="str">
        <f ca="1">IFERROR(VLOOKUP(B192, Master_List!$A:$I, 6, FALSE), "-")</f>
        <v/>
      </c>
      <c r="Q192" s="22" t="str">
        <f ca="1">IFERROR(VLOOKUP(B192, Master_List!$A:$I, 7, FALSE), "-")</f>
        <v/>
      </c>
      <c r="R192" s="22" t="str">
        <f ca="1">IFERROR(VLOOKUP(B192, Master_List!$A:$I, 8, FALSE), "-")</f>
        <v/>
      </c>
      <c r="S192" s="22" t="str">
        <f ca="1">IFERROR(VLOOKUP(B192, Master_List!$A:$I, 9, FALSE), "-")</f>
        <v/>
      </c>
      <c r="T192" s="20" t="str">
        <f ca="1">Master_List!$AW$6</f>
        <v>TOSHIBA</v>
      </c>
      <c r="U192" s="20" t="str">
        <f ca="1">Master_List!$AW$7</f>
        <v>MRMU</v>
      </c>
      <c r="V192" s="20" t="str">
        <f ca="1">Master_List!$AW$8</f>
        <v>12kV</v>
      </c>
      <c r="W192" s="20" t="str">
        <f ca="1">Master_List!$AW$9</f>
        <v>2S1F</v>
      </c>
      <c r="X192" s="20" t="str">
        <f ca="1">Master_List!$AW$10</f>
        <v>MTM</v>
      </c>
      <c r="Y192" s="20" t="str">
        <f ca="1">Master_List!$AW$11</f>
        <v>HERMETICALLY SEAL</v>
      </c>
      <c r="Z192" s="20" t="str">
        <f ca="1">Master_List!$AW$12</f>
        <v>750kVA</v>
      </c>
      <c r="AA192" s="20" t="str">
        <f ca="1">Master_List!$AW$13</f>
        <v>1317</v>
      </c>
      <c r="AB192" s="20">
        <f ca="1">Master_List!$AW$14</f>
        <v>0</v>
      </c>
      <c r="AC192" s="20">
        <f ca="1">Master_List!$AW$15</f>
        <v>0</v>
      </c>
      <c r="AD192" s="20">
        <f ca="1">Master_List!$AW$16</f>
        <v>0</v>
      </c>
      <c r="AE192" s="20">
        <f ca="1">Master_List!$AW$17</f>
        <v>0</v>
      </c>
      <c r="AF192" s="20" t="str">
        <f ca="1">Master_List!$AW$18</f>
        <v>INDKOM</v>
      </c>
      <c r="AG192" s="20" t="str">
        <f ca="1">Master_List!$AW$19</f>
        <v>J-SLOTTED</v>
      </c>
      <c r="AH192" s="20" t="str">
        <f ca="1">Master_List!$AW$20</f>
        <v>1600A</v>
      </c>
      <c r="AI192" s="20" t="str">
        <f ca="1">Master_List!$AW$21</f>
        <v>LV5080090</v>
      </c>
      <c r="AJ192" s="20" t="str">
        <f ca="1">Master_List!$AW$22</f>
        <v>LVDB TX1</v>
      </c>
      <c r="AK192" s="20">
        <f ca="1">Master_List!$AW$23</f>
        <v>0</v>
      </c>
      <c r="AL192" s="20">
        <f ca="1">Master_List!$AW$24</f>
        <v>0</v>
      </c>
      <c r="AM192" s="20">
        <f ca="1">Master_List!$AW$25</f>
        <v>0</v>
      </c>
      <c r="AN192" s="20">
        <f ca="1">Master_List!$AW$26</f>
        <v>0</v>
      </c>
      <c r="AO192" s="20" t="str">
        <f ca="1">Master_List!$AW$27</f>
        <v>LVDB TX2</v>
      </c>
      <c r="AP192" s="20" t="str">
        <f ca="1">Master_List!$AW$28</f>
        <v>SUNPOWER TECHNOLOGIES</v>
      </c>
      <c r="AQ192" s="20" t="str">
        <f ca="1">Master_List!$AW$29</f>
        <v>SPS 30-10 L</v>
      </c>
      <c r="AR192" s="20" t="str">
        <f ca="1">Master_List!$AW$30</f>
        <v>11193-8527</v>
      </c>
      <c r="AS192" s="20">
        <f ca="1">Master_List!$AW$31</f>
        <v>0</v>
      </c>
      <c r="AT192" s="20">
        <f ca="1">Master_List!$AW$32</f>
        <v>0</v>
      </c>
      <c r="AU192" s="20">
        <f ca="1">Master_List!$AW$33</f>
        <v>0</v>
      </c>
      <c r="AV192" s="20">
        <f ca="1">Master_List!$AW$34</f>
        <v>0</v>
      </c>
      <c r="AW192" s="20">
        <f ca="1">Master_List!$AW$35</f>
        <v>0</v>
      </c>
      <c r="AX192" s="20">
        <f ca="1">Master_List!$AW$36</f>
        <v>0</v>
      </c>
      <c r="AY192" s="20">
        <f ca="1">Master_List!$AW$37</f>
        <v>0</v>
      </c>
      <c r="AZ192" s="20">
        <f ca="1">Master_List!$AW$38</f>
        <v>0</v>
      </c>
      <c r="BA192" s="20">
        <f ca="1">Master_List!$AW$39</f>
        <v>0</v>
      </c>
      <c r="BB192" s="20" t="s">
        <v>2240</v>
      </c>
      <c r="BC192" s="20" t="s">
        <v>2241</v>
      </c>
      <c r="BD192" s="6" t="s">
        <v>1744</v>
      </c>
      <c r="BE192" s="6" t="s">
        <v>1846</v>
      </c>
      <c r="BF192" s="6" t="s">
        <v>1746</v>
      </c>
      <c r="BG192" s="6" t="str">
        <f t="shared" si="2"/>
        <v>C:\Users\aremi\Desktop\REPORT CBM\PO 42289580 - Pahang 11kV SECOND CYCLE AZZAD 2026\RAW MATERIAL\047. TNB BARU (IR+VI)\RAW DATA\IR</v>
      </c>
      <c r="BH192" s="24" t="s">
        <v>726</v>
      </c>
    </row>
    <row r="193" spans="1:60" ht="30" customHeight="1" x14ac:dyDescent="0.25">
      <c r="A193" s="6">
        <v>96</v>
      </c>
      <c r="B193" s="6" t="s">
        <v>1587</v>
      </c>
      <c r="C193" s="6">
        <v>1</v>
      </c>
      <c r="D193" s="6" t="s">
        <v>2242</v>
      </c>
      <c r="E193" s="6">
        <v>96</v>
      </c>
      <c r="F193" s="6" t="str">
        <f ca="1">Master_List!$AW$1</f>
        <v>PERPUSTAKAAN PUSAT</v>
      </c>
      <c r="G193" s="27" t="str">
        <f ca="1">Master_List!$AW$2</f>
        <v>09:30 PM</v>
      </c>
      <c r="H193" s="32" t="str">
        <f ca="1">Master_List!$AW$3</f>
        <v>20/07/2026</v>
      </c>
      <c r="I193" s="28" t="str">
        <f ca="1">Master_List!$AW$4</f>
        <v>28.5</v>
      </c>
      <c r="J193" s="6" t="str">
        <f ca="1">Master_List!$AW$5</f>
        <v>65</v>
      </c>
      <c r="K193" s="6" t="s">
        <v>579</v>
      </c>
      <c r="L193" s="21" t="str">
        <f ca="1">IFERROR(VLOOKUP(B193, Master_List!$A:$I, 2, FALSE), "-")</f>
        <v/>
      </c>
      <c r="M193" s="22" t="str">
        <f ca="1">IFERROR(VLOOKUP(B193, Master_List!$A:$I, 3, FALSE), "-")</f>
        <v/>
      </c>
      <c r="N193" s="22" t="str">
        <f ca="1">IFERROR(VLOOKUP(B193, Master_List!$A:$I, 4, FALSE), "-")</f>
        <v/>
      </c>
      <c r="O193" s="22" t="str">
        <f ca="1">IFERROR(VLOOKUP(B193, Master_List!$A:$I, 5, FALSE), "-")</f>
        <v/>
      </c>
      <c r="P193" s="22" t="str">
        <f ca="1">IFERROR(VLOOKUP(B193, Master_List!$A:$I, 6, FALSE), "-")</f>
        <v/>
      </c>
      <c r="Q193" s="22" t="str">
        <f ca="1">IFERROR(VLOOKUP(B193, Master_List!$A:$I, 7, FALSE), "-")</f>
        <v/>
      </c>
      <c r="R193" s="22" t="str">
        <f ca="1">IFERROR(VLOOKUP(B193, Master_List!$A:$I, 8, FALSE), "-")</f>
        <v/>
      </c>
      <c r="S193" s="22" t="str">
        <f ca="1">IFERROR(VLOOKUP(B193, Master_List!$A:$I, 9, FALSE), "-")</f>
        <v/>
      </c>
      <c r="T193" s="20" t="str">
        <f ca="1">Master_List!$AW$6</f>
        <v>TOSHIBA</v>
      </c>
      <c r="U193" s="20" t="str">
        <f ca="1">Master_List!$AW$7</f>
        <v>MRMU</v>
      </c>
      <c r="V193" s="20" t="str">
        <f ca="1">Master_List!$AW$8</f>
        <v>12kV</v>
      </c>
      <c r="W193" s="20" t="str">
        <f ca="1">Master_List!$AW$9</f>
        <v>2S1F</v>
      </c>
      <c r="X193" s="20" t="str">
        <f ca="1">Master_List!$AW$10</f>
        <v>MTM</v>
      </c>
      <c r="Y193" s="20" t="str">
        <f ca="1">Master_List!$AW$11</f>
        <v>HERMETICALLY SEAL</v>
      </c>
      <c r="Z193" s="20" t="str">
        <f ca="1">Master_List!$AW$12</f>
        <v>750kVA</v>
      </c>
      <c r="AA193" s="20" t="str">
        <f ca="1">Master_List!$AW$13</f>
        <v>1317</v>
      </c>
      <c r="AB193" s="20">
        <f ca="1">Master_List!$AW$14</f>
        <v>0</v>
      </c>
      <c r="AC193" s="20">
        <f ca="1">Master_List!$AW$15</f>
        <v>0</v>
      </c>
      <c r="AD193" s="20">
        <f ca="1">Master_List!$AW$16</f>
        <v>0</v>
      </c>
      <c r="AE193" s="20">
        <f ca="1">Master_List!$AW$17</f>
        <v>0</v>
      </c>
      <c r="AF193" s="20" t="str">
        <f ca="1">Master_List!$AW$18</f>
        <v>INDKOM</v>
      </c>
      <c r="AG193" s="20" t="str">
        <f ca="1">Master_List!$AW$19</f>
        <v>J-SLOTTED</v>
      </c>
      <c r="AH193" s="20" t="str">
        <f ca="1">Master_List!$AW$20</f>
        <v>1600A</v>
      </c>
      <c r="AI193" s="20" t="str">
        <f ca="1">Master_List!$AW$21</f>
        <v>LV5080090</v>
      </c>
      <c r="AJ193" s="20" t="str">
        <f ca="1">Master_List!$AW$22</f>
        <v>LVDB TX1</v>
      </c>
      <c r="AK193" s="20">
        <f ca="1">Master_List!$AW$23</f>
        <v>0</v>
      </c>
      <c r="AL193" s="20">
        <f ca="1">Master_List!$AW$24</f>
        <v>0</v>
      </c>
      <c r="AM193" s="20">
        <f ca="1">Master_List!$AW$25</f>
        <v>0</v>
      </c>
      <c r="AN193" s="20">
        <f ca="1">Master_List!$AW$26</f>
        <v>0</v>
      </c>
      <c r="AO193" s="20" t="str">
        <f ca="1">Master_List!$AW$27</f>
        <v>LVDB TX2</v>
      </c>
      <c r="AP193" s="20" t="str">
        <f ca="1">Master_List!$AW$28</f>
        <v>SUNPOWER TECHNOLOGIES</v>
      </c>
      <c r="AQ193" s="20" t="str">
        <f ca="1">Master_List!$AW$29</f>
        <v>SPS 30-10 L</v>
      </c>
      <c r="AR193" s="20" t="str">
        <f ca="1">Master_List!$AW$30</f>
        <v>11193-8527</v>
      </c>
      <c r="AS193" s="20">
        <f ca="1">Master_List!$AW$31</f>
        <v>0</v>
      </c>
      <c r="AT193" s="20">
        <f ca="1">Master_List!$AW$32</f>
        <v>0</v>
      </c>
      <c r="AU193" s="20">
        <f ca="1">Master_List!$AW$33</f>
        <v>0</v>
      </c>
      <c r="AV193" s="20">
        <f ca="1">Master_List!$AW$34</f>
        <v>0</v>
      </c>
      <c r="AW193" s="20">
        <f ca="1">Master_List!$AW$35</f>
        <v>0</v>
      </c>
      <c r="AX193" s="20">
        <f ca="1">Master_List!$AW$36</f>
        <v>0</v>
      </c>
      <c r="AY193" s="20">
        <f ca="1">Master_List!$AW$37</f>
        <v>0</v>
      </c>
      <c r="AZ193" s="20">
        <f ca="1">Master_List!$AW$38</f>
        <v>0</v>
      </c>
      <c r="BA193" s="20">
        <f ca="1">Master_List!$AW$39</f>
        <v>0</v>
      </c>
      <c r="BB193" s="20" t="s">
        <v>2240</v>
      </c>
      <c r="BC193" s="20" t="s">
        <v>2241</v>
      </c>
      <c r="BD193" s="6" t="s">
        <v>1744</v>
      </c>
      <c r="BE193" s="6" t="s">
        <v>1846</v>
      </c>
      <c r="BF193" s="6" t="s">
        <v>1748</v>
      </c>
      <c r="BG193" s="6" t="str">
        <f t="shared" si="2"/>
        <v>C:\Users\aremi\Desktop\REPORT CBM\PO 42289580 - Pahang 11kV SECOND CYCLE AZZAD 2026\RAW MATERIAL\047. TNB BARU (IR+VI)\RAW DATA\IR</v>
      </c>
      <c r="BH193" s="24" t="s">
        <v>727</v>
      </c>
    </row>
    <row r="194" spans="1:60" ht="30" customHeight="1" x14ac:dyDescent="0.25">
      <c r="A194" s="6">
        <v>97</v>
      </c>
      <c r="B194" s="6" t="s">
        <v>1587</v>
      </c>
      <c r="C194" s="6">
        <v>1</v>
      </c>
      <c r="D194" s="6" t="s">
        <v>2242</v>
      </c>
      <c r="E194" s="6">
        <v>97</v>
      </c>
      <c r="F194" s="6" t="str">
        <f ca="1">Master_List!$AW$1</f>
        <v>PERPUSTAKAAN PUSAT</v>
      </c>
      <c r="G194" s="27" t="str">
        <f ca="1">Master_List!$AW$2</f>
        <v>09:30 PM</v>
      </c>
      <c r="H194" s="32" t="str">
        <f ca="1">Master_List!$AW$3</f>
        <v>20/07/2026</v>
      </c>
      <c r="I194" s="28" t="str">
        <f ca="1">Master_List!$AW$4</f>
        <v>28.5</v>
      </c>
      <c r="J194" s="6" t="str">
        <f ca="1">Master_List!$AW$5</f>
        <v>65</v>
      </c>
      <c r="K194" s="6" t="s">
        <v>582</v>
      </c>
      <c r="L194" s="21" t="str">
        <f ca="1">IFERROR(VLOOKUP(B194, Master_List!$A:$I, 2, FALSE), "-")</f>
        <v/>
      </c>
      <c r="M194" s="22" t="str">
        <f ca="1">IFERROR(VLOOKUP(B194, Master_List!$A:$I, 3, FALSE), "-")</f>
        <v/>
      </c>
      <c r="N194" s="22" t="str">
        <f ca="1">IFERROR(VLOOKUP(B194, Master_List!$A:$I, 4, FALSE), "-")</f>
        <v/>
      </c>
      <c r="O194" s="22" t="str">
        <f ca="1">IFERROR(VLOOKUP(B194, Master_List!$A:$I, 5, FALSE), "-")</f>
        <v/>
      </c>
      <c r="P194" s="22" t="str">
        <f ca="1">IFERROR(VLOOKUP(B194, Master_List!$A:$I, 6, FALSE), "-")</f>
        <v/>
      </c>
      <c r="Q194" s="22" t="str">
        <f ca="1">IFERROR(VLOOKUP(B194, Master_List!$A:$I, 7, FALSE), "-")</f>
        <v/>
      </c>
      <c r="R194" s="22" t="str">
        <f ca="1">IFERROR(VLOOKUP(B194, Master_List!$A:$I, 8, FALSE), "-")</f>
        <v/>
      </c>
      <c r="S194" s="22" t="str">
        <f ca="1">IFERROR(VLOOKUP(B194, Master_List!$A:$I, 9, FALSE), "-")</f>
        <v/>
      </c>
      <c r="T194" s="20" t="str">
        <f ca="1">Master_List!$AW$6</f>
        <v>TOSHIBA</v>
      </c>
      <c r="U194" s="20" t="str">
        <f ca="1">Master_List!$AW$7</f>
        <v>MRMU</v>
      </c>
      <c r="V194" s="20" t="str">
        <f ca="1">Master_List!$AW$8</f>
        <v>12kV</v>
      </c>
      <c r="W194" s="20" t="str">
        <f ca="1">Master_List!$AW$9</f>
        <v>2S1F</v>
      </c>
      <c r="X194" s="20" t="str">
        <f ca="1">Master_List!$AW$10</f>
        <v>MTM</v>
      </c>
      <c r="Y194" s="20" t="str">
        <f ca="1">Master_List!$AW$11</f>
        <v>HERMETICALLY SEAL</v>
      </c>
      <c r="Z194" s="20" t="str">
        <f ca="1">Master_List!$AW$12</f>
        <v>750kVA</v>
      </c>
      <c r="AA194" s="20" t="str">
        <f ca="1">Master_List!$AW$13</f>
        <v>1317</v>
      </c>
      <c r="AB194" s="20">
        <f ca="1">Master_List!$AW$14</f>
        <v>0</v>
      </c>
      <c r="AC194" s="20">
        <f ca="1">Master_List!$AW$15</f>
        <v>0</v>
      </c>
      <c r="AD194" s="20">
        <f ca="1">Master_List!$AW$16</f>
        <v>0</v>
      </c>
      <c r="AE194" s="20">
        <f ca="1">Master_List!$AW$17</f>
        <v>0</v>
      </c>
      <c r="AF194" s="20" t="str">
        <f ca="1">Master_List!$AW$18</f>
        <v>INDKOM</v>
      </c>
      <c r="AG194" s="20" t="str">
        <f ca="1">Master_List!$AW$19</f>
        <v>J-SLOTTED</v>
      </c>
      <c r="AH194" s="20" t="str">
        <f ca="1">Master_List!$AW$20</f>
        <v>1600A</v>
      </c>
      <c r="AI194" s="20" t="str">
        <f ca="1">Master_List!$AW$21</f>
        <v>LV5080090</v>
      </c>
      <c r="AJ194" s="20" t="str">
        <f ca="1">Master_List!$AW$22</f>
        <v>LVDB TX1</v>
      </c>
      <c r="AK194" s="20">
        <f ca="1">Master_List!$AW$23</f>
        <v>0</v>
      </c>
      <c r="AL194" s="20">
        <f ca="1">Master_List!$AW$24</f>
        <v>0</v>
      </c>
      <c r="AM194" s="20">
        <f ca="1">Master_List!$AW$25</f>
        <v>0</v>
      </c>
      <c r="AN194" s="20">
        <f ca="1">Master_List!$AW$26</f>
        <v>0</v>
      </c>
      <c r="AO194" s="20" t="str">
        <f ca="1">Master_List!$AW$27</f>
        <v>LVDB TX2</v>
      </c>
      <c r="AP194" s="20" t="str">
        <f ca="1">Master_List!$AW$28</f>
        <v>SUNPOWER TECHNOLOGIES</v>
      </c>
      <c r="AQ194" s="20" t="str">
        <f ca="1">Master_List!$AW$29</f>
        <v>SPS 30-10 L</v>
      </c>
      <c r="AR194" s="20" t="str">
        <f ca="1">Master_List!$AW$30</f>
        <v>11193-8527</v>
      </c>
      <c r="AS194" s="20">
        <f ca="1">Master_List!$AW$31</f>
        <v>0</v>
      </c>
      <c r="AT194" s="20">
        <f ca="1">Master_List!$AW$32</f>
        <v>0</v>
      </c>
      <c r="AU194" s="20">
        <f ca="1">Master_List!$AW$33</f>
        <v>0</v>
      </c>
      <c r="AV194" s="20">
        <f ca="1">Master_List!$AW$34</f>
        <v>0</v>
      </c>
      <c r="AW194" s="20">
        <f ca="1">Master_List!$AW$35</f>
        <v>0</v>
      </c>
      <c r="AX194" s="20">
        <f ca="1">Master_List!$AW$36</f>
        <v>0</v>
      </c>
      <c r="AY194" s="20">
        <f ca="1">Master_List!$AW$37</f>
        <v>0</v>
      </c>
      <c r="AZ194" s="20">
        <f ca="1">Master_List!$AW$38</f>
        <v>0</v>
      </c>
      <c r="BA194" s="20">
        <f ca="1">Master_List!$AW$39</f>
        <v>0</v>
      </c>
      <c r="BB194" s="20" t="s">
        <v>2240</v>
      </c>
      <c r="BC194" s="20" t="s">
        <v>2241</v>
      </c>
      <c r="BD194" s="6" t="s">
        <v>1744</v>
      </c>
      <c r="BE194" s="6" t="s">
        <v>1847</v>
      </c>
      <c r="BF194" s="6" t="s">
        <v>1746</v>
      </c>
      <c r="BG194" s="6" t="str">
        <f t="shared" si="2"/>
        <v>C:\Users\aremi\Desktop\REPORT CBM\PO 42289580 - Pahang 11kV SECOND CYCLE AZZAD 2026\RAW MATERIAL\047. TNB BARU (IR+VI)\RAW DATA\IR</v>
      </c>
      <c r="BH194" s="24" t="s">
        <v>728</v>
      </c>
    </row>
    <row r="195" spans="1:60" ht="30" customHeight="1" x14ac:dyDescent="0.25">
      <c r="A195" s="6">
        <v>97</v>
      </c>
      <c r="B195" s="6" t="s">
        <v>1587</v>
      </c>
      <c r="C195" s="6">
        <v>1</v>
      </c>
      <c r="D195" s="6" t="s">
        <v>2242</v>
      </c>
      <c r="E195" s="6">
        <v>97</v>
      </c>
      <c r="F195" s="6" t="str">
        <f ca="1">Master_List!$AW$1</f>
        <v>PERPUSTAKAAN PUSAT</v>
      </c>
      <c r="G195" s="27" t="str">
        <f ca="1">Master_List!$AW$2</f>
        <v>09:30 PM</v>
      </c>
      <c r="H195" s="32" t="str">
        <f ca="1">Master_List!$AW$3</f>
        <v>20/07/2026</v>
      </c>
      <c r="I195" s="28" t="str">
        <f ca="1">Master_List!$AW$4</f>
        <v>28.5</v>
      </c>
      <c r="J195" s="6" t="str">
        <f ca="1">Master_List!$AW$5</f>
        <v>65</v>
      </c>
      <c r="K195" s="6" t="s">
        <v>582</v>
      </c>
      <c r="L195" s="21" t="str">
        <f ca="1">IFERROR(VLOOKUP(B195, Master_List!$A:$I, 2, FALSE), "-")</f>
        <v/>
      </c>
      <c r="M195" s="22" t="str">
        <f ca="1">IFERROR(VLOOKUP(B195, Master_List!$A:$I, 3, FALSE), "-")</f>
        <v/>
      </c>
      <c r="N195" s="22" t="str">
        <f ca="1">IFERROR(VLOOKUP(B195, Master_List!$A:$I, 4, FALSE), "-")</f>
        <v/>
      </c>
      <c r="O195" s="22" t="str">
        <f ca="1">IFERROR(VLOOKUP(B195, Master_List!$A:$I, 5, FALSE), "-")</f>
        <v/>
      </c>
      <c r="P195" s="22" t="str">
        <f ca="1">IFERROR(VLOOKUP(B195, Master_List!$A:$I, 6, FALSE), "-")</f>
        <v/>
      </c>
      <c r="Q195" s="22" t="str">
        <f ca="1">IFERROR(VLOOKUP(B195, Master_List!$A:$I, 7, FALSE), "-")</f>
        <v/>
      </c>
      <c r="R195" s="22" t="str">
        <f ca="1">IFERROR(VLOOKUP(B195, Master_List!$A:$I, 8, FALSE), "-")</f>
        <v/>
      </c>
      <c r="S195" s="22" t="str">
        <f ca="1">IFERROR(VLOOKUP(B195, Master_List!$A:$I, 9, FALSE), "-")</f>
        <v/>
      </c>
      <c r="T195" s="20" t="str">
        <f ca="1">Master_List!$AW$6</f>
        <v>TOSHIBA</v>
      </c>
      <c r="U195" s="20" t="str">
        <f ca="1">Master_List!$AW$7</f>
        <v>MRMU</v>
      </c>
      <c r="V195" s="20" t="str">
        <f ca="1">Master_List!$AW$8</f>
        <v>12kV</v>
      </c>
      <c r="W195" s="20" t="str">
        <f ca="1">Master_List!$AW$9</f>
        <v>2S1F</v>
      </c>
      <c r="X195" s="20" t="str">
        <f ca="1">Master_List!$AW$10</f>
        <v>MTM</v>
      </c>
      <c r="Y195" s="20" t="str">
        <f ca="1">Master_List!$AW$11</f>
        <v>HERMETICALLY SEAL</v>
      </c>
      <c r="Z195" s="20" t="str">
        <f ca="1">Master_List!$AW$12</f>
        <v>750kVA</v>
      </c>
      <c r="AA195" s="20" t="str">
        <f ca="1">Master_List!$AW$13</f>
        <v>1317</v>
      </c>
      <c r="AB195" s="20">
        <f ca="1">Master_List!$AW$14</f>
        <v>0</v>
      </c>
      <c r="AC195" s="20">
        <f ca="1">Master_List!$AW$15</f>
        <v>0</v>
      </c>
      <c r="AD195" s="20">
        <f ca="1">Master_List!$AW$16</f>
        <v>0</v>
      </c>
      <c r="AE195" s="20">
        <f ca="1">Master_List!$AW$17</f>
        <v>0</v>
      </c>
      <c r="AF195" s="20" t="str">
        <f ca="1">Master_List!$AW$18</f>
        <v>INDKOM</v>
      </c>
      <c r="AG195" s="20" t="str">
        <f ca="1">Master_List!$AW$19</f>
        <v>J-SLOTTED</v>
      </c>
      <c r="AH195" s="20" t="str">
        <f ca="1">Master_List!$AW$20</f>
        <v>1600A</v>
      </c>
      <c r="AI195" s="20" t="str">
        <f ca="1">Master_List!$AW$21</f>
        <v>LV5080090</v>
      </c>
      <c r="AJ195" s="20" t="str">
        <f ca="1">Master_List!$AW$22</f>
        <v>LVDB TX1</v>
      </c>
      <c r="AK195" s="20">
        <f ca="1">Master_List!$AW$23</f>
        <v>0</v>
      </c>
      <c r="AL195" s="20">
        <f ca="1">Master_List!$AW$24</f>
        <v>0</v>
      </c>
      <c r="AM195" s="20">
        <f ca="1">Master_List!$AW$25</f>
        <v>0</v>
      </c>
      <c r="AN195" s="20">
        <f ca="1">Master_List!$AW$26</f>
        <v>0</v>
      </c>
      <c r="AO195" s="20" t="str">
        <f ca="1">Master_List!$AW$27</f>
        <v>LVDB TX2</v>
      </c>
      <c r="AP195" s="20" t="str">
        <f ca="1">Master_List!$AW$28</f>
        <v>SUNPOWER TECHNOLOGIES</v>
      </c>
      <c r="AQ195" s="20" t="str">
        <f ca="1">Master_List!$AW$29</f>
        <v>SPS 30-10 L</v>
      </c>
      <c r="AR195" s="20" t="str">
        <f ca="1">Master_List!$AW$30</f>
        <v>11193-8527</v>
      </c>
      <c r="AS195" s="20">
        <f ca="1">Master_List!$AW$31</f>
        <v>0</v>
      </c>
      <c r="AT195" s="20">
        <f ca="1">Master_List!$AW$32</f>
        <v>0</v>
      </c>
      <c r="AU195" s="20">
        <f ca="1">Master_List!$AW$33</f>
        <v>0</v>
      </c>
      <c r="AV195" s="20">
        <f ca="1">Master_List!$AW$34</f>
        <v>0</v>
      </c>
      <c r="AW195" s="20">
        <f ca="1">Master_List!$AW$35</f>
        <v>0</v>
      </c>
      <c r="AX195" s="20">
        <f ca="1">Master_List!$AW$36</f>
        <v>0</v>
      </c>
      <c r="AY195" s="20">
        <f ca="1">Master_List!$AW$37</f>
        <v>0</v>
      </c>
      <c r="AZ195" s="20">
        <f ca="1">Master_List!$AW$38</f>
        <v>0</v>
      </c>
      <c r="BA195" s="20">
        <f ca="1">Master_List!$AW$39</f>
        <v>0</v>
      </c>
      <c r="BB195" s="20" t="s">
        <v>2240</v>
      </c>
      <c r="BC195" s="20" t="s">
        <v>2241</v>
      </c>
      <c r="BD195" s="6" t="s">
        <v>1744</v>
      </c>
      <c r="BE195" s="6" t="s">
        <v>1847</v>
      </c>
      <c r="BF195" s="6" t="s">
        <v>1748</v>
      </c>
      <c r="BG195" s="6" t="str">
        <f t="shared" ref="BG195:BG258" si="3">BG194</f>
        <v>C:\Users\aremi\Desktop\REPORT CBM\PO 42289580 - Pahang 11kV SECOND CYCLE AZZAD 2026\RAW MATERIAL\047. TNB BARU (IR+VI)\RAW DATA\IR</v>
      </c>
      <c r="BH195" s="24" t="s">
        <v>729</v>
      </c>
    </row>
    <row r="196" spans="1:60" ht="30" customHeight="1" x14ac:dyDescent="0.25">
      <c r="A196" s="6">
        <v>98</v>
      </c>
      <c r="B196" s="6" t="s">
        <v>1587</v>
      </c>
      <c r="C196" s="6">
        <v>1</v>
      </c>
      <c r="D196" s="6" t="s">
        <v>2242</v>
      </c>
      <c r="E196" s="6">
        <v>98</v>
      </c>
      <c r="F196" s="6" t="str">
        <f ca="1">Master_List!$AW$1</f>
        <v>PERPUSTAKAAN PUSAT</v>
      </c>
      <c r="G196" s="27" t="str">
        <f ca="1">Master_List!$AW$2</f>
        <v>09:30 PM</v>
      </c>
      <c r="H196" s="32" t="str">
        <f ca="1">Master_List!$AW$3</f>
        <v>20/07/2026</v>
      </c>
      <c r="I196" s="28" t="str">
        <f ca="1">Master_List!$AW$4</f>
        <v>28.5</v>
      </c>
      <c r="J196" s="6" t="str">
        <f ca="1">Master_List!$AW$5</f>
        <v>65</v>
      </c>
      <c r="K196" s="6" t="s">
        <v>585</v>
      </c>
      <c r="L196" s="21" t="str">
        <f ca="1">IFERROR(VLOOKUP(B196, Master_List!$A:$I, 2, FALSE), "-")</f>
        <v/>
      </c>
      <c r="M196" s="22" t="str">
        <f ca="1">IFERROR(VLOOKUP(B196, Master_List!$A:$I, 3, FALSE), "-")</f>
        <v/>
      </c>
      <c r="N196" s="22" t="str">
        <f ca="1">IFERROR(VLOOKUP(B196, Master_List!$A:$I, 4, FALSE), "-")</f>
        <v/>
      </c>
      <c r="O196" s="22" t="str">
        <f ca="1">IFERROR(VLOOKUP(B196, Master_List!$A:$I, 5, FALSE), "-")</f>
        <v/>
      </c>
      <c r="P196" s="22" t="str">
        <f ca="1">IFERROR(VLOOKUP(B196, Master_List!$A:$I, 6, FALSE), "-")</f>
        <v/>
      </c>
      <c r="Q196" s="22" t="str">
        <f ca="1">IFERROR(VLOOKUP(B196, Master_List!$A:$I, 7, FALSE), "-")</f>
        <v/>
      </c>
      <c r="R196" s="22" t="str">
        <f ca="1">IFERROR(VLOOKUP(B196, Master_List!$A:$I, 8, FALSE), "-")</f>
        <v/>
      </c>
      <c r="S196" s="22" t="str">
        <f ca="1">IFERROR(VLOOKUP(B196, Master_List!$A:$I, 9, FALSE), "-")</f>
        <v/>
      </c>
      <c r="T196" s="20" t="str">
        <f ca="1">Master_List!$AW$6</f>
        <v>TOSHIBA</v>
      </c>
      <c r="U196" s="20" t="str">
        <f ca="1">Master_List!$AW$7</f>
        <v>MRMU</v>
      </c>
      <c r="V196" s="20" t="str">
        <f ca="1">Master_List!$AW$8</f>
        <v>12kV</v>
      </c>
      <c r="W196" s="20" t="str">
        <f ca="1">Master_List!$AW$9</f>
        <v>2S1F</v>
      </c>
      <c r="X196" s="20" t="str">
        <f ca="1">Master_List!$AW$10</f>
        <v>MTM</v>
      </c>
      <c r="Y196" s="20" t="str">
        <f ca="1">Master_List!$AW$11</f>
        <v>HERMETICALLY SEAL</v>
      </c>
      <c r="Z196" s="20" t="str">
        <f ca="1">Master_List!$AW$12</f>
        <v>750kVA</v>
      </c>
      <c r="AA196" s="20" t="str">
        <f ca="1">Master_List!$AW$13</f>
        <v>1317</v>
      </c>
      <c r="AB196" s="20">
        <f ca="1">Master_List!$AW$14</f>
        <v>0</v>
      </c>
      <c r="AC196" s="20">
        <f ca="1">Master_List!$AW$15</f>
        <v>0</v>
      </c>
      <c r="AD196" s="20">
        <f ca="1">Master_List!$AW$16</f>
        <v>0</v>
      </c>
      <c r="AE196" s="20">
        <f ca="1">Master_List!$AW$17</f>
        <v>0</v>
      </c>
      <c r="AF196" s="20" t="str">
        <f ca="1">Master_List!$AW$18</f>
        <v>INDKOM</v>
      </c>
      <c r="AG196" s="20" t="str">
        <f ca="1">Master_List!$AW$19</f>
        <v>J-SLOTTED</v>
      </c>
      <c r="AH196" s="20" t="str">
        <f ca="1">Master_List!$AW$20</f>
        <v>1600A</v>
      </c>
      <c r="AI196" s="20" t="str">
        <f ca="1">Master_List!$AW$21</f>
        <v>LV5080090</v>
      </c>
      <c r="AJ196" s="20" t="str">
        <f ca="1">Master_List!$AW$22</f>
        <v>LVDB TX1</v>
      </c>
      <c r="AK196" s="20">
        <f ca="1">Master_List!$AW$23</f>
        <v>0</v>
      </c>
      <c r="AL196" s="20">
        <f ca="1">Master_List!$AW$24</f>
        <v>0</v>
      </c>
      <c r="AM196" s="20">
        <f ca="1">Master_List!$AW$25</f>
        <v>0</v>
      </c>
      <c r="AN196" s="20">
        <f ca="1">Master_List!$AW$26</f>
        <v>0</v>
      </c>
      <c r="AO196" s="20" t="str">
        <f ca="1">Master_List!$AW$27</f>
        <v>LVDB TX2</v>
      </c>
      <c r="AP196" s="20" t="str">
        <f ca="1">Master_List!$AW$28</f>
        <v>SUNPOWER TECHNOLOGIES</v>
      </c>
      <c r="AQ196" s="20" t="str">
        <f ca="1">Master_List!$AW$29</f>
        <v>SPS 30-10 L</v>
      </c>
      <c r="AR196" s="20" t="str">
        <f ca="1">Master_List!$AW$30</f>
        <v>11193-8527</v>
      </c>
      <c r="AS196" s="20">
        <f ca="1">Master_List!$AW$31</f>
        <v>0</v>
      </c>
      <c r="AT196" s="20">
        <f ca="1">Master_List!$AW$32</f>
        <v>0</v>
      </c>
      <c r="AU196" s="20">
        <f ca="1">Master_List!$AW$33</f>
        <v>0</v>
      </c>
      <c r="AV196" s="20">
        <f ca="1">Master_List!$AW$34</f>
        <v>0</v>
      </c>
      <c r="AW196" s="20">
        <f ca="1">Master_List!$AW$35</f>
        <v>0</v>
      </c>
      <c r="AX196" s="20">
        <f ca="1">Master_List!$AW$36</f>
        <v>0</v>
      </c>
      <c r="AY196" s="20">
        <f ca="1">Master_List!$AW$37</f>
        <v>0</v>
      </c>
      <c r="AZ196" s="20">
        <f ca="1">Master_List!$AW$38</f>
        <v>0</v>
      </c>
      <c r="BA196" s="20">
        <f ca="1">Master_List!$AW$39</f>
        <v>0</v>
      </c>
      <c r="BB196" s="20" t="s">
        <v>2240</v>
      </c>
      <c r="BC196" s="20" t="s">
        <v>2241</v>
      </c>
      <c r="BD196" s="6" t="s">
        <v>1744</v>
      </c>
      <c r="BE196" s="6" t="s">
        <v>1848</v>
      </c>
      <c r="BF196" s="6" t="s">
        <v>1746</v>
      </c>
      <c r="BG196" s="6" t="str">
        <f t="shared" si="3"/>
        <v>C:\Users\aremi\Desktop\REPORT CBM\PO 42289580 - Pahang 11kV SECOND CYCLE AZZAD 2026\RAW MATERIAL\047. TNB BARU (IR+VI)\RAW DATA\IR</v>
      </c>
      <c r="BH196" s="24" t="s">
        <v>731</v>
      </c>
    </row>
    <row r="197" spans="1:60" ht="30" customHeight="1" x14ac:dyDescent="0.25">
      <c r="A197" s="6">
        <v>98</v>
      </c>
      <c r="B197" s="6" t="s">
        <v>1587</v>
      </c>
      <c r="C197" s="6">
        <v>1</v>
      </c>
      <c r="D197" s="6" t="s">
        <v>2242</v>
      </c>
      <c r="E197" s="6">
        <v>98</v>
      </c>
      <c r="F197" s="6" t="str">
        <f ca="1">Master_List!$AW$1</f>
        <v>PERPUSTAKAAN PUSAT</v>
      </c>
      <c r="G197" s="27" t="str">
        <f ca="1">Master_List!$AW$2</f>
        <v>09:30 PM</v>
      </c>
      <c r="H197" s="32" t="str">
        <f ca="1">Master_List!$AW$3</f>
        <v>20/07/2026</v>
      </c>
      <c r="I197" s="28" t="str">
        <f ca="1">Master_List!$AW$4</f>
        <v>28.5</v>
      </c>
      <c r="J197" s="6" t="str">
        <f ca="1">Master_List!$AW$5</f>
        <v>65</v>
      </c>
      <c r="K197" s="6" t="s">
        <v>585</v>
      </c>
      <c r="L197" s="21" t="str">
        <f ca="1">IFERROR(VLOOKUP(B197, Master_List!$A:$I, 2, FALSE), "-")</f>
        <v/>
      </c>
      <c r="M197" s="22" t="str">
        <f ca="1">IFERROR(VLOOKUP(B197, Master_List!$A:$I, 3, FALSE), "-")</f>
        <v/>
      </c>
      <c r="N197" s="22" t="str">
        <f ca="1">IFERROR(VLOOKUP(B197, Master_List!$A:$I, 4, FALSE), "-")</f>
        <v/>
      </c>
      <c r="O197" s="22" t="str">
        <f ca="1">IFERROR(VLOOKUP(B197, Master_List!$A:$I, 5, FALSE), "-")</f>
        <v/>
      </c>
      <c r="P197" s="22" t="str">
        <f ca="1">IFERROR(VLOOKUP(B197, Master_List!$A:$I, 6, FALSE), "-")</f>
        <v/>
      </c>
      <c r="Q197" s="22" t="str">
        <f ca="1">IFERROR(VLOOKUP(B197, Master_List!$A:$I, 7, FALSE), "-")</f>
        <v/>
      </c>
      <c r="R197" s="22" t="str">
        <f ca="1">IFERROR(VLOOKUP(B197, Master_List!$A:$I, 8, FALSE), "-")</f>
        <v/>
      </c>
      <c r="S197" s="22" t="str">
        <f ca="1">IFERROR(VLOOKUP(B197, Master_List!$A:$I, 9, FALSE), "-")</f>
        <v/>
      </c>
      <c r="T197" s="20" t="str">
        <f ca="1">Master_List!$AW$6</f>
        <v>TOSHIBA</v>
      </c>
      <c r="U197" s="20" t="str">
        <f ca="1">Master_List!$AW$7</f>
        <v>MRMU</v>
      </c>
      <c r="V197" s="20" t="str">
        <f ca="1">Master_List!$AW$8</f>
        <v>12kV</v>
      </c>
      <c r="W197" s="20" t="str">
        <f ca="1">Master_List!$AW$9</f>
        <v>2S1F</v>
      </c>
      <c r="X197" s="20" t="str">
        <f ca="1">Master_List!$AW$10</f>
        <v>MTM</v>
      </c>
      <c r="Y197" s="20" t="str">
        <f ca="1">Master_List!$AW$11</f>
        <v>HERMETICALLY SEAL</v>
      </c>
      <c r="Z197" s="20" t="str">
        <f ca="1">Master_List!$AW$12</f>
        <v>750kVA</v>
      </c>
      <c r="AA197" s="20" t="str">
        <f ca="1">Master_List!$AW$13</f>
        <v>1317</v>
      </c>
      <c r="AB197" s="20">
        <f ca="1">Master_List!$AW$14</f>
        <v>0</v>
      </c>
      <c r="AC197" s="20">
        <f ca="1">Master_List!$AW$15</f>
        <v>0</v>
      </c>
      <c r="AD197" s="20">
        <f ca="1">Master_List!$AW$16</f>
        <v>0</v>
      </c>
      <c r="AE197" s="20">
        <f ca="1">Master_List!$AW$17</f>
        <v>0</v>
      </c>
      <c r="AF197" s="20" t="str">
        <f ca="1">Master_List!$AW$18</f>
        <v>INDKOM</v>
      </c>
      <c r="AG197" s="20" t="str">
        <f ca="1">Master_List!$AW$19</f>
        <v>J-SLOTTED</v>
      </c>
      <c r="AH197" s="20" t="str">
        <f ca="1">Master_List!$AW$20</f>
        <v>1600A</v>
      </c>
      <c r="AI197" s="20" t="str">
        <f ca="1">Master_List!$AW$21</f>
        <v>LV5080090</v>
      </c>
      <c r="AJ197" s="20" t="str">
        <f ca="1">Master_List!$AW$22</f>
        <v>LVDB TX1</v>
      </c>
      <c r="AK197" s="20">
        <f ca="1">Master_List!$AW$23</f>
        <v>0</v>
      </c>
      <c r="AL197" s="20">
        <f ca="1">Master_List!$AW$24</f>
        <v>0</v>
      </c>
      <c r="AM197" s="20">
        <f ca="1">Master_List!$AW$25</f>
        <v>0</v>
      </c>
      <c r="AN197" s="20">
        <f ca="1">Master_List!$AW$26</f>
        <v>0</v>
      </c>
      <c r="AO197" s="20" t="str">
        <f ca="1">Master_List!$AW$27</f>
        <v>LVDB TX2</v>
      </c>
      <c r="AP197" s="20" t="str">
        <f ca="1">Master_List!$AW$28</f>
        <v>SUNPOWER TECHNOLOGIES</v>
      </c>
      <c r="AQ197" s="20" t="str">
        <f ca="1">Master_List!$AW$29</f>
        <v>SPS 30-10 L</v>
      </c>
      <c r="AR197" s="20" t="str">
        <f ca="1">Master_List!$AW$30</f>
        <v>11193-8527</v>
      </c>
      <c r="AS197" s="20">
        <f ca="1">Master_List!$AW$31</f>
        <v>0</v>
      </c>
      <c r="AT197" s="20">
        <f ca="1">Master_List!$AW$32</f>
        <v>0</v>
      </c>
      <c r="AU197" s="20">
        <f ca="1">Master_List!$AW$33</f>
        <v>0</v>
      </c>
      <c r="AV197" s="20">
        <f ca="1">Master_List!$AW$34</f>
        <v>0</v>
      </c>
      <c r="AW197" s="20">
        <f ca="1">Master_List!$AW$35</f>
        <v>0</v>
      </c>
      <c r="AX197" s="20">
        <f ca="1">Master_List!$AW$36</f>
        <v>0</v>
      </c>
      <c r="AY197" s="20">
        <f ca="1">Master_List!$AW$37</f>
        <v>0</v>
      </c>
      <c r="AZ197" s="20">
        <f ca="1">Master_List!$AW$38</f>
        <v>0</v>
      </c>
      <c r="BA197" s="20">
        <f ca="1">Master_List!$AW$39</f>
        <v>0</v>
      </c>
      <c r="BB197" s="20" t="s">
        <v>2240</v>
      </c>
      <c r="BC197" s="20" t="s">
        <v>2241</v>
      </c>
      <c r="BD197" s="6" t="s">
        <v>1744</v>
      </c>
      <c r="BE197" s="6" t="s">
        <v>1848</v>
      </c>
      <c r="BF197" s="6" t="s">
        <v>1748</v>
      </c>
      <c r="BG197" s="6" t="str">
        <f t="shared" si="3"/>
        <v>C:\Users\aremi\Desktop\REPORT CBM\PO 42289580 - Pahang 11kV SECOND CYCLE AZZAD 2026\RAW MATERIAL\047. TNB BARU (IR+VI)\RAW DATA\IR</v>
      </c>
      <c r="BH197" s="24" t="s">
        <v>732</v>
      </c>
    </row>
    <row r="198" spans="1:60" ht="30" customHeight="1" x14ac:dyDescent="0.25">
      <c r="A198" s="6">
        <v>99</v>
      </c>
      <c r="B198" s="6" t="s">
        <v>1587</v>
      </c>
      <c r="C198" s="6">
        <v>1</v>
      </c>
      <c r="D198" s="6" t="s">
        <v>2243</v>
      </c>
      <c r="E198" s="6">
        <v>99</v>
      </c>
      <c r="F198" s="6" t="str">
        <f ca="1">Master_List!$AW$1</f>
        <v>PERPUSTAKAAN PUSAT</v>
      </c>
      <c r="G198" s="27" t="str">
        <f ca="1">Master_List!$AW$2</f>
        <v>09:30 PM</v>
      </c>
      <c r="H198" s="32" t="str">
        <f ca="1">Master_List!$AW$3</f>
        <v>20/07/2026</v>
      </c>
      <c r="I198" s="28" t="str">
        <f ca="1">Master_List!$AW$4</f>
        <v>28.5</v>
      </c>
      <c r="J198" s="6" t="str">
        <f ca="1">Master_List!$AW$5</f>
        <v>65</v>
      </c>
      <c r="K198" s="6" t="s">
        <v>588</v>
      </c>
      <c r="L198" s="21" t="str">
        <f ca="1">IFERROR(VLOOKUP(B198, Master_List!$A:$I, 2, FALSE), "-")</f>
        <v/>
      </c>
      <c r="M198" s="22" t="str">
        <f ca="1">IFERROR(VLOOKUP(B198, Master_List!$A:$I, 3, FALSE), "-")</f>
        <v/>
      </c>
      <c r="N198" s="22" t="str">
        <f ca="1">IFERROR(VLOOKUP(B198, Master_List!$A:$I, 4, FALSE), "-")</f>
        <v/>
      </c>
      <c r="O198" s="22" t="str">
        <f ca="1">IFERROR(VLOOKUP(B198, Master_List!$A:$I, 5, FALSE), "-")</f>
        <v/>
      </c>
      <c r="P198" s="22" t="str">
        <f ca="1">IFERROR(VLOOKUP(B198, Master_List!$A:$I, 6, FALSE), "-")</f>
        <v/>
      </c>
      <c r="Q198" s="22" t="str">
        <f ca="1">IFERROR(VLOOKUP(B198, Master_List!$A:$I, 7, FALSE), "-")</f>
        <v/>
      </c>
      <c r="R198" s="22" t="str">
        <f ca="1">IFERROR(VLOOKUP(B198, Master_List!$A:$I, 8, FALSE), "-")</f>
        <v/>
      </c>
      <c r="S198" s="22" t="str">
        <f ca="1">IFERROR(VLOOKUP(B198, Master_List!$A:$I, 9, FALSE), "-")</f>
        <v/>
      </c>
      <c r="T198" s="20" t="str">
        <f ca="1">Master_List!$AW$6</f>
        <v>TOSHIBA</v>
      </c>
      <c r="U198" s="20" t="str">
        <f ca="1">Master_List!$AW$7</f>
        <v>MRMU</v>
      </c>
      <c r="V198" s="20" t="str">
        <f ca="1">Master_List!$AW$8</f>
        <v>12kV</v>
      </c>
      <c r="W198" s="20" t="str">
        <f ca="1">Master_List!$AW$9</f>
        <v>2S1F</v>
      </c>
      <c r="X198" s="20" t="str">
        <f ca="1">Master_List!$AW$10</f>
        <v>MTM</v>
      </c>
      <c r="Y198" s="20" t="str">
        <f ca="1">Master_List!$AW$11</f>
        <v>HERMETICALLY SEAL</v>
      </c>
      <c r="Z198" s="20" t="str">
        <f ca="1">Master_List!$AW$12</f>
        <v>750kVA</v>
      </c>
      <c r="AA198" s="20" t="str">
        <f ca="1">Master_List!$AW$13</f>
        <v>1317</v>
      </c>
      <c r="AB198" s="20">
        <f ca="1">Master_List!$AW$14</f>
        <v>0</v>
      </c>
      <c r="AC198" s="20">
        <f ca="1">Master_List!$AW$15</f>
        <v>0</v>
      </c>
      <c r="AD198" s="20">
        <f ca="1">Master_List!$AW$16</f>
        <v>0</v>
      </c>
      <c r="AE198" s="20">
        <f ca="1">Master_List!$AW$17</f>
        <v>0</v>
      </c>
      <c r="AF198" s="20" t="str">
        <f ca="1">Master_List!$AW$18</f>
        <v>INDKOM</v>
      </c>
      <c r="AG198" s="20" t="str">
        <f ca="1">Master_List!$AW$19</f>
        <v>J-SLOTTED</v>
      </c>
      <c r="AH198" s="20" t="str">
        <f ca="1">Master_List!$AW$20</f>
        <v>1600A</v>
      </c>
      <c r="AI198" s="20" t="str">
        <f ca="1">Master_List!$AW$21</f>
        <v>LV5080090</v>
      </c>
      <c r="AJ198" s="20" t="str">
        <f ca="1">Master_List!$AW$22</f>
        <v>LVDB TX1</v>
      </c>
      <c r="AK198" s="20">
        <f ca="1">Master_List!$AW$23</f>
        <v>0</v>
      </c>
      <c r="AL198" s="20">
        <f ca="1">Master_List!$AW$24</f>
        <v>0</v>
      </c>
      <c r="AM198" s="20">
        <f ca="1">Master_List!$AW$25</f>
        <v>0</v>
      </c>
      <c r="AN198" s="20">
        <f ca="1">Master_List!$AW$26</f>
        <v>0</v>
      </c>
      <c r="AO198" s="20" t="str">
        <f ca="1">Master_List!$AW$27</f>
        <v>LVDB TX2</v>
      </c>
      <c r="AP198" s="20" t="str">
        <f ca="1">Master_List!$AW$28</f>
        <v>SUNPOWER TECHNOLOGIES</v>
      </c>
      <c r="AQ198" s="20" t="str">
        <f ca="1">Master_List!$AW$29</f>
        <v>SPS 30-10 L</v>
      </c>
      <c r="AR198" s="20" t="str">
        <f ca="1">Master_List!$AW$30</f>
        <v>11193-8527</v>
      </c>
      <c r="AS198" s="20">
        <f ca="1">Master_List!$AW$31</f>
        <v>0</v>
      </c>
      <c r="AT198" s="20">
        <f ca="1">Master_List!$AW$32</f>
        <v>0</v>
      </c>
      <c r="AU198" s="20">
        <f ca="1">Master_List!$AW$33</f>
        <v>0</v>
      </c>
      <c r="AV198" s="20">
        <f ca="1">Master_List!$AW$34</f>
        <v>0</v>
      </c>
      <c r="AW198" s="20">
        <f ca="1">Master_List!$AW$35</f>
        <v>0</v>
      </c>
      <c r="AX198" s="20">
        <f ca="1">Master_List!$AW$36</f>
        <v>0</v>
      </c>
      <c r="AY198" s="20">
        <f ca="1">Master_List!$AW$37</f>
        <v>0</v>
      </c>
      <c r="AZ198" s="20">
        <f ca="1">Master_List!$AW$38</f>
        <v>0</v>
      </c>
      <c r="BA198" s="20">
        <f ca="1">Master_List!$AW$39</f>
        <v>0</v>
      </c>
      <c r="BB198" s="20" t="s">
        <v>2240</v>
      </c>
      <c r="BC198" s="20" t="s">
        <v>2241</v>
      </c>
      <c r="BD198" s="6" t="s">
        <v>1744</v>
      </c>
      <c r="BE198" s="6" t="s">
        <v>1849</v>
      </c>
      <c r="BF198" s="6" t="s">
        <v>1746</v>
      </c>
      <c r="BG198" s="6" t="str">
        <f t="shared" si="3"/>
        <v>C:\Users\aremi\Desktop\REPORT CBM\PO 42289580 - Pahang 11kV SECOND CYCLE AZZAD 2026\RAW MATERIAL\047. TNB BARU (IR+VI)\RAW DATA\IR</v>
      </c>
      <c r="BH198" s="24" t="s">
        <v>733</v>
      </c>
    </row>
    <row r="199" spans="1:60" ht="30" customHeight="1" x14ac:dyDescent="0.25">
      <c r="A199" s="6">
        <v>99</v>
      </c>
      <c r="B199" s="6" t="s">
        <v>1587</v>
      </c>
      <c r="C199" s="6">
        <v>1</v>
      </c>
      <c r="D199" s="6" t="s">
        <v>2243</v>
      </c>
      <c r="E199" s="6">
        <v>99</v>
      </c>
      <c r="F199" s="6" t="str">
        <f ca="1">Master_List!$AW$1</f>
        <v>PERPUSTAKAAN PUSAT</v>
      </c>
      <c r="G199" s="27" t="str">
        <f ca="1">Master_List!$AW$2</f>
        <v>09:30 PM</v>
      </c>
      <c r="H199" s="32" t="str">
        <f ca="1">Master_List!$AW$3</f>
        <v>20/07/2026</v>
      </c>
      <c r="I199" s="28" t="str">
        <f ca="1">Master_List!$AW$4</f>
        <v>28.5</v>
      </c>
      <c r="J199" s="6" t="str">
        <f ca="1">Master_List!$AW$5</f>
        <v>65</v>
      </c>
      <c r="K199" s="6" t="s">
        <v>588</v>
      </c>
      <c r="L199" s="21" t="str">
        <f ca="1">IFERROR(VLOOKUP(B199, Master_List!$A:$I, 2, FALSE), "-")</f>
        <v/>
      </c>
      <c r="M199" s="22" t="str">
        <f ca="1">IFERROR(VLOOKUP(B199, Master_List!$A:$I, 3, FALSE), "-")</f>
        <v/>
      </c>
      <c r="N199" s="22" t="str">
        <f ca="1">IFERROR(VLOOKUP(B199, Master_List!$A:$I, 4, FALSE), "-")</f>
        <v/>
      </c>
      <c r="O199" s="22" t="str">
        <f ca="1">IFERROR(VLOOKUP(B199, Master_List!$A:$I, 5, FALSE), "-")</f>
        <v/>
      </c>
      <c r="P199" s="22" t="str">
        <f ca="1">IFERROR(VLOOKUP(B199, Master_List!$A:$I, 6, FALSE), "-")</f>
        <v/>
      </c>
      <c r="Q199" s="22" t="str">
        <f ca="1">IFERROR(VLOOKUP(B199, Master_List!$A:$I, 7, FALSE), "-")</f>
        <v/>
      </c>
      <c r="R199" s="22" t="str">
        <f ca="1">IFERROR(VLOOKUP(B199, Master_List!$A:$I, 8, FALSE), "-")</f>
        <v/>
      </c>
      <c r="S199" s="22" t="str">
        <f ca="1">IFERROR(VLOOKUP(B199, Master_List!$A:$I, 9, FALSE), "-")</f>
        <v/>
      </c>
      <c r="T199" s="20" t="str">
        <f ca="1">Master_List!$AW$6</f>
        <v>TOSHIBA</v>
      </c>
      <c r="U199" s="20" t="str">
        <f ca="1">Master_List!$AW$7</f>
        <v>MRMU</v>
      </c>
      <c r="V199" s="20" t="str">
        <f ca="1">Master_List!$AW$8</f>
        <v>12kV</v>
      </c>
      <c r="W199" s="20" t="str">
        <f ca="1">Master_List!$AW$9</f>
        <v>2S1F</v>
      </c>
      <c r="X199" s="20" t="str">
        <f ca="1">Master_List!$AW$10</f>
        <v>MTM</v>
      </c>
      <c r="Y199" s="20" t="str">
        <f ca="1">Master_List!$AW$11</f>
        <v>HERMETICALLY SEAL</v>
      </c>
      <c r="Z199" s="20" t="str">
        <f ca="1">Master_List!$AW$12</f>
        <v>750kVA</v>
      </c>
      <c r="AA199" s="20" t="str">
        <f ca="1">Master_List!$AW$13</f>
        <v>1317</v>
      </c>
      <c r="AB199" s="20">
        <f ca="1">Master_List!$AW$14</f>
        <v>0</v>
      </c>
      <c r="AC199" s="20">
        <f ca="1">Master_List!$AW$15</f>
        <v>0</v>
      </c>
      <c r="AD199" s="20">
        <f ca="1">Master_List!$AW$16</f>
        <v>0</v>
      </c>
      <c r="AE199" s="20">
        <f ca="1">Master_List!$AW$17</f>
        <v>0</v>
      </c>
      <c r="AF199" s="20" t="str">
        <f ca="1">Master_List!$AW$18</f>
        <v>INDKOM</v>
      </c>
      <c r="AG199" s="20" t="str">
        <f ca="1">Master_List!$AW$19</f>
        <v>J-SLOTTED</v>
      </c>
      <c r="AH199" s="20" t="str">
        <f ca="1">Master_List!$AW$20</f>
        <v>1600A</v>
      </c>
      <c r="AI199" s="20" t="str">
        <f ca="1">Master_List!$AW$21</f>
        <v>LV5080090</v>
      </c>
      <c r="AJ199" s="20" t="str">
        <f ca="1">Master_List!$AW$22</f>
        <v>LVDB TX1</v>
      </c>
      <c r="AK199" s="20">
        <f ca="1">Master_List!$AW$23</f>
        <v>0</v>
      </c>
      <c r="AL199" s="20">
        <f ca="1">Master_List!$AW$24</f>
        <v>0</v>
      </c>
      <c r="AM199" s="20">
        <f ca="1">Master_List!$AW$25</f>
        <v>0</v>
      </c>
      <c r="AN199" s="20">
        <f ca="1">Master_List!$AW$26</f>
        <v>0</v>
      </c>
      <c r="AO199" s="20" t="str">
        <f ca="1">Master_List!$AW$27</f>
        <v>LVDB TX2</v>
      </c>
      <c r="AP199" s="20" t="str">
        <f ca="1">Master_List!$AW$28</f>
        <v>SUNPOWER TECHNOLOGIES</v>
      </c>
      <c r="AQ199" s="20" t="str">
        <f ca="1">Master_List!$AW$29</f>
        <v>SPS 30-10 L</v>
      </c>
      <c r="AR199" s="20" t="str">
        <f ca="1">Master_List!$AW$30</f>
        <v>11193-8527</v>
      </c>
      <c r="AS199" s="20">
        <f ca="1">Master_List!$AW$31</f>
        <v>0</v>
      </c>
      <c r="AT199" s="20">
        <f ca="1">Master_List!$AW$32</f>
        <v>0</v>
      </c>
      <c r="AU199" s="20">
        <f ca="1">Master_List!$AW$33</f>
        <v>0</v>
      </c>
      <c r="AV199" s="20">
        <f ca="1">Master_List!$AW$34</f>
        <v>0</v>
      </c>
      <c r="AW199" s="20">
        <f ca="1">Master_List!$AW$35</f>
        <v>0</v>
      </c>
      <c r="AX199" s="20">
        <f ca="1">Master_List!$AW$36</f>
        <v>0</v>
      </c>
      <c r="AY199" s="20">
        <f ca="1">Master_List!$AW$37</f>
        <v>0</v>
      </c>
      <c r="AZ199" s="20">
        <f ca="1">Master_List!$AW$38</f>
        <v>0</v>
      </c>
      <c r="BA199" s="20">
        <f ca="1">Master_List!$AW$39</f>
        <v>0</v>
      </c>
      <c r="BB199" s="20" t="s">
        <v>2240</v>
      </c>
      <c r="BC199" s="20" t="s">
        <v>2241</v>
      </c>
      <c r="BD199" s="6" t="s">
        <v>1744</v>
      </c>
      <c r="BE199" s="6" t="s">
        <v>1849</v>
      </c>
      <c r="BF199" s="6" t="s">
        <v>1748</v>
      </c>
      <c r="BG199" s="6" t="str">
        <f t="shared" si="3"/>
        <v>C:\Users\aremi\Desktop\REPORT CBM\PO 42289580 - Pahang 11kV SECOND CYCLE AZZAD 2026\RAW MATERIAL\047. TNB BARU (IR+VI)\RAW DATA\IR</v>
      </c>
      <c r="BH199" s="24" t="s">
        <v>734</v>
      </c>
    </row>
    <row r="200" spans="1:60" ht="30" customHeight="1" x14ac:dyDescent="0.25">
      <c r="A200" s="6">
        <v>100</v>
      </c>
      <c r="B200" s="6" t="s">
        <v>1587</v>
      </c>
      <c r="C200" s="6">
        <v>1</v>
      </c>
      <c r="D200" s="6" t="s">
        <v>2244</v>
      </c>
      <c r="E200" s="6">
        <v>100</v>
      </c>
      <c r="F200" s="6" t="str">
        <f ca="1">Master_List!$AW$1</f>
        <v>PERPUSTAKAAN PUSAT</v>
      </c>
      <c r="G200" s="27" t="str">
        <f ca="1">Master_List!$AW$2</f>
        <v>09:30 PM</v>
      </c>
      <c r="H200" s="32" t="str">
        <f ca="1">Master_List!$AW$3</f>
        <v>20/07/2026</v>
      </c>
      <c r="I200" s="28" t="str">
        <f ca="1">Master_List!$AW$4</f>
        <v>28.5</v>
      </c>
      <c r="J200" s="6" t="str">
        <f ca="1">Master_List!$AW$5</f>
        <v>65</v>
      </c>
      <c r="K200" s="6" t="s">
        <v>591</v>
      </c>
      <c r="L200" s="21" t="str">
        <f ca="1">IFERROR(VLOOKUP(B200, Master_List!$A:$I, 2, FALSE), "-")</f>
        <v/>
      </c>
      <c r="M200" s="22" t="str">
        <f ca="1">IFERROR(VLOOKUP(B200, Master_List!$A:$I, 3, FALSE), "-")</f>
        <v/>
      </c>
      <c r="N200" s="22" t="str">
        <f ca="1">IFERROR(VLOOKUP(B200, Master_List!$A:$I, 4, FALSE), "-")</f>
        <v/>
      </c>
      <c r="O200" s="22" t="str">
        <f ca="1">IFERROR(VLOOKUP(B200, Master_List!$A:$I, 5, FALSE), "-")</f>
        <v/>
      </c>
      <c r="P200" s="22" t="str">
        <f ca="1">IFERROR(VLOOKUP(B200, Master_List!$A:$I, 6, FALSE), "-")</f>
        <v/>
      </c>
      <c r="Q200" s="22" t="str">
        <f ca="1">IFERROR(VLOOKUP(B200, Master_List!$A:$I, 7, FALSE), "-")</f>
        <v/>
      </c>
      <c r="R200" s="22" t="str">
        <f ca="1">IFERROR(VLOOKUP(B200, Master_List!$A:$I, 8, FALSE), "-")</f>
        <v/>
      </c>
      <c r="S200" s="22" t="str">
        <f ca="1">IFERROR(VLOOKUP(B200, Master_List!$A:$I, 9, FALSE), "-")</f>
        <v/>
      </c>
      <c r="T200" s="20" t="str">
        <f ca="1">Master_List!$AW$6</f>
        <v>TOSHIBA</v>
      </c>
      <c r="U200" s="20" t="str">
        <f ca="1">Master_List!$AW$7</f>
        <v>MRMU</v>
      </c>
      <c r="V200" s="20" t="str">
        <f ca="1">Master_List!$AW$8</f>
        <v>12kV</v>
      </c>
      <c r="W200" s="20" t="str">
        <f ca="1">Master_List!$AW$9</f>
        <v>2S1F</v>
      </c>
      <c r="X200" s="20" t="str">
        <f ca="1">Master_List!$AW$10</f>
        <v>MTM</v>
      </c>
      <c r="Y200" s="20" t="str">
        <f ca="1">Master_List!$AW$11</f>
        <v>HERMETICALLY SEAL</v>
      </c>
      <c r="Z200" s="20" t="str">
        <f ca="1">Master_List!$AW$12</f>
        <v>750kVA</v>
      </c>
      <c r="AA200" s="20" t="str">
        <f ca="1">Master_List!$AW$13</f>
        <v>1317</v>
      </c>
      <c r="AB200" s="20">
        <f ca="1">Master_List!$AW$14</f>
        <v>0</v>
      </c>
      <c r="AC200" s="20">
        <f ca="1">Master_List!$AW$15</f>
        <v>0</v>
      </c>
      <c r="AD200" s="20">
        <f ca="1">Master_List!$AW$16</f>
        <v>0</v>
      </c>
      <c r="AE200" s="20">
        <f ca="1">Master_List!$AW$17</f>
        <v>0</v>
      </c>
      <c r="AF200" s="20" t="str">
        <f ca="1">Master_List!$AW$18</f>
        <v>INDKOM</v>
      </c>
      <c r="AG200" s="20" t="str">
        <f ca="1">Master_List!$AW$19</f>
        <v>J-SLOTTED</v>
      </c>
      <c r="AH200" s="20" t="str">
        <f ca="1">Master_List!$AW$20</f>
        <v>1600A</v>
      </c>
      <c r="AI200" s="20" t="str">
        <f ca="1">Master_List!$AW$21</f>
        <v>LV5080090</v>
      </c>
      <c r="AJ200" s="20" t="str">
        <f ca="1">Master_List!$AW$22</f>
        <v>LVDB TX1</v>
      </c>
      <c r="AK200" s="20">
        <f ca="1">Master_List!$AW$23</f>
        <v>0</v>
      </c>
      <c r="AL200" s="20">
        <f ca="1">Master_List!$AW$24</f>
        <v>0</v>
      </c>
      <c r="AM200" s="20">
        <f ca="1">Master_List!$AW$25</f>
        <v>0</v>
      </c>
      <c r="AN200" s="20">
        <f ca="1">Master_List!$AW$26</f>
        <v>0</v>
      </c>
      <c r="AO200" s="20" t="str">
        <f ca="1">Master_List!$AW$27</f>
        <v>LVDB TX2</v>
      </c>
      <c r="AP200" s="20" t="str">
        <f ca="1">Master_List!$AW$28</f>
        <v>SUNPOWER TECHNOLOGIES</v>
      </c>
      <c r="AQ200" s="20" t="str">
        <f ca="1">Master_List!$AW$29</f>
        <v>SPS 30-10 L</v>
      </c>
      <c r="AR200" s="20" t="str">
        <f ca="1">Master_List!$AW$30</f>
        <v>11193-8527</v>
      </c>
      <c r="AS200" s="20">
        <f ca="1">Master_List!$AW$31</f>
        <v>0</v>
      </c>
      <c r="AT200" s="20">
        <f ca="1">Master_List!$AW$32</f>
        <v>0</v>
      </c>
      <c r="AU200" s="20">
        <f ca="1">Master_List!$AW$33</f>
        <v>0</v>
      </c>
      <c r="AV200" s="20">
        <f ca="1">Master_List!$AW$34</f>
        <v>0</v>
      </c>
      <c r="AW200" s="20">
        <f ca="1">Master_List!$AW$35</f>
        <v>0</v>
      </c>
      <c r="AX200" s="20">
        <f ca="1">Master_List!$AW$36</f>
        <v>0</v>
      </c>
      <c r="AY200" s="20">
        <f ca="1">Master_List!$AW$37</f>
        <v>0</v>
      </c>
      <c r="AZ200" s="20">
        <f ca="1">Master_List!$AW$38</f>
        <v>0</v>
      </c>
      <c r="BA200" s="20">
        <f ca="1">Master_List!$AW$39</f>
        <v>0</v>
      </c>
      <c r="BB200" s="20" t="s">
        <v>2240</v>
      </c>
      <c r="BC200" s="20" t="s">
        <v>2241</v>
      </c>
      <c r="BD200" s="6" t="s">
        <v>1744</v>
      </c>
      <c r="BE200" s="6" t="s">
        <v>1850</v>
      </c>
      <c r="BF200" s="6" t="s">
        <v>1746</v>
      </c>
      <c r="BG200" s="6" t="str">
        <f t="shared" si="3"/>
        <v>C:\Users\aremi\Desktop\REPORT CBM\PO 42289580 - Pahang 11kV SECOND CYCLE AZZAD 2026\RAW MATERIAL\047. TNB BARU (IR+VI)\RAW DATA\IR</v>
      </c>
      <c r="BH200" s="24" t="s">
        <v>735</v>
      </c>
    </row>
    <row r="201" spans="1:60" ht="30" customHeight="1" x14ac:dyDescent="0.25">
      <c r="A201" s="6">
        <v>100</v>
      </c>
      <c r="B201" s="6" t="s">
        <v>1587</v>
      </c>
      <c r="C201" s="6">
        <v>1</v>
      </c>
      <c r="D201" s="6" t="s">
        <v>2244</v>
      </c>
      <c r="E201" s="6">
        <v>100</v>
      </c>
      <c r="F201" s="6" t="str">
        <f ca="1">Master_List!$AW$1</f>
        <v>PERPUSTAKAAN PUSAT</v>
      </c>
      <c r="G201" s="27" t="str">
        <f ca="1">Master_List!$AW$2</f>
        <v>09:30 PM</v>
      </c>
      <c r="H201" s="32" t="str">
        <f ca="1">Master_List!$AW$3</f>
        <v>20/07/2026</v>
      </c>
      <c r="I201" s="28" t="str">
        <f ca="1">Master_List!$AW$4</f>
        <v>28.5</v>
      </c>
      <c r="J201" s="6" t="str">
        <f ca="1">Master_List!$AW$5</f>
        <v>65</v>
      </c>
      <c r="K201" s="6" t="s">
        <v>591</v>
      </c>
      <c r="L201" s="21" t="str">
        <f ca="1">IFERROR(VLOOKUP(B201, Master_List!$A:$I, 2, FALSE), "-")</f>
        <v/>
      </c>
      <c r="M201" s="22" t="str">
        <f ca="1">IFERROR(VLOOKUP(B201, Master_List!$A:$I, 3, FALSE), "-")</f>
        <v/>
      </c>
      <c r="N201" s="22" t="str">
        <f ca="1">IFERROR(VLOOKUP(B201, Master_List!$A:$I, 4, FALSE), "-")</f>
        <v/>
      </c>
      <c r="O201" s="22" t="str">
        <f ca="1">IFERROR(VLOOKUP(B201, Master_List!$A:$I, 5, FALSE), "-")</f>
        <v/>
      </c>
      <c r="P201" s="22" t="str">
        <f ca="1">IFERROR(VLOOKUP(B201, Master_List!$A:$I, 6, FALSE), "-")</f>
        <v/>
      </c>
      <c r="Q201" s="22" t="str">
        <f ca="1">IFERROR(VLOOKUP(B201, Master_List!$A:$I, 7, FALSE), "-")</f>
        <v/>
      </c>
      <c r="R201" s="22" t="str">
        <f ca="1">IFERROR(VLOOKUP(B201, Master_List!$A:$I, 8, FALSE), "-")</f>
        <v/>
      </c>
      <c r="S201" s="22" t="str">
        <f ca="1">IFERROR(VLOOKUP(B201, Master_List!$A:$I, 9, FALSE), "-")</f>
        <v/>
      </c>
      <c r="T201" s="20" t="str">
        <f ca="1">Master_List!$AW$6</f>
        <v>TOSHIBA</v>
      </c>
      <c r="U201" s="20" t="str">
        <f ca="1">Master_List!$AW$7</f>
        <v>MRMU</v>
      </c>
      <c r="V201" s="20" t="str">
        <f ca="1">Master_List!$AW$8</f>
        <v>12kV</v>
      </c>
      <c r="W201" s="20" t="str">
        <f ca="1">Master_List!$AW$9</f>
        <v>2S1F</v>
      </c>
      <c r="X201" s="20" t="str">
        <f ca="1">Master_List!$AW$10</f>
        <v>MTM</v>
      </c>
      <c r="Y201" s="20" t="str">
        <f ca="1">Master_List!$AW$11</f>
        <v>HERMETICALLY SEAL</v>
      </c>
      <c r="Z201" s="20" t="str">
        <f ca="1">Master_List!$AW$12</f>
        <v>750kVA</v>
      </c>
      <c r="AA201" s="20" t="str">
        <f ca="1">Master_List!$AW$13</f>
        <v>1317</v>
      </c>
      <c r="AB201" s="20">
        <f ca="1">Master_List!$AW$14</f>
        <v>0</v>
      </c>
      <c r="AC201" s="20">
        <f ca="1">Master_List!$AW$15</f>
        <v>0</v>
      </c>
      <c r="AD201" s="20">
        <f ca="1">Master_List!$AW$16</f>
        <v>0</v>
      </c>
      <c r="AE201" s="20">
        <f ca="1">Master_List!$AW$17</f>
        <v>0</v>
      </c>
      <c r="AF201" s="20" t="str">
        <f ca="1">Master_List!$AW$18</f>
        <v>INDKOM</v>
      </c>
      <c r="AG201" s="20" t="str">
        <f ca="1">Master_List!$AW$19</f>
        <v>J-SLOTTED</v>
      </c>
      <c r="AH201" s="20" t="str">
        <f ca="1">Master_List!$AW$20</f>
        <v>1600A</v>
      </c>
      <c r="AI201" s="20" t="str">
        <f ca="1">Master_List!$AW$21</f>
        <v>LV5080090</v>
      </c>
      <c r="AJ201" s="20" t="str">
        <f ca="1">Master_List!$AW$22</f>
        <v>LVDB TX1</v>
      </c>
      <c r="AK201" s="20">
        <f ca="1">Master_List!$AW$23</f>
        <v>0</v>
      </c>
      <c r="AL201" s="20">
        <f ca="1">Master_List!$AW$24</f>
        <v>0</v>
      </c>
      <c r="AM201" s="20">
        <f ca="1">Master_List!$AW$25</f>
        <v>0</v>
      </c>
      <c r="AN201" s="20">
        <f ca="1">Master_List!$AW$26</f>
        <v>0</v>
      </c>
      <c r="AO201" s="20" t="str">
        <f ca="1">Master_List!$AW$27</f>
        <v>LVDB TX2</v>
      </c>
      <c r="AP201" s="20" t="str">
        <f ca="1">Master_List!$AW$28</f>
        <v>SUNPOWER TECHNOLOGIES</v>
      </c>
      <c r="AQ201" s="20" t="str">
        <f ca="1">Master_List!$AW$29</f>
        <v>SPS 30-10 L</v>
      </c>
      <c r="AR201" s="20" t="str">
        <f ca="1">Master_List!$AW$30</f>
        <v>11193-8527</v>
      </c>
      <c r="AS201" s="20">
        <f ca="1">Master_List!$AW$31</f>
        <v>0</v>
      </c>
      <c r="AT201" s="20">
        <f ca="1">Master_List!$AW$32</f>
        <v>0</v>
      </c>
      <c r="AU201" s="20">
        <f ca="1">Master_List!$AW$33</f>
        <v>0</v>
      </c>
      <c r="AV201" s="20">
        <f ca="1">Master_List!$AW$34</f>
        <v>0</v>
      </c>
      <c r="AW201" s="20">
        <f ca="1">Master_List!$AW$35</f>
        <v>0</v>
      </c>
      <c r="AX201" s="20">
        <f ca="1">Master_List!$AW$36</f>
        <v>0</v>
      </c>
      <c r="AY201" s="20">
        <f ca="1">Master_List!$AW$37</f>
        <v>0</v>
      </c>
      <c r="AZ201" s="20">
        <f ca="1">Master_List!$AW$38</f>
        <v>0</v>
      </c>
      <c r="BA201" s="20">
        <f ca="1">Master_List!$AW$39</f>
        <v>0</v>
      </c>
      <c r="BB201" s="20" t="s">
        <v>2240</v>
      </c>
      <c r="BC201" s="20" t="s">
        <v>2241</v>
      </c>
      <c r="BD201" s="6" t="s">
        <v>1744</v>
      </c>
      <c r="BE201" s="6" t="s">
        <v>1850</v>
      </c>
      <c r="BF201" s="6" t="s">
        <v>1748</v>
      </c>
      <c r="BG201" s="6" t="str">
        <f t="shared" si="3"/>
        <v>C:\Users\aremi\Desktop\REPORT CBM\PO 42289580 - Pahang 11kV SECOND CYCLE AZZAD 2026\RAW MATERIAL\047. TNB BARU (IR+VI)\RAW DATA\IR</v>
      </c>
      <c r="BH201" s="24" t="s">
        <v>736</v>
      </c>
    </row>
    <row r="202" spans="1:60" ht="30" customHeight="1" x14ac:dyDescent="0.25">
      <c r="A202" s="6">
        <v>101</v>
      </c>
      <c r="B202" s="6" t="s">
        <v>1588</v>
      </c>
      <c r="C202" s="6">
        <v>1</v>
      </c>
      <c r="D202" s="6" t="s">
        <v>2242</v>
      </c>
      <c r="E202" s="6">
        <v>101</v>
      </c>
      <c r="F202" s="6" t="str">
        <f ca="1">Master_List!$AW$1</f>
        <v>PERPUSTAKAAN PUSAT</v>
      </c>
      <c r="G202" s="27" t="str">
        <f ca="1">Master_List!$AW$2</f>
        <v>09:30 PM</v>
      </c>
      <c r="H202" s="32" t="str">
        <f ca="1">Master_List!$AW$3</f>
        <v>20/07/2026</v>
      </c>
      <c r="I202" s="28" t="str">
        <f ca="1">Master_List!$AW$4</f>
        <v>28.5</v>
      </c>
      <c r="J202" s="6" t="str">
        <f ca="1">Master_List!$AW$5</f>
        <v>65</v>
      </c>
      <c r="K202" s="6" t="s">
        <v>570</v>
      </c>
      <c r="L202" s="21" t="str">
        <f ca="1">IFERROR(VLOOKUP(B202, Master_List!$A:$I, 2, FALSE), "-")</f>
        <v/>
      </c>
      <c r="M202" s="22" t="str">
        <f ca="1">IFERROR(VLOOKUP(B202, Master_List!$A:$I, 3, FALSE), "-")</f>
        <v/>
      </c>
      <c r="N202" s="22" t="str">
        <f ca="1">IFERROR(VLOOKUP(B202, Master_List!$A:$I, 4, FALSE), "-")</f>
        <v/>
      </c>
      <c r="O202" s="22" t="str">
        <f ca="1">IFERROR(VLOOKUP(B202, Master_List!$A:$I, 5, FALSE), "-")</f>
        <v/>
      </c>
      <c r="P202" s="22" t="str">
        <f ca="1">IFERROR(VLOOKUP(B202, Master_List!$A:$I, 6, FALSE), "-")</f>
        <v/>
      </c>
      <c r="Q202" s="22" t="str">
        <f ca="1">IFERROR(VLOOKUP(B202, Master_List!$A:$I, 7, FALSE), "-")</f>
        <v/>
      </c>
      <c r="R202" s="22" t="str">
        <f ca="1">IFERROR(VLOOKUP(B202, Master_List!$A:$I, 8, FALSE), "-")</f>
        <v/>
      </c>
      <c r="S202" s="22" t="str">
        <f ca="1">IFERROR(VLOOKUP(B202, Master_List!$A:$I, 9, FALSE), "-")</f>
        <v/>
      </c>
      <c r="T202" s="20" t="str">
        <f ca="1">Master_List!$AW$6</f>
        <v>TOSHIBA</v>
      </c>
      <c r="U202" s="20" t="str">
        <f ca="1">Master_List!$AW$7</f>
        <v>MRMU</v>
      </c>
      <c r="V202" s="20" t="str">
        <f ca="1">Master_List!$AW$8</f>
        <v>12kV</v>
      </c>
      <c r="W202" s="20" t="str">
        <f ca="1">Master_List!$AW$9</f>
        <v>2S1F</v>
      </c>
      <c r="X202" s="20" t="str">
        <f ca="1">Master_List!$AW$10</f>
        <v>MTM</v>
      </c>
      <c r="Y202" s="20" t="str">
        <f ca="1">Master_List!$AW$11</f>
        <v>HERMETICALLY SEAL</v>
      </c>
      <c r="Z202" s="20" t="str">
        <f ca="1">Master_List!$AW$12</f>
        <v>750kVA</v>
      </c>
      <c r="AA202" s="20" t="str">
        <f ca="1">Master_List!$AW$13</f>
        <v>1317</v>
      </c>
      <c r="AB202" s="20">
        <f ca="1">Master_List!$AW$14</f>
        <v>0</v>
      </c>
      <c r="AC202" s="20">
        <f ca="1">Master_List!$AW$15</f>
        <v>0</v>
      </c>
      <c r="AD202" s="20">
        <f ca="1">Master_List!$AW$16</f>
        <v>0</v>
      </c>
      <c r="AE202" s="20">
        <f ca="1">Master_List!$AW$17</f>
        <v>0</v>
      </c>
      <c r="AF202" s="20" t="str">
        <f ca="1">Master_List!$AW$18</f>
        <v>INDKOM</v>
      </c>
      <c r="AG202" s="20" t="str">
        <f ca="1">Master_List!$AW$19</f>
        <v>J-SLOTTED</v>
      </c>
      <c r="AH202" s="20" t="str">
        <f ca="1">Master_List!$AW$20</f>
        <v>1600A</v>
      </c>
      <c r="AI202" s="20" t="str">
        <f ca="1">Master_List!$AW$21</f>
        <v>LV5080090</v>
      </c>
      <c r="AJ202" s="20" t="str">
        <f ca="1">Master_List!$AW$22</f>
        <v>LVDB TX1</v>
      </c>
      <c r="AK202" s="20">
        <f ca="1">Master_List!$AW$23</f>
        <v>0</v>
      </c>
      <c r="AL202" s="20">
        <f ca="1">Master_List!$AW$24</f>
        <v>0</v>
      </c>
      <c r="AM202" s="20">
        <f ca="1">Master_List!$AW$25</f>
        <v>0</v>
      </c>
      <c r="AN202" s="20">
        <f ca="1">Master_List!$AW$26</f>
        <v>0</v>
      </c>
      <c r="AO202" s="20" t="str">
        <f ca="1">Master_List!$AW$27</f>
        <v>LVDB TX2</v>
      </c>
      <c r="AP202" s="20" t="str">
        <f ca="1">Master_List!$AW$28</f>
        <v>SUNPOWER TECHNOLOGIES</v>
      </c>
      <c r="AQ202" s="20" t="str">
        <f ca="1">Master_List!$AW$29</f>
        <v>SPS 30-10 L</v>
      </c>
      <c r="AR202" s="20" t="str">
        <f ca="1">Master_List!$AW$30</f>
        <v>11193-8527</v>
      </c>
      <c r="AS202" s="20">
        <f ca="1">Master_List!$AW$31</f>
        <v>0</v>
      </c>
      <c r="AT202" s="20">
        <f ca="1">Master_List!$AW$32</f>
        <v>0</v>
      </c>
      <c r="AU202" s="20">
        <f ca="1">Master_List!$AW$33</f>
        <v>0</v>
      </c>
      <c r="AV202" s="20">
        <f ca="1">Master_List!$AW$34</f>
        <v>0</v>
      </c>
      <c r="AW202" s="20">
        <f ca="1">Master_List!$AW$35</f>
        <v>0</v>
      </c>
      <c r="AX202" s="20">
        <f ca="1">Master_List!$AW$36</f>
        <v>0</v>
      </c>
      <c r="AY202" s="20">
        <f ca="1">Master_List!$AW$37</f>
        <v>0</v>
      </c>
      <c r="AZ202" s="20">
        <f ca="1">Master_List!$AW$38</f>
        <v>0</v>
      </c>
      <c r="BA202" s="20">
        <f ca="1">Master_List!$AW$39</f>
        <v>0</v>
      </c>
      <c r="BB202" s="20" t="s">
        <v>2240</v>
      </c>
      <c r="BC202" s="20" t="s">
        <v>2241</v>
      </c>
      <c r="BD202" s="6" t="s">
        <v>1744</v>
      </c>
      <c r="BE202" s="6" t="s">
        <v>1851</v>
      </c>
      <c r="BF202" s="6" t="s">
        <v>1746</v>
      </c>
      <c r="BG202" s="6" t="str">
        <f t="shared" si="3"/>
        <v>C:\Users\aremi\Desktop\REPORT CBM\PO 42289580 - Pahang 11kV SECOND CYCLE AZZAD 2026\RAW MATERIAL\047. TNB BARU (IR+VI)\RAW DATA\IR</v>
      </c>
      <c r="BH202" s="24" t="s">
        <v>737</v>
      </c>
    </row>
    <row r="203" spans="1:60" ht="30" customHeight="1" x14ac:dyDescent="0.25">
      <c r="A203" s="6">
        <v>101</v>
      </c>
      <c r="B203" s="6" t="s">
        <v>1588</v>
      </c>
      <c r="C203" s="6">
        <v>1</v>
      </c>
      <c r="D203" s="6" t="s">
        <v>2242</v>
      </c>
      <c r="E203" s="6">
        <v>101</v>
      </c>
      <c r="F203" s="6" t="str">
        <f ca="1">Master_List!$AW$1</f>
        <v>PERPUSTAKAAN PUSAT</v>
      </c>
      <c r="G203" s="27" t="str">
        <f ca="1">Master_List!$AW$2</f>
        <v>09:30 PM</v>
      </c>
      <c r="H203" s="32" t="str">
        <f ca="1">Master_List!$AW$3</f>
        <v>20/07/2026</v>
      </c>
      <c r="I203" s="28" t="str">
        <f ca="1">Master_List!$AW$4</f>
        <v>28.5</v>
      </c>
      <c r="J203" s="6" t="str">
        <f ca="1">Master_List!$AW$5</f>
        <v>65</v>
      </c>
      <c r="K203" s="6" t="s">
        <v>570</v>
      </c>
      <c r="L203" s="21" t="str">
        <f ca="1">IFERROR(VLOOKUP(B203, Master_List!$A:$I, 2, FALSE), "-")</f>
        <v/>
      </c>
      <c r="M203" s="22" t="str">
        <f ca="1">IFERROR(VLOOKUP(B203, Master_List!$A:$I, 3, FALSE), "-")</f>
        <v/>
      </c>
      <c r="N203" s="22" t="str">
        <f ca="1">IFERROR(VLOOKUP(B203, Master_List!$A:$I, 4, FALSE), "-")</f>
        <v/>
      </c>
      <c r="O203" s="22" t="str">
        <f ca="1">IFERROR(VLOOKUP(B203, Master_List!$A:$I, 5, FALSE), "-")</f>
        <v/>
      </c>
      <c r="P203" s="22" t="str">
        <f ca="1">IFERROR(VLOOKUP(B203, Master_List!$A:$I, 6, FALSE), "-")</f>
        <v/>
      </c>
      <c r="Q203" s="22" t="str">
        <f ca="1">IFERROR(VLOOKUP(B203, Master_List!$A:$I, 7, FALSE), "-")</f>
        <v/>
      </c>
      <c r="R203" s="22" t="str">
        <f ca="1">IFERROR(VLOOKUP(B203, Master_List!$A:$I, 8, FALSE), "-")</f>
        <v/>
      </c>
      <c r="S203" s="22" t="str">
        <f ca="1">IFERROR(VLOOKUP(B203, Master_List!$A:$I, 9, FALSE), "-")</f>
        <v/>
      </c>
      <c r="T203" s="20" t="str">
        <f ca="1">Master_List!$AW$6</f>
        <v>TOSHIBA</v>
      </c>
      <c r="U203" s="20" t="str">
        <f ca="1">Master_List!$AW$7</f>
        <v>MRMU</v>
      </c>
      <c r="V203" s="20" t="str">
        <f ca="1">Master_List!$AW$8</f>
        <v>12kV</v>
      </c>
      <c r="W203" s="20" t="str">
        <f ca="1">Master_List!$AW$9</f>
        <v>2S1F</v>
      </c>
      <c r="X203" s="20" t="str">
        <f ca="1">Master_List!$AW$10</f>
        <v>MTM</v>
      </c>
      <c r="Y203" s="20" t="str">
        <f ca="1">Master_List!$AW$11</f>
        <v>HERMETICALLY SEAL</v>
      </c>
      <c r="Z203" s="20" t="str">
        <f ca="1">Master_List!$AW$12</f>
        <v>750kVA</v>
      </c>
      <c r="AA203" s="20" t="str">
        <f ca="1">Master_List!$AW$13</f>
        <v>1317</v>
      </c>
      <c r="AB203" s="20">
        <f ca="1">Master_List!$AW$14</f>
        <v>0</v>
      </c>
      <c r="AC203" s="20">
        <f ca="1">Master_List!$AW$15</f>
        <v>0</v>
      </c>
      <c r="AD203" s="20">
        <f ca="1">Master_List!$AW$16</f>
        <v>0</v>
      </c>
      <c r="AE203" s="20">
        <f ca="1">Master_List!$AW$17</f>
        <v>0</v>
      </c>
      <c r="AF203" s="20" t="str">
        <f ca="1">Master_List!$AW$18</f>
        <v>INDKOM</v>
      </c>
      <c r="AG203" s="20" t="str">
        <f ca="1">Master_List!$AW$19</f>
        <v>J-SLOTTED</v>
      </c>
      <c r="AH203" s="20" t="str">
        <f ca="1">Master_List!$AW$20</f>
        <v>1600A</v>
      </c>
      <c r="AI203" s="20" t="str">
        <f ca="1">Master_List!$AW$21</f>
        <v>LV5080090</v>
      </c>
      <c r="AJ203" s="20" t="str">
        <f ca="1">Master_List!$AW$22</f>
        <v>LVDB TX1</v>
      </c>
      <c r="AK203" s="20">
        <f ca="1">Master_List!$AW$23</f>
        <v>0</v>
      </c>
      <c r="AL203" s="20">
        <f ca="1">Master_List!$AW$24</f>
        <v>0</v>
      </c>
      <c r="AM203" s="20">
        <f ca="1">Master_List!$AW$25</f>
        <v>0</v>
      </c>
      <c r="AN203" s="20">
        <f ca="1">Master_List!$AW$26</f>
        <v>0</v>
      </c>
      <c r="AO203" s="20" t="str">
        <f ca="1">Master_List!$AW$27</f>
        <v>LVDB TX2</v>
      </c>
      <c r="AP203" s="20" t="str">
        <f ca="1">Master_List!$AW$28</f>
        <v>SUNPOWER TECHNOLOGIES</v>
      </c>
      <c r="AQ203" s="20" t="str">
        <f ca="1">Master_List!$AW$29</f>
        <v>SPS 30-10 L</v>
      </c>
      <c r="AR203" s="20" t="str">
        <f ca="1">Master_List!$AW$30</f>
        <v>11193-8527</v>
      </c>
      <c r="AS203" s="20">
        <f ca="1">Master_List!$AW$31</f>
        <v>0</v>
      </c>
      <c r="AT203" s="20">
        <f ca="1">Master_List!$AW$32</f>
        <v>0</v>
      </c>
      <c r="AU203" s="20">
        <f ca="1">Master_List!$AW$33</f>
        <v>0</v>
      </c>
      <c r="AV203" s="20">
        <f ca="1">Master_List!$AW$34</f>
        <v>0</v>
      </c>
      <c r="AW203" s="20">
        <f ca="1">Master_List!$AW$35</f>
        <v>0</v>
      </c>
      <c r="AX203" s="20">
        <f ca="1">Master_List!$AW$36</f>
        <v>0</v>
      </c>
      <c r="AY203" s="20">
        <f ca="1">Master_List!$AW$37</f>
        <v>0</v>
      </c>
      <c r="AZ203" s="20">
        <f ca="1">Master_List!$AW$38</f>
        <v>0</v>
      </c>
      <c r="BA203" s="20">
        <f ca="1">Master_List!$AW$39</f>
        <v>0</v>
      </c>
      <c r="BB203" s="20" t="s">
        <v>2240</v>
      </c>
      <c r="BC203" s="20" t="s">
        <v>2241</v>
      </c>
      <c r="BD203" s="6" t="s">
        <v>1744</v>
      </c>
      <c r="BE203" s="6" t="s">
        <v>1851</v>
      </c>
      <c r="BF203" s="6" t="s">
        <v>1748</v>
      </c>
      <c r="BG203" s="6" t="str">
        <f t="shared" si="3"/>
        <v>C:\Users\aremi\Desktop\REPORT CBM\PO 42289580 - Pahang 11kV SECOND CYCLE AZZAD 2026\RAW MATERIAL\047. TNB BARU (IR+VI)\RAW DATA\IR</v>
      </c>
      <c r="BH203" s="24" t="s">
        <v>738</v>
      </c>
    </row>
    <row r="204" spans="1:60" ht="30" customHeight="1" x14ac:dyDescent="0.25">
      <c r="A204" s="6">
        <v>102</v>
      </c>
      <c r="B204" s="6" t="s">
        <v>1588</v>
      </c>
      <c r="C204" s="6">
        <v>1</v>
      </c>
      <c r="D204" s="6" t="s">
        <v>2242</v>
      </c>
      <c r="E204" s="6">
        <v>102</v>
      </c>
      <c r="F204" s="6" t="str">
        <f ca="1">Master_List!$AW$1</f>
        <v>PERPUSTAKAAN PUSAT</v>
      </c>
      <c r="G204" s="27" t="str">
        <f ca="1">Master_List!$AW$2</f>
        <v>09:30 PM</v>
      </c>
      <c r="H204" s="32" t="str">
        <f ca="1">Master_List!$AW$3</f>
        <v>20/07/2026</v>
      </c>
      <c r="I204" s="28" t="str">
        <f ca="1">Master_List!$AW$4</f>
        <v>28.5</v>
      </c>
      <c r="J204" s="6" t="str">
        <f ca="1">Master_List!$AW$5</f>
        <v>65</v>
      </c>
      <c r="K204" s="6" t="s">
        <v>573</v>
      </c>
      <c r="L204" s="21" t="str">
        <f ca="1">IFERROR(VLOOKUP(B204, Master_List!$A:$I, 2, FALSE), "-")</f>
        <v/>
      </c>
      <c r="M204" s="22" t="str">
        <f ca="1">IFERROR(VLOOKUP(B204, Master_List!$A:$I, 3, FALSE), "-")</f>
        <v/>
      </c>
      <c r="N204" s="22" t="str">
        <f ca="1">IFERROR(VLOOKUP(B204, Master_List!$A:$I, 4, FALSE), "-")</f>
        <v/>
      </c>
      <c r="O204" s="22" t="str">
        <f ca="1">IFERROR(VLOOKUP(B204, Master_List!$A:$I, 5, FALSE), "-")</f>
        <v/>
      </c>
      <c r="P204" s="22" t="str">
        <f ca="1">IFERROR(VLOOKUP(B204, Master_List!$A:$I, 6, FALSE), "-")</f>
        <v/>
      </c>
      <c r="Q204" s="22" t="str">
        <f ca="1">IFERROR(VLOOKUP(B204, Master_List!$A:$I, 7, FALSE), "-")</f>
        <v/>
      </c>
      <c r="R204" s="22" t="str">
        <f ca="1">IFERROR(VLOOKUP(B204, Master_List!$A:$I, 8, FALSE), "-")</f>
        <v/>
      </c>
      <c r="S204" s="22" t="str">
        <f ca="1">IFERROR(VLOOKUP(B204, Master_List!$A:$I, 9, FALSE), "-")</f>
        <v/>
      </c>
      <c r="T204" s="20" t="str">
        <f ca="1">Master_List!$AW$6</f>
        <v>TOSHIBA</v>
      </c>
      <c r="U204" s="20" t="str">
        <f ca="1">Master_List!$AW$7</f>
        <v>MRMU</v>
      </c>
      <c r="V204" s="20" t="str">
        <f ca="1">Master_List!$AW$8</f>
        <v>12kV</v>
      </c>
      <c r="W204" s="20" t="str">
        <f ca="1">Master_List!$AW$9</f>
        <v>2S1F</v>
      </c>
      <c r="X204" s="20" t="str">
        <f ca="1">Master_List!$AW$10</f>
        <v>MTM</v>
      </c>
      <c r="Y204" s="20" t="str">
        <f ca="1">Master_List!$AW$11</f>
        <v>HERMETICALLY SEAL</v>
      </c>
      <c r="Z204" s="20" t="str">
        <f ca="1">Master_List!$AW$12</f>
        <v>750kVA</v>
      </c>
      <c r="AA204" s="20" t="str">
        <f ca="1">Master_List!$AW$13</f>
        <v>1317</v>
      </c>
      <c r="AB204" s="20">
        <f ca="1">Master_List!$AW$14</f>
        <v>0</v>
      </c>
      <c r="AC204" s="20">
        <f ca="1">Master_List!$AW$15</f>
        <v>0</v>
      </c>
      <c r="AD204" s="20">
        <f ca="1">Master_List!$AW$16</f>
        <v>0</v>
      </c>
      <c r="AE204" s="20">
        <f ca="1">Master_List!$AW$17</f>
        <v>0</v>
      </c>
      <c r="AF204" s="20" t="str">
        <f ca="1">Master_List!$AW$18</f>
        <v>INDKOM</v>
      </c>
      <c r="AG204" s="20" t="str">
        <f ca="1">Master_List!$AW$19</f>
        <v>J-SLOTTED</v>
      </c>
      <c r="AH204" s="20" t="str">
        <f ca="1">Master_List!$AW$20</f>
        <v>1600A</v>
      </c>
      <c r="AI204" s="20" t="str">
        <f ca="1">Master_List!$AW$21</f>
        <v>LV5080090</v>
      </c>
      <c r="AJ204" s="20" t="str">
        <f ca="1">Master_List!$AW$22</f>
        <v>LVDB TX1</v>
      </c>
      <c r="AK204" s="20">
        <f ca="1">Master_List!$AW$23</f>
        <v>0</v>
      </c>
      <c r="AL204" s="20">
        <f ca="1">Master_List!$AW$24</f>
        <v>0</v>
      </c>
      <c r="AM204" s="20">
        <f ca="1">Master_List!$AW$25</f>
        <v>0</v>
      </c>
      <c r="AN204" s="20">
        <f ca="1">Master_List!$AW$26</f>
        <v>0</v>
      </c>
      <c r="AO204" s="20" t="str">
        <f ca="1">Master_List!$AW$27</f>
        <v>LVDB TX2</v>
      </c>
      <c r="AP204" s="20" t="str">
        <f ca="1">Master_List!$AW$28</f>
        <v>SUNPOWER TECHNOLOGIES</v>
      </c>
      <c r="AQ204" s="20" t="str">
        <f ca="1">Master_List!$AW$29</f>
        <v>SPS 30-10 L</v>
      </c>
      <c r="AR204" s="20" t="str">
        <f ca="1">Master_List!$AW$30</f>
        <v>11193-8527</v>
      </c>
      <c r="AS204" s="20">
        <f ca="1">Master_List!$AW$31</f>
        <v>0</v>
      </c>
      <c r="AT204" s="20">
        <f ca="1">Master_List!$AW$32</f>
        <v>0</v>
      </c>
      <c r="AU204" s="20">
        <f ca="1">Master_List!$AW$33</f>
        <v>0</v>
      </c>
      <c r="AV204" s="20">
        <f ca="1">Master_List!$AW$34</f>
        <v>0</v>
      </c>
      <c r="AW204" s="20">
        <f ca="1">Master_List!$AW$35</f>
        <v>0</v>
      </c>
      <c r="AX204" s="20">
        <f ca="1">Master_List!$AW$36</f>
        <v>0</v>
      </c>
      <c r="AY204" s="20">
        <f ca="1">Master_List!$AW$37</f>
        <v>0</v>
      </c>
      <c r="AZ204" s="20">
        <f ca="1">Master_List!$AW$38</f>
        <v>0</v>
      </c>
      <c r="BA204" s="20">
        <f ca="1">Master_List!$AW$39</f>
        <v>0</v>
      </c>
      <c r="BB204" s="20" t="s">
        <v>2240</v>
      </c>
      <c r="BC204" s="20" t="s">
        <v>2241</v>
      </c>
      <c r="BD204" s="6" t="s">
        <v>1744</v>
      </c>
      <c r="BE204" s="6" t="s">
        <v>1852</v>
      </c>
      <c r="BF204" s="6" t="s">
        <v>1746</v>
      </c>
      <c r="BG204" s="6" t="str">
        <f t="shared" si="3"/>
        <v>C:\Users\aremi\Desktop\REPORT CBM\PO 42289580 - Pahang 11kV SECOND CYCLE AZZAD 2026\RAW MATERIAL\047. TNB BARU (IR+VI)\RAW DATA\IR</v>
      </c>
      <c r="BH204" s="24" t="s">
        <v>739</v>
      </c>
    </row>
    <row r="205" spans="1:60" ht="30" customHeight="1" x14ac:dyDescent="0.25">
      <c r="A205" s="6">
        <v>102</v>
      </c>
      <c r="B205" s="6" t="s">
        <v>1588</v>
      </c>
      <c r="C205" s="6">
        <v>1</v>
      </c>
      <c r="D205" s="6" t="s">
        <v>2242</v>
      </c>
      <c r="E205" s="6">
        <v>102</v>
      </c>
      <c r="F205" s="6" t="str">
        <f ca="1">Master_List!$AW$1</f>
        <v>PERPUSTAKAAN PUSAT</v>
      </c>
      <c r="G205" s="27" t="str">
        <f ca="1">Master_List!$AW$2</f>
        <v>09:30 PM</v>
      </c>
      <c r="H205" s="32" t="str">
        <f ca="1">Master_List!$AW$3</f>
        <v>20/07/2026</v>
      </c>
      <c r="I205" s="28" t="str">
        <f ca="1">Master_List!$AW$4</f>
        <v>28.5</v>
      </c>
      <c r="J205" s="6" t="str">
        <f ca="1">Master_List!$AW$5</f>
        <v>65</v>
      </c>
      <c r="K205" s="6" t="s">
        <v>573</v>
      </c>
      <c r="L205" s="21" t="str">
        <f ca="1">IFERROR(VLOOKUP(B205, Master_List!$A:$I, 2, FALSE), "-")</f>
        <v/>
      </c>
      <c r="M205" s="22" t="str">
        <f ca="1">IFERROR(VLOOKUP(B205, Master_List!$A:$I, 3, FALSE), "-")</f>
        <v/>
      </c>
      <c r="N205" s="22" t="str">
        <f ca="1">IFERROR(VLOOKUP(B205, Master_List!$A:$I, 4, FALSE), "-")</f>
        <v/>
      </c>
      <c r="O205" s="22" t="str">
        <f ca="1">IFERROR(VLOOKUP(B205, Master_List!$A:$I, 5, FALSE), "-")</f>
        <v/>
      </c>
      <c r="P205" s="22" t="str">
        <f ca="1">IFERROR(VLOOKUP(B205, Master_List!$A:$I, 6, FALSE), "-")</f>
        <v/>
      </c>
      <c r="Q205" s="22" t="str">
        <f ca="1">IFERROR(VLOOKUP(B205, Master_List!$A:$I, 7, FALSE), "-")</f>
        <v/>
      </c>
      <c r="R205" s="22" t="str">
        <f ca="1">IFERROR(VLOOKUP(B205, Master_List!$A:$I, 8, FALSE), "-")</f>
        <v/>
      </c>
      <c r="S205" s="22" t="str">
        <f ca="1">IFERROR(VLOOKUP(B205, Master_List!$A:$I, 9, FALSE), "-")</f>
        <v/>
      </c>
      <c r="T205" s="20" t="str">
        <f ca="1">Master_List!$AW$6</f>
        <v>TOSHIBA</v>
      </c>
      <c r="U205" s="20" t="str">
        <f ca="1">Master_List!$AW$7</f>
        <v>MRMU</v>
      </c>
      <c r="V205" s="20" t="str">
        <f ca="1">Master_List!$AW$8</f>
        <v>12kV</v>
      </c>
      <c r="W205" s="20" t="str">
        <f ca="1">Master_List!$AW$9</f>
        <v>2S1F</v>
      </c>
      <c r="X205" s="20" t="str">
        <f ca="1">Master_List!$AW$10</f>
        <v>MTM</v>
      </c>
      <c r="Y205" s="20" t="str">
        <f ca="1">Master_List!$AW$11</f>
        <v>HERMETICALLY SEAL</v>
      </c>
      <c r="Z205" s="20" t="str">
        <f ca="1">Master_List!$AW$12</f>
        <v>750kVA</v>
      </c>
      <c r="AA205" s="20" t="str">
        <f ca="1">Master_List!$AW$13</f>
        <v>1317</v>
      </c>
      <c r="AB205" s="20">
        <f ca="1">Master_List!$AW$14</f>
        <v>0</v>
      </c>
      <c r="AC205" s="20">
        <f ca="1">Master_List!$AW$15</f>
        <v>0</v>
      </c>
      <c r="AD205" s="20">
        <f ca="1">Master_List!$AW$16</f>
        <v>0</v>
      </c>
      <c r="AE205" s="20">
        <f ca="1">Master_List!$AW$17</f>
        <v>0</v>
      </c>
      <c r="AF205" s="20" t="str">
        <f ca="1">Master_List!$AW$18</f>
        <v>INDKOM</v>
      </c>
      <c r="AG205" s="20" t="str">
        <f ca="1">Master_List!$AW$19</f>
        <v>J-SLOTTED</v>
      </c>
      <c r="AH205" s="20" t="str">
        <f ca="1">Master_List!$AW$20</f>
        <v>1600A</v>
      </c>
      <c r="AI205" s="20" t="str">
        <f ca="1">Master_List!$AW$21</f>
        <v>LV5080090</v>
      </c>
      <c r="AJ205" s="20" t="str">
        <f ca="1">Master_List!$AW$22</f>
        <v>LVDB TX1</v>
      </c>
      <c r="AK205" s="20">
        <f ca="1">Master_List!$AW$23</f>
        <v>0</v>
      </c>
      <c r="AL205" s="20">
        <f ca="1">Master_List!$AW$24</f>
        <v>0</v>
      </c>
      <c r="AM205" s="20">
        <f ca="1">Master_List!$AW$25</f>
        <v>0</v>
      </c>
      <c r="AN205" s="20">
        <f ca="1">Master_List!$AW$26</f>
        <v>0</v>
      </c>
      <c r="AO205" s="20" t="str">
        <f ca="1">Master_List!$AW$27</f>
        <v>LVDB TX2</v>
      </c>
      <c r="AP205" s="20" t="str">
        <f ca="1">Master_List!$AW$28</f>
        <v>SUNPOWER TECHNOLOGIES</v>
      </c>
      <c r="AQ205" s="20" t="str">
        <f ca="1">Master_List!$AW$29</f>
        <v>SPS 30-10 L</v>
      </c>
      <c r="AR205" s="20" t="str">
        <f ca="1">Master_List!$AW$30</f>
        <v>11193-8527</v>
      </c>
      <c r="AS205" s="20">
        <f ca="1">Master_List!$AW$31</f>
        <v>0</v>
      </c>
      <c r="AT205" s="20">
        <f ca="1">Master_List!$AW$32</f>
        <v>0</v>
      </c>
      <c r="AU205" s="20">
        <f ca="1">Master_List!$AW$33</f>
        <v>0</v>
      </c>
      <c r="AV205" s="20">
        <f ca="1">Master_List!$AW$34</f>
        <v>0</v>
      </c>
      <c r="AW205" s="20">
        <f ca="1">Master_List!$AW$35</f>
        <v>0</v>
      </c>
      <c r="AX205" s="20">
        <f ca="1">Master_List!$AW$36</f>
        <v>0</v>
      </c>
      <c r="AY205" s="20">
        <f ca="1">Master_List!$AW$37</f>
        <v>0</v>
      </c>
      <c r="AZ205" s="20">
        <f ca="1">Master_List!$AW$38</f>
        <v>0</v>
      </c>
      <c r="BA205" s="20">
        <f ca="1">Master_List!$AW$39</f>
        <v>0</v>
      </c>
      <c r="BB205" s="20" t="s">
        <v>2240</v>
      </c>
      <c r="BC205" s="20" t="s">
        <v>2241</v>
      </c>
      <c r="BD205" s="6" t="s">
        <v>1744</v>
      </c>
      <c r="BE205" s="6" t="s">
        <v>1852</v>
      </c>
      <c r="BF205" s="6" t="s">
        <v>1748</v>
      </c>
      <c r="BG205" s="6" t="str">
        <f t="shared" si="3"/>
        <v>C:\Users\aremi\Desktop\REPORT CBM\PO 42289580 - Pahang 11kV SECOND CYCLE AZZAD 2026\RAW MATERIAL\047. TNB BARU (IR+VI)\RAW DATA\IR</v>
      </c>
      <c r="BH205" s="24" t="s">
        <v>740</v>
      </c>
    </row>
    <row r="206" spans="1:60" ht="30" customHeight="1" x14ac:dyDescent="0.25">
      <c r="A206" s="6">
        <v>103</v>
      </c>
      <c r="B206" s="6" t="s">
        <v>1588</v>
      </c>
      <c r="C206" s="6">
        <v>1</v>
      </c>
      <c r="D206" s="6" t="s">
        <v>2242</v>
      </c>
      <c r="E206" s="6">
        <v>103</v>
      </c>
      <c r="F206" s="6" t="str">
        <f ca="1">Master_List!$AW$1</f>
        <v>PERPUSTAKAAN PUSAT</v>
      </c>
      <c r="G206" s="27" t="str">
        <f ca="1">Master_List!$AW$2</f>
        <v>09:30 PM</v>
      </c>
      <c r="H206" s="32" t="str">
        <f ca="1">Master_List!$AW$3</f>
        <v>20/07/2026</v>
      </c>
      <c r="I206" s="28" t="str">
        <f ca="1">Master_List!$AW$4</f>
        <v>28.5</v>
      </c>
      <c r="J206" s="6" t="str">
        <f ca="1">Master_List!$AW$5</f>
        <v>65</v>
      </c>
      <c r="K206" s="6" t="s">
        <v>576</v>
      </c>
      <c r="L206" s="21" t="str">
        <f ca="1">IFERROR(VLOOKUP(B206, Master_List!$A:$I, 2, FALSE), "-")</f>
        <v/>
      </c>
      <c r="M206" s="22" t="str">
        <f ca="1">IFERROR(VLOOKUP(B206, Master_List!$A:$I, 3, FALSE), "-")</f>
        <v/>
      </c>
      <c r="N206" s="22" t="str">
        <f ca="1">IFERROR(VLOOKUP(B206, Master_List!$A:$I, 4, FALSE), "-")</f>
        <v/>
      </c>
      <c r="O206" s="22" t="str">
        <f ca="1">IFERROR(VLOOKUP(B206, Master_List!$A:$I, 5, FALSE), "-")</f>
        <v/>
      </c>
      <c r="P206" s="22" t="str">
        <f ca="1">IFERROR(VLOOKUP(B206, Master_List!$A:$I, 6, FALSE), "-")</f>
        <v/>
      </c>
      <c r="Q206" s="22" t="str">
        <f ca="1">IFERROR(VLOOKUP(B206, Master_List!$A:$I, 7, FALSE), "-")</f>
        <v/>
      </c>
      <c r="R206" s="22" t="str">
        <f ca="1">IFERROR(VLOOKUP(B206, Master_List!$A:$I, 8, FALSE), "-")</f>
        <v/>
      </c>
      <c r="S206" s="22" t="str">
        <f ca="1">IFERROR(VLOOKUP(B206, Master_List!$A:$I, 9, FALSE), "-")</f>
        <v/>
      </c>
      <c r="T206" s="20" t="str">
        <f ca="1">Master_List!$AW$6</f>
        <v>TOSHIBA</v>
      </c>
      <c r="U206" s="20" t="str">
        <f ca="1">Master_List!$AW$7</f>
        <v>MRMU</v>
      </c>
      <c r="V206" s="20" t="str">
        <f ca="1">Master_List!$AW$8</f>
        <v>12kV</v>
      </c>
      <c r="W206" s="20" t="str">
        <f ca="1">Master_List!$AW$9</f>
        <v>2S1F</v>
      </c>
      <c r="X206" s="20" t="str">
        <f ca="1">Master_List!$AW$10</f>
        <v>MTM</v>
      </c>
      <c r="Y206" s="20" t="str">
        <f ca="1">Master_List!$AW$11</f>
        <v>HERMETICALLY SEAL</v>
      </c>
      <c r="Z206" s="20" t="str">
        <f ca="1">Master_List!$AW$12</f>
        <v>750kVA</v>
      </c>
      <c r="AA206" s="20" t="str">
        <f ca="1">Master_List!$AW$13</f>
        <v>1317</v>
      </c>
      <c r="AB206" s="20">
        <f ca="1">Master_List!$AW$14</f>
        <v>0</v>
      </c>
      <c r="AC206" s="20">
        <f ca="1">Master_List!$AW$15</f>
        <v>0</v>
      </c>
      <c r="AD206" s="20">
        <f ca="1">Master_List!$AW$16</f>
        <v>0</v>
      </c>
      <c r="AE206" s="20">
        <f ca="1">Master_List!$AW$17</f>
        <v>0</v>
      </c>
      <c r="AF206" s="20" t="str">
        <f ca="1">Master_List!$AW$18</f>
        <v>INDKOM</v>
      </c>
      <c r="AG206" s="20" t="str">
        <f ca="1">Master_List!$AW$19</f>
        <v>J-SLOTTED</v>
      </c>
      <c r="AH206" s="20" t="str">
        <f ca="1">Master_List!$AW$20</f>
        <v>1600A</v>
      </c>
      <c r="AI206" s="20" t="str">
        <f ca="1">Master_List!$AW$21</f>
        <v>LV5080090</v>
      </c>
      <c r="AJ206" s="20" t="str">
        <f ca="1">Master_List!$AW$22</f>
        <v>LVDB TX1</v>
      </c>
      <c r="AK206" s="20">
        <f ca="1">Master_List!$AW$23</f>
        <v>0</v>
      </c>
      <c r="AL206" s="20">
        <f ca="1">Master_List!$AW$24</f>
        <v>0</v>
      </c>
      <c r="AM206" s="20">
        <f ca="1">Master_List!$AW$25</f>
        <v>0</v>
      </c>
      <c r="AN206" s="20">
        <f ca="1">Master_List!$AW$26</f>
        <v>0</v>
      </c>
      <c r="AO206" s="20" t="str">
        <f ca="1">Master_List!$AW$27</f>
        <v>LVDB TX2</v>
      </c>
      <c r="AP206" s="20" t="str">
        <f ca="1">Master_List!$AW$28</f>
        <v>SUNPOWER TECHNOLOGIES</v>
      </c>
      <c r="AQ206" s="20" t="str">
        <f ca="1">Master_List!$AW$29</f>
        <v>SPS 30-10 L</v>
      </c>
      <c r="AR206" s="20" t="str">
        <f ca="1">Master_List!$AW$30</f>
        <v>11193-8527</v>
      </c>
      <c r="AS206" s="20">
        <f ca="1">Master_List!$AW$31</f>
        <v>0</v>
      </c>
      <c r="AT206" s="20">
        <f ca="1">Master_List!$AW$32</f>
        <v>0</v>
      </c>
      <c r="AU206" s="20">
        <f ca="1">Master_List!$AW$33</f>
        <v>0</v>
      </c>
      <c r="AV206" s="20">
        <f ca="1">Master_List!$AW$34</f>
        <v>0</v>
      </c>
      <c r="AW206" s="20">
        <f ca="1">Master_List!$AW$35</f>
        <v>0</v>
      </c>
      <c r="AX206" s="20">
        <f ca="1">Master_List!$AW$36</f>
        <v>0</v>
      </c>
      <c r="AY206" s="20">
        <f ca="1">Master_List!$AW$37</f>
        <v>0</v>
      </c>
      <c r="AZ206" s="20">
        <f ca="1">Master_List!$AW$38</f>
        <v>0</v>
      </c>
      <c r="BA206" s="20">
        <f ca="1">Master_List!$AW$39</f>
        <v>0</v>
      </c>
      <c r="BB206" s="20" t="s">
        <v>2240</v>
      </c>
      <c r="BC206" s="20" t="s">
        <v>2241</v>
      </c>
      <c r="BD206" s="6" t="s">
        <v>1744</v>
      </c>
      <c r="BE206" s="6" t="s">
        <v>1853</v>
      </c>
      <c r="BF206" s="6" t="s">
        <v>1746</v>
      </c>
      <c r="BG206" s="6" t="str">
        <f t="shared" si="3"/>
        <v>C:\Users\aremi\Desktop\REPORT CBM\PO 42289580 - Pahang 11kV SECOND CYCLE AZZAD 2026\RAW MATERIAL\047. TNB BARU (IR+VI)\RAW DATA\IR</v>
      </c>
      <c r="BH206" s="24" t="s">
        <v>741</v>
      </c>
    </row>
    <row r="207" spans="1:60" ht="30" customHeight="1" x14ac:dyDescent="0.25">
      <c r="A207" s="6">
        <v>103</v>
      </c>
      <c r="B207" s="6" t="s">
        <v>1588</v>
      </c>
      <c r="C207" s="6">
        <v>1</v>
      </c>
      <c r="D207" s="6" t="s">
        <v>2242</v>
      </c>
      <c r="E207" s="6">
        <v>103</v>
      </c>
      <c r="F207" s="6" t="str">
        <f ca="1">Master_List!$AW$1</f>
        <v>PERPUSTAKAAN PUSAT</v>
      </c>
      <c r="G207" s="27" t="str">
        <f ca="1">Master_List!$AW$2</f>
        <v>09:30 PM</v>
      </c>
      <c r="H207" s="32" t="str">
        <f ca="1">Master_List!$AW$3</f>
        <v>20/07/2026</v>
      </c>
      <c r="I207" s="28" t="str">
        <f ca="1">Master_List!$AW$4</f>
        <v>28.5</v>
      </c>
      <c r="J207" s="6" t="str">
        <f ca="1">Master_List!$AW$5</f>
        <v>65</v>
      </c>
      <c r="K207" s="6" t="s">
        <v>576</v>
      </c>
      <c r="L207" s="21" t="str">
        <f ca="1">IFERROR(VLOOKUP(B207, Master_List!$A:$I, 2, FALSE), "-")</f>
        <v/>
      </c>
      <c r="M207" s="22" t="str">
        <f ca="1">IFERROR(VLOOKUP(B207, Master_List!$A:$I, 3, FALSE), "-")</f>
        <v/>
      </c>
      <c r="N207" s="22" t="str">
        <f ca="1">IFERROR(VLOOKUP(B207, Master_List!$A:$I, 4, FALSE), "-")</f>
        <v/>
      </c>
      <c r="O207" s="22" t="str">
        <f ca="1">IFERROR(VLOOKUP(B207, Master_List!$A:$I, 5, FALSE), "-")</f>
        <v/>
      </c>
      <c r="P207" s="22" t="str">
        <f ca="1">IFERROR(VLOOKUP(B207, Master_List!$A:$I, 6, FALSE), "-")</f>
        <v/>
      </c>
      <c r="Q207" s="22" t="str">
        <f ca="1">IFERROR(VLOOKUP(B207, Master_List!$A:$I, 7, FALSE), "-")</f>
        <v/>
      </c>
      <c r="R207" s="22" t="str">
        <f ca="1">IFERROR(VLOOKUP(B207, Master_List!$A:$I, 8, FALSE), "-")</f>
        <v/>
      </c>
      <c r="S207" s="22" t="str">
        <f ca="1">IFERROR(VLOOKUP(B207, Master_List!$A:$I, 9, FALSE), "-")</f>
        <v/>
      </c>
      <c r="T207" s="20" t="str">
        <f ca="1">Master_List!$AW$6</f>
        <v>TOSHIBA</v>
      </c>
      <c r="U207" s="20" t="str">
        <f ca="1">Master_List!$AW$7</f>
        <v>MRMU</v>
      </c>
      <c r="V207" s="20" t="str">
        <f ca="1">Master_List!$AW$8</f>
        <v>12kV</v>
      </c>
      <c r="W207" s="20" t="str">
        <f ca="1">Master_List!$AW$9</f>
        <v>2S1F</v>
      </c>
      <c r="X207" s="20" t="str">
        <f ca="1">Master_List!$AW$10</f>
        <v>MTM</v>
      </c>
      <c r="Y207" s="20" t="str">
        <f ca="1">Master_List!$AW$11</f>
        <v>HERMETICALLY SEAL</v>
      </c>
      <c r="Z207" s="20" t="str">
        <f ca="1">Master_List!$AW$12</f>
        <v>750kVA</v>
      </c>
      <c r="AA207" s="20" t="str">
        <f ca="1">Master_List!$AW$13</f>
        <v>1317</v>
      </c>
      <c r="AB207" s="20">
        <f ca="1">Master_List!$AW$14</f>
        <v>0</v>
      </c>
      <c r="AC207" s="20">
        <f ca="1">Master_List!$AW$15</f>
        <v>0</v>
      </c>
      <c r="AD207" s="20">
        <f ca="1">Master_List!$AW$16</f>
        <v>0</v>
      </c>
      <c r="AE207" s="20">
        <f ca="1">Master_List!$AW$17</f>
        <v>0</v>
      </c>
      <c r="AF207" s="20" t="str">
        <f ca="1">Master_List!$AW$18</f>
        <v>INDKOM</v>
      </c>
      <c r="AG207" s="20" t="str">
        <f ca="1">Master_List!$AW$19</f>
        <v>J-SLOTTED</v>
      </c>
      <c r="AH207" s="20" t="str">
        <f ca="1">Master_List!$AW$20</f>
        <v>1600A</v>
      </c>
      <c r="AI207" s="20" t="str">
        <f ca="1">Master_List!$AW$21</f>
        <v>LV5080090</v>
      </c>
      <c r="AJ207" s="20" t="str">
        <f ca="1">Master_List!$AW$22</f>
        <v>LVDB TX1</v>
      </c>
      <c r="AK207" s="20">
        <f ca="1">Master_List!$AW$23</f>
        <v>0</v>
      </c>
      <c r="AL207" s="20">
        <f ca="1">Master_List!$AW$24</f>
        <v>0</v>
      </c>
      <c r="AM207" s="20">
        <f ca="1">Master_List!$AW$25</f>
        <v>0</v>
      </c>
      <c r="AN207" s="20">
        <f ca="1">Master_List!$AW$26</f>
        <v>0</v>
      </c>
      <c r="AO207" s="20" t="str">
        <f ca="1">Master_List!$AW$27</f>
        <v>LVDB TX2</v>
      </c>
      <c r="AP207" s="20" t="str">
        <f ca="1">Master_List!$AW$28</f>
        <v>SUNPOWER TECHNOLOGIES</v>
      </c>
      <c r="AQ207" s="20" t="str">
        <f ca="1">Master_List!$AW$29</f>
        <v>SPS 30-10 L</v>
      </c>
      <c r="AR207" s="20" t="str">
        <f ca="1">Master_List!$AW$30</f>
        <v>11193-8527</v>
      </c>
      <c r="AS207" s="20">
        <f ca="1">Master_List!$AW$31</f>
        <v>0</v>
      </c>
      <c r="AT207" s="20">
        <f ca="1">Master_List!$AW$32</f>
        <v>0</v>
      </c>
      <c r="AU207" s="20">
        <f ca="1">Master_List!$AW$33</f>
        <v>0</v>
      </c>
      <c r="AV207" s="20">
        <f ca="1">Master_List!$AW$34</f>
        <v>0</v>
      </c>
      <c r="AW207" s="20">
        <f ca="1">Master_List!$AW$35</f>
        <v>0</v>
      </c>
      <c r="AX207" s="20">
        <f ca="1">Master_List!$AW$36</f>
        <v>0</v>
      </c>
      <c r="AY207" s="20">
        <f ca="1">Master_List!$AW$37</f>
        <v>0</v>
      </c>
      <c r="AZ207" s="20">
        <f ca="1">Master_List!$AW$38</f>
        <v>0</v>
      </c>
      <c r="BA207" s="20">
        <f ca="1">Master_List!$AW$39</f>
        <v>0</v>
      </c>
      <c r="BB207" s="20" t="s">
        <v>2240</v>
      </c>
      <c r="BC207" s="20" t="s">
        <v>2241</v>
      </c>
      <c r="BD207" s="6" t="s">
        <v>1744</v>
      </c>
      <c r="BE207" s="6" t="s">
        <v>1853</v>
      </c>
      <c r="BF207" s="6" t="s">
        <v>1748</v>
      </c>
      <c r="BG207" s="6" t="str">
        <f t="shared" si="3"/>
        <v>C:\Users\aremi\Desktop\REPORT CBM\PO 42289580 - Pahang 11kV SECOND CYCLE AZZAD 2026\RAW MATERIAL\047. TNB BARU (IR+VI)\RAW DATA\IR</v>
      </c>
      <c r="BH207" s="24" t="s">
        <v>742</v>
      </c>
    </row>
    <row r="208" spans="1:60" ht="30" customHeight="1" x14ac:dyDescent="0.25">
      <c r="A208" s="6">
        <v>104</v>
      </c>
      <c r="B208" s="6" t="s">
        <v>1588</v>
      </c>
      <c r="C208" s="6">
        <v>1</v>
      </c>
      <c r="D208" s="6" t="s">
        <v>2242</v>
      </c>
      <c r="E208" s="6">
        <v>104</v>
      </c>
      <c r="F208" s="6" t="str">
        <f ca="1">Master_List!$AW$1</f>
        <v>PERPUSTAKAAN PUSAT</v>
      </c>
      <c r="G208" s="27" t="str">
        <f ca="1">Master_List!$AW$2</f>
        <v>09:30 PM</v>
      </c>
      <c r="H208" s="32" t="str">
        <f ca="1">Master_List!$AW$3</f>
        <v>20/07/2026</v>
      </c>
      <c r="I208" s="28" t="str">
        <f ca="1">Master_List!$AW$4</f>
        <v>28.5</v>
      </c>
      <c r="J208" s="6" t="str">
        <f ca="1">Master_List!$AW$5</f>
        <v>65</v>
      </c>
      <c r="K208" s="6" t="s">
        <v>579</v>
      </c>
      <c r="L208" s="21" t="str">
        <f ca="1">IFERROR(VLOOKUP(B208, Master_List!$A:$I, 2, FALSE), "-")</f>
        <v/>
      </c>
      <c r="M208" s="22" t="str">
        <f ca="1">IFERROR(VLOOKUP(B208, Master_List!$A:$I, 3, FALSE), "-")</f>
        <v/>
      </c>
      <c r="N208" s="22" t="str">
        <f ca="1">IFERROR(VLOOKUP(B208, Master_List!$A:$I, 4, FALSE), "-")</f>
        <v/>
      </c>
      <c r="O208" s="22" t="str">
        <f ca="1">IFERROR(VLOOKUP(B208, Master_List!$A:$I, 5, FALSE), "-")</f>
        <v/>
      </c>
      <c r="P208" s="22" t="str">
        <f ca="1">IFERROR(VLOOKUP(B208, Master_List!$A:$I, 6, FALSE), "-")</f>
        <v/>
      </c>
      <c r="Q208" s="22" t="str">
        <f ca="1">IFERROR(VLOOKUP(B208, Master_List!$A:$I, 7, FALSE), "-")</f>
        <v/>
      </c>
      <c r="R208" s="22" t="str">
        <f ca="1">IFERROR(VLOOKUP(B208, Master_List!$A:$I, 8, FALSE), "-")</f>
        <v/>
      </c>
      <c r="S208" s="22" t="str">
        <f ca="1">IFERROR(VLOOKUP(B208, Master_List!$A:$I, 9, FALSE), "-")</f>
        <v/>
      </c>
      <c r="T208" s="20" t="str">
        <f ca="1">Master_List!$AW$6</f>
        <v>TOSHIBA</v>
      </c>
      <c r="U208" s="20" t="str">
        <f ca="1">Master_List!$AW$7</f>
        <v>MRMU</v>
      </c>
      <c r="V208" s="20" t="str">
        <f ca="1">Master_List!$AW$8</f>
        <v>12kV</v>
      </c>
      <c r="W208" s="20" t="str">
        <f ca="1">Master_List!$AW$9</f>
        <v>2S1F</v>
      </c>
      <c r="X208" s="20" t="str">
        <f ca="1">Master_List!$AW$10</f>
        <v>MTM</v>
      </c>
      <c r="Y208" s="20" t="str">
        <f ca="1">Master_List!$AW$11</f>
        <v>HERMETICALLY SEAL</v>
      </c>
      <c r="Z208" s="20" t="str">
        <f ca="1">Master_List!$AW$12</f>
        <v>750kVA</v>
      </c>
      <c r="AA208" s="20" t="str">
        <f ca="1">Master_List!$AW$13</f>
        <v>1317</v>
      </c>
      <c r="AB208" s="20">
        <f ca="1">Master_List!$AW$14</f>
        <v>0</v>
      </c>
      <c r="AC208" s="20">
        <f ca="1">Master_List!$AW$15</f>
        <v>0</v>
      </c>
      <c r="AD208" s="20">
        <f ca="1">Master_List!$AW$16</f>
        <v>0</v>
      </c>
      <c r="AE208" s="20">
        <f ca="1">Master_List!$AW$17</f>
        <v>0</v>
      </c>
      <c r="AF208" s="20" t="str">
        <f ca="1">Master_List!$AW$18</f>
        <v>INDKOM</v>
      </c>
      <c r="AG208" s="20" t="str">
        <f ca="1">Master_List!$AW$19</f>
        <v>J-SLOTTED</v>
      </c>
      <c r="AH208" s="20" t="str">
        <f ca="1">Master_List!$AW$20</f>
        <v>1600A</v>
      </c>
      <c r="AI208" s="20" t="str">
        <f ca="1">Master_List!$AW$21</f>
        <v>LV5080090</v>
      </c>
      <c r="AJ208" s="20" t="str">
        <f ca="1">Master_List!$AW$22</f>
        <v>LVDB TX1</v>
      </c>
      <c r="AK208" s="20">
        <f ca="1">Master_List!$AW$23</f>
        <v>0</v>
      </c>
      <c r="AL208" s="20">
        <f ca="1">Master_List!$AW$24</f>
        <v>0</v>
      </c>
      <c r="AM208" s="20">
        <f ca="1">Master_List!$AW$25</f>
        <v>0</v>
      </c>
      <c r="AN208" s="20">
        <f ca="1">Master_List!$AW$26</f>
        <v>0</v>
      </c>
      <c r="AO208" s="20" t="str">
        <f ca="1">Master_List!$AW$27</f>
        <v>LVDB TX2</v>
      </c>
      <c r="AP208" s="20" t="str">
        <f ca="1">Master_List!$AW$28</f>
        <v>SUNPOWER TECHNOLOGIES</v>
      </c>
      <c r="AQ208" s="20" t="str">
        <f ca="1">Master_List!$AW$29</f>
        <v>SPS 30-10 L</v>
      </c>
      <c r="AR208" s="20" t="str">
        <f ca="1">Master_List!$AW$30</f>
        <v>11193-8527</v>
      </c>
      <c r="AS208" s="20">
        <f ca="1">Master_List!$AW$31</f>
        <v>0</v>
      </c>
      <c r="AT208" s="20">
        <f ca="1">Master_List!$AW$32</f>
        <v>0</v>
      </c>
      <c r="AU208" s="20">
        <f ca="1">Master_List!$AW$33</f>
        <v>0</v>
      </c>
      <c r="AV208" s="20">
        <f ca="1">Master_List!$AW$34</f>
        <v>0</v>
      </c>
      <c r="AW208" s="20">
        <f ca="1">Master_List!$AW$35</f>
        <v>0</v>
      </c>
      <c r="AX208" s="20">
        <f ca="1">Master_List!$AW$36</f>
        <v>0</v>
      </c>
      <c r="AY208" s="20">
        <f ca="1">Master_List!$AW$37</f>
        <v>0</v>
      </c>
      <c r="AZ208" s="20">
        <f ca="1">Master_List!$AW$38</f>
        <v>0</v>
      </c>
      <c r="BA208" s="20">
        <f ca="1">Master_List!$AW$39</f>
        <v>0</v>
      </c>
      <c r="BB208" s="20" t="s">
        <v>2240</v>
      </c>
      <c r="BC208" s="20" t="s">
        <v>2241</v>
      </c>
      <c r="BD208" s="6" t="s">
        <v>1744</v>
      </c>
      <c r="BE208" s="6" t="s">
        <v>1854</v>
      </c>
      <c r="BF208" s="6" t="s">
        <v>1746</v>
      </c>
      <c r="BG208" s="6" t="str">
        <f t="shared" si="3"/>
        <v>C:\Users\aremi\Desktop\REPORT CBM\PO 42289580 - Pahang 11kV SECOND CYCLE AZZAD 2026\RAW MATERIAL\047. TNB BARU (IR+VI)\RAW DATA\IR</v>
      </c>
      <c r="BH208" s="24" t="s">
        <v>743</v>
      </c>
    </row>
    <row r="209" spans="1:60" ht="30" customHeight="1" x14ac:dyDescent="0.25">
      <c r="A209" s="6">
        <v>104</v>
      </c>
      <c r="B209" s="6" t="s">
        <v>1588</v>
      </c>
      <c r="C209" s="6">
        <v>1</v>
      </c>
      <c r="D209" s="6" t="s">
        <v>2242</v>
      </c>
      <c r="E209" s="6">
        <v>104</v>
      </c>
      <c r="F209" s="6" t="str">
        <f ca="1">Master_List!$AW$1</f>
        <v>PERPUSTAKAAN PUSAT</v>
      </c>
      <c r="G209" s="27" t="str">
        <f ca="1">Master_List!$AW$2</f>
        <v>09:30 PM</v>
      </c>
      <c r="H209" s="32" t="str">
        <f ca="1">Master_List!$AW$3</f>
        <v>20/07/2026</v>
      </c>
      <c r="I209" s="28" t="str">
        <f ca="1">Master_List!$AW$4</f>
        <v>28.5</v>
      </c>
      <c r="J209" s="6" t="str">
        <f ca="1">Master_List!$AW$5</f>
        <v>65</v>
      </c>
      <c r="K209" s="6" t="s">
        <v>579</v>
      </c>
      <c r="L209" s="21" t="str">
        <f ca="1">IFERROR(VLOOKUP(B209, Master_List!$A:$I, 2, FALSE), "-")</f>
        <v/>
      </c>
      <c r="M209" s="22" t="str">
        <f ca="1">IFERROR(VLOOKUP(B209, Master_List!$A:$I, 3, FALSE), "-")</f>
        <v/>
      </c>
      <c r="N209" s="22" t="str">
        <f ca="1">IFERROR(VLOOKUP(B209, Master_List!$A:$I, 4, FALSE), "-")</f>
        <v/>
      </c>
      <c r="O209" s="22" t="str">
        <f ca="1">IFERROR(VLOOKUP(B209, Master_List!$A:$I, 5, FALSE), "-")</f>
        <v/>
      </c>
      <c r="P209" s="22" t="str">
        <f ca="1">IFERROR(VLOOKUP(B209, Master_List!$A:$I, 6, FALSE), "-")</f>
        <v/>
      </c>
      <c r="Q209" s="22" t="str">
        <f ca="1">IFERROR(VLOOKUP(B209, Master_List!$A:$I, 7, FALSE), "-")</f>
        <v/>
      </c>
      <c r="R209" s="22" t="str">
        <f ca="1">IFERROR(VLOOKUP(B209, Master_List!$A:$I, 8, FALSE), "-")</f>
        <v/>
      </c>
      <c r="S209" s="22" t="str">
        <f ca="1">IFERROR(VLOOKUP(B209, Master_List!$A:$I, 9, FALSE), "-")</f>
        <v/>
      </c>
      <c r="T209" s="20" t="str">
        <f ca="1">Master_List!$AW$6</f>
        <v>TOSHIBA</v>
      </c>
      <c r="U209" s="20" t="str">
        <f ca="1">Master_List!$AW$7</f>
        <v>MRMU</v>
      </c>
      <c r="V209" s="20" t="str">
        <f ca="1">Master_List!$AW$8</f>
        <v>12kV</v>
      </c>
      <c r="W209" s="20" t="str">
        <f ca="1">Master_List!$AW$9</f>
        <v>2S1F</v>
      </c>
      <c r="X209" s="20" t="str">
        <f ca="1">Master_List!$AW$10</f>
        <v>MTM</v>
      </c>
      <c r="Y209" s="20" t="str">
        <f ca="1">Master_List!$AW$11</f>
        <v>HERMETICALLY SEAL</v>
      </c>
      <c r="Z209" s="20" t="str">
        <f ca="1">Master_List!$AW$12</f>
        <v>750kVA</v>
      </c>
      <c r="AA209" s="20" t="str">
        <f ca="1">Master_List!$AW$13</f>
        <v>1317</v>
      </c>
      <c r="AB209" s="20">
        <f ca="1">Master_List!$AW$14</f>
        <v>0</v>
      </c>
      <c r="AC209" s="20">
        <f ca="1">Master_List!$AW$15</f>
        <v>0</v>
      </c>
      <c r="AD209" s="20">
        <f ca="1">Master_List!$AW$16</f>
        <v>0</v>
      </c>
      <c r="AE209" s="20">
        <f ca="1">Master_List!$AW$17</f>
        <v>0</v>
      </c>
      <c r="AF209" s="20" t="str">
        <f ca="1">Master_List!$AW$18</f>
        <v>INDKOM</v>
      </c>
      <c r="AG209" s="20" t="str">
        <f ca="1">Master_List!$AW$19</f>
        <v>J-SLOTTED</v>
      </c>
      <c r="AH209" s="20" t="str">
        <f ca="1">Master_List!$AW$20</f>
        <v>1600A</v>
      </c>
      <c r="AI209" s="20" t="str">
        <f ca="1">Master_List!$AW$21</f>
        <v>LV5080090</v>
      </c>
      <c r="AJ209" s="20" t="str">
        <f ca="1">Master_List!$AW$22</f>
        <v>LVDB TX1</v>
      </c>
      <c r="AK209" s="20">
        <f ca="1">Master_List!$AW$23</f>
        <v>0</v>
      </c>
      <c r="AL209" s="20">
        <f ca="1">Master_List!$AW$24</f>
        <v>0</v>
      </c>
      <c r="AM209" s="20">
        <f ca="1">Master_List!$AW$25</f>
        <v>0</v>
      </c>
      <c r="AN209" s="20">
        <f ca="1">Master_List!$AW$26</f>
        <v>0</v>
      </c>
      <c r="AO209" s="20" t="str">
        <f ca="1">Master_List!$AW$27</f>
        <v>LVDB TX2</v>
      </c>
      <c r="AP209" s="20" t="str">
        <f ca="1">Master_List!$AW$28</f>
        <v>SUNPOWER TECHNOLOGIES</v>
      </c>
      <c r="AQ209" s="20" t="str">
        <f ca="1">Master_List!$AW$29</f>
        <v>SPS 30-10 L</v>
      </c>
      <c r="AR209" s="20" t="str">
        <f ca="1">Master_List!$AW$30</f>
        <v>11193-8527</v>
      </c>
      <c r="AS209" s="20">
        <f ca="1">Master_List!$AW$31</f>
        <v>0</v>
      </c>
      <c r="AT209" s="20">
        <f ca="1">Master_List!$AW$32</f>
        <v>0</v>
      </c>
      <c r="AU209" s="20">
        <f ca="1">Master_List!$AW$33</f>
        <v>0</v>
      </c>
      <c r="AV209" s="20">
        <f ca="1">Master_List!$AW$34</f>
        <v>0</v>
      </c>
      <c r="AW209" s="20">
        <f ca="1">Master_List!$AW$35</f>
        <v>0</v>
      </c>
      <c r="AX209" s="20">
        <f ca="1">Master_List!$AW$36</f>
        <v>0</v>
      </c>
      <c r="AY209" s="20">
        <f ca="1">Master_List!$AW$37</f>
        <v>0</v>
      </c>
      <c r="AZ209" s="20">
        <f ca="1">Master_List!$AW$38</f>
        <v>0</v>
      </c>
      <c r="BA209" s="20">
        <f ca="1">Master_List!$AW$39</f>
        <v>0</v>
      </c>
      <c r="BB209" s="20" t="s">
        <v>2240</v>
      </c>
      <c r="BC209" s="20" t="s">
        <v>2241</v>
      </c>
      <c r="BD209" s="6" t="s">
        <v>1744</v>
      </c>
      <c r="BE209" s="6" t="s">
        <v>1854</v>
      </c>
      <c r="BF209" s="6" t="s">
        <v>1748</v>
      </c>
      <c r="BG209" s="6" t="str">
        <f t="shared" si="3"/>
        <v>C:\Users\aremi\Desktop\REPORT CBM\PO 42289580 - Pahang 11kV SECOND CYCLE AZZAD 2026\RAW MATERIAL\047. TNB BARU (IR+VI)\RAW DATA\IR</v>
      </c>
      <c r="BH209" s="24" t="s">
        <v>744</v>
      </c>
    </row>
    <row r="210" spans="1:60" ht="30" customHeight="1" x14ac:dyDescent="0.25">
      <c r="A210" s="6">
        <v>105</v>
      </c>
      <c r="B210" s="6" t="s">
        <v>1588</v>
      </c>
      <c r="C210" s="6">
        <v>1</v>
      </c>
      <c r="D210" s="6" t="s">
        <v>2242</v>
      </c>
      <c r="E210" s="6">
        <v>105</v>
      </c>
      <c r="F210" s="6" t="str">
        <f ca="1">Master_List!$AW$1</f>
        <v>PERPUSTAKAAN PUSAT</v>
      </c>
      <c r="G210" s="27" t="str">
        <f ca="1">Master_List!$AW$2</f>
        <v>09:30 PM</v>
      </c>
      <c r="H210" s="32" t="str">
        <f ca="1">Master_List!$AW$3</f>
        <v>20/07/2026</v>
      </c>
      <c r="I210" s="28" t="str">
        <f ca="1">Master_List!$AW$4</f>
        <v>28.5</v>
      </c>
      <c r="J210" s="6" t="str">
        <f ca="1">Master_List!$AW$5</f>
        <v>65</v>
      </c>
      <c r="K210" s="6" t="s">
        <v>582</v>
      </c>
      <c r="L210" s="21" t="str">
        <f ca="1">IFERROR(VLOOKUP(B210, Master_List!$A:$I, 2, FALSE), "-")</f>
        <v/>
      </c>
      <c r="M210" s="22" t="str">
        <f ca="1">IFERROR(VLOOKUP(B210, Master_List!$A:$I, 3, FALSE), "-")</f>
        <v/>
      </c>
      <c r="N210" s="22" t="str">
        <f ca="1">IFERROR(VLOOKUP(B210, Master_List!$A:$I, 4, FALSE), "-")</f>
        <v/>
      </c>
      <c r="O210" s="22" t="str">
        <f ca="1">IFERROR(VLOOKUP(B210, Master_List!$A:$I, 5, FALSE), "-")</f>
        <v/>
      </c>
      <c r="P210" s="22" t="str">
        <f ca="1">IFERROR(VLOOKUP(B210, Master_List!$A:$I, 6, FALSE), "-")</f>
        <v/>
      </c>
      <c r="Q210" s="22" t="str">
        <f ca="1">IFERROR(VLOOKUP(B210, Master_List!$A:$I, 7, FALSE), "-")</f>
        <v/>
      </c>
      <c r="R210" s="22" t="str">
        <f ca="1">IFERROR(VLOOKUP(B210, Master_List!$A:$I, 8, FALSE), "-")</f>
        <v/>
      </c>
      <c r="S210" s="22" t="str">
        <f ca="1">IFERROR(VLOOKUP(B210, Master_List!$A:$I, 9, FALSE), "-")</f>
        <v/>
      </c>
      <c r="T210" s="20" t="str">
        <f ca="1">Master_List!$AW$6</f>
        <v>TOSHIBA</v>
      </c>
      <c r="U210" s="20" t="str">
        <f ca="1">Master_List!$AW$7</f>
        <v>MRMU</v>
      </c>
      <c r="V210" s="20" t="str">
        <f ca="1">Master_List!$AW$8</f>
        <v>12kV</v>
      </c>
      <c r="W210" s="20" t="str">
        <f ca="1">Master_List!$AW$9</f>
        <v>2S1F</v>
      </c>
      <c r="X210" s="20" t="str">
        <f ca="1">Master_List!$AW$10</f>
        <v>MTM</v>
      </c>
      <c r="Y210" s="20" t="str">
        <f ca="1">Master_List!$AW$11</f>
        <v>HERMETICALLY SEAL</v>
      </c>
      <c r="Z210" s="20" t="str">
        <f ca="1">Master_List!$AW$12</f>
        <v>750kVA</v>
      </c>
      <c r="AA210" s="20" t="str">
        <f ca="1">Master_List!$AW$13</f>
        <v>1317</v>
      </c>
      <c r="AB210" s="20">
        <f ca="1">Master_List!$AW$14</f>
        <v>0</v>
      </c>
      <c r="AC210" s="20">
        <f ca="1">Master_List!$AW$15</f>
        <v>0</v>
      </c>
      <c r="AD210" s="20">
        <f ca="1">Master_List!$AW$16</f>
        <v>0</v>
      </c>
      <c r="AE210" s="20">
        <f ca="1">Master_List!$AW$17</f>
        <v>0</v>
      </c>
      <c r="AF210" s="20" t="str">
        <f ca="1">Master_List!$AW$18</f>
        <v>INDKOM</v>
      </c>
      <c r="AG210" s="20" t="str">
        <f ca="1">Master_List!$AW$19</f>
        <v>J-SLOTTED</v>
      </c>
      <c r="AH210" s="20" t="str">
        <f ca="1">Master_List!$AW$20</f>
        <v>1600A</v>
      </c>
      <c r="AI210" s="20" t="str">
        <f ca="1">Master_List!$AW$21</f>
        <v>LV5080090</v>
      </c>
      <c r="AJ210" s="20" t="str">
        <f ca="1">Master_List!$AW$22</f>
        <v>LVDB TX1</v>
      </c>
      <c r="AK210" s="20">
        <f ca="1">Master_List!$AW$23</f>
        <v>0</v>
      </c>
      <c r="AL210" s="20">
        <f ca="1">Master_List!$AW$24</f>
        <v>0</v>
      </c>
      <c r="AM210" s="20">
        <f ca="1">Master_List!$AW$25</f>
        <v>0</v>
      </c>
      <c r="AN210" s="20">
        <f ca="1">Master_List!$AW$26</f>
        <v>0</v>
      </c>
      <c r="AO210" s="20" t="str">
        <f ca="1">Master_List!$AW$27</f>
        <v>LVDB TX2</v>
      </c>
      <c r="AP210" s="20" t="str">
        <f ca="1">Master_List!$AW$28</f>
        <v>SUNPOWER TECHNOLOGIES</v>
      </c>
      <c r="AQ210" s="20" t="str">
        <f ca="1">Master_List!$AW$29</f>
        <v>SPS 30-10 L</v>
      </c>
      <c r="AR210" s="20" t="str">
        <f ca="1">Master_List!$AW$30</f>
        <v>11193-8527</v>
      </c>
      <c r="AS210" s="20">
        <f ca="1">Master_List!$AW$31</f>
        <v>0</v>
      </c>
      <c r="AT210" s="20">
        <f ca="1">Master_List!$AW$32</f>
        <v>0</v>
      </c>
      <c r="AU210" s="20">
        <f ca="1">Master_List!$AW$33</f>
        <v>0</v>
      </c>
      <c r="AV210" s="20">
        <f ca="1">Master_List!$AW$34</f>
        <v>0</v>
      </c>
      <c r="AW210" s="20">
        <f ca="1">Master_List!$AW$35</f>
        <v>0</v>
      </c>
      <c r="AX210" s="20">
        <f ca="1">Master_List!$AW$36</f>
        <v>0</v>
      </c>
      <c r="AY210" s="20">
        <f ca="1">Master_List!$AW$37</f>
        <v>0</v>
      </c>
      <c r="AZ210" s="20">
        <f ca="1">Master_List!$AW$38</f>
        <v>0</v>
      </c>
      <c r="BA210" s="20">
        <f ca="1">Master_List!$AW$39</f>
        <v>0</v>
      </c>
      <c r="BB210" s="20" t="s">
        <v>2240</v>
      </c>
      <c r="BC210" s="20" t="s">
        <v>2241</v>
      </c>
      <c r="BD210" s="6" t="s">
        <v>1744</v>
      </c>
      <c r="BE210" s="6" t="s">
        <v>1855</v>
      </c>
      <c r="BF210" s="6" t="s">
        <v>1746</v>
      </c>
      <c r="BG210" s="6" t="str">
        <f t="shared" si="3"/>
        <v>C:\Users\aremi\Desktop\REPORT CBM\PO 42289580 - Pahang 11kV SECOND CYCLE AZZAD 2026\RAW MATERIAL\047. TNB BARU (IR+VI)\RAW DATA\IR</v>
      </c>
      <c r="BH210" s="24" t="s">
        <v>745</v>
      </c>
    </row>
    <row r="211" spans="1:60" ht="30" customHeight="1" x14ac:dyDescent="0.25">
      <c r="A211" s="6">
        <v>105</v>
      </c>
      <c r="B211" s="6" t="s">
        <v>1588</v>
      </c>
      <c r="C211" s="6">
        <v>1</v>
      </c>
      <c r="D211" s="6" t="s">
        <v>2242</v>
      </c>
      <c r="E211" s="6">
        <v>105</v>
      </c>
      <c r="F211" s="6" t="str">
        <f ca="1">Master_List!$AW$1</f>
        <v>PERPUSTAKAAN PUSAT</v>
      </c>
      <c r="G211" s="27" t="str">
        <f ca="1">Master_List!$AW$2</f>
        <v>09:30 PM</v>
      </c>
      <c r="H211" s="32" t="str">
        <f ca="1">Master_List!$AW$3</f>
        <v>20/07/2026</v>
      </c>
      <c r="I211" s="28" t="str">
        <f ca="1">Master_List!$AW$4</f>
        <v>28.5</v>
      </c>
      <c r="J211" s="6" t="str">
        <f ca="1">Master_List!$AW$5</f>
        <v>65</v>
      </c>
      <c r="K211" s="6" t="s">
        <v>582</v>
      </c>
      <c r="L211" s="21" t="str">
        <f ca="1">IFERROR(VLOOKUP(B211, Master_List!$A:$I, 2, FALSE), "-")</f>
        <v/>
      </c>
      <c r="M211" s="22" t="str">
        <f ca="1">IFERROR(VLOOKUP(B211, Master_List!$A:$I, 3, FALSE), "-")</f>
        <v/>
      </c>
      <c r="N211" s="22" t="str">
        <f ca="1">IFERROR(VLOOKUP(B211, Master_List!$A:$I, 4, FALSE), "-")</f>
        <v/>
      </c>
      <c r="O211" s="22" t="str">
        <f ca="1">IFERROR(VLOOKUP(B211, Master_List!$A:$I, 5, FALSE), "-")</f>
        <v/>
      </c>
      <c r="P211" s="22" t="str">
        <f ca="1">IFERROR(VLOOKUP(B211, Master_List!$A:$I, 6, FALSE), "-")</f>
        <v/>
      </c>
      <c r="Q211" s="22" t="str">
        <f ca="1">IFERROR(VLOOKUP(B211, Master_List!$A:$I, 7, FALSE), "-")</f>
        <v/>
      </c>
      <c r="R211" s="22" t="str">
        <f ca="1">IFERROR(VLOOKUP(B211, Master_List!$A:$I, 8, FALSE), "-")</f>
        <v/>
      </c>
      <c r="S211" s="22" t="str">
        <f ca="1">IFERROR(VLOOKUP(B211, Master_List!$A:$I, 9, FALSE), "-")</f>
        <v/>
      </c>
      <c r="T211" s="20" t="str">
        <f ca="1">Master_List!$AW$6</f>
        <v>TOSHIBA</v>
      </c>
      <c r="U211" s="20" t="str">
        <f ca="1">Master_List!$AW$7</f>
        <v>MRMU</v>
      </c>
      <c r="V211" s="20" t="str">
        <f ca="1">Master_List!$AW$8</f>
        <v>12kV</v>
      </c>
      <c r="W211" s="20" t="str">
        <f ca="1">Master_List!$AW$9</f>
        <v>2S1F</v>
      </c>
      <c r="X211" s="20" t="str">
        <f ca="1">Master_List!$AW$10</f>
        <v>MTM</v>
      </c>
      <c r="Y211" s="20" t="str">
        <f ca="1">Master_List!$AW$11</f>
        <v>HERMETICALLY SEAL</v>
      </c>
      <c r="Z211" s="20" t="str">
        <f ca="1">Master_List!$AW$12</f>
        <v>750kVA</v>
      </c>
      <c r="AA211" s="20" t="str">
        <f ca="1">Master_List!$AW$13</f>
        <v>1317</v>
      </c>
      <c r="AB211" s="20">
        <f ca="1">Master_List!$AW$14</f>
        <v>0</v>
      </c>
      <c r="AC211" s="20">
        <f ca="1">Master_List!$AW$15</f>
        <v>0</v>
      </c>
      <c r="AD211" s="20">
        <f ca="1">Master_List!$AW$16</f>
        <v>0</v>
      </c>
      <c r="AE211" s="20">
        <f ca="1">Master_List!$AW$17</f>
        <v>0</v>
      </c>
      <c r="AF211" s="20" t="str">
        <f ca="1">Master_List!$AW$18</f>
        <v>INDKOM</v>
      </c>
      <c r="AG211" s="20" t="str">
        <f ca="1">Master_List!$AW$19</f>
        <v>J-SLOTTED</v>
      </c>
      <c r="AH211" s="20" t="str">
        <f ca="1">Master_List!$AW$20</f>
        <v>1600A</v>
      </c>
      <c r="AI211" s="20" t="str">
        <f ca="1">Master_List!$AW$21</f>
        <v>LV5080090</v>
      </c>
      <c r="AJ211" s="20" t="str">
        <f ca="1">Master_List!$AW$22</f>
        <v>LVDB TX1</v>
      </c>
      <c r="AK211" s="20">
        <f ca="1">Master_List!$AW$23</f>
        <v>0</v>
      </c>
      <c r="AL211" s="20">
        <f ca="1">Master_List!$AW$24</f>
        <v>0</v>
      </c>
      <c r="AM211" s="20">
        <f ca="1">Master_List!$AW$25</f>
        <v>0</v>
      </c>
      <c r="AN211" s="20">
        <f ca="1">Master_List!$AW$26</f>
        <v>0</v>
      </c>
      <c r="AO211" s="20" t="str">
        <f ca="1">Master_List!$AW$27</f>
        <v>LVDB TX2</v>
      </c>
      <c r="AP211" s="20" t="str">
        <f ca="1">Master_List!$AW$28</f>
        <v>SUNPOWER TECHNOLOGIES</v>
      </c>
      <c r="AQ211" s="20" t="str">
        <f ca="1">Master_List!$AW$29</f>
        <v>SPS 30-10 L</v>
      </c>
      <c r="AR211" s="20" t="str">
        <f ca="1">Master_List!$AW$30</f>
        <v>11193-8527</v>
      </c>
      <c r="AS211" s="20">
        <f ca="1">Master_List!$AW$31</f>
        <v>0</v>
      </c>
      <c r="AT211" s="20">
        <f ca="1">Master_List!$AW$32</f>
        <v>0</v>
      </c>
      <c r="AU211" s="20">
        <f ca="1">Master_List!$AW$33</f>
        <v>0</v>
      </c>
      <c r="AV211" s="20">
        <f ca="1">Master_List!$AW$34</f>
        <v>0</v>
      </c>
      <c r="AW211" s="20">
        <f ca="1">Master_List!$AW$35</f>
        <v>0</v>
      </c>
      <c r="AX211" s="20">
        <f ca="1">Master_List!$AW$36</f>
        <v>0</v>
      </c>
      <c r="AY211" s="20">
        <f ca="1">Master_List!$AW$37</f>
        <v>0</v>
      </c>
      <c r="AZ211" s="20">
        <f ca="1">Master_List!$AW$38</f>
        <v>0</v>
      </c>
      <c r="BA211" s="20">
        <f ca="1">Master_List!$AW$39</f>
        <v>0</v>
      </c>
      <c r="BB211" s="20" t="s">
        <v>2240</v>
      </c>
      <c r="BC211" s="20" t="s">
        <v>2241</v>
      </c>
      <c r="BD211" s="6" t="s">
        <v>1744</v>
      </c>
      <c r="BE211" s="6" t="s">
        <v>1855</v>
      </c>
      <c r="BF211" s="6" t="s">
        <v>1748</v>
      </c>
      <c r="BG211" s="6" t="str">
        <f t="shared" si="3"/>
        <v>C:\Users\aremi\Desktop\REPORT CBM\PO 42289580 - Pahang 11kV SECOND CYCLE AZZAD 2026\RAW MATERIAL\047. TNB BARU (IR+VI)\RAW DATA\IR</v>
      </c>
      <c r="BH211" s="24" t="s">
        <v>746</v>
      </c>
    </row>
    <row r="212" spans="1:60" ht="30" customHeight="1" x14ac:dyDescent="0.25">
      <c r="A212" s="6">
        <v>106</v>
      </c>
      <c r="B212" s="6" t="s">
        <v>1588</v>
      </c>
      <c r="C212" s="6">
        <v>1</v>
      </c>
      <c r="D212" s="6" t="s">
        <v>2242</v>
      </c>
      <c r="E212" s="6">
        <v>106</v>
      </c>
      <c r="F212" s="6" t="str">
        <f ca="1">Master_List!$AW$1</f>
        <v>PERPUSTAKAAN PUSAT</v>
      </c>
      <c r="G212" s="27" t="str">
        <f ca="1">Master_List!$AW$2</f>
        <v>09:30 PM</v>
      </c>
      <c r="H212" s="32" t="str">
        <f ca="1">Master_List!$AW$3</f>
        <v>20/07/2026</v>
      </c>
      <c r="I212" s="28" t="str">
        <f ca="1">Master_List!$AW$4</f>
        <v>28.5</v>
      </c>
      <c r="J212" s="6" t="str">
        <f ca="1">Master_List!$AW$5</f>
        <v>65</v>
      </c>
      <c r="K212" s="6" t="s">
        <v>585</v>
      </c>
      <c r="L212" s="21" t="str">
        <f ca="1">IFERROR(VLOOKUP(B212, Master_List!$A:$I, 2, FALSE), "-")</f>
        <v/>
      </c>
      <c r="M212" s="22" t="str">
        <f ca="1">IFERROR(VLOOKUP(B212, Master_List!$A:$I, 3, FALSE), "-")</f>
        <v/>
      </c>
      <c r="N212" s="22" t="str">
        <f ca="1">IFERROR(VLOOKUP(B212, Master_List!$A:$I, 4, FALSE), "-")</f>
        <v/>
      </c>
      <c r="O212" s="22" t="str">
        <f ca="1">IFERROR(VLOOKUP(B212, Master_List!$A:$I, 5, FALSE), "-")</f>
        <v/>
      </c>
      <c r="P212" s="22" t="str">
        <f ca="1">IFERROR(VLOOKUP(B212, Master_List!$A:$I, 6, FALSE), "-")</f>
        <v/>
      </c>
      <c r="Q212" s="22" t="str">
        <f ca="1">IFERROR(VLOOKUP(B212, Master_List!$A:$I, 7, FALSE), "-")</f>
        <v/>
      </c>
      <c r="R212" s="22" t="str">
        <f ca="1">IFERROR(VLOOKUP(B212, Master_List!$A:$I, 8, FALSE), "-")</f>
        <v/>
      </c>
      <c r="S212" s="22" t="str">
        <f ca="1">IFERROR(VLOOKUP(B212, Master_List!$A:$I, 9, FALSE), "-")</f>
        <v/>
      </c>
      <c r="T212" s="20" t="str">
        <f ca="1">Master_List!$AW$6</f>
        <v>TOSHIBA</v>
      </c>
      <c r="U212" s="20" t="str">
        <f ca="1">Master_List!$AW$7</f>
        <v>MRMU</v>
      </c>
      <c r="V212" s="20" t="str">
        <f ca="1">Master_List!$AW$8</f>
        <v>12kV</v>
      </c>
      <c r="W212" s="20" t="str">
        <f ca="1">Master_List!$AW$9</f>
        <v>2S1F</v>
      </c>
      <c r="X212" s="20" t="str">
        <f ca="1">Master_List!$AW$10</f>
        <v>MTM</v>
      </c>
      <c r="Y212" s="20" t="str">
        <f ca="1">Master_List!$AW$11</f>
        <v>HERMETICALLY SEAL</v>
      </c>
      <c r="Z212" s="20" t="str">
        <f ca="1">Master_List!$AW$12</f>
        <v>750kVA</v>
      </c>
      <c r="AA212" s="20" t="str">
        <f ca="1">Master_List!$AW$13</f>
        <v>1317</v>
      </c>
      <c r="AB212" s="20">
        <f ca="1">Master_List!$AW$14</f>
        <v>0</v>
      </c>
      <c r="AC212" s="20">
        <f ca="1">Master_List!$AW$15</f>
        <v>0</v>
      </c>
      <c r="AD212" s="20">
        <f ca="1">Master_List!$AW$16</f>
        <v>0</v>
      </c>
      <c r="AE212" s="20">
        <f ca="1">Master_List!$AW$17</f>
        <v>0</v>
      </c>
      <c r="AF212" s="20" t="str">
        <f ca="1">Master_List!$AW$18</f>
        <v>INDKOM</v>
      </c>
      <c r="AG212" s="20" t="str">
        <f ca="1">Master_List!$AW$19</f>
        <v>J-SLOTTED</v>
      </c>
      <c r="AH212" s="20" t="str">
        <f ca="1">Master_List!$AW$20</f>
        <v>1600A</v>
      </c>
      <c r="AI212" s="20" t="str">
        <f ca="1">Master_List!$AW$21</f>
        <v>LV5080090</v>
      </c>
      <c r="AJ212" s="20" t="str">
        <f ca="1">Master_List!$AW$22</f>
        <v>LVDB TX1</v>
      </c>
      <c r="AK212" s="20">
        <f ca="1">Master_List!$AW$23</f>
        <v>0</v>
      </c>
      <c r="AL212" s="20">
        <f ca="1">Master_List!$AW$24</f>
        <v>0</v>
      </c>
      <c r="AM212" s="20">
        <f ca="1">Master_List!$AW$25</f>
        <v>0</v>
      </c>
      <c r="AN212" s="20">
        <f ca="1">Master_List!$AW$26</f>
        <v>0</v>
      </c>
      <c r="AO212" s="20" t="str">
        <f ca="1">Master_List!$AW$27</f>
        <v>LVDB TX2</v>
      </c>
      <c r="AP212" s="20" t="str">
        <f ca="1">Master_List!$AW$28</f>
        <v>SUNPOWER TECHNOLOGIES</v>
      </c>
      <c r="AQ212" s="20" t="str">
        <f ca="1">Master_List!$AW$29</f>
        <v>SPS 30-10 L</v>
      </c>
      <c r="AR212" s="20" t="str">
        <f ca="1">Master_List!$AW$30</f>
        <v>11193-8527</v>
      </c>
      <c r="AS212" s="20">
        <f ca="1">Master_List!$AW$31</f>
        <v>0</v>
      </c>
      <c r="AT212" s="20">
        <f ca="1">Master_List!$AW$32</f>
        <v>0</v>
      </c>
      <c r="AU212" s="20">
        <f ca="1">Master_List!$AW$33</f>
        <v>0</v>
      </c>
      <c r="AV212" s="20">
        <f ca="1">Master_List!$AW$34</f>
        <v>0</v>
      </c>
      <c r="AW212" s="20">
        <f ca="1">Master_List!$AW$35</f>
        <v>0</v>
      </c>
      <c r="AX212" s="20">
        <f ca="1">Master_List!$AW$36</f>
        <v>0</v>
      </c>
      <c r="AY212" s="20">
        <f ca="1">Master_List!$AW$37</f>
        <v>0</v>
      </c>
      <c r="AZ212" s="20">
        <f ca="1">Master_List!$AW$38</f>
        <v>0</v>
      </c>
      <c r="BA212" s="20">
        <f ca="1">Master_List!$AW$39</f>
        <v>0</v>
      </c>
      <c r="BB212" s="20" t="s">
        <v>2240</v>
      </c>
      <c r="BC212" s="20" t="s">
        <v>2241</v>
      </c>
      <c r="BD212" s="6" t="s">
        <v>1744</v>
      </c>
      <c r="BE212" s="6" t="s">
        <v>1856</v>
      </c>
      <c r="BF212" s="6" t="s">
        <v>1746</v>
      </c>
      <c r="BG212" s="6" t="str">
        <f t="shared" si="3"/>
        <v>C:\Users\aremi\Desktop\REPORT CBM\PO 42289580 - Pahang 11kV SECOND CYCLE AZZAD 2026\RAW MATERIAL\047. TNB BARU (IR+VI)\RAW DATA\IR</v>
      </c>
      <c r="BH212" s="24" t="s">
        <v>748</v>
      </c>
    </row>
    <row r="213" spans="1:60" ht="30" customHeight="1" x14ac:dyDescent="0.25">
      <c r="A213" s="6">
        <v>106</v>
      </c>
      <c r="B213" s="6" t="s">
        <v>1588</v>
      </c>
      <c r="C213" s="6">
        <v>1</v>
      </c>
      <c r="D213" s="6" t="s">
        <v>2242</v>
      </c>
      <c r="E213" s="6">
        <v>106</v>
      </c>
      <c r="F213" s="6" t="str">
        <f ca="1">Master_List!$AW$1</f>
        <v>PERPUSTAKAAN PUSAT</v>
      </c>
      <c r="G213" s="27" t="str">
        <f ca="1">Master_List!$AW$2</f>
        <v>09:30 PM</v>
      </c>
      <c r="H213" s="32" t="str">
        <f ca="1">Master_List!$AW$3</f>
        <v>20/07/2026</v>
      </c>
      <c r="I213" s="28" t="str">
        <f ca="1">Master_List!$AW$4</f>
        <v>28.5</v>
      </c>
      <c r="J213" s="6" t="str">
        <f ca="1">Master_List!$AW$5</f>
        <v>65</v>
      </c>
      <c r="K213" s="6" t="s">
        <v>585</v>
      </c>
      <c r="L213" s="21" t="str">
        <f ca="1">IFERROR(VLOOKUP(B213, Master_List!$A:$I, 2, FALSE), "-")</f>
        <v/>
      </c>
      <c r="M213" s="22" t="str">
        <f ca="1">IFERROR(VLOOKUP(B213, Master_List!$A:$I, 3, FALSE), "-")</f>
        <v/>
      </c>
      <c r="N213" s="22" t="str">
        <f ca="1">IFERROR(VLOOKUP(B213, Master_List!$A:$I, 4, FALSE), "-")</f>
        <v/>
      </c>
      <c r="O213" s="22" t="str">
        <f ca="1">IFERROR(VLOOKUP(B213, Master_List!$A:$I, 5, FALSE), "-")</f>
        <v/>
      </c>
      <c r="P213" s="22" t="str">
        <f ca="1">IFERROR(VLOOKUP(B213, Master_List!$A:$I, 6, FALSE), "-")</f>
        <v/>
      </c>
      <c r="Q213" s="22" t="str">
        <f ca="1">IFERROR(VLOOKUP(B213, Master_List!$A:$I, 7, FALSE), "-")</f>
        <v/>
      </c>
      <c r="R213" s="22" t="str">
        <f ca="1">IFERROR(VLOOKUP(B213, Master_List!$A:$I, 8, FALSE), "-")</f>
        <v/>
      </c>
      <c r="S213" s="22" t="str">
        <f ca="1">IFERROR(VLOOKUP(B213, Master_List!$A:$I, 9, FALSE), "-")</f>
        <v/>
      </c>
      <c r="T213" s="20" t="str">
        <f ca="1">Master_List!$AW$6</f>
        <v>TOSHIBA</v>
      </c>
      <c r="U213" s="20" t="str">
        <f ca="1">Master_List!$AW$7</f>
        <v>MRMU</v>
      </c>
      <c r="V213" s="20" t="str">
        <f ca="1">Master_List!$AW$8</f>
        <v>12kV</v>
      </c>
      <c r="W213" s="20" t="str">
        <f ca="1">Master_List!$AW$9</f>
        <v>2S1F</v>
      </c>
      <c r="X213" s="20" t="str">
        <f ca="1">Master_List!$AW$10</f>
        <v>MTM</v>
      </c>
      <c r="Y213" s="20" t="str">
        <f ca="1">Master_List!$AW$11</f>
        <v>HERMETICALLY SEAL</v>
      </c>
      <c r="Z213" s="20" t="str">
        <f ca="1">Master_List!$AW$12</f>
        <v>750kVA</v>
      </c>
      <c r="AA213" s="20" t="str">
        <f ca="1">Master_List!$AW$13</f>
        <v>1317</v>
      </c>
      <c r="AB213" s="20">
        <f ca="1">Master_List!$AW$14</f>
        <v>0</v>
      </c>
      <c r="AC213" s="20">
        <f ca="1">Master_List!$AW$15</f>
        <v>0</v>
      </c>
      <c r="AD213" s="20">
        <f ca="1">Master_List!$AW$16</f>
        <v>0</v>
      </c>
      <c r="AE213" s="20">
        <f ca="1">Master_List!$AW$17</f>
        <v>0</v>
      </c>
      <c r="AF213" s="20" t="str">
        <f ca="1">Master_List!$AW$18</f>
        <v>INDKOM</v>
      </c>
      <c r="AG213" s="20" t="str">
        <f ca="1">Master_List!$AW$19</f>
        <v>J-SLOTTED</v>
      </c>
      <c r="AH213" s="20" t="str">
        <f ca="1">Master_List!$AW$20</f>
        <v>1600A</v>
      </c>
      <c r="AI213" s="20" t="str">
        <f ca="1">Master_List!$AW$21</f>
        <v>LV5080090</v>
      </c>
      <c r="AJ213" s="20" t="str">
        <f ca="1">Master_List!$AW$22</f>
        <v>LVDB TX1</v>
      </c>
      <c r="AK213" s="20">
        <f ca="1">Master_List!$AW$23</f>
        <v>0</v>
      </c>
      <c r="AL213" s="20">
        <f ca="1">Master_List!$AW$24</f>
        <v>0</v>
      </c>
      <c r="AM213" s="20">
        <f ca="1">Master_List!$AW$25</f>
        <v>0</v>
      </c>
      <c r="AN213" s="20">
        <f ca="1">Master_List!$AW$26</f>
        <v>0</v>
      </c>
      <c r="AO213" s="20" t="str">
        <f ca="1">Master_List!$AW$27</f>
        <v>LVDB TX2</v>
      </c>
      <c r="AP213" s="20" t="str">
        <f ca="1">Master_List!$AW$28</f>
        <v>SUNPOWER TECHNOLOGIES</v>
      </c>
      <c r="AQ213" s="20" t="str">
        <f ca="1">Master_List!$AW$29</f>
        <v>SPS 30-10 L</v>
      </c>
      <c r="AR213" s="20" t="str">
        <f ca="1">Master_List!$AW$30</f>
        <v>11193-8527</v>
      </c>
      <c r="AS213" s="20">
        <f ca="1">Master_List!$AW$31</f>
        <v>0</v>
      </c>
      <c r="AT213" s="20">
        <f ca="1">Master_List!$AW$32</f>
        <v>0</v>
      </c>
      <c r="AU213" s="20">
        <f ca="1">Master_List!$AW$33</f>
        <v>0</v>
      </c>
      <c r="AV213" s="20">
        <f ca="1">Master_List!$AW$34</f>
        <v>0</v>
      </c>
      <c r="AW213" s="20">
        <f ca="1">Master_List!$AW$35</f>
        <v>0</v>
      </c>
      <c r="AX213" s="20">
        <f ca="1">Master_List!$AW$36</f>
        <v>0</v>
      </c>
      <c r="AY213" s="20">
        <f ca="1">Master_List!$AW$37</f>
        <v>0</v>
      </c>
      <c r="AZ213" s="20">
        <f ca="1">Master_List!$AW$38</f>
        <v>0</v>
      </c>
      <c r="BA213" s="20">
        <f ca="1">Master_List!$AW$39</f>
        <v>0</v>
      </c>
      <c r="BB213" s="20" t="s">
        <v>2240</v>
      </c>
      <c r="BC213" s="20" t="s">
        <v>2241</v>
      </c>
      <c r="BD213" s="6" t="s">
        <v>1744</v>
      </c>
      <c r="BE213" s="6" t="s">
        <v>1856</v>
      </c>
      <c r="BF213" s="6" t="s">
        <v>1748</v>
      </c>
      <c r="BG213" s="6" t="str">
        <f t="shared" si="3"/>
        <v>C:\Users\aremi\Desktop\REPORT CBM\PO 42289580 - Pahang 11kV SECOND CYCLE AZZAD 2026\RAW MATERIAL\047. TNB BARU (IR+VI)\RAW DATA\IR</v>
      </c>
      <c r="BH213" s="24" t="s">
        <v>749</v>
      </c>
    </row>
    <row r="214" spans="1:60" ht="30" customHeight="1" x14ac:dyDescent="0.25">
      <c r="A214" s="6">
        <v>107</v>
      </c>
      <c r="B214" s="6" t="s">
        <v>1588</v>
      </c>
      <c r="C214" s="6">
        <v>1</v>
      </c>
      <c r="D214" s="6" t="s">
        <v>2243</v>
      </c>
      <c r="E214" s="6">
        <v>107</v>
      </c>
      <c r="F214" s="6" t="str">
        <f ca="1">Master_List!$AW$1</f>
        <v>PERPUSTAKAAN PUSAT</v>
      </c>
      <c r="G214" s="27" t="str">
        <f ca="1">Master_List!$AW$2</f>
        <v>09:30 PM</v>
      </c>
      <c r="H214" s="32" t="str">
        <f ca="1">Master_List!$AW$3</f>
        <v>20/07/2026</v>
      </c>
      <c r="I214" s="28" t="str">
        <f ca="1">Master_List!$AW$4</f>
        <v>28.5</v>
      </c>
      <c r="J214" s="6" t="str">
        <f ca="1">Master_List!$AW$5</f>
        <v>65</v>
      </c>
      <c r="K214" s="6" t="s">
        <v>588</v>
      </c>
      <c r="L214" s="21" t="str">
        <f ca="1">IFERROR(VLOOKUP(B214, Master_List!$A:$I, 2, FALSE), "-")</f>
        <v/>
      </c>
      <c r="M214" s="22" t="str">
        <f ca="1">IFERROR(VLOOKUP(B214, Master_List!$A:$I, 3, FALSE), "-")</f>
        <v/>
      </c>
      <c r="N214" s="22" t="str">
        <f ca="1">IFERROR(VLOOKUP(B214, Master_List!$A:$I, 4, FALSE), "-")</f>
        <v/>
      </c>
      <c r="O214" s="22" t="str">
        <f ca="1">IFERROR(VLOOKUP(B214, Master_List!$A:$I, 5, FALSE), "-")</f>
        <v/>
      </c>
      <c r="P214" s="22" t="str">
        <f ca="1">IFERROR(VLOOKUP(B214, Master_List!$A:$I, 6, FALSE), "-")</f>
        <v/>
      </c>
      <c r="Q214" s="22" t="str">
        <f ca="1">IFERROR(VLOOKUP(B214, Master_List!$A:$I, 7, FALSE), "-")</f>
        <v/>
      </c>
      <c r="R214" s="22" t="str">
        <f ca="1">IFERROR(VLOOKUP(B214, Master_List!$A:$I, 8, FALSE), "-")</f>
        <v/>
      </c>
      <c r="S214" s="22" t="str">
        <f ca="1">IFERROR(VLOOKUP(B214, Master_List!$A:$I, 9, FALSE), "-")</f>
        <v/>
      </c>
      <c r="T214" s="20" t="str">
        <f ca="1">Master_List!$AW$6</f>
        <v>TOSHIBA</v>
      </c>
      <c r="U214" s="20" t="str">
        <f ca="1">Master_List!$AW$7</f>
        <v>MRMU</v>
      </c>
      <c r="V214" s="20" t="str">
        <f ca="1">Master_List!$AW$8</f>
        <v>12kV</v>
      </c>
      <c r="W214" s="20" t="str">
        <f ca="1">Master_List!$AW$9</f>
        <v>2S1F</v>
      </c>
      <c r="X214" s="20" t="str">
        <f ca="1">Master_List!$AW$10</f>
        <v>MTM</v>
      </c>
      <c r="Y214" s="20" t="str">
        <f ca="1">Master_List!$AW$11</f>
        <v>HERMETICALLY SEAL</v>
      </c>
      <c r="Z214" s="20" t="str">
        <f ca="1">Master_List!$AW$12</f>
        <v>750kVA</v>
      </c>
      <c r="AA214" s="20" t="str">
        <f ca="1">Master_List!$AW$13</f>
        <v>1317</v>
      </c>
      <c r="AB214" s="20">
        <f ca="1">Master_List!$AW$14</f>
        <v>0</v>
      </c>
      <c r="AC214" s="20">
        <f ca="1">Master_List!$AW$15</f>
        <v>0</v>
      </c>
      <c r="AD214" s="20">
        <f ca="1">Master_List!$AW$16</f>
        <v>0</v>
      </c>
      <c r="AE214" s="20">
        <f ca="1">Master_List!$AW$17</f>
        <v>0</v>
      </c>
      <c r="AF214" s="20" t="str">
        <f ca="1">Master_List!$AW$18</f>
        <v>INDKOM</v>
      </c>
      <c r="AG214" s="20" t="str">
        <f ca="1">Master_List!$AW$19</f>
        <v>J-SLOTTED</v>
      </c>
      <c r="AH214" s="20" t="str">
        <f ca="1">Master_List!$AW$20</f>
        <v>1600A</v>
      </c>
      <c r="AI214" s="20" t="str">
        <f ca="1">Master_List!$AW$21</f>
        <v>LV5080090</v>
      </c>
      <c r="AJ214" s="20" t="str">
        <f ca="1">Master_List!$AW$22</f>
        <v>LVDB TX1</v>
      </c>
      <c r="AK214" s="20">
        <f ca="1">Master_List!$AW$23</f>
        <v>0</v>
      </c>
      <c r="AL214" s="20">
        <f ca="1">Master_List!$AW$24</f>
        <v>0</v>
      </c>
      <c r="AM214" s="20">
        <f ca="1">Master_List!$AW$25</f>
        <v>0</v>
      </c>
      <c r="AN214" s="20">
        <f ca="1">Master_List!$AW$26</f>
        <v>0</v>
      </c>
      <c r="AO214" s="20" t="str">
        <f ca="1">Master_List!$AW$27</f>
        <v>LVDB TX2</v>
      </c>
      <c r="AP214" s="20" t="str">
        <f ca="1">Master_List!$AW$28</f>
        <v>SUNPOWER TECHNOLOGIES</v>
      </c>
      <c r="AQ214" s="20" t="str">
        <f ca="1">Master_List!$AW$29</f>
        <v>SPS 30-10 L</v>
      </c>
      <c r="AR214" s="20" t="str">
        <f ca="1">Master_List!$AW$30</f>
        <v>11193-8527</v>
      </c>
      <c r="AS214" s="20">
        <f ca="1">Master_List!$AW$31</f>
        <v>0</v>
      </c>
      <c r="AT214" s="20">
        <f ca="1">Master_List!$AW$32</f>
        <v>0</v>
      </c>
      <c r="AU214" s="20">
        <f ca="1">Master_List!$AW$33</f>
        <v>0</v>
      </c>
      <c r="AV214" s="20">
        <f ca="1">Master_List!$AW$34</f>
        <v>0</v>
      </c>
      <c r="AW214" s="20">
        <f ca="1">Master_List!$AW$35</f>
        <v>0</v>
      </c>
      <c r="AX214" s="20">
        <f ca="1">Master_List!$AW$36</f>
        <v>0</v>
      </c>
      <c r="AY214" s="20">
        <f ca="1">Master_List!$AW$37</f>
        <v>0</v>
      </c>
      <c r="AZ214" s="20">
        <f ca="1">Master_List!$AW$38</f>
        <v>0</v>
      </c>
      <c r="BA214" s="20">
        <f ca="1">Master_List!$AW$39</f>
        <v>0</v>
      </c>
      <c r="BB214" s="20" t="s">
        <v>2240</v>
      </c>
      <c r="BC214" s="20" t="s">
        <v>2241</v>
      </c>
      <c r="BD214" s="6" t="s">
        <v>1744</v>
      </c>
      <c r="BE214" s="6" t="s">
        <v>1857</v>
      </c>
      <c r="BF214" s="6" t="s">
        <v>1746</v>
      </c>
      <c r="BG214" s="6" t="str">
        <f t="shared" si="3"/>
        <v>C:\Users\aremi\Desktop\REPORT CBM\PO 42289580 - Pahang 11kV SECOND CYCLE AZZAD 2026\RAW MATERIAL\047. TNB BARU (IR+VI)\RAW DATA\IR</v>
      </c>
      <c r="BH214" s="24" t="s">
        <v>750</v>
      </c>
    </row>
    <row r="215" spans="1:60" ht="30" customHeight="1" x14ac:dyDescent="0.25">
      <c r="A215" s="6">
        <v>107</v>
      </c>
      <c r="B215" s="6" t="s">
        <v>1588</v>
      </c>
      <c r="C215" s="6">
        <v>1</v>
      </c>
      <c r="D215" s="6" t="s">
        <v>2243</v>
      </c>
      <c r="E215" s="6">
        <v>107</v>
      </c>
      <c r="F215" s="6" t="str">
        <f ca="1">Master_List!$AW$1</f>
        <v>PERPUSTAKAAN PUSAT</v>
      </c>
      <c r="G215" s="27" t="str">
        <f ca="1">Master_List!$AW$2</f>
        <v>09:30 PM</v>
      </c>
      <c r="H215" s="32" t="str">
        <f ca="1">Master_List!$AW$3</f>
        <v>20/07/2026</v>
      </c>
      <c r="I215" s="28" t="str">
        <f ca="1">Master_List!$AW$4</f>
        <v>28.5</v>
      </c>
      <c r="J215" s="6" t="str">
        <f ca="1">Master_List!$AW$5</f>
        <v>65</v>
      </c>
      <c r="K215" s="6" t="s">
        <v>588</v>
      </c>
      <c r="L215" s="21" t="str">
        <f ca="1">IFERROR(VLOOKUP(B215, Master_List!$A:$I, 2, FALSE), "-")</f>
        <v/>
      </c>
      <c r="M215" s="22" t="str">
        <f ca="1">IFERROR(VLOOKUP(B215, Master_List!$A:$I, 3, FALSE), "-")</f>
        <v/>
      </c>
      <c r="N215" s="22" t="str">
        <f ca="1">IFERROR(VLOOKUP(B215, Master_List!$A:$I, 4, FALSE), "-")</f>
        <v/>
      </c>
      <c r="O215" s="22" t="str">
        <f ca="1">IFERROR(VLOOKUP(B215, Master_List!$A:$I, 5, FALSE), "-")</f>
        <v/>
      </c>
      <c r="P215" s="22" t="str">
        <f ca="1">IFERROR(VLOOKUP(B215, Master_List!$A:$I, 6, FALSE), "-")</f>
        <v/>
      </c>
      <c r="Q215" s="22" t="str">
        <f ca="1">IFERROR(VLOOKUP(B215, Master_List!$A:$I, 7, FALSE), "-")</f>
        <v/>
      </c>
      <c r="R215" s="22" t="str">
        <f ca="1">IFERROR(VLOOKUP(B215, Master_List!$A:$I, 8, FALSE), "-")</f>
        <v/>
      </c>
      <c r="S215" s="22" t="str">
        <f ca="1">IFERROR(VLOOKUP(B215, Master_List!$A:$I, 9, FALSE), "-")</f>
        <v/>
      </c>
      <c r="T215" s="20" t="str">
        <f ca="1">Master_List!$AW$6</f>
        <v>TOSHIBA</v>
      </c>
      <c r="U215" s="20" t="str">
        <f ca="1">Master_List!$AW$7</f>
        <v>MRMU</v>
      </c>
      <c r="V215" s="20" t="str">
        <f ca="1">Master_List!$AW$8</f>
        <v>12kV</v>
      </c>
      <c r="W215" s="20" t="str">
        <f ca="1">Master_List!$AW$9</f>
        <v>2S1F</v>
      </c>
      <c r="X215" s="20" t="str">
        <f ca="1">Master_List!$AW$10</f>
        <v>MTM</v>
      </c>
      <c r="Y215" s="20" t="str">
        <f ca="1">Master_List!$AW$11</f>
        <v>HERMETICALLY SEAL</v>
      </c>
      <c r="Z215" s="20" t="str">
        <f ca="1">Master_List!$AW$12</f>
        <v>750kVA</v>
      </c>
      <c r="AA215" s="20" t="str">
        <f ca="1">Master_List!$AW$13</f>
        <v>1317</v>
      </c>
      <c r="AB215" s="20">
        <f ca="1">Master_List!$AW$14</f>
        <v>0</v>
      </c>
      <c r="AC215" s="20">
        <f ca="1">Master_List!$AW$15</f>
        <v>0</v>
      </c>
      <c r="AD215" s="20">
        <f ca="1">Master_List!$AW$16</f>
        <v>0</v>
      </c>
      <c r="AE215" s="20">
        <f ca="1">Master_List!$AW$17</f>
        <v>0</v>
      </c>
      <c r="AF215" s="20" t="str">
        <f ca="1">Master_List!$AW$18</f>
        <v>INDKOM</v>
      </c>
      <c r="AG215" s="20" t="str">
        <f ca="1">Master_List!$AW$19</f>
        <v>J-SLOTTED</v>
      </c>
      <c r="AH215" s="20" t="str">
        <f ca="1">Master_List!$AW$20</f>
        <v>1600A</v>
      </c>
      <c r="AI215" s="20" t="str">
        <f ca="1">Master_List!$AW$21</f>
        <v>LV5080090</v>
      </c>
      <c r="AJ215" s="20" t="str">
        <f ca="1">Master_List!$AW$22</f>
        <v>LVDB TX1</v>
      </c>
      <c r="AK215" s="20">
        <f ca="1">Master_List!$AW$23</f>
        <v>0</v>
      </c>
      <c r="AL215" s="20">
        <f ca="1">Master_List!$AW$24</f>
        <v>0</v>
      </c>
      <c r="AM215" s="20">
        <f ca="1">Master_List!$AW$25</f>
        <v>0</v>
      </c>
      <c r="AN215" s="20">
        <f ca="1">Master_List!$AW$26</f>
        <v>0</v>
      </c>
      <c r="AO215" s="20" t="str">
        <f ca="1">Master_List!$AW$27</f>
        <v>LVDB TX2</v>
      </c>
      <c r="AP215" s="20" t="str">
        <f ca="1">Master_List!$AW$28</f>
        <v>SUNPOWER TECHNOLOGIES</v>
      </c>
      <c r="AQ215" s="20" t="str">
        <f ca="1">Master_List!$AW$29</f>
        <v>SPS 30-10 L</v>
      </c>
      <c r="AR215" s="20" t="str">
        <f ca="1">Master_List!$AW$30</f>
        <v>11193-8527</v>
      </c>
      <c r="AS215" s="20">
        <f ca="1">Master_List!$AW$31</f>
        <v>0</v>
      </c>
      <c r="AT215" s="20">
        <f ca="1">Master_List!$AW$32</f>
        <v>0</v>
      </c>
      <c r="AU215" s="20">
        <f ca="1">Master_List!$AW$33</f>
        <v>0</v>
      </c>
      <c r="AV215" s="20">
        <f ca="1">Master_List!$AW$34</f>
        <v>0</v>
      </c>
      <c r="AW215" s="20">
        <f ca="1">Master_List!$AW$35</f>
        <v>0</v>
      </c>
      <c r="AX215" s="20">
        <f ca="1">Master_List!$AW$36</f>
        <v>0</v>
      </c>
      <c r="AY215" s="20">
        <f ca="1">Master_List!$AW$37</f>
        <v>0</v>
      </c>
      <c r="AZ215" s="20">
        <f ca="1">Master_List!$AW$38</f>
        <v>0</v>
      </c>
      <c r="BA215" s="20">
        <f ca="1">Master_List!$AW$39</f>
        <v>0</v>
      </c>
      <c r="BB215" s="20" t="s">
        <v>2240</v>
      </c>
      <c r="BC215" s="20" t="s">
        <v>2241</v>
      </c>
      <c r="BD215" s="6" t="s">
        <v>1744</v>
      </c>
      <c r="BE215" s="6" t="s">
        <v>1857</v>
      </c>
      <c r="BF215" s="6" t="s">
        <v>1748</v>
      </c>
      <c r="BG215" s="6" t="str">
        <f t="shared" si="3"/>
        <v>C:\Users\aremi\Desktop\REPORT CBM\PO 42289580 - Pahang 11kV SECOND CYCLE AZZAD 2026\RAW MATERIAL\047. TNB BARU (IR+VI)\RAW DATA\IR</v>
      </c>
      <c r="BH215" s="24" t="s">
        <v>751</v>
      </c>
    </row>
    <row r="216" spans="1:60" ht="30" customHeight="1" x14ac:dyDescent="0.25">
      <c r="A216" s="6">
        <v>108</v>
      </c>
      <c r="B216" s="6" t="s">
        <v>1588</v>
      </c>
      <c r="C216" s="6">
        <v>1</v>
      </c>
      <c r="D216" s="6" t="s">
        <v>2244</v>
      </c>
      <c r="E216" s="6">
        <v>108</v>
      </c>
      <c r="F216" s="6" t="str">
        <f ca="1">Master_List!$AW$1</f>
        <v>PERPUSTAKAAN PUSAT</v>
      </c>
      <c r="G216" s="27" t="str">
        <f ca="1">Master_List!$AW$2</f>
        <v>09:30 PM</v>
      </c>
      <c r="H216" s="32" t="str">
        <f ca="1">Master_List!$AW$3</f>
        <v>20/07/2026</v>
      </c>
      <c r="I216" s="28" t="str">
        <f ca="1">Master_List!$AW$4</f>
        <v>28.5</v>
      </c>
      <c r="J216" s="6" t="str">
        <f ca="1">Master_List!$AW$5</f>
        <v>65</v>
      </c>
      <c r="K216" s="6" t="s">
        <v>591</v>
      </c>
      <c r="L216" s="21" t="str">
        <f ca="1">IFERROR(VLOOKUP(B216, Master_List!$A:$I, 2, FALSE), "-")</f>
        <v/>
      </c>
      <c r="M216" s="22" t="str">
        <f ca="1">IFERROR(VLOOKUP(B216, Master_List!$A:$I, 3, FALSE), "-")</f>
        <v/>
      </c>
      <c r="N216" s="22" t="str">
        <f ca="1">IFERROR(VLOOKUP(B216, Master_List!$A:$I, 4, FALSE), "-")</f>
        <v/>
      </c>
      <c r="O216" s="22" t="str">
        <f ca="1">IFERROR(VLOOKUP(B216, Master_List!$A:$I, 5, FALSE), "-")</f>
        <v/>
      </c>
      <c r="P216" s="22" t="str">
        <f ca="1">IFERROR(VLOOKUP(B216, Master_List!$A:$I, 6, FALSE), "-")</f>
        <v/>
      </c>
      <c r="Q216" s="22" t="str">
        <f ca="1">IFERROR(VLOOKUP(B216, Master_List!$A:$I, 7, FALSE), "-")</f>
        <v/>
      </c>
      <c r="R216" s="22" t="str">
        <f ca="1">IFERROR(VLOOKUP(B216, Master_List!$A:$I, 8, FALSE), "-")</f>
        <v/>
      </c>
      <c r="S216" s="22" t="str">
        <f ca="1">IFERROR(VLOOKUP(B216, Master_List!$A:$I, 9, FALSE), "-")</f>
        <v/>
      </c>
      <c r="T216" s="20" t="str">
        <f ca="1">Master_List!$AW$6</f>
        <v>TOSHIBA</v>
      </c>
      <c r="U216" s="20" t="str">
        <f ca="1">Master_List!$AW$7</f>
        <v>MRMU</v>
      </c>
      <c r="V216" s="20" t="str">
        <f ca="1">Master_List!$AW$8</f>
        <v>12kV</v>
      </c>
      <c r="W216" s="20" t="str">
        <f ca="1">Master_List!$AW$9</f>
        <v>2S1F</v>
      </c>
      <c r="X216" s="20" t="str">
        <f ca="1">Master_List!$AW$10</f>
        <v>MTM</v>
      </c>
      <c r="Y216" s="20" t="str">
        <f ca="1">Master_List!$AW$11</f>
        <v>HERMETICALLY SEAL</v>
      </c>
      <c r="Z216" s="20" t="str">
        <f ca="1">Master_List!$AW$12</f>
        <v>750kVA</v>
      </c>
      <c r="AA216" s="20" t="str">
        <f ca="1">Master_List!$AW$13</f>
        <v>1317</v>
      </c>
      <c r="AB216" s="20">
        <f ca="1">Master_List!$AW$14</f>
        <v>0</v>
      </c>
      <c r="AC216" s="20">
        <f ca="1">Master_List!$AW$15</f>
        <v>0</v>
      </c>
      <c r="AD216" s="20">
        <f ca="1">Master_List!$AW$16</f>
        <v>0</v>
      </c>
      <c r="AE216" s="20">
        <f ca="1">Master_List!$AW$17</f>
        <v>0</v>
      </c>
      <c r="AF216" s="20" t="str">
        <f ca="1">Master_List!$AW$18</f>
        <v>INDKOM</v>
      </c>
      <c r="AG216" s="20" t="str">
        <f ca="1">Master_List!$AW$19</f>
        <v>J-SLOTTED</v>
      </c>
      <c r="AH216" s="20" t="str">
        <f ca="1">Master_List!$AW$20</f>
        <v>1600A</v>
      </c>
      <c r="AI216" s="20" t="str">
        <f ca="1">Master_List!$AW$21</f>
        <v>LV5080090</v>
      </c>
      <c r="AJ216" s="20" t="str">
        <f ca="1">Master_List!$AW$22</f>
        <v>LVDB TX1</v>
      </c>
      <c r="AK216" s="20">
        <f ca="1">Master_List!$AW$23</f>
        <v>0</v>
      </c>
      <c r="AL216" s="20">
        <f ca="1">Master_List!$AW$24</f>
        <v>0</v>
      </c>
      <c r="AM216" s="20">
        <f ca="1">Master_List!$AW$25</f>
        <v>0</v>
      </c>
      <c r="AN216" s="20">
        <f ca="1">Master_List!$AW$26</f>
        <v>0</v>
      </c>
      <c r="AO216" s="20" t="str">
        <f ca="1">Master_List!$AW$27</f>
        <v>LVDB TX2</v>
      </c>
      <c r="AP216" s="20" t="str">
        <f ca="1">Master_List!$AW$28</f>
        <v>SUNPOWER TECHNOLOGIES</v>
      </c>
      <c r="AQ216" s="20" t="str">
        <f ca="1">Master_List!$AW$29</f>
        <v>SPS 30-10 L</v>
      </c>
      <c r="AR216" s="20" t="str">
        <f ca="1">Master_List!$AW$30</f>
        <v>11193-8527</v>
      </c>
      <c r="AS216" s="20">
        <f ca="1">Master_List!$AW$31</f>
        <v>0</v>
      </c>
      <c r="AT216" s="20">
        <f ca="1">Master_List!$AW$32</f>
        <v>0</v>
      </c>
      <c r="AU216" s="20">
        <f ca="1">Master_List!$AW$33</f>
        <v>0</v>
      </c>
      <c r="AV216" s="20">
        <f ca="1">Master_List!$AW$34</f>
        <v>0</v>
      </c>
      <c r="AW216" s="20">
        <f ca="1">Master_List!$AW$35</f>
        <v>0</v>
      </c>
      <c r="AX216" s="20">
        <f ca="1">Master_List!$AW$36</f>
        <v>0</v>
      </c>
      <c r="AY216" s="20">
        <f ca="1">Master_List!$AW$37</f>
        <v>0</v>
      </c>
      <c r="AZ216" s="20">
        <f ca="1">Master_List!$AW$38</f>
        <v>0</v>
      </c>
      <c r="BA216" s="20">
        <f ca="1">Master_List!$AW$39</f>
        <v>0</v>
      </c>
      <c r="BB216" s="20" t="s">
        <v>2240</v>
      </c>
      <c r="BC216" s="20" t="s">
        <v>2241</v>
      </c>
      <c r="BD216" s="6" t="s">
        <v>1744</v>
      </c>
      <c r="BE216" s="6" t="s">
        <v>1858</v>
      </c>
      <c r="BF216" s="6" t="s">
        <v>1746</v>
      </c>
      <c r="BG216" s="6" t="str">
        <f t="shared" si="3"/>
        <v>C:\Users\aremi\Desktop\REPORT CBM\PO 42289580 - Pahang 11kV SECOND CYCLE AZZAD 2026\RAW MATERIAL\047. TNB BARU (IR+VI)\RAW DATA\IR</v>
      </c>
      <c r="BH216" s="24" t="s">
        <v>752</v>
      </c>
    </row>
    <row r="217" spans="1:60" ht="30" customHeight="1" x14ac:dyDescent="0.25">
      <c r="A217" s="6">
        <v>108</v>
      </c>
      <c r="B217" s="6" t="s">
        <v>1588</v>
      </c>
      <c r="C217" s="6">
        <v>1</v>
      </c>
      <c r="D217" s="6" t="s">
        <v>2244</v>
      </c>
      <c r="E217" s="6">
        <v>108</v>
      </c>
      <c r="F217" s="6" t="str">
        <f ca="1">Master_List!$AW$1</f>
        <v>PERPUSTAKAAN PUSAT</v>
      </c>
      <c r="G217" s="27" t="str">
        <f ca="1">Master_List!$AW$2</f>
        <v>09:30 PM</v>
      </c>
      <c r="H217" s="32" t="str">
        <f ca="1">Master_List!$AW$3</f>
        <v>20/07/2026</v>
      </c>
      <c r="I217" s="28" t="str">
        <f ca="1">Master_List!$AW$4</f>
        <v>28.5</v>
      </c>
      <c r="J217" s="6" t="str">
        <f ca="1">Master_List!$AW$5</f>
        <v>65</v>
      </c>
      <c r="K217" s="6" t="s">
        <v>591</v>
      </c>
      <c r="L217" s="21" t="str">
        <f ca="1">IFERROR(VLOOKUP(B217, Master_List!$A:$I, 2, FALSE), "-")</f>
        <v/>
      </c>
      <c r="M217" s="22" t="str">
        <f ca="1">IFERROR(VLOOKUP(B217, Master_List!$A:$I, 3, FALSE), "-")</f>
        <v/>
      </c>
      <c r="N217" s="22" t="str">
        <f ca="1">IFERROR(VLOOKUP(B217, Master_List!$A:$I, 4, FALSE), "-")</f>
        <v/>
      </c>
      <c r="O217" s="22" t="str">
        <f ca="1">IFERROR(VLOOKUP(B217, Master_List!$A:$I, 5, FALSE), "-")</f>
        <v/>
      </c>
      <c r="P217" s="22" t="str">
        <f ca="1">IFERROR(VLOOKUP(B217, Master_List!$A:$I, 6, FALSE), "-")</f>
        <v/>
      </c>
      <c r="Q217" s="22" t="str">
        <f ca="1">IFERROR(VLOOKUP(B217, Master_List!$A:$I, 7, FALSE), "-")</f>
        <v/>
      </c>
      <c r="R217" s="22" t="str">
        <f ca="1">IFERROR(VLOOKUP(B217, Master_List!$A:$I, 8, FALSE), "-")</f>
        <v/>
      </c>
      <c r="S217" s="22" t="str">
        <f ca="1">IFERROR(VLOOKUP(B217, Master_List!$A:$I, 9, FALSE), "-")</f>
        <v/>
      </c>
      <c r="T217" s="20" t="str">
        <f ca="1">Master_List!$AW$6</f>
        <v>TOSHIBA</v>
      </c>
      <c r="U217" s="20" t="str">
        <f ca="1">Master_List!$AW$7</f>
        <v>MRMU</v>
      </c>
      <c r="V217" s="20" t="str">
        <f ca="1">Master_List!$AW$8</f>
        <v>12kV</v>
      </c>
      <c r="W217" s="20" t="str">
        <f ca="1">Master_List!$AW$9</f>
        <v>2S1F</v>
      </c>
      <c r="X217" s="20" t="str">
        <f ca="1">Master_List!$AW$10</f>
        <v>MTM</v>
      </c>
      <c r="Y217" s="20" t="str">
        <f ca="1">Master_List!$AW$11</f>
        <v>HERMETICALLY SEAL</v>
      </c>
      <c r="Z217" s="20" t="str">
        <f ca="1">Master_List!$AW$12</f>
        <v>750kVA</v>
      </c>
      <c r="AA217" s="20" t="str">
        <f ca="1">Master_List!$AW$13</f>
        <v>1317</v>
      </c>
      <c r="AB217" s="20">
        <f ca="1">Master_List!$AW$14</f>
        <v>0</v>
      </c>
      <c r="AC217" s="20">
        <f ca="1">Master_List!$AW$15</f>
        <v>0</v>
      </c>
      <c r="AD217" s="20">
        <f ca="1">Master_List!$AW$16</f>
        <v>0</v>
      </c>
      <c r="AE217" s="20">
        <f ca="1">Master_List!$AW$17</f>
        <v>0</v>
      </c>
      <c r="AF217" s="20" t="str">
        <f ca="1">Master_List!$AW$18</f>
        <v>INDKOM</v>
      </c>
      <c r="AG217" s="20" t="str">
        <f ca="1">Master_List!$AW$19</f>
        <v>J-SLOTTED</v>
      </c>
      <c r="AH217" s="20" t="str">
        <f ca="1">Master_List!$AW$20</f>
        <v>1600A</v>
      </c>
      <c r="AI217" s="20" t="str">
        <f ca="1">Master_List!$AW$21</f>
        <v>LV5080090</v>
      </c>
      <c r="AJ217" s="20" t="str">
        <f ca="1">Master_List!$AW$22</f>
        <v>LVDB TX1</v>
      </c>
      <c r="AK217" s="20">
        <f ca="1">Master_List!$AW$23</f>
        <v>0</v>
      </c>
      <c r="AL217" s="20">
        <f ca="1">Master_List!$AW$24</f>
        <v>0</v>
      </c>
      <c r="AM217" s="20">
        <f ca="1">Master_List!$AW$25</f>
        <v>0</v>
      </c>
      <c r="AN217" s="20">
        <f ca="1">Master_List!$AW$26</f>
        <v>0</v>
      </c>
      <c r="AO217" s="20" t="str">
        <f ca="1">Master_List!$AW$27</f>
        <v>LVDB TX2</v>
      </c>
      <c r="AP217" s="20" t="str">
        <f ca="1">Master_List!$AW$28</f>
        <v>SUNPOWER TECHNOLOGIES</v>
      </c>
      <c r="AQ217" s="20" t="str">
        <f ca="1">Master_List!$AW$29</f>
        <v>SPS 30-10 L</v>
      </c>
      <c r="AR217" s="20" t="str">
        <f ca="1">Master_List!$AW$30</f>
        <v>11193-8527</v>
      </c>
      <c r="AS217" s="20">
        <f ca="1">Master_List!$AW$31</f>
        <v>0</v>
      </c>
      <c r="AT217" s="20">
        <f ca="1">Master_List!$AW$32</f>
        <v>0</v>
      </c>
      <c r="AU217" s="20">
        <f ca="1">Master_List!$AW$33</f>
        <v>0</v>
      </c>
      <c r="AV217" s="20">
        <f ca="1">Master_List!$AW$34</f>
        <v>0</v>
      </c>
      <c r="AW217" s="20">
        <f ca="1">Master_List!$AW$35</f>
        <v>0</v>
      </c>
      <c r="AX217" s="20">
        <f ca="1">Master_List!$AW$36</f>
        <v>0</v>
      </c>
      <c r="AY217" s="20">
        <f ca="1">Master_List!$AW$37</f>
        <v>0</v>
      </c>
      <c r="AZ217" s="20">
        <f ca="1">Master_List!$AW$38</f>
        <v>0</v>
      </c>
      <c r="BA217" s="20">
        <f ca="1">Master_List!$AW$39</f>
        <v>0</v>
      </c>
      <c r="BB217" s="20" t="s">
        <v>2240</v>
      </c>
      <c r="BC217" s="20" t="s">
        <v>2241</v>
      </c>
      <c r="BD217" s="6" t="s">
        <v>1744</v>
      </c>
      <c r="BE217" s="6" t="s">
        <v>1858</v>
      </c>
      <c r="BF217" s="6" t="s">
        <v>1748</v>
      </c>
      <c r="BG217" s="6" t="str">
        <f t="shared" si="3"/>
        <v>C:\Users\aremi\Desktop\REPORT CBM\PO 42289580 - Pahang 11kV SECOND CYCLE AZZAD 2026\RAW MATERIAL\047. TNB BARU (IR+VI)\RAW DATA\IR</v>
      </c>
      <c r="BH217" s="24" t="s">
        <v>753</v>
      </c>
    </row>
    <row r="218" spans="1:60" ht="30" customHeight="1" x14ac:dyDescent="0.25">
      <c r="A218" s="6">
        <v>109</v>
      </c>
      <c r="B218" s="6" t="s">
        <v>1589</v>
      </c>
      <c r="C218" s="6">
        <v>1</v>
      </c>
      <c r="D218" s="6" t="s">
        <v>2242</v>
      </c>
      <c r="E218" s="6">
        <v>109</v>
      </c>
      <c r="F218" s="6" t="str">
        <f ca="1">Master_List!$AW$1</f>
        <v>PERPUSTAKAAN PUSAT</v>
      </c>
      <c r="G218" s="27" t="str">
        <f ca="1">Master_List!$AW$2</f>
        <v>09:30 PM</v>
      </c>
      <c r="H218" s="32" t="str">
        <f ca="1">Master_List!$AW$3</f>
        <v>20/07/2026</v>
      </c>
      <c r="I218" s="28" t="str">
        <f ca="1">Master_List!$AW$4</f>
        <v>28.5</v>
      </c>
      <c r="J218" s="6" t="str">
        <f ca="1">Master_List!$AW$5</f>
        <v>65</v>
      </c>
      <c r="K218" s="6" t="s">
        <v>570</v>
      </c>
      <c r="L218" s="21" t="str">
        <f ca="1">IFERROR(VLOOKUP(B218, Master_List!$A:$I, 2, FALSE), "-")</f>
        <v/>
      </c>
      <c r="M218" s="22" t="str">
        <f ca="1">IFERROR(VLOOKUP(B218, Master_List!$A:$I, 3, FALSE), "-")</f>
        <v/>
      </c>
      <c r="N218" s="22" t="str">
        <f ca="1">IFERROR(VLOOKUP(B218, Master_List!$A:$I, 4, FALSE), "-")</f>
        <v/>
      </c>
      <c r="O218" s="22" t="str">
        <f ca="1">IFERROR(VLOOKUP(B218, Master_List!$A:$I, 5, FALSE), "-")</f>
        <v/>
      </c>
      <c r="P218" s="22" t="str">
        <f ca="1">IFERROR(VLOOKUP(B218, Master_List!$A:$I, 6, FALSE), "-")</f>
        <v/>
      </c>
      <c r="Q218" s="22" t="str">
        <f ca="1">IFERROR(VLOOKUP(B218, Master_List!$A:$I, 7, FALSE), "-")</f>
        <v/>
      </c>
      <c r="R218" s="22" t="str">
        <f ca="1">IFERROR(VLOOKUP(B218, Master_List!$A:$I, 8, FALSE), "-")</f>
        <v/>
      </c>
      <c r="S218" s="22" t="str">
        <f ca="1">IFERROR(VLOOKUP(B218, Master_List!$A:$I, 9, FALSE), "-")</f>
        <v/>
      </c>
      <c r="T218" s="20" t="str">
        <f ca="1">Master_List!$AW$6</f>
        <v>TOSHIBA</v>
      </c>
      <c r="U218" s="20" t="str">
        <f ca="1">Master_List!$AW$7</f>
        <v>MRMU</v>
      </c>
      <c r="V218" s="20" t="str">
        <f ca="1">Master_List!$AW$8</f>
        <v>12kV</v>
      </c>
      <c r="W218" s="20" t="str">
        <f ca="1">Master_List!$AW$9</f>
        <v>2S1F</v>
      </c>
      <c r="X218" s="20" t="str">
        <f ca="1">Master_List!$AW$10</f>
        <v>MTM</v>
      </c>
      <c r="Y218" s="20" t="str">
        <f ca="1">Master_List!$AW$11</f>
        <v>HERMETICALLY SEAL</v>
      </c>
      <c r="Z218" s="20" t="str">
        <f ca="1">Master_List!$AW$12</f>
        <v>750kVA</v>
      </c>
      <c r="AA218" s="20" t="str">
        <f ca="1">Master_List!$AW$13</f>
        <v>1317</v>
      </c>
      <c r="AB218" s="20">
        <f ca="1">Master_List!$AW$14</f>
        <v>0</v>
      </c>
      <c r="AC218" s="20">
        <f ca="1">Master_List!$AW$15</f>
        <v>0</v>
      </c>
      <c r="AD218" s="20">
        <f ca="1">Master_List!$AW$16</f>
        <v>0</v>
      </c>
      <c r="AE218" s="20">
        <f ca="1">Master_List!$AW$17</f>
        <v>0</v>
      </c>
      <c r="AF218" s="20" t="str">
        <f ca="1">Master_List!$AW$18</f>
        <v>INDKOM</v>
      </c>
      <c r="AG218" s="20" t="str">
        <f ca="1">Master_List!$AW$19</f>
        <v>J-SLOTTED</v>
      </c>
      <c r="AH218" s="20" t="str">
        <f ca="1">Master_List!$AW$20</f>
        <v>1600A</v>
      </c>
      <c r="AI218" s="20" t="str">
        <f ca="1">Master_List!$AW$21</f>
        <v>LV5080090</v>
      </c>
      <c r="AJ218" s="20" t="str">
        <f ca="1">Master_List!$AW$22</f>
        <v>LVDB TX1</v>
      </c>
      <c r="AK218" s="20">
        <f ca="1">Master_List!$AW$23</f>
        <v>0</v>
      </c>
      <c r="AL218" s="20">
        <f ca="1">Master_List!$AW$24</f>
        <v>0</v>
      </c>
      <c r="AM218" s="20">
        <f ca="1">Master_List!$AW$25</f>
        <v>0</v>
      </c>
      <c r="AN218" s="20">
        <f ca="1">Master_List!$AW$26</f>
        <v>0</v>
      </c>
      <c r="AO218" s="20" t="str">
        <f ca="1">Master_List!$AW$27</f>
        <v>LVDB TX2</v>
      </c>
      <c r="AP218" s="20" t="str">
        <f ca="1">Master_List!$AW$28</f>
        <v>SUNPOWER TECHNOLOGIES</v>
      </c>
      <c r="AQ218" s="20" t="str">
        <f ca="1">Master_List!$AW$29</f>
        <v>SPS 30-10 L</v>
      </c>
      <c r="AR218" s="20" t="str">
        <f ca="1">Master_List!$AW$30</f>
        <v>11193-8527</v>
      </c>
      <c r="AS218" s="20">
        <f ca="1">Master_List!$AW$31</f>
        <v>0</v>
      </c>
      <c r="AT218" s="20">
        <f ca="1">Master_List!$AW$32</f>
        <v>0</v>
      </c>
      <c r="AU218" s="20">
        <f ca="1">Master_List!$AW$33</f>
        <v>0</v>
      </c>
      <c r="AV218" s="20">
        <f ca="1">Master_List!$AW$34</f>
        <v>0</v>
      </c>
      <c r="AW218" s="20">
        <f ca="1">Master_List!$AW$35</f>
        <v>0</v>
      </c>
      <c r="AX218" s="20">
        <f ca="1">Master_List!$AW$36</f>
        <v>0</v>
      </c>
      <c r="AY218" s="20">
        <f ca="1">Master_List!$AW$37</f>
        <v>0</v>
      </c>
      <c r="AZ218" s="20">
        <f ca="1">Master_List!$AW$38</f>
        <v>0</v>
      </c>
      <c r="BA218" s="20">
        <f ca="1">Master_List!$AW$39</f>
        <v>0</v>
      </c>
      <c r="BB218" s="20" t="s">
        <v>2240</v>
      </c>
      <c r="BC218" s="20" t="s">
        <v>2241</v>
      </c>
      <c r="BD218" s="6" t="s">
        <v>1744</v>
      </c>
      <c r="BE218" s="6" t="s">
        <v>1859</v>
      </c>
      <c r="BF218" s="6" t="s">
        <v>1746</v>
      </c>
      <c r="BG218" s="6" t="str">
        <f t="shared" si="3"/>
        <v>C:\Users\aremi\Desktop\REPORT CBM\PO 42289580 - Pahang 11kV SECOND CYCLE AZZAD 2026\RAW MATERIAL\047. TNB BARU (IR+VI)\RAW DATA\IR</v>
      </c>
      <c r="BH218" s="24" t="s">
        <v>754</v>
      </c>
    </row>
    <row r="219" spans="1:60" ht="30" customHeight="1" x14ac:dyDescent="0.25">
      <c r="A219" s="6">
        <v>109</v>
      </c>
      <c r="B219" s="6" t="s">
        <v>1589</v>
      </c>
      <c r="C219" s="6">
        <v>1</v>
      </c>
      <c r="D219" s="6" t="s">
        <v>2242</v>
      </c>
      <c r="E219" s="6">
        <v>109</v>
      </c>
      <c r="F219" s="6" t="str">
        <f ca="1">Master_List!$AW$1</f>
        <v>PERPUSTAKAAN PUSAT</v>
      </c>
      <c r="G219" s="27" t="str">
        <f ca="1">Master_List!$AW$2</f>
        <v>09:30 PM</v>
      </c>
      <c r="H219" s="32" t="str">
        <f ca="1">Master_List!$AW$3</f>
        <v>20/07/2026</v>
      </c>
      <c r="I219" s="28" t="str">
        <f ca="1">Master_List!$AW$4</f>
        <v>28.5</v>
      </c>
      <c r="J219" s="6" t="str">
        <f ca="1">Master_List!$AW$5</f>
        <v>65</v>
      </c>
      <c r="K219" s="6" t="s">
        <v>570</v>
      </c>
      <c r="L219" s="21" t="str">
        <f ca="1">IFERROR(VLOOKUP(B219, Master_List!$A:$I, 2, FALSE), "-")</f>
        <v/>
      </c>
      <c r="M219" s="22" t="str">
        <f ca="1">IFERROR(VLOOKUP(B219, Master_List!$A:$I, 3, FALSE), "-")</f>
        <v/>
      </c>
      <c r="N219" s="22" t="str">
        <f ca="1">IFERROR(VLOOKUP(B219, Master_List!$A:$I, 4, FALSE), "-")</f>
        <v/>
      </c>
      <c r="O219" s="22" t="str">
        <f ca="1">IFERROR(VLOOKUP(B219, Master_List!$A:$I, 5, FALSE), "-")</f>
        <v/>
      </c>
      <c r="P219" s="22" t="str">
        <f ca="1">IFERROR(VLOOKUP(B219, Master_List!$A:$I, 6, FALSE), "-")</f>
        <v/>
      </c>
      <c r="Q219" s="22" t="str">
        <f ca="1">IFERROR(VLOOKUP(B219, Master_List!$A:$I, 7, FALSE), "-")</f>
        <v/>
      </c>
      <c r="R219" s="22" t="str">
        <f ca="1">IFERROR(VLOOKUP(B219, Master_List!$A:$I, 8, FALSE), "-")</f>
        <v/>
      </c>
      <c r="S219" s="22" t="str">
        <f ca="1">IFERROR(VLOOKUP(B219, Master_List!$A:$I, 9, FALSE), "-")</f>
        <v/>
      </c>
      <c r="T219" s="20" t="str">
        <f ca="1">Master_List!$AW$6</f>
        <v>TOSHIBA</v>
      </c>
      <c r="U219" s="20" t="str">
        <f ca="1">Master_List!$AW$7</f>
        <v>MRMU</v>
      </c>
      <c r="V219" s="20" t="str">
        <f ca="1">Master_List!$AW$8</f>
        <v>12kV</v>
      </c>
      <c r="W219" s="20" t="str">
        <f ca="1">Master_List!$AW$9</f>
        <v>2S1F</v>
      </c>
      <c r="X219" s="20" t="str">
        <f ca="1">Master_List!$AW$10</f>
        <v>MTM</v>
      </c>
      <c r="Y219" s="20" t="str">
        <f ca="1">Master_List!$AW$11</f>
        <v>HERMETICALLY SEAL</v>
      </c>
      <c r="Z219" s="20" t="str">
        <f ca="1">Master_List!$AW$12</f>
        <v>750kVA</v>
      </c>
      <c r="AA219" s="20" t="str">
        <f ca="1">Master_List!$AW$13</f>
        <v>1317</v>
      </c>
      <c r="AB219" s="20">
        <f ca="1">Master_List!$AW$14</f>
        <v>0</v>
      </c>
      <c r="AC219" s="20">
        <f ca="1">Master_List!$AW$15</f>
        <v>0</v>
      </c>
      <c r="AD219" s="20">
        <f ca="1">Master_List!$AW$16</f>
        <v>0</v>
      </c>
      <c r="AE219" s="20">
        <f ca="1">Master_List!$AW$17</f>
        <v>0</v>
      </c>
      <c r="AF219" s="20" t="str">
        <f ca="1">Master_List!$AW$18</f>
        <v>INDKOM</v>
      </c>
      <c r="AG219" s="20" t="str">
        <f ca="1">Master_List!$AW$19</f>
        <v>J-SLOTTED</v>
      </c>
      <c r="AH219" s="20" t="str">
        <f ca="1">Master_List!$AW$20</f>
        <v>1600A</v>
      </c>
      <c r="AI219" s="20" t="str">
        <f ca="1">Master_List!$AW$21</f>
        <v>LV5080090</v>
      </c>
      <c r="AJ219" s="20" t="str">
        <f ca="1">Master_List!$AW$22</f>
        <v>LVDB TX1</v>
      </c>
      <c r="AK219" s="20">
        <f ca="1">Master_List!$AW$23</f>
        <v>0</v>
      </c>
      <c r="AL219" s="20">
        <f ca="1">Master_List!$AW$24</f>
        <v>0</v>
      </c>
      <c r="AM219" s="20">
        <f ca="1">Master_List!$AW$25</f>
        <v>0</v>
      </c>
      <c r="AN219" s="20">
        <f ca="1">Master_List!$AW$26</f>
        <v>0</v>
      </c>
      <c r="AO219" s="20" t="str">
        <f ca="1">Master_List!$AW$27</f>
        <v>LVDB TX2</v>
      </c>
      <c r="AP219" s="20" t="str">
        <f ca="1">Master_List!$AW$28</f>
        <v>SUNPOWER TECHNOLOGIES</v>
      </c>
      <c r="AQ219" s="20" t="str">
        <f ca="1">Master_List!$AW$29</f>
        <v>SPS 30-10 L</v>
      </c>
      <c r="AR219" s="20" t="str">
        <f ca="1">Master_List!$AW$30</f>
        <v>11193-8527</v>
      </c>
      <c r="AS219" s="20">
        <f ca="1">Master_List!$AW$31</f>
        <v>0</v>
      </c>
      <c r="AT219" s="20">
        <f ca="1">Master_List!$AW$32</f>
        <v>0</v>
      </c>
      <c r="AU219" s="20">
        <f ca="1">Master_List!$AW$33</f>
        <v>0</v>
      </c>
      <c r="AV219" s="20">
        <f ca="1">Master_List!$AW$34</f>
        <v>0</v>
      </c>
      <c r="AW219" s="20">
        <f ca="1">Master_List!$AW$35</f>
        <v>0</v>
      </c>
      <c r="AX219" s="20">
        <f ca="1">Master_List!$AW$36</f>
        <v>0</v>
      </c>
      <c r="AY219" s="20">
        <f ca="1">Master_List!$AW$37</f>
        <v>0</v>
      </c>
      <c r="AZ219" s="20">
        <f ca="1">Master_List!$AW$38</f>
        <v>0</v>
      </c>
      <c r="BA219" s="20">
        <f ca="1">Master_List!$AW$39</f>
        <v>0</v>
      </c>
      <c r="BB219" s="20" t="s">
        <v>2240</v>
      </c>
      <c r="BC219" s="20" t="s">
        <v>2241</v>
      </c>
      <c r="BD219" s="6" t="s">
        <v>1744</v>
      </c>
      <c r="BE219" s="6" t="s">
        <v>1859</v>
      </c>
      <c r="BF219" s="6" t="s">
        <v>1748</v>
      </c>
      <c r="BG219" s="6" t="str">
        <f t="shared" si="3"/>
        <v>C:\Users\aremi\Desktop\REPORT CBM\PO 42289580 - Pahang 11kV SECOND CYCLE AZZAD 2026\RAW MATERIAL\047. TNB BARU (IR+VI)\RAW DATA\IR</v>
      </c>
      <c r="BH219" s="24" t="s">
        <v>755</v>
      </c>
    </row>
    <row r="220" spans="1:60" ht="30" customHeight="1" x14ac:dyDescent="0.25">
      <c r="A220" s="6">
        <v>110</v>
      </c>
      <c r="B220" s="6" t="s">
        <v>1589</v>
      </c>
      <c r="C220" s="6">
        <v>1</v>
      </c>
      <c r="D220" s="6" t="s">
        <v>2242</v>
      </c>
      <c r="E220" s="6">
        <v>110</v>
      </c>
      <c r="F220" s="6" t="str">
        <f ca="1">Master_List!$AW$1</f>
        <v>PERPUSTAKAAN PUSAT</v>
      </c>
      <c r="G220" s="27" t="str">
        <f ca="1">Master_List!$AW$2</f>
        <v>09:30 PM</v>
      </c>
      <c r="H220" s="32" t="str">
        <f ca="1">Master_List!$AW$3</f>
        <v>20/07/2026</v>
      </c>
      <c r="I220" s="28" t="str">
        <f ca="1">Master_List!$AW$4</f>
        <v>28.5</v>
      </c>
      <c r="J220" s="6" t="str">
        <f ca="1">Master_List!$AW$5</f>
        <v>65</v>
      </c>
      <c r="K220" s="6" t="s">
        <v>573</v>
      </c>
      <c r="L220" s="21" t="str">
        <f ca="1">IFERROR(VLOOKUP(B220, Master_List!$A:$I, 2, FALSE), "-")</f>
        <v/>
      </c>
      <c r="M220" s="22" t="str">
        <f ca="1">IFERROR(VLOOKUP(B220, Master_List!$A:$I, 3, FALSE), "-")</f>
        <v/>
      </c>
      <c r="N220" s="22" t="str">
        <f ca="1">IFERROR(VLOOKUP(B220, Master_List!$A:$I, 4, FALSE), "-")</f>
        <v/>
      </c>
      <c r="O220" s="22" t="str">
        <f ca="1">IFERROR(VLOOKUP(B220, Master_List!$A:$I, 5, FALSE), "-")</f>
        <v/>
      </c>
      <c r="P220" s="22" t="str">
        <f ca="1">IFERROR(VLOOKUP(B220, Master_List!$A:$I, 6, FALSE), "-")</f>
        <v/>
      </c>
      <c r="Q220" s="22" t="str">
        <f ca="1">IFERROR(VLOOKUP(B220, Master_List!$A:$I, 7, FALSE), "-")</f>
        <v/>
      </c>
      <c r="R220" s="22" t="str">
        <f ca="1">IFERROR(VLOOKUP(B220, Master_List!$A:$I, 8, FALSE), "-")</f>
        <v/>
      </c>
      <c r="S220" s="22" t="str">
        <f ca="1">IFERROR(VLOOKUP(B220, Master_List!$A:$I, 9, FALSE), "-")</f>
        <v/>
      </c>
      <c r="T220" s="20" t="str">
        <f ca="1">Master_List!$AW$6</f>
        <v>TOSHIBA</v>
      </c>
      <c r="U220" s="20" t="str">
        <f ca="1">Master_List!$AW$7</f>
        <v>MRMU</v>
      </c>
      <c r="V220" s="20" t="str">
        <f ca="1">Master_List!$AW$8</f>
        <v>12kV</v>
      </c>
      <c r="W220" s="20" t="str">
        <f ca="1">Master_List!$AW$9</f>
        <v>2S1F</v>
      </c>
      <c r="X220" s="20" t="str">
        <f ca="1">Master_List!$AW$10</f>
        <v>MTM</v>
      </c>
      <c r="Y220" s="20" t="str">
        <f ca="1">Master_List!$AW$11</f>
        <v>HERMETICALLY SEAL</v>
      </c>
      <c r="Z220" s="20" t="str">
        <f ca="1">Master_List!$AW$12</f>
        <v>750kVA</v>
      </c>
      <c r="AA220" s="20" t="str">
        <f ca="1">Master_List!$AW$13</f>
        <v>1317</v>
      </c>
      <c r="AB220" s="20">
        <f ca="1">Master_List!$AW$14</f>
        <v>0</v>
      </c>
      <c r="AC220" s="20">
        <f ca="1">Master_List!$AW$15</f>
        <v>0</v>
      </c>
      <c r="AD220" s="20">
        <f ca="1">Master_List!$AW$16</f>
        <v>0</v>
      </c>
      <c r="AE220" s="20">
        <f ca="1">Master_List!$AW$17</f>
        <v>0</v>
      </c>
      <c r="AF220" s="20" t="str">
        <f ca="1">Master_List!$AW$18</f>
        <v>INDKOM</v>
      </c>
      <c r="AG220" s="20" t="str">
        <f ca="1">Master_List!$AW$19</f>
        <v>J-SLOTTED</v>
      </c>
      <c r="AH220" s="20" t="str">
        <f ca="1">Master_List!$AW$20</f>
        <v>1600A</v>
      </c>
      <c r="AI220" s="20" t="str">
        <f ca="1">Master_List!$AW$21</f>
        <v>LV5080090</v>
      </c>
      <c r="AJ220" s="20" t="str">
        <f ca="1">Master_List!$AW$22</f>
        <v>LVDB TX1</v>
      </c>
      <c r="AK220" s="20">
        <f ca="1">Master_List!$AW$23</f>
        <v>0</v>
      </c>
      <c r="AL220" s="20">
        <f ca="1">Master_List!$AW$24</f>
        <v>0</v>
      </c>
      <c r="AM220" s="20">
        <f ca="1">Master_List!$AW$25</f>
        <v>0</v>
      </c>
      <c r="AN220" s="20">
        <f ca="1">Master_List!$AW$26</f>
        <v>0</v>
      </c>
      <c r="AO220" s="20" t="str">
        <f ca="1">Master_List!$AW$27</f>
        <v>LVDB TX2</v>
      </c>
      <c r="AP220" s="20" t="str">
        <f ca="1">Master_List!$AW$28</f>
        <v>SUNPOWER TECHNOLOGIES</v>
      </c>
      <c r="AQ220" s="20" t="str">
        <f ca="1">Master_List!$AW$29</f>
        <v>SPS 30-10 L</v>
      </c>
      <c r="AR220" s="20" t="str">
        <f ca="1">Master_List!$AW$30</f>
        <v>11193-8527</v>
      </c>
      <c r="AS220" s="20">
        <f ca="1">Master_List!$AW$31</f>
        <v>0</v>
      </c>
      <c r="AT220" s="20">
        <f ca="1">Master_List!$AW$32</f>
        <v>0</v>
      </c>
      <c r="AU220" s="20">
        <f ca="1">Master_List!$AW$33</f>
        <v>0</v>
      </c>
      <c r="AV220" s="20">
        <f ca="1">Master_List!$AW$34</f>
        <v>0</v>
      </c>
      <c r="AW220" s="20">
        <f ca="1">Master_List!$AW$35</f>
        <v>0</v>
      </c>
      <c r="AX220" s="20">
        <f ca="1">Master_List!$AW$36</f>
        <v>0</v>
      </c>
      <c r="AY220" s="20">
        <f ca="1">Master_List!$AW$37</f>
        <v>0</v>
      </c>
      <c r="AZ220" s="20">
        <f ca="1">Master_List!$AW$38</f>
        <v>0</v>
      </c>
      <c r="BA220" s="20">
        <f ca="1">Master_List!$AW$39</f>
        <v>0</v>
      </c>
      <c r="BB220" s="20" t="s">
        <v>2240</v>
      </c>
      <c r="BC220" s="20" t="s">
        <v>2241</v>
      </c>
      <c r="BD220" s="6" t="s">
        <v>1744</v>
      </c>
      <c r="BE220" s="6" t="s">
        <v>1860</v>
      </c>
      <c r="BF220" s="6" t="s">
        <v>1746</v>
      </c>
      <c r="BG220" s="6" t="str">
        <f t="shared" si="3"/>
        <v>C:\Users\aremi\Desktop\REPORT CBM\PO 42289580 - Pahang 11kV SECOND CYCLE AZZAD 2026\RAW MATERIAL\047. TNB BARU (IR+VI)\RAW DATA\IR</v>
      </c>
      <c r="BH220" s="24" t="s">
        <v>756</v>
      </c>
    </row>
    <row r="221" spans="1:60" ht="30" customHeight="1" x14ac:dyDescent="0.25">
      <c r="A221" s="6">
        <v>110</v>
      </c>
      <c r="B221" s="6" t="s">
        <v>1589</v>
      </c>
      <c r="C221" s="6">
        <v>1</v>
      </c>
      <c r="D221" s="6" t="s">
        <v>2242</v>
      </c>
      <c r="E221" s="6">
        <v>110</v>
      </c>
      <c r="F221" s="6" t="str">
        <f ca="1">Master_List!$AW$1</f>
        <v>PERPUSTAKAAN PUSAT</v>
      </c>
      <c r="G221" s="27" t="str">
        <f ca="1">Master_List!$AW$2</f>
        <v>09:30 PM</v>
      </c>
      <c r="H221" s="32" t="str">
        <f ca="1">Master_List!$AW$3</f>
        <v>20/07/2026</v>
      </c>
      <c r="I221" s="28" t="str">
        <f ca="1">Master_List!$AW$4</f>
        <v>28.5</v>
      </c>
      <c r="J221" s="6" t="str">
        <f ca="1">Master_List!$AW$5</f>
        <v>65</v>
      </c>
      <c r="K221" s="6" t="s">
        <v>573</v>
      </c>
      <c r="L221" s="21" t="str">
        <f ca="1">IFERROR(VLOOKUP(B221, Master_List!$A:$I, 2, FALSE), "-")</f>
        <v/>
      </c>
      <c r="M221" s="22" t="str">
        <f ca="1">IFERROR(VLOOKUP(B221, Master_List!$A:$I, 3, FALSE), "-")</f>
        <v/>
      </c>
      <c r="N221" s="22" t="str">
        <f ca="1">IFERROR(VLOOKUP(B221, Master_List!$A:$I, 4, FALSE), "-")</f>
        <v/>
      </c>
      <c r="O221" s="22" t="str">
        <f ca="1">IFERROR(VLOOKUP(B221, Master_List!$A:$I, 5, FALSE), "-")</f>
        <v/>
      </c>
      <c r="P221" s="22" t="str">
        <f ca="1">IFERROR(VLOOKUP(B221, Master_List!$A:$I, 6, FALSE), "-")</f>
        <v/>
      </c>
      <c r="Q221" s="22" t="str">
        <f ca="1">IFERROR(VLOOKUP(B221, Master_List!$A:$I, 7, FALSE), "-")</f>
        <v/>
      </c>
      <c r="R221" s="22" t="str">
        <f ca="1">IFERROR(VLOOKUP(B221, Master_List!$A:$I, 8, FALSE), "-")</f>
        <v/>
      </c>
      <c r="S221" s="22" t="str">
        <f ca="1">IFERROR(VLOOKUP(B221, Master_List!$A:$I, 9, FALSE), "-")</f>
        <v/>
      </c>
      <c r="T221" s="20" t="str">
        <f ca="1">Master_List!$AW$6</f>
        <v>TOSHIBA</v>
      </c>
      <c r="U221" s="20" t="str">
        <f ca="1">Master_List!$AW$7</f>
        <v>MRMU</v>
      </c>
      <c r="V221" s="20" t="str">
        <f ca="1">Master_List!$AW$8</f>
        <v>12kV</v>
      </c>
      <c r="W221" s="20" t="str">
        <f ca="1">Master_List!$AW$9</f>
        <v>2S1F</v>
      </c>
      <c r="X221" s="20" t="str">
        <f ca="1">Master_List!$AW$10</f>
        <v>MTM</v>
      </c>
      <c r="Y221" s="20" t="str">
        <f ca="1">Master_List!$AW$11</f>
        <v>HERMETICALLY SEAL</v>
      </c>
      <c r="Z221" s="20" t="str">
        <f ca="1">Master_List!$AW$12</f>
        <v>750kVA</v>
      </c>
      <c r="AA221" s="20" t="str">
        <f ca="1">Master_List!$AW$13</f>
        <v>1317</v>
      </c>
      <c r="AB221" s="20">
        <f ca="1">Master_List!$AW$14</f>
        <v>0</v>
      </c>
      <c r="AC221" s="20">
        <f ca="1">Master_List!$AW$15</f>
        <v>0</v>
      </c>
      <c r="AD221" s="20">
        <f ca="1">Master_List!$AW$16</f>
        <v>0</v>
      </c>
      <c r="AE221" s="20">
        <f ca="1">Master_List!$AW$17</f>
        <v>0</v>
      </c>
      <c r="AF221" s="20" t="str">
        <f ca="1">Master_List!$AW$18</f>
        <v>INDKOM</v>
      </c>
      <c r="AG221" s="20" t="str">
        <f ca="1">Master_List!$AW$19</f>
        <v>J-SLOTTED</v>
      </c>
      <c r="AH221" s="20" t="str">
        <f ca="1">Master_List!$AW$20</f>
        <v>1600A</v>
      </c>
      <c r="AI221" s="20" t="str">
        <f ca="1">Master_List!$AW$21</f>
        <v>LV5080090</v>
      </c>
      <c r="AJ221" s="20" t="str">
        <f ca="1">Master_List!$AW$22</f>
        <v>LVDB TX1</v>
      </c>
      <c r="AK221" s="20">
        <f ca="1">Master_List!$AW$23</f>
        <v>0</v>
      </c>
      <c r="AL221" s="20">
        <f ca="1">Master_List!$AW$24</f>
        <v>0</v>
      </c>
      <c r="AM221" s="20">
        <f ca="1">Master_List!$AW$25</f>
        <v>0</v>
      </c>
      <c r="AN221" s="20">
        <f ca="1">Master_List!$AW$26</f>
        <v>0</v>
      </c>
      <c r="AO221" s="20" t="str">
        <f ca="1">Master_List!$AW$27</f>
        <v>LVDB TX2</v>
      </c>
      <c r="AP221" s="20" t="str">
        <f ca="1">Master_List!$AW$28</f>
        <v>SUNPOWER TECHNOLOGIES</v>
      </c>
      <c r="AQ221" s="20" t="str">
        <f ca="1">Master_List!$AW$29</f>
        <v>SPS 30-10 L</v>
      </c>
      <c r="AR221" s="20" t="str">
        <f ca="1">Master_List!$AW$30</f>
        <v>11193-8527</v>
      </c>
      <c r="AS221" s="20">
        <f ca="1">Master_List!$AW$31</f>
        <v>0</v>
      </c>
      <c r="AT221" s="20">
        <f ca="1">Master_List!$AW$32</f>
        <v>0</v>
      </c>
      <c r="AU221" s="20">
        <f ca="1">Master_List!$AW$33</f>
        <v>0</v>
      </c>
      <c r="AV221" s="20">
        <f ca="1">Master_List!$AW$34</f>
        <v>0</v>
      </c>
      <c r="AW221" s="20">
        <f ca="1">Master_List!$AW$35</f>
        <v>0</v>
      </c>
      <c r="AX221" s="20">
        <f ca="1">Master_List!$AW$36</f>
        <v>0</v>
      </c>
      <c r="AY221" s="20">
        <f ca="1">Master_List!$AW$37</f>
        <v>0</v>
      </c>
      <c r="AZ221" s="20">
        <f ca="1">Master_List!$AW$38</f>
        <v>0</v>
      </c>
      <c r="BA221" s="20">
        <f ca="1">Master_List!$AW$39</f>
        <v>0</v>
      </c>
      <c r="BB221" s="20" t="s">
        <v>2240</v>
      </c>
      <c r="BC221" s="20" t="s">
        <v>2241</v>
      </c>
      <c r="BD221" s="6" t="s">
        <v>1744</v>
      </c>
      <c r="BE221" s="6" t="s">
        <v>1860</v>
      </c>
      <c r="BF221" s="6" t="s">
        <v>1748</v>
      </c>
      <c r="BG221" s="6" t="str">
        <f t="shared" si="3"/>
        <v>C:\Users\aremi\Desktop\REPORT CBM\PO 42289580 - Pahang 11kV SECOND CYCLE AZZAD 2026\RAW MATERIAL\047. TNB BARU (IR+VI)\RAW DATA\IR</v>
      </c>
      <c r="BH221" s="24" t="s">
        <v>757</v>
      </c>
    </row>
    <row r="222" spans="1:60" ht="30" customHeight="1" x14ac:dyDescent="0.25">
      <c r="A222" s="6">
        <v>111</v>
      </c>
      <c r="B222" s="6" t="s">
        <v>1589</v>
      </c>
      <c r="C222" s="6">
        <v>1</v>
      </c>
      <c r="D222" s="6" t="s">
        <v>2242</v>
      </c>
      <c r="E222" s="6">
        <v>111</v>
      </c>
      <c r="F222" s="6" t="str">
        <f ca="1">Master_List!$AW$1</f>
        <v>PERPUSTAKAAN PUSAT</v>
      </c>
      <c r="G222" s="27" t="str">
        <f ca="1">Master_List!$AW$2</f>
        <v>09:30 PM</v>
      </c>
      <c r="H222" s="32" t="str">
        <f ca="1">Master_List!$AW$3</f>
        <v>20/07/2026</v>
      </c>
      <c r="I222" s="28" t="str">
        <f ca="1">Master_List!$AW$4</f>
        <v>28.5</v>
      </c>
      <c r="J222" s="6" t="str">
        <f ca="1">Master_List!$AW$5</f>
        <v>65</v>
      </c>
      <c r="K222" s="6" t="s">
        <v>576</v>
      </c>
      <c r="L222" s="21" t="str">
        <f ca="1">IFERROR(VLOOKUP(B222, Master_List!$A:$I, 2, FALSE), "-")</f>
        <v/>
      </c>
      <c r="M222" s="22" t="str">
        <f ca="1">IFERROR(VLOOKUP(B222, Master_List!$A:$I, 3, FALSE), "-")</f>
        <v/>
      </c>
      <c r="N222" s="22" t="str">
        <f ca="1">IFERROR(VLOOKUP(B222, Master_List!$A:$I, 4, FALSE), "-")</f>
        <v/>
      </c>
      <c r="O222" s="22" t="str">
        <f ca="1">IFERROR(VLOOKUP(B222, Master_List!$A:$I, 5, FALSE), "-")</f>
        <v/>
      </c>
      <c r="P222" s="22" t="str">
        <f ca="1">IFERROR(VLOOKUP(B222, Master_List!$A:$I, 6, FALSE), "-")</f>
        <v/>
      </c>
      <c r="Q222" s="22" t="str">
        <f ca="1">IFERROR(VLOOKUP(B222, Master_List!$A:$I, 7, FALSE), "-")</f>
        <v/>
      </c>
      <c r="R222" s="22" t="str">
        <f ca="1">IFERROR(VLOOKUP(B222, Master_List!$A:$I, 8, FALSE), "-")</f>
        <v/>
      </c>
      <c r="S222" s="22" t="str">
        <f ca="1">IFERROR(VLOOKUP(B222, Master_List!$A:$I, 9, FALSE), "-")</f>
        <v/>
      </c>
      <c r="T222" s="20" t="str">
        <f ca="1">Master_List!$AW$6</f>
        <v>TOSHIBA</v>
      </c>
      <c r="U222" s="20" t="str">
        <f ca="1">Master_List!$AW$7</f>
        <v>MRMU</v>
      </c>
      <c r="V222" s="20" t="str">
        <f ca="1">Master_List!$AW$8</f>
        <v>12kV</v>
      </c>
      <c r="W222" s="20" t="str">
        <f ca="1">Master_List!$AW$9</f>
        <v>2S1F</v>
      </c>
      <c r="X222" s="20" t="str">
        <f ca="1">Master_List!$AW$10</f>
        <v>MTM</v>
      </c>
      <c r="Y222" s="20" t="str">
        <f ca="1">Master_List!$AW$11</f>
        <v>HERMETICALLY SEAL</v>
      </c>
      <c r="Z222" s="20" t="str">
        <f ca="1">Master_List!$AW$12</f>
        <v>750kVA</v>
      </c>
      <c r="AA222" s="20" t="str">
        <f ca="1">Master_List!$AW$13</f>
        <v>1317</v>
      </c>
      <c r="AB222" s="20">
        <f ca="1">Master_List!$AW$14</f>
        <v>0</v>
      </c>
      <c r="AC222" s="20">
        <f ca="1">Master_List!$AW$15</f>
        <v>0</v>
      </c>
      <c r="AD222" s="20">
        <f ca="1">Master_List!$AW$16</f>
        <v>0</v>
      </c>
      <c r="AE222" s="20">
        <f ca="1">Master_List!$AW$17</f>
        <v>0</v>
      </c>
      <c r="AF222" s="20" t="str">
        <f ca="1">Master_List!$AW$18</f>
        <v>INDKOM</v>
      </c>
      <c r="AG222" s="20" t="str">
        <f ca="1">Master_List!$AW$19</f>
        <v>J-SLOTTED</v>
      </c>
      <c r="AH222" s="20" t="str">
        <f ca="1">Master_List!$AW$20</f>
        <v>1600A</v>
      </c>
      <c r="AI222" s="20" t="str">
        <f ca="1">Master_List!$AW$21</f>
        <v>LV5080090</v>
      </c>
      <c r="AJ222" s="20" t="str">
        <f ca="1">Master_List!$AW$22</f>
        <v>LVDB TX1</v>
      </c>
      <c r="AK222" s="20">
        <f ca="1">Master_List!$AW$23</f>
        <v>0</v>
      </c>
      <c r="AL222" s="20">
        <f ca="1">Master_List!$AW$24</f>
        <v>0</v>
      </c>
      <c r="AM222" s="20">
        <f ca="1">Master_List!$AW$25</f>
        <v>0</v>
      </c>
      <c r="AN222" s="20">
        <f ca="1">Master_List!$AW$26</f>
        <v>0</v>
      </c>
      <c r="AO222" s="20" t="str">
        <f ca="1">Master_List!$AW$27</f>
        <v>LVDB TX2</v>
      </c>
      <c r="AP222" s="20" t="str">
        <f ca="1">Master_List!$AW$28</f>
        <v>SUNPOWER TECHNOLOGIES</v>
      </c>
      <c r="AQ222" s="20" t="str">
        <f ca="1">Master_List!$AW$29</f>
        <v>SPS 30-10 L</v>
      </c>
      <c r="AR222" s="20" t="str">
        <f ca="1">Master_List!$AW$30</f>
        <v>11193-8527</v>
      </c>
      <c r="AS222" s="20">
        <f ca="1">Master_List!$AW$31</f>
        <v>0</v>
      </c>
      <c r="AT222" s="20">
        <f ca="1">Master_List!$AW$32</f>
        <v>0</v>
      </c>
      <c r="AU222" s="20">
        <f ca="1">Master_List!$AW$33</f>
        <v>0</v>
      </c>
      <c r="AV222" s="20">
        <f ca="1">Master_List!$AW$34</f>
        <v>0</v>
      </c>
      <c r="AW222" s="20">
        <f ca="1">Master_List!$AW$35</f>
        <v>0</v>
      </c>
      <c r="AX222" s="20">
        <f ca="1">Master_List!$AW$36</f>
        <v>0</v>
      </c>
      <c r="AY222" s="20">
        <f ca="1">Master_List!$AW$37</f>
        <v>0</v>
      </c>
      <c r="AZ222" s="20">
        <f ca="1">Master_List!$AW$38</f>
        <v>0</v>
      </c>
      <c r="BA222" s="20">
        <f ca="1">Master_List!$AW$39</f>
        <v>0</v>
      </c>
      <c r="BB222" s="20" t="s">
        <v>2240</v>
      </c>
      <c r="BC222" s="20" t="s">
        <v>2241</v>
      </c>
      <c r="BD222" s="6" t="s">
        <v>1744</v>
      </c>
      <c r="BE222" s="6" t="s">
        <v>1861</v>
      </c>
      <c r="BF222" s="6" t="s">
        <v>1746</v>
      </c>
      <c r="BG222" s="6" t="str">
        <f t="shared" si="3"/>
        <v>C:\Users\aremi\Desktop\REPORT CBM\PO 42289580 - Pahang 11kV SECOND CYCLE AZZAD 2026\RAW MATERIAL\047. TNB BARU (IR+VI)\RAW DATA\IR</v>
      </c>
      <c r="BH222" s="24" t="s">
        <v>758</v>
      </c>
    </row>
    <row r="223" spans="1:60" ht="30" customHeight="1" x14ac:dyDescent="0.25">
      <c r="A223" s="6">
        <v>111</v>
      </c>
      <c r="B223" s="6" t="s">
        <v>1589</v>
      </c>
      <c r="C223" s="6">
        <v>1</v>
      </c>
      <c r="D223" s="6" t="s">
        <v>2242</v>
      </c>
      <c r="E223" s="6">
        <v>111</v>
      </c>
      <c r="F223" s="6" t="str">
        <f ca="1">Master_List!$AW$1</f>
        <v>PERPUSTAKAAN PUSAT</v>
      </c>
      <c r="G223" s="27" t="str">
        <f ca="1">Master_List!$AW$2</f>
        <v>09:30 PM</v>
      </c>
      <c r="H223" s="32" t="str">
        <f ca="1">Master_List!$AW$3</f>
        <v>20/07/2026</v>
      </c>
      <c r="I223" s="28" t="str">
        <f ca="1">Master_List!$AW$4</f>
        <v>28.5</v>
      </c>
      <c r="J223" s="6" t="str">
        <f ca="1">Master_List!$AW$5</f>
        <v>65</v>
      </c>
      <c r="K223" s="6" t="s">
        <v>576</v>
      </c>
      <c r="L223" s="21" t="str">
        <f ca="1">IFERROR(VLOOKUP(B223, Master_List!$A:$I, 2, FALSE), "-")</f>
        <v/>
      </c>
      <c r="M223" s="22" t="str">
        <f ca="1">IFERROR(VLOOKUP(B223, Master_List!$A:$I, 3, FALSE), "-")</f>
        <v/>
      </c>
      <c r="N223" s="22" t="str">
        <f ca="1">IFERROR(VLOOKUP(B223, Master_List!$A:$I, 4, FALSE), "-")</f>
        <v/>
      </c>
      <c r="O223" s="22" t="str">
        <f ca="1">IFERROR(VLOOKUP(B223, Master_List!$A:$I, 5, FALSE), "-")</f>
        <v/>
      </c>
      <c r="P223" s="22" t="str">
        <f ca="1">IFERROR(VLOOKUP(B223, Master_List!$A:$I, 6, FALSE), "-")</f>
        <v/>
      </c>
      <c r="Q223" s="22" t="str">
        <f ca="1">IFERROR(VLOOKUP(B223, Master_List!$A:$I, 7, FALSE), "-")</f>
        <v/>
      </c>
      <c r="R223" s="22" t="str">
        <f ca="1">IFERROR(VLOOKUP(B223, Master_List!$A:$I, 8, FALSE), "-")</f>
        <v/>
      </c>
      <c r="S223" s="22" t="str">
        <f ca="1">IFERROR(VLOOKUP(B223, Master_List!$A:$I, 9, FALSE), "-")</f>
        <v/>
      </c>
      <c r="T223" s="20" t="str">
        <f ca="1">Master_List!$AW$6</f>
        <v>TOSHIBA</v>
      </c>
      <c r="U223" s="20" t="str">
        <f ca="1">Master_List!$AW$7</f>
        <v>MRMU</v>
      </c>
      <c r="V223" s="20" t="str">
        <f ca="1">Master_List!$AW$8</f>
        <v>12kV</v>
      </c>
      <c r="W223" s="20" t="str">
        <f ca="1">Master_List!$AW$9</f>
        <v>2S1F</v>
      </c>
      <c r="X223" s="20" t="str">
        <f ca="1">Master_List!$AW$10</f>
        <v>MTM</v>
      </c>
      <c r="Y223" s="20" t="str">
        <f ca="1">Master_List!$AW$11</f>
        <v>HERMETICALLY SEAL</v>
      </c>
      <c r="Z223" s="20" t="str">
        <f ca="1">Master_List!$AW$12</f>
        <v>750kVA</v>
      </c>
      <c r="AA223" s="20" t="str">
        <f ca="1">Master_List!$AW$13</f>
        <v>1317</v>
      </c>
      <c r="AB223" s="20">
        <f ca="1">Master_List!$AW$14</f>
        <v>0</v>
      </c>
      <c r="AC223" s="20">
        <f ca="1">Master_List!$AW$15</f>
        <v>0</v>
      </c>
      <c r="AD223" s="20">
        <f ca="1">Master_List!$AW$16</f>
        <v>0</v>
      </c>
      <c r="AE223" s="20">
        <f ca="1">Master_List!$AW$17</f>
        <v>0</v>
      </c>
      <c r="AF223" s="20" t="str">
        <f ca="1">Master_List!$AW$18</f>
        <v>INDKOM</v>
      </c>
      <c r="AG223" s="20" t="str">
        <f ca="1">Master_List!$AW$19</f>
        <v>J-SLOTTED</v>
      </c>
      <c r="AH223" s="20" t="str">
        <f ca="1">Master_List!$AW$20</f>
        <v>1600A</v>
      </c>
      <c r="AI223" s="20" t="str">
        <f ca="1">Master_List!$AW$21</f>
        <v>LV5080090</v>
      </c>
      <c r="AJ223" s="20" t="str">
        <f ca="1">Master_List!$AW$22</f>
        <v>LVDB TX1</v>
      </c>
      <c r="AK223" s="20">
        <f ca="1">Master_List!$AW$23</f>
        <v>0</v>
      </c>
      <c r="AL223" s="20">
        <f ca="1">Master_List!$AW$24</f>
        <v>0</v>
      </c>
      <c r="AM223" s="20">
        <f ca="1">Master_List!$AW$25</f>
        <v>0</v>
      </c>
      <c r="AN223" s="20">
        <f ca="1">Master_List!$AW$26</f>
        <v>0</v>
      </c>
      <c r="AO223" s="20" t="str">
        <f ca="1">Master_List!$AW$27</f>
        <v>LVDB TX2</v>
      </c>
      <c r="AP223" s="20" t="str">
        <f ca="1">Master_List!$AW$28</f>
        <v>SUNPOWER TECHNOLOGIES</v>
      </c>
      <c r="AQ223" s="20" t="str">
        <f ca="1">Master_List!$AW$29</f>
        <v>SPS 30-10 L</v>
      </c>
      <c r="AR223" s="20" t="str">
        <f ca="1">Master_List!$AW$30</f>
        <v>11193-8527</v>
      </c>
      <c r="AS223" s="20">
        <f ca="1">Master_List!$AW$31</f>
        <v>0</v>
      </c>
      <c r="AT223" s="20">
        <f ca="1">Master_List!$AW$32</f>
        <v>0</v>
      </c>
      <c r="AU223" s="20">
        <f ca="1">Master_List!$AW$33</f>
        <v>0</v>
      </c>
      <c r="AV223" s="20">
        <f ca="1">Master_List!$AW$34</f>
        <v>0</v>
      </c>
      <c r="AW223" s="20">
        <f ca="1">Master_List!$AW$35</f>
        <v>0</v>
      </c>
      <c r="AX223" s="20">
        <f ca="1">Master_List!$AW$36</f>
        <v>0</v>
      </c>
      <c r="AY223" s="20">
        <f ca="1">Master_List!$AW$37</f>
        <v>0</v>
      </c>
      <c r="AZ223" s="20">
        <f ca="1">Master_List!$AW$38</f>
        <v>0</v>
      </c>
      <c r="BA223" s="20">
        <f ca="1">Master_List!$AW$39</f>
        <v>0</v>
      </c>
      <c r="BB223" s="20" t="s">
        <v>2240</v>
      </c>
      <c r="BC223" s="20" t="s">
        <v>2241</v>
      </c>
      <c r="BD223" s="6" t="s">
        <v>1744</v>
      </c>
      <c r="BE223" s="6" t="s">
        <v>1861</v>
      </c>
      <c r="BF223" s="6" t="s">
        <v>1748</v>
      </c>
      <c r="BG223" s="6" t="str">
        <f t="shared" si="3"/>
        <v>C:\Users\aremi\Desktop\REPORT CBM\PO 42289580 - Pahang 11kV SECOND CYCLE AZZAD 2026\RAW MATERIAL\047. TNB BARU (IR+VI)\RAW DATA\IR</v>
      </c>
      <c r="BH223" s="24" t="s">
        <v>759</v>
      </c>
    </row>
    <row r="224" spans="1:60" ht="30" customHeight="1" x14ac:dyDescent="0.25">
      <c r="A224" s="6">
        <v>112</v>
      </c>
      <c r="B224" s="6" t="s">
        <v>1589</v>
      </c>
      <c r="C224" s="6">
        <v>1</v>
      </c>
      <c r="D224" s="6" t="s">
        <v>2242</v>
      </c>
      <c r="E224" s="6">
        <v>112</v>
      </c>
      <c r="F224" s="6" t="str">
        <f ca="1">Master_List!$AW$1</f>
        <v>PERPUSTAKAAN PUSAT</v>
      </c>
      <c r="G224" s="27" t="str">
        <f ca="1">Master_List!$AW$2</f>
        <v>09:30 PM</v>
      </c>
      <c r="H224" s="32" t="str">
        <f ca="1">Master_List!$AW$3</f>
        <v>20/07/2026</v>
      </c>
      <c r="I224" s="28" t="str">
        <f ca="1">Master_List!$AW$4</f>
        <v>28.5</v>
      </c>
      <c r="J224" s="6" t="str">
        <f ca="1">Master_List!$AW$5</f>
        <v>65</v>
      </c>
      <c r="K224" s="6" t="s">
        <v>579</v>
      </c>
      <c r="L224" s="21" t="str">
        <f ca="1">IFERROR(VLOOKUP(B224, Master_List!$A:$I, 2, FALSE), "-")</f>
        <v/>
      </c>
      <c r="M224" s="22" t="str">
        <f ca="1">IFERROR(VLOOKUP(B224, Master_List!$A:$I, 3, FALSE), "-")</f>
        <v/>
      </c>
      <c r="N224" s="22" t="str">
        <f ca="1">IFERROR(VLOOKUP(B224, Master_List!$A:$I, 4, FALSE), "-")</f>
        <v/>
      </c>
      <c r="O224" s="22" t="str">
        <f ca="1">IFERROR(VLOOKUP(B224, Master_List!$A:$I, 5, FALSE), "-")</f>
        <v/>
      </c>
      <c r="P224" s="22" t="str">
        <f ca="1">IFERROR(VLOOKUP(B224, Master_List!$A:$I, 6, FALSE), "-")</f>
        <v/>
      </c>
      <c r="Q224" s="22" t="str">
        <f ca="1">IFERROR(VLOOKUP(B224, Master_List!$A:$I, 7, FALSE), "-")</f>
        <v/>
      </c>
      <c r="R224" s="22" t="str">
        <f ca="1">IFERROR(VLOOKUP(B224, Master_List!$A:$I, 8, FALSE), "-")</f>
        <v/>
      </c>
      <c r="S224" s="22" t="str">
        <f ca="1">IFERROR(VLOOKUP(B224, Master_List!$A:$I, 9, FALSE), "-")</f>
        <v/>
      </c>
      <c r="T224" s="20" t="str">
        <f ca="1">Master_List!$AW$6</f>
        <v>TOSHIBA</v>
      </c>
      <c r="U224" s="20" t="str">
        <f ca="1">Master_List!$AW$7</f>
        <v>MRMU</v>
      </c>
      <c r="V224" s="20" t="str">
        <f ca="1">Master_List!$AW$8</f>
        <v>12kV</v>
      </c>
      <c r="W224" s="20" t="str">
        <f ca="1">Master_List!$AW$9</f>
        <v>2S1F</v>
      </c>
      <c r="X224" s="20" t="str">
        <f ca="1">Master_List!$AW$10</f>
        <v>MTM</v>
      </c>
      <c r="Y224" s="20" t="str">
        <f ca="1">Master_List!$AW$11</f>
        <v>HERMETICALLY SEAL</v>
      </c>
      <c r="Z224" s="20" t="str">
        <f ca="1">Master_List!$AW$12</f>
        <v>750kVA</v>
      </c>
      <c r="AA224" s="20" t="str">
        <f ca="1">Master_List!$AW$13</f>
        <v>1317</v>
      </c>
      <c r="AB224" s="20">
        <f ca="1">Master_List!$AW$14</f>
        <v>0</v>
      </c>
      <c r="AC224" s="20">
        <f ca="1">Master_List!$AW$15</f>
        <v>0</v>
      </c>
      <c r="AD224" s="20">
        <f ca="1">Master_List!$AW$16</f>
        <v>0</v>
      </c>
      <c r="AE224" s="20">
        <f ca="1">Master_List!$AW$17</f>
        <v>0</v>
      </c>
      <c r="AF224" s="20" t="str">
        <f ca="1">Master_List!$AW$18</f>
        <v>INDKOM</v>
      </c>
      <c r="AG224" s="20" t="str">
        <f ca="1">Master_List!$AW$19</f>
        <v>J-SLOTTED</v>
      </c>
      <c r="AH224" s="20" t="str">
        <f ca="1">Master_List!$AW$20</f>
        <v>1600A</v>
      </c>
      <c r="AI224" s="20" t="str">
        <f ca="1">Master_List!$AW$21</f>
        <v>LV5080090</v>
      </c>
      <c r="AJ224" s="20" t="str">
        <f ca="1">Master_List!$AW$22</f>
        <v>LVDB TX1</v>
      </c>
      <c r="AK224" s="20">
        <f ca="1">Master_List!$AW$23</f>
        <v>0</v>
      </c>
      <c r="AL224" s="20">
        <f ca="1">Master_List!$AW$24</f>
        <v>0</v>
      </c>
      <c r="AM224" s="20">
        <f ca="1">Master_List!$AW$25</f>
        <v>0</v>
      </c>
      <c r="AN224" s="20">
        <f ca="1">Master_List!$AW$26</f>
        <v>0</v>
      </c>
      <c r="AO224" s="20" t="str">
        <f ca="1">Master_List!$AW$27</f>
        <v>LVDB TX2</v>
      </c>
      <c r="AP224" s="20" t="str">
        <f ca="1">Master_List!$AW$28</f>
        <v>SUNPOWER TECHNOLOGIES</v>
      </c>
      <c r="AQ224" s="20" t="str">
        <f ca="1">Master_List!$AW$29</f>
        <v>SPS 30-10 L</v>
      </c>
      <c r="AR224" s="20" t="str">
        <f ca="1">Master_List!$AW$30</f>
        <v>11193-8527</v>
      </c>
      <c r="AS224" s="20">
        <f ca="1">Master_List!$AW$31</f>
        <v>0</v>
      </c>
      <c r="AT224" s="20">
        <f ca="1">Master_List!$AW$32</f>
        <v>0</v>
      </c>
      <c r="AU224" s="20">
        <f ca="1">Master_List!$AW$33</f>
        <v>0</v>
      </c>
      <c r="AV224" s="20">
        <f ca="1">Master_List!$AW$34</f>
        <v>0</v>
      </c>
      <c r="AW224" s="20">
        <f ca="1">Master_List!$AW$35</f>
        <v>0</v>
      </c>
      <c r="AX224" s="20">
        <f ca="1">Master_List!$AW$36</f>
        <v>0</v>
      </c>
      <c r="AY224" s="20">
        <f ca="1">Master_List!$AW$37</f>
        <v>0</v>
      </c>
      <c r="AZ224" s="20">
        <f ca="1">Master_List!$AW$38</f>
        <v>0</v>
      </c>
      <c r="BA224" s="20">
        <f ca="1">Master_List!$AW$39</f>
        <v>0</v>
      </c>
      <c r="BB224" s="20" t="s">
        <v>2240</v>
      </c>
      <c r="BC224" s="20" t="s">
        <v>2241</v>
      </c>
      <c r="BD224" s="6" t="s">
        <v>1744</v>
      </c>
      <c r="BE224" s="6" t="s">
        <v>1862</v>
      </c>
      <c r="BF224" s="6" t="s">
        <v>1746</v>
      </c>
      <c r="BG224" s="6" t="str">
        <f t="shared" si="3"/>
        <v>C:\Users\aremi\Desktop\REPORT CBM\PO 42289580 - Pahang 11kV SECOND CYCLE AZZAD 2026\RAW MATERIAL\047. TNB BARU (IR+VI)\RAW DATA\IR</v>
      </c>
      <c r="BH224" s="24" t="s">
        <v>760</v>
      </c>
    </row>
    <row r="225" spans="1:60" ht="30" customHeight="1" x14ac:dyDescent="0.25">
      <c r="A225" s="6">
        <v>112</v>
      </c>
      <c r="B225" s="6" t="s">
        <v>1589</v>
      </c>
      <c r="C225" s="6">
        <v>1</v>
      </c>
      <c r="D225" s="6" t="s">
        <v>2242</v>
      </c>
      <c r="E225" s="6">
        <v>112</v>
      </c>
      <c r="F225" s="6" t="str">
        <f ca="1">Master_List!$AW$1</f>
        <v>PERPUSTAKAAN PUSAT</v>
      </c>
      <c r="G225" s="27" t="str">
        <f ca="1">Master_List!$AW$2</f>
        <v>09:30 PM</v>
      </c>
      <c r="H225" s="32" t="str">
        <f ca="1">Master_List!$AW$3</f>
        <v>20/07/2026</v>
      </c>
      <c r="I225" s="28" t="str">
        <f ca="1">Master_List!$AW$4</f>
        <v>28.5</v>
      </c>
      <c r="J225" s="6" t="str">
        <f ca="1">Master_List!$AW$5</f>
        <v>65</v>
      </c>
      <c r="K225" s="6" t="s">
        <v>579</v>
      </c>
      <c r="L225" s="21" t="str">
        <f ca="1">IFERROR(VLOOKUP(B225, Master_List!$A:$I, 2, FALSE), "-")</f>
        <v/>
      </c>
      <c r="M225" s="22" t="str">
        <f ca="1">IFERROR(VLOOKUP(B225, Master_List!$A:$I, 3, FALSE), "-")</f>
        <v/>
      </c>
      <c r="N225" s="22" t="str">
        <f ca="1">IFERROR(VLOOKUP(B225, Master_List!$A:$I, 4, FALSE), "-")</f>
        <v/>
      </c>
      <c r="O225" s="22" t="str">
        <f ca="1">IFERROR(VLOOKUP(B225, Master_List!$A:$I, 5, FALSE), "-")</f>
        <v/>
      </c>
      <c r="P225" s="22" t="str">
        <f ca="1">IFERROR(VLOOKUP(B225, Master_List!$A:$I, 6, FALSE), "-")</f>
        <v/>
      </c>
      <c r="Q225" s="22" t="str">
        <f ca="1">IFERROR(VLOOKUP(B225, Master_List!$A:$I, 7, FALSE), "-")</f>
        <v/>
      </c>
      <c r="R225" s="22" t="str">
        <f ca="1">IFERROR(VLOOKUP(B225, Master_List!$A:$I, 8, FALSE), "-")</f>
        <v/>
      </c>
      <c r="S225" s="22" t="str">
        <f ca="1">IFERROR(VLOOKUP(B225, Master_List!$A:$I, 9, FALSE), "-")</f>
        <v/>
      </c>
      <c r="T225" s="20" t="str">
        <f ca="1">Master_List!$AW$6</f>
        <v>TOSHIBA</v>
      </c>
      <c r="U225" s="20" t="str">
        <f ca="1">Master_List!$AW$7</f>
        <v>MRMU</v>
      </c>
      <c r="V225" s="20" t="str">
        <f ca="1">Master_List!$AW$8</f>
        <v>12kV</v>
      </c>
      <c r="W225" s="20" t="str">
        <f ca="1">Master_List!$AW$9</f>
        <v>2S1F</v>
      </c>
      <c r="X225" s="20" t="str">
        <f ca="1">Master_List!$AW$10</f>
        <v>MTM</v>
      </c>
      <c r="Y225" s="20" t="str">
        <f ca="1">Master_List!$AW$11</f>
        <v>HERMETICALLY SEAL</v>
      </c>
      <c r="Z225" s="20" t="str">
        <f ca="1">Master_List!$AW$12</f>
        <v>750kVA</v>
      </c>
      <c r="AA225" s="20" t="str">
        <f ca="1">Master_List!$AW$13</f>
        <v>1317</v>
      </c>
      <c r="AB225" s="20">
        <f ca="1">Master_List!$AW$14</f>
        <v>0</v>
      </c>
      <c r="AC225" s="20">
        <f ca="1">Master_List!$AW$15</f>
        <v>0</v>
      </c>
      <c r="AD225" s="20">
        <f ca="1">Master_List!$AW$16</f>
        <v>0</v>
      </c>
      <c r="AE225" s="20">
        <f ca="1">Master_List!$AW$17</f>
        <v>0</v>
      </c>
      <c r="AF225" s="20" t="str">
        <f ca="1">Master_List!$AW$18</f>
        <v>INDKOM</v>
      </c>
      <c r="AG225" s="20" t="str">
        <f ca="1">Master_List!$AW$19</f>
        <v>J-SLOTTED</v>
      </c>
      <c r="AH225" s="20" t="str">
        <f ca="1">Master_List!$AW$20</f>
        <v>1600A</v>
      </c>
      <c r="AI225" s="20" t="str">
        <f ca="1">Master_List!$AW$21</f>
        <v>LV5080090</v>
      </c>
      <c r="AJ225" s="20" t="str">
        <f ca="1">Master_List!$AW$22</f>
        <v>LVDB TX1</v>
      </c>
      <c r="AK225" s="20">
        <f ca="1">Master_List!$AW$23</f>
        <v>0</v>
      </c>
      <c r="AL225" s="20">
        <f ca="1">Master_List!$AW$24</f>
        <v>0</v>
      </c>
      <c r="AM225" s="20">
        <f ca="1">Master_List!$AW$25</f>
        <v>0</v>
      </c>
      <c r="AN225" s="20">
        <f ca="1">Master_List!$AW$26</f>
        <v>0</v>
      </c>
      <c r="AO225" s="20" t="str">
        <f ca="1">Master_List!$AW$27</f>
        <v>LVDB TX2</v>
      </c>
      <c r="AP225" s="20" t="str">
        <f ca="1">Master_List!$AW$28</f>
        <v>SUNPOWER TECHNOLOGIES</v>
      </c>
      <c r="AQ225" s="20" t="str">
        <f ca="1">Master_List!$AW$29</f>
        <v>SPS 30-10 L</v>
      </c>
      <c r="AR225" s="20" t="str">
        <f ca="1">Master_List!$AW$30</f>
        <v>11193-8527</v>
      </c>
      <c r="AS225" s="20">
        <f ca="1">Master_List!$AW$31</f>
        <v>0</v>
      </c>
      <c r="AT225" s="20">
        <f ca="1">Master_List!$AW$32</f>
        <v>0</v>
      </c>
      <c r="AU225" s="20">
        <f ca="1">Master_List!$AW$33</f>
        <v>0</v>
      </c>
      <c r="AV225" s="20">
        <f ca="1">Master_List!$AW$34</f>
        <v>0</v>
      </c>
      <c r="AW225" s="20">
        <f ca="1">Master_List!$AW$35</f>
        <v>0</v>
      </c>
      <c r="AX225" s="20">
        <f ca="1">Master_List!$AW$36</f>
        <v>0</v>
      </c>
      <c r="AY225" s="20">
        <f ca="1">Master_List!$AW$37</f>
        <v>0</v>
      </c>
      <c r="AZ225" s="20">
        <f ca="1">Master_List!$AW$38</f>
        <v>0</v>
      </c>
      <c r="BA225" s="20">
        <f ca="1">Master_List!$AW$39</f>
        <v>0</v>
      </c>
      <c r="BB225" s="20" t="s">
        <v>2240</v>
      </c>
      <c r="BC225" s="20" t="s">
        <v>2241</v>
      </c>
      <c r="BD225" s="6" t="s">
        <v>1744</v>
      </c>
      <c r="BE225" s="6" t="s">
        <v>1862</v>
      </c>
      <c r="BF225" s="6" t="s">
        <v>1748</v>
      </c>
      <c r="BG225" s="6" t="str">
        <f t="shared" si="3"/>
        <v>C:\Users\aremi\Desktop\REPORT CBM\PO 42289580 - Pahang 11kV SECOND CYCLE AZZAD 2026\RAW MATERIAL\047. TNB BARU (IR+VI)\RAW DATA\IR</v>
      </c>
      <c r="BH225" s="24" t="s">
        <v>761</v>
      </c>
    </row>
    <row r="226" spans="1:60" ht="30" customHeight="1" x14ac:dyDescent="0.25">
      <c r="A226" s="6">
        <v>113</v>
      </c>
      <c r="B226" s="6" t="s">
        <v>1589</v>
      </c>
      <c r="C226" s="6">
        <v>1</v>
      </c>
      <c r="D226" s="6" t="s">
        <v>2242</v>
      </c>
      <c r="E226" s="6">
        <v>113</v>
      </c>
      <c r="F226" s="6" t="str">
        <f ca="1">Master_List!$AW$1</f>
        <v>PERPUSTAKAAN PUSAT</v>
      </c>
      <c r="G226" s="27" t="str">
        <f ca="1">Master_List!$AW$2</f>
        <v>09:30 PM</v>
      </c>
      <c r="H226" s="32" t="str">
        <f ca="1">Master_List!$AW$3</f>
        <v>20/07/2026</v>
      </c>
      <c r="I226" s="28" t="str">
        <f ca="1">Master_List!$AW$4</f>
        <v>28.5</v>
      </c>
      <c r="J226" s="6" t="str">
        <f ca="1">Master_List!$AW$5</f>
        <v>65</v>
      </c>
      <c r="K226" s="6" t="s">
        <v>582</v>
      </c>
      <c r="L226" s="21" t="str">
        <f ca="1">IFERROR(VLOOKUP(B226, Master_List!$A:$I, 2, FALSE), "-")</f>
        <v/>
      </c>
      <c r="M226" s="22" t="str">
        <f ca="1">IFERROR(VLOOKUP(B226, Master_List!$A:$I, 3, FALSE), "-")</f>
        <v/>
      </c>
      <c r="N226" s="22" t="str">
        <f ca="1">IFERROR(VLOOKUP(B226, Master_List!$A:$I, 4, FALSE), "-")</f>
        <v/>
      </c>
      <c r="O226" s="22" t="str">
        <f ca="1">IFERROR(VLOOKUP(B226, Master_List!$A:$I, 5, FALSE), "-")</f>
        <v/>
      </c>
      <c r="P226" s="22" t="str">
        <f ca="1">IFERROR(VLOOKUP(B226, Master_List!$A:$I, 6, FALSE), "-")</f>
        <v/>
      </c>
      <c r="Q226" s="22" t="str">
        <f ca="1">IFERROR(VLOOKUP(B226, Master_List!$A:$I, 7, FALSE), "-")</f>
        <v/>
      </c>
      <c r="R226" s="22" t="str">
        <f ca="1">IFERROR(VLOOKUP(B226, Master_List!$A:$I, 8, FALSE), "-")</f>
        <v/>
      </c>
      <c r="S226" s="22" t="str">
        <f ca="1">IFERROR(VLOOKUP(B226, Master_List!$A:$I, 9, FALSE), "-")</f>
        <v/>
      </c>
      <c r="T226" s="20" t="str">
        <f ca="1">Master_List!$AW$6</f>
        <v>TOSHIBA</v>
      </c>
      <c r="U226" s="20" t="str">
        <f ca="1">Master_List!$AW$7</f>
        <v>MRMU</v>
      </c>
      <c r="V226" s="20" t="str">
        <f ca="1">Master_List!$AW$8</f>
        <v>12kV</v>
      </c>
      <c r="W226" s="20" t="str">
        <f ca="1">Master_List!$AW$9</f>
        <v>2S1F</v>
      </c>
      <c r="X226" s="20" t="str">
        <f ca="1">Master_List!$AW$10</f>
        <v>MTM</v>
      </c>
      <c r="Y226" s="20" t="str">
        <f ca="1">Master_List!$AW$11</f>
        <v>HERMETICALLY SEAL</v>
      </c>
      <c r="Z226" s="20" t="str">
        <f ca="1">Master_List!$AW$12</f>
        <v>750kVA</v>
      </c>
      <c r="AA226" s="20" t="str">
        <f ca="1">Master_List!$AW$13</f>
        <v>1317</v>
      </c>
      <c r="AB226" s="20">
        <f ca="1">Master_List!$AW$14</f>
        <v>0</v>
      </c>
      <c r="AC226" s="20">
        <f ca="1">Master_List!$AW$15</f>
        <v>0</v>
      </c>
      <c r="AD226" s="20">
        <f ca="1">Master_List!$AW$16</f>
        <v>0</v>
      </c>
      <c r="AE226" s="20">
        <f ca="1">Master_List!$AW$17</f>
        <v>0</v>
      </c>
      <c r="AF226" s="20" t="str">
        <f ca="1">Master_List!$AW$18</f>
        <v>INDKOM</v>
      </c>
      <c r="AG226" s="20" t="str">
        <f ca="1">Master_List!$AW$19</f>
        <v>J-SLOTTED</v>
      </c>
      <c r="AH226" s="20" t="str">
        <f ca="1">Master_List!$AW$20</f>
        <v>1600A</v>
      </c>
      <c r="AI226" s="20" t="str">
        <f ca="1">Master_List!$AW$21</f>
        <v>LV5080090</v>
      </c>
      <c r="AJ226" s="20" t="str">
        <f ca="1">Master_List!$AW$22</f>
        <v>LVDB TX1</v>
      </c>
      <c r="AK226" s="20">
        <f ca="1">Master_List!$AW$23</f>
        <v>0</v>
      </c>
      <c r="AL226" s="20">
        <f ca="1">Master_List!$AW$24</f>
        <v>0</v>
      </c>
      <c r="AM226" s="20">
        <f ca="1">Master_List!$AW$25</f>
        <v>0</v>
      </c>
      <c r="AN226" s="20">
        <f ca="1">Master_List!$AW$26</f>
        <v>0</v>
      </c>
      <c r="AO226" s="20" t="str">
        <f ca="1">Master_List!$AW$27</f>
        <v>LVDB TX2</v>
      </c>
      <c r="AP226" s="20" t="str">
        <f ca="1">Master_List!$AW$28</f>
        <v>SUNPOWER TECHNOLOGIES</v>
      </c>
      <c r="AQ226" s="20" t="str">
        <f ca="1">Master_List!$AW$29</f>
        <v>SPS 30-10 L</v>
      </c>
      <c r="AR226" s="20" t="str">
        <f ca="1">Master_List!$AW$30</f>
        <v>11193-8527</v>
      </c>
      <c r="AS226" s="20">
        <f ca="1">Master_List!$AW$31</f>
        <v>0</v>
      </c>
      <c r="AT226" s="20">
        <f ca="1">Master_List!$AW$32</f>
        <v>0</v>
      </c>
      <c r="AU226" s="20">
        <f ca="1">Master_List!$AW$33</f>
        <v>0</v>
      </c>
      <c r="AV226" s="20">
        <f ca="1">Master_List!$AW$34</f>
        <v>0</v>
      </c>
      <c r="AW226" s="20">
        <f ca="1">Master_List!$AW$35</f>
        <v>0</v>
      </c>
      <c r="AX226" s="20">
        <f ca="1">Master_List!$AW$36</f>
        <v>0</v>
      </c>
      <c r="AY226" s="20">
        <f ca="1">Master_List!$AW$37</f>
        <v>0</v>
      </c>
      <c r="AZ226" s="20">
        <f ca="1">Master_List!$AW$38</f>
        <v>0</v>
      </c>
      <c r="BA226" s="20">
        <f ca="1">Master_List!$AW$39</f>
        <v>0</v>
      </c>
      <c r="BB226" s="20" t="s">
        <v>2240</v>
      </c>
      <c r="BC226" s="20" t="s">
        <v>2241</v>
      </c>
      <c r="BD226" s="6" t="s">
        <v>1744</v>
      </c>
      <c r="BE226" s="6" t="s">
        <v>1863</v>
      </c>
      <c r="BF226" s="6" t="s">
        <v>1746</v>
      </c>
      <c r="BG226" s="6" t="str">
        <f t="shared" si="3"/>
        <v>C:\Users\aremi\Desktop\REPORT CBM\PO 42289580 - Pahang 11kV SECOND CYCLE AZZAD 2026\RAW MATERIAL\047. TNB BARU (IR+VI)\RAW DATA\IR</v>
      </c>
      <c r="BH226" s="24" t="s">
        <v>762</v>
      </c>
    </row>
    <row r="227" spans="1:60" ht="30" customHeight="1" x14ac:dyDescent="0.25">
      <c r="A227" s="6">
        <v>113</v>
      </c>
      <c r="B227" s="6" t="s">
        <v>1589</v>
      </c>
      <c r="C227" s="6">
        <v>1</v>
      </c>
      <c r="D227" s="6" t="s">
        <v>2242</v>
      </c>
      <c r="E227" s="6">
        <v>113</v>
      </c>
      <c r="F227" s="6" t="str">
        <f ca="1">Master_List!$AW$1</f>
        <v>PERPUSTAKAAN PUSAT</v>
      </c>
      <c r="G227" s="27" t="str">
        <f ca="1">Master_List!$AW$2</f>
        <v>09:30 PM</v>
      </c>
      <c r="H227" s="32" t="str">
        <f ca="1">Master_List!$AW$3</f>
        <v>20/07/2026</v>
      </c>
      <c r="I227" s="28" t="str">
        <f ca="1">Master_List!$AW$4</f>
        <v>28.5</v>
      </c>
      <c r="J227" s="6" t="str">
        <f ca="1">Master_List!$AW$5</f>
        <v>65</v>
      </c>
      <c r="K227" s="6" t="s">
        <v>582</v>
      </c>
      <c r="L227" s="21" t="str">
        <f ca="1">IFERROR(VLOOKUP(B227, Master_List!$A:$I, 2, FALSE), "-")</f>
        <v/>
      </c>
      <c r="M227" s="22" t="str">
        <f ca="1">IFERROR(VLOOKUP(B227, Master_List!$A:$I, 3, FALSE), "-")</f>
        <v/>
      </c>
      <c r="N227" s="22" t="str">
        <f ca="1">IFERROR(VLOOKUP(B227, Master_List!$A:$I, 4, FALSE), "-")</f>
        <v/>
      </c>
      <c r="O227" s="22" t="str">
        <f ca="1">IFERROR(VLOOKUP(B227, Master_List!$A:$I, 5, FALSE), "-")</f>
        <v/>
      </c>
      <c r="P227" s="22" t="str">
        <f ca="1">IFERROR(VLOOKUP(B227, Master_List!$A:$I, 6, FALSE), "-")</f>
        <v/>
      </c>
      <c r="Q227" s="22" t="str">
        <f ca="1">IFERROR(VLOOKUP(B227, Master_List!$A:$I, 7, FALSE), "-")</f>
        <v/>
      </c>
      <c r="R227" s="22" t="str">
        <f ca="1">IFERROR(VLOOKUP(B227, Master_List!$A:$I, 8, FALSE), "-")</f>
        <v/>
      </c>
      <c r="S227" s="22" t="str">
        <f ca="1">IFERROR(VLOOKUP(B227, Master_List!$A:$I, 9, FALSE), "-")</f>
        <v/>
      </c>
      <c r="T227" s="20" t="str">
        <f ca="1">Master_List!$AW$6</f>
        <v>TOSHIBA</v>
      </c>
      <c r="U227" s="20" t="str">
        <f ca="1">Master_List!$AW$7</f>
        <v>MRMU</v>
      </c>
      <c r="V227" s="20" t="str">
        <f ca="1">Master_List!$AW$8</f>
        <v>12kV</v>
      </c>
      <c r="W227" s="20" t="str">
        <f ca="1">Master_List!$AW$9</f>
        <v>2S1F</v>
      </c>
      <c r="X227" s="20" t="str">
        <f ca="1">Master_List!$AW$10</f>
        <v>MTM</v>
      </c>
      <c r="Y227" s="20" t="str">
        <f ca="1">Master_List!$AW$11</f>
        <v>HERMETICALLY SEAL</v>
      </c>
      <c r="Z227" s="20" t="str">
        <f ca="1">Master_List!$AW$12</f>
        <v>750kVA</v>
      </c>
      <c r="AA227" s="20" t="str">
        <f ca="1">Master_List!$AW$13</f>
        <v>1317</v>
      </c>
      <c r="AB227" s="20">
        <f ca="1">Master_List!$AW$14</f>
        <v>0</v>
      </c>
      <c r="AC227" s="20">
        <f ca="1">Master_List!$AW$15</f>
        <v>0</v>
      </c>
      <c r="AD227" s="20">
        <f ca="1">Master_List!$AW$16</f>
        <v>0</v>
      </c>
      <c r="AE227" s="20">
        <f ca="1">Master_List!$AW$17</f>
        <v>0</v>
      </c>
      <c r="AF227" s="20" t="str">
        <f ca="1">Master_List!$AW$18</f>
        <v>INDKOM</v>
      </c>
      <c r="AG227" s="20" t="str">
        <f ca="1">Master_List!$AW$19</f>
        <v>J-SLOTTED</v>
      </c>
      <c r="AH227" s="20" t="str">
        <f ca="1">Master_List!$AW$20</f>
        <v>1600A</v>
      </c>
      <c r="AI227" s="20" t="str">
        <f ca="1">Master_List!$AW$21</f>
        <v>LV5080090</v>
      </c>
      <c r="AJ227" s="20" t="str">
        <f ca="1">Master_List!$AW$22</f>
        <v>LVDB TX1</v>
      </c>
      <c r="AK227" s="20">
        <f ca="1">Master_List!$AW$23</f>
        <v>0</v>
      </c>
      <c r="AL227" s="20">
        <f ca="1">Master_List!$AW$24</f>
        <v>0</v>
      </c>
      <c r="AM227" s="20">
        <f ca="1">Master_List!$AW$25</f>
        <v>0</v>
      </c>
      <c r="AN227" s="20">
        <f ca="1">Master_List!$AW$26</f>
        <v>0</v>
      </c>
      <c r="AO227" s="20" t="str">
        <f ca="1">Master_List!$AW$27</f>
        <v>LVDB TX2</v>
      </c>
      <c r="AP227" s="20" t="str">
        <f ca="1">Master_List!$AW$28</f>
        <v>SUNPOWER TECHNOLOGIES</v>
      </c>
      <c r="AQ227" s="20" t="str">
        <f ca="1">Master_List!$AW$29</f>
        <v>SPS 30-10 L</v>
      </c>
      <c r="AR227" s="20" t="str">
        <f ca="1">Master_List!$AW$30</f>
        <v>11193-8527</v>
      </c>
      <c r="AS227" s="20">
        <f ca="1">Master_List!$AW$31</f>
        <v>0</v>
      </c>
      <c r="AT227" s="20">
        <f ca="1">Master_List!$AW$32</f>
        <v>0</v>
      </c>
      <c r="AU227" s="20">
        <f ca="1">Master_List!$AW$33</f>
        <v>0</v>
      </c>
      <c r="AV227" s="20">
        <f ca="1">Master_List!$AW$34</f>
        <v>0</v>
      </c>
      <c r="AW227" s="20">
        <f ca="1">Master_List!$AW$35</f>
        <v>0</v>
      </c>
      <c r="AX227" s="20">
        <f ca="1">Master_List!$AW$36</f>
        <v>0</v>
      </c>
      <c r="AY227" s="20">
        <f ca="1">Master_List!$AW$37</f>
        <v>0</v>
      </c>
      <c r="AZ227" s="20">
        <f ca="1">Master_List!$AW$38</f>
        <v>0</v>
      </c>
      <c r="BA227" s="20">
        <f ca="1">Master_List!$AW$39</f>
        <v>0</v>
      </c>
      <c r="BB227" s="20" t="s">
        <v>2240</v>
      </c>
      <c r="BC227" s="20" t="s">
        <v>2241</v>
      </c>
      <c r="BD227" s="6" t="s">
        <v>1744</v>
      </c>
      <c r="BE227" s="6" t="s">
        <v>1863</v>
      </c>
      <c r="BF227" s="6" t="s">
        <v>1748</v>
      </c>
      <c r="BG227" s="6" t="str">
        <f t="shared" si="3"/>
        <v>C:\Users\aremi\Desktop\REPORT CBM\PO 42289580 - Pahang 11kV SECOND CYCLE AZZAD 2026\RAW MATERIAL\047. TNB BARU (IR+VI)\RAW DATA\IR</v>
      </c>
      <c r="BH227" s="24" t="s">
        <v>763</v>
      </c>
    </row>
    <row r="228" spans="1:60" ht="30" customHeight="1" x14ac:dyDescent="0.25">
      <c r="A228" s="6">
        <v>114</v>
      </c>
      <c r="B228" s="6" t="s">
        <v>1589</v>
      </c>
      <c r="C228" s="6">
        <v>1</v>
      </c>
      <c r="D228" s="6" t="s">
        <v>2242</v>
      </c>
      <c r="E228" s="6">
        <v>114</v>
      </c>
      <c r="F228" s="6" t="str">
        <f ca="1">Master_List!$AW$1</f>
        <v>PERPUSTAKAAN PUSAT</v>
      </c>
      <c r="G228" s="27" t="str">
        <f ca="1">Master_List!$AW$2</f>
        <v>09:30 PM</v>
      </c>
      <c r="H228" s="32" t="str">
        <f ca="1">Master_List!$AW$3</f>
        <v>20/07/2026</v>
      </c>
      <c r="I228" s="28" t="str">
        <f ca="1">Master_List!$AW$4</f>
        <v>28.5</v>
      </c>
      <c r="J228" s="6" t="str">
        <f ca="1">Master_List!$AW$5</f>
        <v>65</v>
      </c>
      <c r="K228" s="6" t="s">
        <v>585</v>
      </c>
      <c r="L228" s="21" t="str">
        <f ca="1">IFERROR(VLOOKUP(B228, Master_List!$A:$I, 2, FALSE), "-")</f>
        <v/>
      </c>
      <c r="M228" s="22" t="str">
        <f ca="1">IFERROR(VLOOKUP(B228, Master_List!$A:$I, 3, FALSE), "-")</f>
        <v/>
      </c>
      <c r="N228" s="22" t="str">
        <f ca="1">IFERROR(VLOOKUP(B228, Master_List!$A:$I, 4, FALSE), "-")</f>
        <v/>
      </c>
      <c r="O228" s="22" t="str">
        <f ca="1">IFERROR(VLOOKUP(B228, Master_List!$A:$I, 5, FALSE), "-")</f>
        <v/>
      </c>
      <c r="P228" s="22" t="str">
        <f ca="1">IFERROR(VLOOKUP(B228, Master_List!$A:$I, 6, FALSE), "-")</f>
        <v/>
      </c>
      <c r="Q228" s="22" t="str">
        <f ca="1">IFERROR(VLOOKUP(B228, Master_List!$A:$I, 7, FALSE), "-")</f>
        <v/>
      </c>
      <c r="R228" s="22" t="str">
        <f ca="1">IFERROR(VLOOKUP(B228, Master_List!$A:$I, 8, FALSE), "-")</f>
        <v/>
      </c>
      <c r="S228" s="22" t="str">
        <f ca="1">IFERROR(VLOOKUP(B228, Master_List!$A:$I, 9, FALSE), "-")</f>
        <v/>
      </c>
      <c r="T228" s="20" t="str">
        <f ca="1">Master_List!$AW$6</f>
        <v>TOSHIBA</v>
      </c>
      <c r="U228" s="20" t="str">
        <f ca="1">Master_List!$AW$7</f>
        <v>MRMU</v>
      </c>
      <c r="V228" s="20" t="str">
        <f ca="1">Master_List!$AW$8</f>
        <v>12kV</v>
      </c>
      <c r="W228" s="20" t="str">
        <f ca="1">Master_List!$AW$9</f>
        <v>2S1F</v>
      </c>
      <c r="X228" s="20" t="str">
        <f ca="1">Master_List!$AW$10</f>
        <v>MTM</v>
      </c>
      <c r="Y228" s="20" t="str">
        <f ca="1">Master_List!$AW$11</f>
        <v>HERMETICALLY SEAL</v>
      </c>
      <c r="Z228" s="20" t="str">
        <f ca="1">Master_List!$AW$12</f>
        <v>750kVA</v>
      </c>
      <c r="AA228" s="20" t="str">
        <f ca="1">Master_List!$AW$13</f>
        <v>1317</v>
      </c>
      <c r="AB228" s="20">
        <f ca="1">Master_List!$AW$14</f>
        <v>0</v>
      </c>
      <c r="AC228" s="20">
        <f ca="1">Master_List!$AW$15</f>
        <v>0</v>
      </c>
      <c r="AD228" s="20">
        <f ca="1">Master_List!$AW$16</f>
        <v>0</v>
      </c>
      <c r="AE228" s="20">
        <f ca="1">Master_List!$AW$17</f>
        <v>0</v>
      </c>
      <c r="AF228" s="20" t="str">
        <f ca="1">Master_List!$AW$18</f>
        <v>INDKOM</v>
      </c>
      <c r="AG228" s="20" t="str">
        <f ca="1">Master_List!$AW$19</f>
        <v>J-SLOTTED</v>
      </c>
      <c r="AH228" s="20" t="str">
        <f ca="1">Master_List!$AW$20</f>
        <v>1600A</v>
      </c>
      <c r="AI228" s="20" t="str">
        <f ca="1">Master_List!$AW$21</f>
        <v>LV5080090</v>
      </c>
      <c r="AJ228" s="20" t="str">
        <f ca="1">Master_List!$AW$22</f>
        <v>LVDB TX1</v>
      </c>
      <c r="AK228" s="20">
        <f ca="1">Master_List!$AW$23</f>
        <v>0</v>
      </c>
      <c r="AL228" s="20">
        <f ca="1">Master_List!$AW$24</f>
        <v>0</v>
      </c>
      <c r="AM228" s="20">
        <f ca="1">Master_List!$AW$25</f>
        <v>0</v>
      </c>
      <c r="AN228" s="20">
        <f ca="1">Master_List!$AW$26</f>
        <v>0</v>
      </c>
      <c r="AO228" s="20" t="str">
        <f ca="1">Master_List!$AW$27</f>
        <v>LVDB TX2</v>
      </c>
      <c r="AP228" s="20" t="str">
        <f ca="1">Master_List!$AW$28</f>
        <v>SUNPOWER TECHNOLOGIES</v>
      </c>
      <c r="AQ228" s="20" t="str">
        <f ca="1">Master_List!$AW$29</f>
        <v>SPS 30-10 L</v>
      </c>
      <c r="AR228" s="20" t="str">
        <f ca="1">Master_List!$AW$30</f>
        <v>11193-8527</v>
      </c>
      <c r="AS228" s="20">
        <f ca="1">Master_List!$AW$31</f>
        <v>0</v>
      </c>
      <c r="AT228" s="20">
        <f ca="1">Master_List!$AW$32</f>
        <v>0</v>
      </c>
      <c r="AU228" s="20">
        <f ca="1">Master_List!$AW$33</f>
        <v>0</v>
      </c>
      <c r="AV228" s="20">
        <f ca="1">Master_List!$AW$34</f>
        <v>0</v>
      </c>
      <c r="AW228" s="20">
        <f ca="1">Master_List!$AW$35</f>
        <v>0</v>
      </c>
      <c r="AX228" s="20">
        <f ca="1">Master_List!$AW$36</f>
        <v>0</v>
      </c>
      <c r="AY228" s="20">
        <f ca="1">Master_List!$AW$37</f>
        <v>0</v>
      </c>
      <c r="AZ228" s="20">
        <f ca="1">Master_List!$AW$38</f>
        <v>0</v>
      </c>
      <c r="BA228" s="20">
        <f ca="1">Master_List!$AW$39</f>
        <v>0</v>
      </c>
      <c r="BB228" s="20" t="s">
        <v>2240</v>
      </c>
      <c r="BC228" s="20" t="s">
        <v>2241</v>
      </c>
      <c r="BD228" s="6" t="s">
        <v>1744</v>
      </c>
      <c r="BE228" s="6" t="s">
        <v>1864</v>
      </c>
      <c r="BF228" s="6" t="s">
        <v>1746</v>
      </c>
      <c r="BG228" s="6" t="str">
        <f t="shared" si="3"/>
        <v>C:\Users\aremi\Desktop\REPORT CBM\PO 42289580 - Pahang 11kV SECOND CYCLE AZZAD 2026\RAW MATERIAL\047. TNB BARU (IR+VI)\RAW DATA\IR</v>
      </c>
      <c r="BH228" s="24" t="s">
        <v>765</v>
      </c>
    </row>
    <row r="229" spans="1:60" ht="30" customHeight="1" x14ac:dyDescent="0.25">
      <c r="A229" s="6">
        <v>114</v>
      </c>
      <c r="B229" s="6" t="s">
        <v>1589</v>
      </c>
      <c r="C229" s="6">
        <v>1</v>
      </c>
      <c r="D229" s="6" t="s">
        <v>2242</v>
      </c>
      <c r="E229" s="6">
        <v>114</v>
      </c>
      <c r="F229" s="6" t="str">
        <f ca="1">Master_List!$AW$1</f>
        <v>PERPUSTAKAAN PUSAT</v>
      </c>
      <c r="G229" s="27" t="str">
        <f ca="1">Master_List!$AW$2</f>
        <v>09:30 PM</v>
      </c>
      <c r="H229" s="32" t="str">
        <f ca="1">Master_List!$AW$3</f>
        <v>20/07/2026</v>
      </c>
      <c r="I229" s="28" t="str">
        <f ca="1">Master_List!$AW$4</f>
        <v>28.5</v>
      </c>
      <c r="J229" s="6" t="str">
        <f ca="1">Master_List!$AW$5</f>
        <v>65</v>
      </c>
      <c r="K229" s="6" t="s">
        <v>585</v>
      </c>
      <c r="L229" s="21" t="str">
        <f ca="1">IFERROR(VLOOKUP(B229, Master_List!$A:$I, 2, FALSE), "-")</f>
        <v/>
      </c>
      <c r="M229" s="22" t="str">
        <f ca="1">IFERROR(VLOOKUP(B229, Master_List!$A:$I, 3, FALSE), "-")</f>
        <v/>
      </c>
      <c r="N229" s="22" t="str">
        <f ca="1">IFERROR(VLOOKUP(B229, Master_List!$A:$I, 4, FALSE), "-")</f>
        <v/>
      </c>
      <c r="O229" s="22" t="str">
        <f ca="1">IFERROR(VLOOKUP(B229, Master_List!$A:$I, 5, FALSE), "-")</f>
        <v/>
      </c>
      <c r="P229" s="22" t="str">
        <f ca="1">IFERROR(VLOOKUP(B229, Master_List!$A:$I, 6, FALSE), "-")</f>
        <v/>
      </c>
      <c r="Q229" s="22" t="str">
        <f ca="1">IFERROR(VLOOKUP(B229, Master_List!$A:$I, 7, FALSE), "-")</f>
        <v/>
      </c>
      <c r="R229" s="22" t="str">
        <f ca="1">IFERROR(VLOOKUP(B229, Master_List!$A:$I, 8, FALSE), "-")</f>
        <v/>
      </c>
      <c r="S229" s="22" t="str">
        <f ca="1">IFERROR(VLOOKUP(B229, Master_List!$A:$I, 9, FALSE), "-")</f>
        <v/>
      </c>
      <c r="T229" s="20" t="str">
        <f ca="1">Master_List!$AW$6</f>
        <v>TOSHIBA</v>
      </c>
      <c r="U229" s="20" t="str">
        <f ca="1">Master_List!$AW$7</f>
        <v>MRMU</v>
      </c>
      <c r="V229" s="20" t="str">
        <f ca="1">Master_List!$AW$8</f>
        <v>12kV</v>
      </c>
      <c r="W229" s="20" t="str">
        <f ca="1">Master_List!$AW$9</f>
        <v>2S1F</v>
      </c>
      <c r="X229" s="20" t="str">
        <f ca="1">Master_List!$AW$10</f>
        <v>MTM</v>
      </c>
      <c r="Y229" s="20" t="str">
        <f ca="1">Master_List!$AW$11</f>
        <v>HERMETICALLY SEAL</v>
      </c>
      <c r="Z229" s="20" t="str">
        <f ca="1">Master_List!$AW$12</f>
        <v>750kVA</v>
      </c>
      <c r="AA229" s="20" t="str">
        <f ca="1">Master_List!$AW$13</f>
        <v>1317</v>
      </c>
      <c r="AB229" s="20">
        <f ca="1">Master_List!$AW$14</f>
        <v>0</v>
      </c>
      <c r="AC229" s="20">
        <f ca="1">Master_List!$AW$15</f>
        <v>0</v>
      </c>
      <c r="AD229" s="20">
        <f ca="1">Master_List!$AW$16</f>
        <v>0</v>
      </c>
      <c r="AE229" s="20">
        <f ca="1">Master_List!$AW$17</f>
        <v>0</v>
      </c>
      <c r="AF229" s="20" t="str">
        <f ca="1">Master_List!$AW$18</f>
        <v>INDKOM</v>
      </c>
      <c r="AG229" s="20" t="str">
        <f ca="1">Master_List!$AW$19</f>
        <v>J-SLOTTED</v>
      </c>
      <c r="AH229" s="20" t="str">
        <f ca="1">Master_List!$AW$20</f>
        <v>1600A</v>
      </c>
      <c r="AI229" s="20" t="str">
        <f ca="1">Master_List!$AW$21</f>
        <v>LV5080090</v>
      </c>
      <c r="AJ229" s="20" t="str">
        <f ca="1">Master_List!$AW$22</f>
        <v>LVDB TX1</v>
      </c>
      <c r="AK229" s="20">
        <f ca="1">Master_List!$AW$23</f>
        <v>0</v>
      </c>
      <c r="AL229" s="20">
        <f ca="1">Master_List!$AW$24</f>
        <v>0</v>
      </c>
      <c r="AM229" s="20">
        <f ca="1">Master_List!$AW$25</f>
        <v>0</v>
      </c>
      <c r="AN229" s="20">
        <f ca="1">Master_List!$AW$26</f>
        <v>0</v>
      </c>
      <c r="AO229" s="20" t="str">
        <f ca="1">Master_List!$AW$27</f>
        <v>LVDB TX2</v>
      </c>
      <c r="AP229" s="20" t="str">
        <f ca="1">Master_List!$AW$28</f>
        <v>SUNPOWER TECHNOLOGIES</v>
      </c>
      <c r="AQ229" s="20" t="str">
        <f ca="1">Master_List!$AW$29</f>
        <v>SPS 30-10 L</v>
      </c>
      <c r="AR229" s="20" t="str">
        <f ca="1">Master_List!$AW$30</f>
        <v>11193-8527</v>
      </c>
      <c r="AS229" s="20">
        <f ca="1">Master_List!$AW$31</f>
        <v>0</v>
      </c>
      <c r="AT229" s="20">
        <f ca="1">Master_List!$AW$32</f>
        <v>0</v>
      </c>
      <c r="AU229" s="20">
        <f ca="1">Master_List!$AW$33</f>
        <v>0</v>
      </c>
      <c r="AV229" s="20">
        <f ca="1">Master_List!$AW$34</f>
        <v>0</v>
      </c>
      <c r="AW229" s="20">
        <f ca="1">Master_List!$AW$35</f>
        <v>0</v>
      </c>
      <c r="AX229" s="20">
        <f ca="1">Master_List!$AW$36</f>
        <v>0</v>
      </c>
      <c r="AY229" s="20">
        <f ca="1">Master_List!$AW$37</f>
        <v>0</v>
      </c>
      <c r="AZ229" s="20">
        <f ca="1">Master_List!$AW$38</f>
        <v>0</v>
      </c>
      <c r="BA229" s="20">
        <f ca="1">Master_List!$AW$39</f>
        <v>0</v>
      </c>
      <c r="BB229" s="20" t="s">
        <v>2240</v>
      </c>
      <c r="BC229" s="20" t="s">
        <v>2241</v>
      </c>
      <c r="BD229" s="6" t="s">
        <v>1744</v>
      </c>
      <c r="BE229" s="6" t="s">
        <v>1864</v>
      </c>
      <c r="BF229" s="6" t="s">
        <v>1748</v>
      </c>
      <c r="BG229" s="6" t="str">
        <f t="shared" si="3"/>
        <v>C:\Users\aremi\Desktop\REPORT CBM\PO 42289580 - Pahang 11kV SECOND CYCLE AZZAD 2026\RAW MATERIAL\047. TNB BARU (IR+VI)\RAW DATA\IR</v>
      </c>
      <c r="BH229" s="24" t="s">
        <v>766</v>
      </c>
    </row>
    <row r="230" spans="1:60" ht="30" customHeight="1" x14ac:dyDescent="0.25">
      <c r="A230" s="6">
        <v>115</v>
      </c>
      <c r="B230" s="6" t="s">
        <v>1589</v>
      </c>
      <c r="C230" s="6">
        <v>1</v>
      </c>
      <c r="D230" s="6" t="s">
        <v>2243</v>
      </c>
      <c r="E230" s="6">
        <v>115</v>
      </c>
      <c r="F230" s="6" t="str">
        <f ca="1">Master_List!$AW$1</f>
        <v>PERPUSTAKAAN PUSAT</v>
      </c>
      <c r="G230" s="27" t="str">
        <f ca="1">Master_List!$AW$2</f>
        <v>09:30 PM</v>
      </c>
      <c r="H230" s="32" t="str">
        <f ca="1">Master_List!$AW$3</f>
        <v>20/07/2026</v>
      </c>
      <c r="I230" s="28" t="str">
        <f ca="1">Master_List!$AW$4</f>
        <v>28.5</v>
      </c>
      <c r="J230" s="6" t="str">
        <f ca="1">Master_List!$AW$5</f>
        <v>65</v>
      </c>
      <c r="K230" s="6" t="s">
        <v>588</v>
      </c>
      <c r="L230" s="21" t="str">
        <f ca="1">IFERROR(VLOOKUP(B230, Master_List!$A:$I, 2, FALSE), "-")</f>
        <v/>
      </c>
      <c r="M230" s="22" t="str">
        <f ca="1">IFERROR(VLOOKUP(B230, Master_List!$A:$I, 3, FALSE), "-")</f>
        <v/>
      </c>
      <c r="N230" s="22" t="str">
        <f ca="1">IFERROR(VLOOKUP(B230, Master_List!$A:$I, 4, FALSE), "-")</f>
        <v/>
      </c>
      <c r="O230" s="22" t="str">
        <f ca="1">IFERROR(VLOOKUP(B230, Master_List!$A:$I, 5, FALSE), "-")</f>
        <v/>
      </c>
      <c r="P230" s="22" t="str">
        <f ca="1">IFERROR(VLOOKUP(B230, Master_List!$A:$I, 6, FALSE), "-")</f>
        <v/>
      </c>
      <c r="Q230" s="22" t="str">
        <f ca="1">IFERROR(VLOOKUP(B230, Master_List!$A:$I, 7, FALSE), "-")</f>
        <v/>
      </c>
      <c r="R230" s="22" t="str">
        <f ca="1">IFERROR(VLOOKUP(B230, Master_List!$A:$I, 8, FALSE), "-")</f>
        <v/>
      </c>
      <c r="S230" s="22" t="str">
        <f ca="1">IFERROR(VLOOKUP(B230, Master_List!$A:$I, 9, FALSE), "-")</f>
        <v/>
      </c>
      <c r="T230" s="20" t="str">
        <f ca="1">Master_List!$AW$6</f>
        <v>TOSHIBA</v>
      </c>
      <c r="U230" s="20" t="str">
        <f ca="1">Master_List!$AW$7</f>
        <v>MRMU</v>
      </c>
      <c r="V230" s="20" t="str">
        <f ca="1">Master_List!$AW$8</f>
        <v>12kV</v>
      </c>
      <c r="W230" s="20" t="str">
        <f ca="1">Master_List!$AW$9</f>
        <v>2S1F</v>
      </c>
      <c r="X230" s="20" t="str">
        <f ca="1">Master_List!$AW$10</f>
        <v>MTM</v>
      </c>
      <c r="Y230" s="20" t="str">
        <f ca="1">Master_List!$AW$11</f>
        <v>HERMETICALLY SEAL</v>
      </c>
      <c r="Z230" s="20" t="str">
        <f ca="1">Master_List!$AW$12</f>
        <v>750kVA</v>
      </c>
      <c r="AA230" s="20" t="str">
        <f ca="1">Master_List!$AW$13</f>
        <v>1317</v>
      </c>
      <c r="AB230" s="20">
        <f ca="1">Master_List!$AW$14</f>
        <v>0</v>
      </c>
      <c r="AC230" s="20">
        <f ca="1">Master_List!$AW$15</f>
        <v>0</v>
      </c>
      <c r="AD230" s="20">
        <f ca="1">Master_List!$AW$16</f>
        <v>0</v>
      </c>
      <c r="AE230" s="20">
        <f ca="1">Master_List!$AW$17</f>
        <v>0</v>
      </c>
      <c r="AF230" s="20" t="str">
        <f ca="1">Master_List!$AW$18</f>
        <v>INDKOM</v>
      </c>
      <c r="AG230" s="20" t="str">
        <f ca="1">Master_List!$AW$19</f>
        <v>J-SLOTTED</v>
      </c>
      <c r="AH230" s="20" t="str">
        <f ca="1">Master_List!$AW$20</f>
        <v>1600A</v>
      </c>
      <c r="AI230" s="20" t="str">
        <f ca="1">Master_List!$AW$21</f>
        <v>LV5080090</v>
      </c>
      <c r="AJ230" s="20" t="str">
        <f ca="1">Master_List!$AW$22</f>
        <v>LVDB TX1</v>
      </c>
      <c r="AK230" s="20">
        <f ca="1">Master_List!$AW$23</f>
        <v>0</v>
      </c>
      <c r="AL230" s="20">
        <f ca="1">Master_List!$AW$24</f>
        <v>0</v>
      </c>
      <c r="AM230" s="20">
        <f ca="1">Master_List!$AW$25</f>
        <v>0</v>
      </c>
      <c r="AN230" s="20">
        <f ca="1">Master_List!$AW$26</f>
        <v>0</v>
      </c>
      <c r="AO230" s="20" t="str">
        <f ca="1">Master_List!$AW$27</f>
        <v>LVDB TX2</v>
      </c>
      <c r="AP230" s="20" t="str">
        <f ca="1">Master_List!$AW$28</f>
        <v>SUNPOWER TECHNOLOGIES</v>
      </c>
      <c r="AQ230" s="20" t="str">
        <f ca="1">Master_List!$AW$29</f>
        <v>SPS 30-10 L</v>
      </c>
      <c r="AR230" s="20" t="str">
        <f ca="1">Master_List!$AW$30</f>
        <v>11193-8527</v>
      </c>
      <c r="AS230" s="20">
        <f ca="1">Master_List!$AW$31</f>
        <v>0</v>
      </c>
      <c r="AT230" s="20">
        <f ca="1">Master_List!$AW$32</f>
        <v>0</v>
      </c>
      <c r="AU230" s="20">
        <f ca="1">Master_List!$AW$33</f>
        <v>0</v>
      </c>
      <c r="AV230" s="20">
        <f ca="1">Master_List!$AW$34</f>
        <v>0</v>
      </c>
      <c r="AW230" s="20">
        <f ca="1">Master_List!$AW$35</f>
        <v>0</v>
      </c>
      <c r="AX230" s="20">
        <f ca="1">Master_List!$AW$36</f>
        <v>0</v>
      </c>
      <c r="AY230" s="20">
        <f ca="1">Master_List!$AW$37</f>
        <v>0</v>
      </c>
      <c r="AZ230" s="20">
        <f ca="1">Master_List!$AW$38</f>
        <v>0</v>
      </c>
      <c r="BA230" s="20">
        <f ca="1">Master_List!$AW$39</f>
        <v>0</v>
      </c>
      <c r="BB230" s="20" t="s">
        <v>2240</v>
      </c>
      <c r="BC230" s="20" t="s">
        <v>2241</v>
      </c>
      <c r="BD230" s="6" t="s">
        <v>1744</v>
      </c>
      <c r="BE230" s="6" t="s">
        <v>1865</v>
      </c>
      <c r="BF230" s="6" t="s">
        <v>1746</v>
      </c>
      <c r="BG230" s="6" t="str">
        <f t="shared" si="3"/>
        <v>C:\Users\aremi\Desktop\REPORT CBM\PO 42289580 - Pahang 11kV SECOND CYCLE AZZAD 2026\RAW MATERIAL\047. TNB BARU (IR+VI)\RAW DATA\IR</v>
      </c>
      <c r="BH230" s="24" t="s">
        <v>767</v>
      </c>
    </row>
    <row r="231" spans="1:60" ht="30" customHeight="1" x14ac:dyDescent="0.25">
      <c r="A231" s="6">
        <v>115</v>
      </c>
      <c r="B231" s="6" t="s">
        <v>1589</v>
      </c>
      <c r="C231" s="6">
        <v>1</v>
      </c>
      <c r="D231" s="6" t="s">
        <v>2243</v>
      </c>
      <c r="E231" s="6">
        <v>115</v>
      </c>
      <c r="F231" s="6" t="str">
        <f ca="1">Master_List!$AW$1</f>
        <v>PERPUSTAKAAN PUSAT</v>
      </c>
      <c r="G231" s="27" t="str">
        <f ca="1">Master_List!$AW$2</f>
        <v>09:30 PM</v>
      </c>
      <c r="H231" s="32" t="str">
        <f ca="1">Master_List!$AW$3</f>
        <v>20/07/2026</v>
      </c>
      <c r="I231" s="28" t="str">
        <f ca="1">Master_List!$AW$4</f>
        <v>28.5</v>
      </c>
      <c r="J231" s="6" t="str">
        <f ca="1">Master_List!$AW$5</f>
        <v>65</v>
      </c>
      <c r="K231" s="6" t="s">
        <v>588</v>
      </c>
      <c r="L231" s="21" t="str">
        <f ca="1">IFERROR(VLOOKUP(B231, Master_List!$A:$I, 2, FALSE), "-")</f>
        <v/>
      </c>
      <c r="M231" s="22" t="str">
        <f ca="1">IFERROR(VLOOKUP(B231, Master_List!$A:$I, 3, FALSE), "-")</f>
        <v/>
      </c>
      <c r="N231" s="22" t="str">
        <f ca="1">IFERROR(VLOOKUP(B231, Master_List!$A:$I, 4, FALSE), "-")</f>
        <v/>
      </c>
      <c r="O231" s="22" t="str">
        <f ca="1">IFERROR(VLOOKUP(B231, Master_List!$A:$I, 5, FALSE), "-")</f>
        <v/>
      </c>
      <c r="P231" s="22" t="str">
        <f ca="1">IFERROR(VLOOKUP(B231, Master_List!$A:$I, 6, FALSE), "-")</f>
        <v/>
      </c>
      <c r="Q231" s="22" t="str">
        <f ca="1">IFERROR(VLOOKUP(B231, Master_List!$A:$I, 7, FALSE), "-")</f>
        <v/>
      </c>
      <c r="R231" s="22" t="str">
        <f ca="1">IFERROR(VLOOKUP(B231, Master_List!$A:$I, 8, FALSE), "-")</f>
        <v/>
      </c>
      <c r="S231" s="22" t="str">
        <f ca="1">IFERROR(VLOOKUP(B231, Master_List!$A:$I, 9, FALSE), "-")</f>
        <v/>
      </c>
      <c r="T231" s="20" t="str">
        <f ca="1">Master_List!$AW$6</f>
        <v>TOSHIBA</v>
      </c>
      <c r="U231" s="20" t="str">
        <f ca="1">Master_List!$AW$7</f>
        <v>MRMU</v>
      </c>
      <c r="V231" s="20" t="str">
        <f ca="1">Master_List!$AW$8</f>
        <v>12kV</v>
      </c>
      <c r="W231" s="20" t="str">
        <f ca="1">Master_List!$AW$9</f>
        <v>2S1F</v>
      </c>
      <c r="X231" s="20" t="str">
        <f ca="1">Master_List!$AW$10</f>
        <v>MTM</v>
      </c>
      <c r="Y231" s="20" t="str">
        <f ca="1">Master_List!$AW$11</f>
        <v>HERMETICALLY SEAL</v>
      </c>
      <c r="Z231" s="20" t="str">
        <f ca="1">Master_List!$AW$12</f>
        <v>750kVA</v>
      </c>
      <c r="AA231" s="20" t="str">
        <f ca="1">Master_List!$AW$13</f>
        <v>1317</v>
      </c>
      <c r="AB231" s="20">
        <f ca="1">Master_List!$AW$14</f>
        <v>0</v>
      </c>
      <c r="AC231" s="20">
        <f ca="1">Master_List!$AW$15</f>
        <v>0</v>
      </c>
      <c r="AD231" s="20">
        <f ca="1">Master_List!$AW$16</f>
        <v>0</v>
      </c>
      <c r="AE231" s="20">
        <f ca="1">Master_List!$AW$17</f>
        <v>0</v>
      </c>
      <c r="AF231" s="20" t="str">
        <f ca="1">Master_List!$AW$18</f>
        <v>INDKOM</v>
      </c>
      <c r="AG231" s="20" t="str">
        <f ca="1">Master_List!$AW$19</f>
        <v>J-SLOTTED</v>
      </c>
      <c r="AH231" s="20" t="str">
        <f ca="1">Master_List!$AW$20</f>
        <v>1600A</v>
      </c>
      <c r="AI231" s="20" t="str">
        <f ca="1">Master_List!$AW$21</f>
        <v>LV5080090</v>
      </c>
      <c r="AJ231" s="20" t="str">
        <f ca="1">Master_List!$AW$22</f>
        <v>LVDB TX1</v>
      </c>
      <c r="AK231" s="20">
        <f ca="1">Master_List!$AW$23</f>
        <v>0</v>
      </c>
      <c r="AL231" s="20">
        <f ca="1">Master_List!$AW$24</f>
        <v>0</v>
      </c>
      <c r="AM231" s="20">
        <f ca="1">Master_List!$AW$25</f>
        <v>0</v>
      </c>
      <c r="AN231" s="20">
        <f ca="1">Master_List!$AW$26</f>
        <v>0</v>
      </c>
      <c r="AO231" s="20" t="str">
        <f ca="1">Master_List!$AW$27</f>
        <v>LVDB TX2</v>
      </c>
      <c r="AP231" s="20" t="str">
        <f ca="1">Master_List!$AW$28</f>
        <v>SUNPOWER TECHNOLOGIES</v>
      </c>
      <c r="AQ231" s="20" t="str">
        <f ca="1">Master_List!$AW$29</f>
        <v>SPS 30-10 L</v>
      </c>
      <c r="AR231" s="20" t="str">
        <f ca="1">Master_List!$AW$30</f>
        <v>11193-8527</v>
      </c>
      <c r="AS231" s="20">
        <f ca="1">Master_List!$AW$31</f>
        <v>0</v>
      </c>
      <c r="AT231" s="20">
        <f ca="1">Master_List!$AW$32</f>
        <v>0</v>
      </c>
      <c r="AU231" s="20">
        <f ca="1">Master_List!$AW$33</f>
        <v>0</v>
      </c>
      <c r="AV231" s="20">
        <f ca="1">Master_List!$AW$34</f>
        <v>0</v>
      </c>
      <c r="AW231" s="20">
        <f ca="1">Master_List!$AW$35</f>
        <v>0</v>
      </c>
      <c r="AX231" s="20">
        <f ca="1">Master_List!$AW$36</f>
        <v>0</v>
      </c>
      <c r="AY231" s="20">
        <f ca="1">Master_List!$AW$37</f>
        <v>0</v>
      </c>
      <c r="AZ231" s="20">
        <f ca="1">Master_List!$AW$38</f>
        <v>0</v>
      </c>
      <c r="BA231" s="20">
        <f ca="1">Master_List!$AW$39</f>
        <v>0</v>
      </c>
      <c r="BB231" s="20" t="s">
        <v>2240</v>
      </c>
      <c r="BC231" s="20" t="s">
        <v>2241</v>
      </c>
      <c r="BD231" s="6" t="s">
        <v>1744</v>
      </c>
      <c r="BE231" s="6" t="s">
        <v>1865</v>
      </c>
      <c r="BF231" s="6" t="s">
        <v>1748</v>
      </c>
      <c r="BG231" s="6" t="str">
        <f t="shared" si="3"/>
        <v>C:\Users\aremi\Desktop\REPORT CBM\PO 42289580 - Pahang 11kV SECOND CYCLE AZZAD 2026\RAW MATERIAL\047. TNB BARU (IR+VI)\RAW DATA\IR</v>
      </c>
      <c r="BH231" s="24" t="s">
        <v>768</v>
      </c>
    </row>
    <row r="232" spans="1:60" ht="30" customHeight="1" x14ac:dyDescent="0.25">
      <c r="A232" s="6">
        <v>116</v>
      </c>
      <c r="B232" s="6" t="s">
        <v>1589</v>
      </c>
      <c r="C232" s="6">
        <v>1</v>
      </c>
      <c r="D232" s="6" t="s">
        <v>2244</v>
      </c>
      <c r="E232" s="6">
        <v>116</v>
      </c>
      <c r="F232" s="6" t="str">
        <f ca="1">Master_List!$AW$1</f>
        <v>PERPUSTAKAAN PUSAT</v>
      </c>
      <c r="G232" s="27" t="str">
        <f ca="1">Master_List!$AW$2</f>
        <v>09:30 PM</v>
      </c>
      <c r="H232" s="32" t="str">
        <f ca="1">Master_List!$AW$3</f>
        <v>20/07/2026</v>
      </c>
      <c r="I232" s="28" t="str">
        <f ca="1">Master_List!$AW$4</f>
        <v>28.5</v>
      </c>
      <c r="J232" s="6" t="str">
        <f ca="1">Master_List!$AW$5</f>
        <v>65</v>
      </c>
      <c r="K232" s="6" t="s">
        <v>591</v>
      </c>
      <c r="L232" s="21" t="str">
        <f ca="1">IFERROR(VLOOKUP(B232, Master_List!$A:$I, 2, FALSE), "-")</f>
        <v/>
      </c>
      <c r="M232" s="22" t="str">
        <f ca="1">IFERROR(VLOOKUP(B232, Master_List!$A:$I, 3, FALSE), "-")</f>
        <v/>
      </c>
      <c r="N232" s="22" t="str">
        <f ca="1">IFERROR(VLOOKUP(B232, Master_List!$A:$I, 4, FALSE), "-")</f>
        <v/>
      </c>
      <c r="O232" s="22" t="str">
        <f ca="1">IFERROR(VLOOKUP(B232, Master_List!$A:$I, 5, FALSE), "-")</f>
        <v/>
      </c>
      <c r="P232" s="22" t="str">
        <f ca="1">IFERROR(VLOOKUP(B232, Master_List!$A:$I, 6, FALSE), "-")</f>
        <v/>
      </c>
      <c r="Q232" s="22" t="str">
        <f ca="1">IFERROR(VLOOKUP(B232, Master_List!$A:$I, 7, FALSE), "-")</f>
        <v/>
      </c>
      <c r="R232" s="22" t="str">
        <f ca="1">IFERROR(VLOOKUP(B232, Master_List!$A:$I, 8, FALSE), "-")</f>
        <v/>
      </c>
      <c r="S232" s="22" t="str">
        <f ca="1">IFERROR(VLOOKUP(B232, Master_List!$A:$I, 9, FALSE), "-")</f>
        <v/>
      </c>
      <c r="T232" s="20" t="str">
        <f ca="1">Master_List!$AW$6</f>
        <v>TOSHIBA</v>
      </c>
      <c r="U232" s="20" t="str">
        <f ca="1">Master_List!$AW$7</f>
        <v>MRMU</v>
      </c>
      <c r="V232" s="20" t="str">
        <f ca="1">Master_List!$AW$8</f>
        <v>12kV</v>
      </c>
      <c r="W232" s="20" t="str">
        <f ca="1">Master_List!$AW$9</f>
        <v>2S1F</v>
      </c>
      <c r="X232" s="20" t="str">
        <f ca="1">Master_List!$AW$10</f>
        <v>MTM</v>
      </c>
      <c r="Y232" s="20" t="str">
        <f ca="1">Master_List!$AW$11</f>
        <v>HERMETICALLY SEAL</v>
      </c>
      <c r="Z232" s="20" t="str">
        <f ca="1">Master_List!$AW$12</f>
        <v>750kVA</v>
      </c>
      <c r="AA232" s="20" t="str">
        <f ca="1">Master_List!$AW$13</f>
        <v>1317</v>
      </c>
      <c r="AB232" s="20">
        <f ca="1">Master_List!$AW$14</f>
        <v>0</v>
      </c>
      <c r="AC232" s="20">
        <f ca="1">Master_List!$AW$15</f>
        <v>0</v>
      </c>
      <c r="AD232" s="20">
        <f ca="1">Master_List!$AW$16</f>
        <v>0</v>
      </c>
      <c r="AE232" s="20">
        <f ca="1">Master_List!$AW$17</f>
        <v>0</v>
      </c>
      <c r="AF232" s="20" t="str">
        <f ca="1">Master_List!$AW$18</f>
        <v>INDKOM</v>
      </c>
      <c r="AG232" s="20" t="str">
        <f ca="1">Master_List!$AW$19</f>
        <v>J-SLOTTED</v>
      </c>
      <c r="AH232" s="20" t="str">
        <f ca="1">Master_List!$AW$20</f>
        <v>1600A</v>
      </c>
      <c r="AI232" s="20" t="str">
        <f ca="1">Master_List!$AW$21</f>
        <v>LV5080090</v>
      </c>
      <c r="AJ232" s="20" t="str">
        <f ca="1">Master_List!$AW$22</f>
        <v>LVDB TX1</v>
      </c>
      <c r="AK232" s="20">
        <f ca="1">Master_List!$AW$23</f>
        <v>0</v>
      </c>
      <c r="AL232" s="20">
        <f ca="1">Master_List!$AW$24</f>
        <v>0</v>
      </c>
      <c r="AM232" s="20">
        <f ca="1">Master_List!$AW$25</f>
        <v>0</v>
      </c>
      <c r="AN232" s="20">
        <f ca="1">Master_List!$AW$26</f>
        <v>0</v>
      </c>
      <c r="AO232" s="20" t="str">
        <f ca="1">Master_List!$AW$27</f>
        <v>LVDB TX2</v>
      </c>
      <c r="AP232" s="20" t="str">
        <f ca="1">Master_List!$AW$28</f>
        <v>SUNPOWER TECHNOLOGIES</v>
      </c>
      <c r="AQ232" s="20" t="str">
        <f ca="1">Master_List!$AW$29</f>
        <v>SPS 30-10 L</v>
      </c>
      <c r="AR232" s="20" t="str">
        <f ca="1">Master_List!$AW$30</f>
        <v>11193-8527</v>
      </c>
      <c r="AS232" s="20">
        <f ca="1">Master_List!$AW$31</f>
        <v>0</v>
      </c>
      <c r="AT232" s="20">
        <f ca="1">Master_List!$AW$32</f>
        <v>0</v>
      </c>
      <c r="AU232" s="20">
        <f ca="1">Master_List!$AW$33</f>
        <v>0</v>
      </c>
      <c r="AV232" s="20">
        <f ca="1">Master_List!$AW$34</f>
        <v>0</v>
      </c>
      <c r="AW232" s="20">
        <f ca="1">Master_List!$AW$35</f>
        <v>0</v>
      </c>
      <c r="AX232" s="20">
        <f ca="1">Master_List!$AW$36</f>
        <v>0</v>
      </c>
      <c r="AY232" s="20">
        <f ca="1">Master_List!$AW$37</f>
        <v>0</v>
      </c>
      <c r="AZ232" s="20">
        <f ca="1">Master_List!$AW$38</f>
        <v>0</v>
      </c>
      <c r="BA232" s="20">
        <f ca="1">Master_List!$AW$39</f>
        <v>0</v>
      </c>
      <c r="BB232" s="20" t="s">
        <v>2240</v>
      </c>
      <c r="BC232" s="20" t="s">
        <v>2241</v>
      </c>
      <c r="BD232" s="6" t="s">
        <v>1744</v>
      </c>
      <c r="BE232" s="6" t="s">
        <v>1866</v>
      </c>
      <c r="BF232" s="6" t="s">
        <v>1746</v>
      </c>
      <c r="BG232" s="6" t="str">
        <f t="shared" si="3"/>
        <v>C:\Users\aremi\Desktop\REPORT CBM\PO 42289580 - Pahang 11kV SECOND CYCLE AZZAD 2026\RAW MATERIAL\047. TNB BARU (IR+VI)\RAW DATA\IR</v>
      </c>
      <c r="BH232" s="24" t="s">
        <v>769</v>
      </c>
    </row>
    <row r="233" spans="1:60" ht="30" customHeight="1" x14ac:dyDescent="0.25">
      <c r="A233" s="6">
        <v>116</v>
      </c>
      <c r="B233" s="6" t="s">
        <v>1589</v>
      </c>
      <c r="C233" s="6">
        <v>1</v>
      </c>
      <c r="D233" s="6" t="s">
        <v>2244</v>
      </c>
      <c r="E233" s="6">
        <v>116</v>
      </c>
      <c r="F233" s="6" t="str">
        <f ca="1">Master_List!$AW$1</f>
        <v>PERPUSTAKAAN PUSAT</v>
      </c>
      <c r="G233" s="27" t="str">
        <f ca="1">Master_List!$AW$2</f>
        <v>09:30 PM</v>
      </c>
      <c r="H233" s="32" t="str">
        <f ca="1">Master_List!$AW$3</f>
        <v>20/07/2026</v>
      </c>
      <c r="I233" s="28" t="str">
        <f ca="1">Master_List!$AW$4</f>
        <v>28.5</v>
      </c>
      <c r="J233" s="6" t="str">
        <f ca="1">Master_List!$AW$5</f>
        <v>65</v>
      </c>
      <c r="K233" s="6" t="s">
        <v>591</v>
      </c>
      <c r="L233" s="21" t="str">
        <f ca="1">IFERROR(VLOOKUP(B233, Master_List!$A:$I, 2, FALSE), "-")</f>
        <v/>
      </c>
      <c r="M233" s="22" t="str">
        <f ca="1">IFERROR(VLOOKUP(B233, Master_List!$A:$I, 3, FALSE), "-")</f>
        <v/>
      </c>
      <c r="N233" s="22" t="str">
        <f ca="1">IFERROR(VLOOKUP(B233, Master_List!$A:$I, 4, FALSE), "-")</f>
        <v/>
      </c>
      <c r="O233" s="22" t="str">
        <f ca="1">IFERROR(VLOOKUP(B233, Master_List!$A:$I, 5, FALSE), "-")</f>
        <v/>
      </c>
      <c r="P233" s="22" t="str">
        <f ca="1">IFERROR(VLOOKUP(B233, Master_List!$A:$I, 6, FALSE), "-")</f>
        <v/>
      </c>
      <c r="Q233" s="22" t="str">
        <f ca="1">IFERROR(VLOOKUP(B233, Master_List!$A:$I, 7, FALSE), "-")</f>
        <v/>
      </c>
      <c r="R233" s="22" t="str">
        <f ca="1">IFERROR(VLOOKUP(B233, Master_List!$A:$I, 8, FALSE), "-")</f>
        <v/>
      </c>
      <c r="S233" s="22" t="str">
        <f ca="1">IFERROR(VLOOKUP(B233, Master_List!$A:$I, 9, FALSE), "-")</f>
        <v/>
      </c>
      <c r="T233" s="20" t="str">
        <f ca="1">Master_List!$AW$6</f>
        <v>TOSHIBA</v>
      </c>
      <c r="U233" s="20" t="str">
        <f ca="1">Master_List!$AW$7</f>
        <v>MRMU</v>
      </c>
      <c r="V233" s="20" t="str">
        <f ca="1">Master_List!$AW$8</f>
        <v>12kV</v>
      </c>
      <c r="W233" s="20" t="str">
        <f ca="1">Master_List!$AW$9</f>
        <v>2S1F</v>
      </c>
      <c r="X233" s="20" t="str">
        <f ca="1">Master_List!$AW$10</f>
        <v>MTM</v>
      </c>
      <c r="Y233" s="20" t="str">
        <f ca="1">Master_List!$AW$11</f>
        <v>HERMETICALLY SEAL</v>
      </c>
      <c r="Z233" s="20" t="str">
        <f ca="1">Master_List!$AW$12</f>
        <v>750kVA</v>
      </c>
      <c r="AA233" s="20" t="str">
        <f ca="1">Master_List!$AW$13</f>
        <v>1317</v>
      </c>
      <c r="AB233" s="20">
        <f ca="1">Master_List!$AW$14</f>
        <v>0</v>
      </c>
      <c r="AC233" s="20">
        <f ca="1">Master_List!$AW$15</f>
        <v>0</v>
      </c>
      <c r="AD233" s="20">
        <f ca="1">Master_List!$AW$16</f>
        <v>0</v>
      </c>
      <c r="AE233" s="20">
        <f ca="1">Master_List!$AW$17</f>
        <v>0</v>
      </c>
      <c r="AF233" s="20" t="str">
        <f ca="1">Master_List!$AW$18</f>
        <v>INDKOM</v>
      </c>
      <c r="AG233" s="20" t="str">
        <f ca="1">Master_List!$AW$19</f>
        <v>J-SLOTTED</v>
      </c>
      <c r="AH233" s="20" t="str">
        <f ca="1">Master_List!$AW$20</f>
        <v>1600A</v>
      </c>
      <c r="AI233" s="20" t="str">
        <f ca="1">Master_List!$AW$21</f>
        <v>LV5080090</v>
      </c>
      <c r="AJ233" s="20" t="str">
        <f ca="1">Master_List!$AW$22</f>
        <v>LVDB TX1</v>
      </c>
      <c r="AK233" s="20">
        <f ca="1">Master_List!$AW$23</f>
        <v>0</v>
      </c>
      <c r="AL233" s="20">
        <f ca="1">Master_List!$AW$24</f>
        <v>0</v>
      </c>
      <c r="AM233" s="20">
        <f ca="1">Master_List!$AW$25</f>
        <v>0</v>
      </c>
      <c r="AN233" s="20">
        <f ca="1">Master_List!$AW$26</f>
        <v>0</v>
      </c>
      <c r="AO233" s="20" t="str">
        <f ca="1">Master_List!$AW$27</f>
        <v>LVDB TX2</v>
      </c>
      <c r="AP233" s="20" t="str">
        <f ca="1">Master_List!$AW$28</f>
        <v>SUNPOWER TECHNOLOGIES</v>
      </c>
      <c r="AQ233" s="20" t="str">
        <f ca="1">Master_List!$AW$29</f>
        <v>SPS 30-10 L</v>
      </c>
      <c r="AR233" s="20" t="str">
        <f ca="1">Master_List!$AW$30</f>
        <v>11193-8527</v>
      </c>
      <c r="AS233" s="20">
        <f ca="1">Master_List!$AW$31</f>
        <v>0</v>
      </c>
      <c r="AT233" s="20">
        <f ca="1">Master_List!$AW$32</f>
        <v>0</v>
      </c>
      <c r="AU233" s="20">
        <f ca="1">Master_List!$AW$33</f>
        <v>0</v>
      </c>
      <c r="AV233" s="20">
        <f ca="1">Master_List!$AW$34</f>
        <v>0</v>
      </c>
      <c r="AW233" s="20">
        <f ca="1">Master_List!$AW$35</f>
        <v>0</v>
      </c>
      <c r="AX233" s="20">
        <f ca="1">Master_List!$AW$36</f>
        <v>0</v>
      </c>
      <c r="AY233" s="20">
        <f ca="1">Master_List!$AW$37</f>
        <v>0</v>
      </c>
      <c r="AZ233" s="20">
        <f ca="1">Master_List!$AW$38</f>
        <v>0</v>
      </c>
      <c r="BA233" s="20">
        <f ca="1">Master_List!$AW$39</f>
        <v>0</v>
      </c>
      <c r="BB233" s="20" t="s">
        <v>2240</v>
      </c>
      <c r="BC233" s="20" t="s">
        <v>2241</v>
      </c>
      <c r="BD233" s="6" t="s">
        <v>1744</v>
      </c>
      <c r="BE233" s="6" t="s">
        <v>1866</v>
      </c>
      <c r="BF233" s="6" t="s">
        <v>1748</v>
      </c>
      <c r="BG233" s="6" t="str">
        <f t="shared" si="3"/>
        <v>C:\Users\aremi\Desktop\REPORT CBM\PO 42289580 - Pahang 11kV SECOND CYCLE AZZAD 2026\RAW MATERIAL\047. TNB BARU (IR+VI)\RAW DATA\IR</v>
      </c>
      <c r="BH233" s="24" t="s">
        <v>770</v>
      </c>
    </row>
    <row r="234" spans="1:60" ht="30" customHeight="1" x14ac:dyDescent="0.25">
      <c r="A234" s="6">
        <v>117</v>
      </c>
      <c r="B234" s="6" t="s">
        <v>1590</v>
      </c>
      <c r="C234" s="6">
        <v>1</v>
      </c>
      <c r="D234" s="6" t="s">
        <v>2242</v>
      </c>
      <c r="E234" s="6">
        <v>117</v>
      </c>
      <c r="F234" s="6" t="str">
        <f ca="1">Master_List!$AW$1</f>
        <v>PERPUSTAKAAN PUSAT</v>
      </c>
      <c r="G234" s="27" t="str">
        <f ca="1">Master_List!$AW$2</f>
        <v>09:30 PM</v>
      </c>
      <c r="H234" s="32" t="str">
        <f ca="1">Master_List!$AW$3</f>
        <v>20/07/2026</v>
      </c>
      <c r="I234" s="28" t="str">
        <f ca="1">Master_List!$AW$4</f>
        <v>28.5</v>
      </c>
      <c r="J234" s="6" t="str">
        <f ca="1">Master_List!$AW$5</f>
        <v>65</v>
      </c>
      <c r="K234" s="6" t="s">
        <v>570</v>
      </c>
      <c r="L234" s="21" t="str">
        <f ca="1">IFERROR(VLOOKUP(B234, Master_List!$A:$I, 2, FALSE), "-")</f>
        <v/>
      </c>
      <c r="M234" s="22" t="str">
        <f ca="1">IFERROR(VLOOKUP(B234, Master_List!$A:$I, 3, FALSE), "-")</f>
        <v/>
      </c>
      <c r="N234" s="22" t="str">
        <f ca="1">IFERROR(VLOOKUP(B234, Master_List!$A:$I, 4, FALSE), "-")</f>
        <v/>
      </c>
      <c r="O234" s="22" t="str">
        <f ca="1">IFERROR(VLOOKUP(B234, Master_List!$A:$I, 5, FALSE), "-")</f>
        <v/>
      </c>
      <c r="P234" s="22" t="str">
        <f ca="1">IFERROR(VLOOKUP(B234, Master_List!$A:$I, 6, FALSE), "-")</f>
        <v/>
      </c>
      <c r="Q234" s="22" t="str">
        <f ca="1">IFERROR(VLOOKUP(B234, Master_List!$A:$I, 7, FALSE), "-")</f>
        <v/>
      </c>
      <c r="R234" s="22" t="str">
        <f ca="1">IFERROR(VLOOKUP(B234, Master_List!$A:$I, 8, FALSE), "-")</f>
        <v/>
      </c>
      <c r="S234" s="22" t="str">
        <f ca="1">IFERROR(VLOOKUP(B234, Master_List!$A:$I, 9, FALSE), "-")</f>
        <v/>
      </c>
      <c r="T234" s="20" t="str">
        <f ca="1">Master_List!$AW$6</f>
        <v>TOSHIBA</v>
      </c>
      <c r="U234" s="20" t="str">
        <f ca="1">Master_List!$AW$7</f>
        <v>MRMU</v>
      </c>
      <c r="V234" s="20" t="str">
        <f ca="1">Master_List!$AW$8</f>
        <v>12kV</v>
      </c>
      <c r="W234" s="20" t="str">
        <f ca="1">Master_List!$AW$9</f>
        <v>2S1F</v>
      </c>
      <c r="X234" s="20" t="str">
        <f ca="1">Master_List!$AW$10</f>
        <v>MTM</v>
      </c>
      <c r="Y234" s="20" t="str">
        <f ca="1">Master_List!$AW$11</f>
        <v>HERMETICALLY SEAL</v>
      </c>
      <c r="Z234" s="20" t="str">
        <f ca="1">Master_List!$AW$12</f>
        <v>750kVA</v>
      </c>
      <c r="AA234" s="20" t="str">
        <f ca="1">Master_List!$AW$13</f>
        <v>1317</v>
      </c>
      <c r="AB234" s="20">
        <f ca="1">Master_List!$AW$14</f>
        <v>0</v>
      </c>
      <c r="AC234" s="20">
        <f ca="1">Master_List!$AW$15</f>
        <v>0</v>
      </c>
      <c r="AD234" s="20">
        <f ca="1">Master_List!$AW$16</f>
        <v>0</v>
      </c>
      <c r="AE234" s="20">
        <f ca="1">Master_List!$AW$17</f>
        <v>0</v>
      </c>
      <c r="AF234" s="20" t="str">
        <f ca="1">Master_List!$AW$18</f>
        <v>INDKOM</v>
      </c>
      <c r="AG234" s="20" t="str">
        <f ca="1">Master_List!$AW$19</f>
        <v>J-SLOTTED</v>
      </c>
      <c r="AH234" s="20" t="str">
        <f ca="1">Master_List!$AW$20</f>
        <v>1600A</v>
      </c>
      <c r="AI234" s="20" t="str">
        <f ca="1">Master_List!$AW$21</f>
        <v>LV5080090</v>
      </c>
      <c r="AJ234" s="20" t="str">
        <f ca="1">Master_List!$AW$22</f>
        <v>LVDB TX1</v>
      </c>
      <c r="AK234" s="20">
        <f ca="1">Master_List!$AW$23</f>
        <v>0</v>
      </c>
      <c r="AL234" s="20">
        <f ca="1">Master_List!$AW$24</f>
        <v>0</v>
      </c>
      <c r="AM234" s="20">
        <f ca="1">Master_List!$AW$25</f>
        <v>0</v>
      </c>
      <c r="AN234" s="20">
        <f ca="1">Master_List!$AW$26</f>
        <v>0</v>
      </c>
      <c r="AO234" s="20" t="str">
        <f ca="1">Master_List!$AW$27</f>
        <v>LVDB TX2</v>
      </c>
      <c r="AP234" s="20" t="str">
        <f ca="1">Master_List!$AW$28</f>
        <v>SUNPOWER TECHNOLOGIES</v>
      </c>
      <c r="AQ234" s="20" t="str">
        <f ca="1">Master_List!$AW$29</f>
        <v>SPS 30-10 L</v>
      </c>
      <c r="AR234" s="20" t="str">
        <f ca="1">Master_List!$AW$30</f>
        <v>11193-8527</v>
      </c>
      <c r="AS234" s="20">
        <f ca="1">Master_List!$AW$31</f>
        <v>0</v>
      </c>
      <c r="AT234" s="20">
        <f ca="1">Master_List!$AW$32</f>
        <v>0</v>
      </c>
      <c r="AU234" s="20">
        <f ca="1">Master_List!$AW$33</f>
        <v>0</v>
      </c>
      <c r="AV234" s="20">
        <f ca="1">Master_List!$AW$34</f>
        <v>0</v>
      </c>
      <c r="AW234" s="20">
        <f ca="1">Master_List!$AW$35</f>
        <v>0</v>
      </c>
      <c r="AX234" s="20">
        <f ca="1">Master_List!$AW$36</f>
        <v>0</v>
      </c>
      <c r="AY234" s="20">
        <f ca="1">Master_List!$AW$37</f>
        <v>0</v>
      </c>
      <c r="AZ234" s="20">
        <f ca="1">Master_List!$AW$38</f>
        <v>0</v>
      </c>
      <c r="BA234" s="20">
        <f ca="1">Master_List!$AW$39</f>
        <v>0</v>
      </c>
      <c r="BB234" s="20" t="s">
        <v>2240</v>
      </c>
      <c r="BC234" s="20" t="s">
        <v>2241</v>
      </c>
      <c r="BD234" s="6" t="s">
        <v>1744</v>
      </c>
      <c r="BE234" s="6" t="s">
        <v>1867</v>
      </c>
      <c r="BF234" s="6" t="s">
        <v>1746</v>
      </c>
      <c r="BG234" s="6" t="str">
        <f t="shared" si="3"/>
        <v>C:\Users\aremi\Desktop\REPORT CBM\PO 42289580 - Pahang 11kV SECOND CYCLE AZZAD 2026\RAW MATERIAL\047. TNB BARU (IR+VI)\RAW DATA\IR</v>
      </c>
      <c r="BH234" s="24" t="s">
        <v>771</v>
      </c>
    </row>
    <row r="235" spans="1:60" ht="30" customHeight="1" x14ac:dyDescent="0.25">
      <c r="A235" s="6">
        <v>117</v>
      </c>
      <c r="B235" s="6" t="s">
        <v>1590</v>
      </c>
      <c r="C235" s="6">
        <v>1</v>
      </c>
      <c r="D235" s="6" t="s">
        <v>2242</v>
      </c>
      <c r="E235" s="6">
        <v>117</v>
      </c>
      <c r="F235" s="6" t="str">
        <f ca="1">Master_List!$AW$1</f>
        <v>PERPUSTAKAAN PUSAT</v>
      </c>
      <c r="G235" s="27" t="str">
        <f ca="1">Master_List!$AW$2</f>
        <v>09:30 PM</v>
      </c>
      <c r="H235" s="32" t="str">
        <f ca="1">Master_List!$AW$3</f>
        <v>20/07/2026</v>
      </c>
      <c r="I235" s="28" t="str">
        <f ca="1">Master_List!$AW$4</f>
        <v>28.5</v>
      </c>
      <c r="J235" s="6" t="str">
        <f ca="1">Master_List!$AW$5</f>
        <v>65</v>
      </c>
      <c r="K235" s="6" t="s">
        <v>570</v>
      </c>
      <c r="L235" s="21" t="str">
        <f ca="1">IFERROR(VLOOKUP(B235, Master_List!$A:$I, 2, FALSE), "-")</f>
        <v/>
      </c>
      <c r="M235" s="22" t="str">
        <f ca="1">IFERROR(VLOOKUP(B235, Master_List!$A:$I, 3, FALSE), "-")</f>
        <v/>
      </c>
      <c r="N235" s="22" t="str">
        <f ca="1">IFERROR(VLOOKUP(B235, Master_List!$A:$I, 4, FALSE), "-")</f>
        <v/>
      </c>
      <c r="O235" s="22" t="str">
        <f ca="1">IFERROR(VLOOKUP(B235, Master_List!$A:$I, 5, FALSE), "-")</f>
        <v/>
      </c>
      <c r="P235" s="22" t="str">
        <f ca="1">IFERROR(VLOOKUP(B235, Master_List!$A:$I, 6, FALSE), "-")</f>
        <v/>
      </c>
      <c r="Q235" s="22" t="str">
        <f ca="1">IFERROR(VLOOKUP(B235, Master_List!$A:$I, 7, FALSE), "-")</f>
        <v/>
      </c>
      <c r="R235" s="22" t="str">
        <f ca="1">IFERROR(VLOOKUP(B235, Master_List!$A:$I, 8, FALSE), "-")</f>
        <v/>
      </c>
      <c r="S235" s="22" t="str">
        <f ca="1">IFERROR(VLOOKUP(B235, Master_List!$A:$I, 9, FALSE), "-")</f>
        <v/>
      </c>
      <c r="T235" s="20" t="str">
        <f ca="1">Master_List!$AW$6</f>
        <v>TOSHIBA</v>
      </c>
      <c r="U235" s="20" t="str">
        <f ca="1">Master_List!$AW$7</f>
        <v>MRMU</v>
      </c>
      <c r="V235" s="20" t="str">
        <f ca="1">Master_List!$AW$8</f>
        <v>12kV</v>
      </c>
      <c r="W235" s="20" t="str">
        <f ca="1">Master_List!$AW$9</f>
        <v>2S1F</v>
      </c>
      <c r="X235" s="20" t="str">
        <f ca="1">Master_List!$AW$10</f>
        <v>MTM</v>
      </c>
      <c r="Y235" s="20" t="str">
        <f ca="1">Master_List!$AW$11</f>
        <v>HERMETICALLY SEAL</v>
      </c>
      <c r="Z235" s="20" t="str">
        <f ca="1">Master_List!$AW$12</f>
        <v>750kVA</v>
      </c>
      <c r="AA235" s="20" t="str">
        <f ca="1">Master_List!$AW$13</f>
        <v>1317</v>
      </c>
      <c r="AB235" s="20">
        <f ca="1">Master_List!$AW$14</f>
        <v>0</v>
      </c>
      <c r="AC235" s="20">
        <f ca="1">Master_List!$AW$15</f>
        <v>0</v>
      </c>
      <c r="AD235" s="20">
        <f ca="1">Master_List!$AW$16</f>
        <v>0</v>
      </c>
      <c r="AE235" s="20">
        <f ca="1">Master_List!$AW$17</f>
        <v>0</v>
      </c>
      <c r="AF235" s="20" t="str">
        <f ca="1">Master_List!$AW$18</f>
        <v>INDKOM</v>
      </c>
      <c r="AG235" s="20" t="str">
        <f ca="1">Master_List!$AW$19</f>
        <v>J-SLOTTED</v>
      </c>
      <c r="AH235" s="20" t="str">
        <f ca="1">Master_List!$AW$20</f>
        <v>1600A</v>
      </c>
      <c r="AI235" s="20" t="str">
        <f ca="1">Master_List!$AW$21</f>
        <v>LV5080090</v>
      </c>
      <c r="AJ235" s="20" t="str">
        <f ca="1">Master_List!$AW$22</f>
        <v>LVDB TX1</v>
      </c>
      <c r="AK235" s="20">
        <f ca="1">Master_List!$AW$23</f>
        <v>0</v>
      </c>
      <c r="AL235" s="20">
        <f ca="1">Master_List!$AW$24</f>
        <v>0</v>
      </c>
      <c r="AM235" s="20">
        <f ca="1">Master_List!$AW$25</f>
        <v>0</v>
      </c>
      <c r="AN235" s="20">
        <f ca="1">Master_List!$AW$26</f>
        <v>0</v>
      </c>
      <c r="AO235" s="20" t="str">
        <f ca="1">Master_List!$AW$27</f>
        <v>LVDB TX2</v>
      </c>
      <c r="AP235" s="20" t="str">
        <f ca="1">Master_List!$AW$28</f>
        <v>SUNPOWER TECHNOLOGIES</v>
      </c>
      <c r="AQ235" s="20" t="str">
        <f ca="1">Master_List!$AW$29</f>
        <v>SPS 30-10 L</v>
      </c>
      <c r="AR235" s="20" t="str">
        <f ca="1">Master_List!$AW$30</f>
        <v>11193-8527</v>
      </c>
      <c r="AS235" s="20">
        <f ca="1">Master_List!$AW$31</f>
        <v>0</v>
      </c>
      <c r="AT235" s="20">
        <f ca="1">Master_List!$AW$32</f>
        <v>0</v>
      </c>
      <c r="AU235" s="20">
        <f ca="1">Master_List!$AW$33</f>
        <v>0</v>
      </c>
      <c r="AV235" s="20">
        <f ca="1">Master_List!$AW$34</f>
        <v>0</v>
      </c>
      <c r="AW235" s="20">
        <f ca="1">Master_List!$AW$35</f>
        <v>0</v>
      </c>
      <c r="AX235" s="20">
        <f ca="1">Master_List!$AW$36</f>
        <v>0</v>
      </c>
      <c r="AY235" s="20">
        <f ca="1">Master_List!$AW$37</f>
        <v>0</v>
      </c>
      <c r="AZ235" s="20">
        <f ca="1">Master_List!$AW$38</f>
        <v>0</v>
      </c>
      <c r="BA235" s="20">
        <f ca="1">Master_List!$AW$39</f>
        <v>0</v>
      </c>
      <c r="BB235" s="20" t="s">
        <v>2240</v>
      </c>
      <c r="BC235" s="20" t="s">
        <v>2241</v>
      </c>
      <c r="BD235" s="6" t="s">
        <v>1744</v>
      </c>
      <c r="BE235" s="6" t="s">
        <v>1867</v>
      </c>
      <c r="BF235" s="6" t="s">
        <v>1748</v>
      </c>
      <c r="BG235" s="6" t="str">
        <f t="shared" si="3"/>
        <v>C:\Users\aremi\Desktop\REPORT CBM\PO 42289580 - Pahang 11kV SECOND CYCLE AZZAD 2026\RAW MATERIAL\047. TNB BARU (IR+VI)\RAW DATA\IR</v>
      </c>
      <c r="BH235" s="24" t="s">
        <v>772</v>
      </c>
    </row>
    <row r="236" spans="1:60" ht="30" customHeight="1" x14ac:dyDescent="0.25">
      <c r="A236" s="6">
        <v>118</v>
      </c>
      <c r="B236" s="6" t="s">
        <v>1590</v>
      </c>
      <c r="C236" s="6">
        <v>1</v>
      </c>
      <c r="D236" s="6" t="s">
        <v>2242</v>
      </c>
      <c r="E236" s="6">
        <v>118</v>
      </c>
      <c r="F236" s="6" t="str">
        <f ca="1">Master_List!$AW$1</f>
        <v>PERPUSTAKAAN PUSAT</v>
      </c>
      <c r="G236" s="27" t="str">
        <f ca="1">Master_List!$AW$2</f>
        <v>09:30 PM</v>
      </c>
      <c r="H236" s="32" t="str">
        <f ca="1">Master_List!$AW$3</f>
        <v>20/07/2026</v>
      </c>
      <c r="I236" s="28" t="str">
        <f ca="1">Master_List!$AW$4</f>
        <v>28.5</v>
      </c>
      <c r="J236" s="6" t="str">
        <f ca="1">Master_List!$AW$5</f>
        <v>65</v>
      </c>
      <c r="K236" s="6" t="s">
        <v>573</v>
      </c>
      <c r="L236" s="21" t="str">
        <f ca="1">IFERROR(VLOOKUP(B236, Master_List!$A:$I, 2, FALSE), "-")</f>
        <v/>
      </c>
      <c r="M236" s="22" t="str">
        <f ca="1">IFERROR(VLOOKUP(B236, Master_List!$A:$I, 3, FALSE), "-")</f>
        <v/>
      </c>
      <c r="N236" s="22" t="str">
        <f ca="1">IFERROR(VLOOKUP(B236, Master_List!$A:$I, 4, FALSE), "-")</f>
        <v/>
      </c>
      <c r="O236" s="22" t="str">
        <f ca="1">IFERROR(VLOOKUP(B236, Master_List!$A:$I, 5, FALSE), "-")</f>
        <v/>
      </c>
      <c r="P236" s="22" t="str">
        <f ca="1">IFERROR(VLOOKUP(B236, Master_List!$A:$I, 6, FALSE), "-")</f>
        <v/>
      </c>
      <c r="Q236" s="22" t="str">
        <f ca="1">IFERROR(VLOOKUP(B236, Master_List!$A:$I, 7, FALSE), "-")</f>
        <v/>
      </c>
      <c r="R236" s="22" t="str">
        <f ca="1">IFERROR(VLOOKUP(B236, Master_List!$A:$I, 8, FALSE), "-")</f>
        <v/>
      </c>
      <c r="S236" s="22" t="str">
        <f ca="1">IFERROR(VLOOKUP(B236, Master_List!$A:$I, 9, FALSE), "-")</f>
        <v/>
      </c>
      <c r="T236" s="20" t="str">
        <f ca="1">Master_List!$AW$6</f>
        <v>TOSHIBA</v>
      </c>
      <c r="U236" s="20" t="str">
        <f ca="1">Master_List!$AW$7</f>
        <v>MRMU</v>
      </c>
      <c r="V236" s="20" t="str">
        <f ca="1">Master_List!$AW$8</f>
        <v>12kV</v>
      </c>
      <c r="W236" s="20" t="str">
        <f ca="1">Master_List!$AW$9</f>
        <v>2S1F</v>
      </c>
      <c r="X236" s="20" t="str">
        <f ca="1">Master_List!$AW$10</f>
        <v>MTM</v>
      </c>
      <c r="Y236" s="20" t="str">
        <f ca="1">Master_List!$AW$11</f>
        <v>HERMETICALLY SEAL</v>
      </c>
      <c r="Z236" s="20" t="str">
        <f ca="1">Master_List!$AW$12</f>
        <v>750kVA</v>
      </c>
      <c r="AA236" s="20" t="str">
        <f ca="1">Master_List!$AW$13</f>
        <v>1317</v>
      </c>
      <c r="AB236" s="20">
        <f ca="1">Master_List!$AW$14</f>
        <v>0</v>
      </c>
      <c r="AC236" s="20">
        <f ca="1">Master_List!$AW$15</f>
        <v>0</v>
      </c>
      <c r="AD236" s="20">
        <f ca="1">Master_List!$AW$16</f>
        <v>0</v>
      </c>
      <c r="AE236" s="20">
        <f ca="1">Master_List!$AW$17</f>
        <v>0</v>
      </c>
      <c r="AF236" s="20" t="str">
        <f ca="1">Master_List!$AW$18</f>
        <v>INDKOM</v>
      </c>
      <c r="AG236" s="20" t="str">
        <f ca="1">Master_List!$AW$19</f>
        <v>J-SLOTTED</v>
      </c>
      <c r="AH236" s="20" t="str">
        <f ca="1">Master_List!$AW$20</f>
        <v>1600A</v>
      </c>
      <c r="AI236" s="20" t="str">
        <f ca="1">Master_List!$AW$21</f>
        <v>LV5080090</v>
      </c>
      <c r="AJ236" s="20" t="str">
        <f ca="1">Master_List!$AW$22</f>
        <v>LVDB TX1</v>
      </c>
      <c r="AK236" s="20">
        <f ca="1">Master_List!$AW$23</f>
        <v>0</v>
      </c>
      <c r="AL236" s="20">
        <f ca="1">Master_List!$AW$24</f>
        <v>0</v>
      </c>
      <c r="AM236" s="20">
        <f ca="1">Master_List!$AW$25</f>
        <v>0</v>
      </c>
      <c r="AN236" s="20">
        <f ca="1">Master_List!$AW$26</f>
        <v>0</v>
      </c>
      <c r="AO236" s="20" t="str">
        <f ca="1">Master_List!$AW$27</f>
        <v>LVDB TX2</v>
      </c>
      <c r="AP236" s="20" t="str">
        <f ca="1">Master_List!$AW$28</f>
        <v>SUNPOWER TECHNOLOGIES</v>
      </c>
      <c r="AQ236" s="20" t="str">
        <f ca="1">Master_List!$AW$29</f>
        <v>SPS 30-10 L</v>
      </c>
      <c r="AR236" s="20" t="str">
        <f ca="1">Master_List!$AW$30</f>
        <v>11193-8527</v>
      </c>
      <c r="AS236" s="20">
        <f ca="1">Master_List!$AW$31</f>
        <v>0</v>
      </c>
      <c r="AT236" s="20">
        <f ca="1">Master_List!$AW$32</f>
        <v>0</v>
      </c>
      <c r="AU236" s="20">
        <f ca="1">Master_List!$AW$33</f>
        <v>0</v>
      </c>
      <c r="AV236" s="20">
        <f ca="1">Master_List!$AW$34</f>
        <v>0</v>
      </c>
      <c r="AW236" s="20">
        <f ca="1">Master_List!$AW$35</f>
        <v>0</v>
      </c>
      <c r="AX236" s="20">
        <f ca="1">Master_List!$AW$36</f>
        <v>0</v>
      </c>
      <c r="AY236" s="20">
        <f ca="1">Master_List!$AW$37</f>
        <v>0</v>
      </c>
      <c r="AZ236" s="20">
        <f ca="1">Master_List!$AW$38</f>
        <v>0</v>
      </c>
      <c r="BA236" s="20">
        <f ca="1">Master_List!$AW$39</f>
        <v>0</v>
      </c>
      <c r="BB236" s="20" t="s">
        <v>2240</v>
      </c>
      <c r="BC236" s="20" t="s">
        <v>2241</v>
      </c>
      <c r="BD236" s="6" t="s">
        <v>1744</v>
      </c>
      <c r="BE236" s="6" t="s">
        <v>1868</v>
      </c>
      <c r="BF236" s="6" t="s">
        <v>1746</v>
      </c>
      <c r="BG236" s="6" t="str">
        <f t="shared" si="3"/>
        <v>C:\Users\aremi\Desktop\REPORT CBM\PO 42289580 - Pahang 11kV SECOND CYCLE AZZAD 2026\RAW MATERIAL\047. TNB BARU (IR+VI)\RAW DATA\IR</v>
      </c>
      <c r="BH236" s="24" t="s">
        <v>773</v>
      </c>
    </row>
    <row r="237" spans="1:60" ht="30" customHeight="1" x14ac:dyDescent="0.25">
      <c r="A237" s="6">
        <v>118</v>
      </c>
      <c r="B237" s="6" t="s">
        <v>1590</v>
      </c>
      <c r="C237" s="6">
        <v>1</v>
      </c>
      <c r="D237" s="6" t="s">
        <v>2242</v>
      </c>
      <c r="E237" s="6">
        <v>118</v>
      </c>
      <c r="F237" s="6" t="str">
        <f ca="1">Master_List!$AW$1</f>
        <v>PERPUSTAKAAN PUSAT</v>
      </c>
      <c r="G237" s="27" t="str">
        <f ca="1">Master_List!$AW$2</f>
        <v>09:30 PM</v>
      </c>
      <c r="H237" s="32" t="str">
        <f ca="1">Master_List!$AW$3</f>
        <v>20/07/2026</v>
      </c>
      <c r="I237" s="28" t="str">
        <f ca="1">Master_List!$AW$4</f>
        <v>28.5</v>
      </c>
      <c r="J237" s="6" t="str">
        <f ca="1">Master_List!$AW$5</f>
        <v>65</v>
      </c>
      <c r="K237" s="6" t="s">
        <v>573</v>
      </c>
      <c r="L237" s="21" t="str">
        <f ca="1">IFERROR(VLOOKUP(B237, Master_List!$A:$I, 2, FALSE), "-")</f>
        <v/>
      </c>
      <c r="M237" s="22" t="str">
        <f ca="1">IFERROR(VLOOKUP(B237, Master_List!$A:$I, 3, FALSE), "-")</f>
        <v/>
      </c>
      <c r="N237" s="22" t="str">
        <f ca="1">IFERROR(VLOOKUP(B237, Master_List!$A:$I, 4, FALSE), "-")</f>
        <v/>
      </c>
      <c r="O237" s="22" t="str">
        <f ca="1">IFERROR(VLOOKUP(B237, Master_List!$A:$I, 5, FALSE), "-")</f>
        <v/>
      </c>
      <c r="P237" s="22" t="str">
        <f ca="1">IFERROR(VLOOKUP(B237, Master_List!$A:$I, 6, FALSE), "-")</f>
        <v/>
      </c>
      <c r="Q237" s="22" t="str">
        <f ca="1">IFERROR(VLOOKUP(B237, Master_List!$A:$I, 7, FALSE), "-")</f>
        <v/>
      </c>
      <c r="R237" s="22" t="str">
        <f ca="1">IFERROR(VLOOKUP(B237, Master_List!$A:$I, 8, FALSE), "-")</f>
        <v/>
      </c>
      <c r="S237" s="22" t="str">
        <f ca="1">IFERROR(VLOOKUP(B237, Master_List!$A:$I, 9, FALSE), "-")</f>
        <v/>
      </c>
      <c r="T237" s="20" t="str">
        <f ca="1">Master_List!$AW$6</f>
        <v>TOSHIBA</v>
      </c>
      <c r="U237" s="20" t="str">
        <f ca="1">Master_List!$AW$7</f>
        <v>MRMU</v>
      </c>
      <c r="V237" s="20" t="str">
        <f ca="1">Master_List!$AW$8</f>
        <v>12kV</v>
      </c>
      <c r="W237" s="20" t="str">
        <f ca="1">Master_List!$AW$9</f>
        <v>2S1F</v>
      </c>
      <c r="X237" s="20" t="str">
        <f ca="1">Master_List!$AW$10</f>
        <v>MTM</v>
      </c>
      <c r="Y237" s="20" t="str">
        <f ca="1">Master_List!$AW$11</f>
        <v>HERMETICALLY SEAL</v>
      </c>
      <c r="Z237" s="20" t="str">
        <f ca="1">Master_List!$AW$12</f>
        <v>750kVA</v>
      </c>
      <c r="AA237" s="20" t="str">
        <f ca="1">Master_List!$AW$13</f>
        <v>1317</v>
      </c>
      <c r="AB237" s="20">
        <f ca="1">Master_List!$AW$14</f>
        <v>0</v>
      </c>
      <c r="AC237" s="20">
        <f ca="1">Master_List!$AW$15</f>
        <v>0</v>
      </c>
      <c r="AD237" s="20">
        <f ca="1">Master_List!$AW$16</f>
        <v>0</v>
      </c>
      <c r="AE237" s="20">
        <f ca="1">Master_List!$AW$17</f>
        <v>0</v>
      </c>
      <c r="AF237" s="20" t="str">
        <f ca="1">Master_List!$AW$18</f>
        <v>INDKOM</v>
      </c>
      <c r="AG237" s="20" t="str">
        <f ca="1">Master_List!$AW$19</f>
        <v>J-SLOTTED</v>
      </c>
      <c r="AH237" s="20" t="str">
        <f ca="1">Master_List!$AW$20</f>
        <v>1600A</v>
      </c>
      <c r="AI237" s="20" t="str">
        <f ca="1">Master_List!$AW$21</f>
        <v>LV5080090</v>
      </c>
      <c r="AJ237" s="20" t="str">
        <f ca="1">Master_List!$AW$22</f>
        <v>LVDB TX1</v>
      </c>
      <c r="AK237" s="20">
        <f ca="1">Master_List!$AW$23</f>
        <v>0</v>
      </c>
      <c r="AL237" s="20">
        <f ca="1">Master_List!$AW$24</f>
        <v>0</v>
      </c>
      <c r="AM237" s="20">
        <f ca="1">Master_List!$AW$25</f>
        <v>0</v>
      </c>
      <c r="AN237" s="20">
        <f ca="1">Master_List!$AW$26</f>
        <v>0</v>
      </c>
      <c r="AO237" s="20" t="str">
        <f ca="1">Master_List!$AW$27</f>
        <v>LVDB TX2</v>
      </c>
      <c r="AP237" s="20" t="str">
        <f ca="1">Master_List!$AW$28</f>
        <v>SUNPOWER TECHNOLOGIES</v>
      </c>
      <c r="AQ237" s="20" t="str">
        <f ca="1">Master_List!$AW$29</f>
        <v>SPS 30-10 L</v>
      </c>
      <c r="AR237" s="20" t="str">
        <f ca="1">Master_List!$AW$30</f>
        <v>11193-8527</v>
      </c>
      <c r="AS237" s="20">
        <f ca="1">Master_List!$AW$31</f>
        <v>0</v>
      </c>
      <c r="AT237" s="20">
        <f ca="1">Master_List!$AW$32</f>
        <v>0</v>
      </c>
      <c r="AU237" s="20">
        <f ca="1">Master_List!$AW$33</f>
        <v>0</v>
      </c>
      <c r="AV237" s="20">
        <f ca="1">Master_List!$AW$34</f>
        <v>0</v>
      </c>
      <c r="AW237" s="20">
        <f ca="1">Master_List!$AW$35</f>
        <v>0</v>
      </c>
      <c r="AX237" s="20">
        <f ca="1">Master_List!$AW$36</f>
        <v>0</v>
      </c>
      <c r="AY237" s="20">
        <f ca="1">Master_List!$AW$37</f>
        <v>0</v>
      </c>
      <c r="AZ237" s="20">
        <f ca="1">Master_List!$AW$38</f>
        <v>0</v>
      </c>
      <c r="BA237" s="20">
        <f ca="1">Master_List!$AW$39</f>
        <v>0</v>
      </c>
      <c r="BB237" s="20" t="s">
        <v>2240</v>
      </c>
      <c r="BC237" s="20" t="s">
        <v>2241</v>
      </c>
      <c r="BD237" s="6" t="s">
        <v>1744</v>
      </c>
      <c r="BE237" s="6" t="s">
        <v>1868</v>
      </c>
      <c r="BF237" s="6" t="s">
        <v>1748</v>
      </c>
      <c r="BG237" s="6" t="str">
        <f t="shared" si="3"/>
        <v>C:\Users\aremi\Desktop\REPORT CBM\PO 42289580 - Pahang 11kV SECOND CYCLE AZZAD 2026\RAW MATERIAL\047. TNB BARU (IR+VI)\RAW DATA\IR</v>
      </c>
      <c r="BH237" s="24" t="s">
        <v>774</v>
      </c>
    </row>
    <row r="238" spans="1:60" ht="30" customHeight="1" x14ac:dyDescent="0.25">
      <c r="A238" s="6">
        <v>119</v>
      </c>
      <c r="B238" s="6" t="s">
        <v>1590</v>
      </c>
      <c r="C238" s="6">
        <v>1</v>
      </c>
      <c r="D238" s="6" t="s">
        <v>2242</v>
      </c>
      <c r="E238" s="6">
        <v>119</v>
      </c>
      <c r="F238" s="6" t="str">
        <f ca="1">Master_List!$AW$1</f>
        <v>PERPUSTAKAAN PUSAT</v>
      </c>
      <c r="G238" s="27" t="str">
        <f ca="1">Master_List!$AW$2</f>
        <v>09:30 PM</v>
      </c>
      <c r="H238" s="32" t="str">
        <f ca="1">Master_List!$AW$3</f>
        <v>20/07/2026</v>
      </c>
      <c r="I238" s="28" t="str">
        <f ca="1">Master_List!$AW$4</f>
        <v>28.5</v>
      </c>
      <c r="J238" s="6" t="str">
        <f ca="1">Master_List!$AW$5</f>
        <v>65</v>
      </c>
      <c r="K238" s="6" t="s">
        <v>576</v>
      </c>
      <c r="L238" s="21" t="str">
        <f ca="1">IFERROR(VLOOKUP(B238, Master_List!$A:$I, 2, FALSE), "-")</f>
        <v/>
      </c>
      <c r="M238" s="22" t="str">
        <f ca="1">IFERROR(VLOOKUP(B238, Master_List!$A:$I, 3, FALSE), "-")</f>
        <v/>
      </c>
      <c r="N238" s="22" t="str">
        <f ca="1">IFERROR(VLOOKUP(B238, Master_List!$A:$I, 4, FALSE), "-")</f>
        <v/>
      </c>
      <c r="O238" s="22" t="str">
        <f ca="1">IFERROR(VLOOKUP(B238, Master_List!$A:$I, 5, FALSE), "-")</f>
        <v/>
      </c>
      <c r="P238" s="22" t="str">
        <f ca="1">IFERROR(VLOOKUP(B238, Master_List!$A:$I, 6, FALSE), "-")</f>
        <v/>
      </c>
      <c r="Q238" s="22" t="str">
        <f ca="1">IFERROR(VLOOKUP(B238, Master_List!$A:$I, 7, FALSE), "-")</f>
        <v/>
      </c>
      <c r="R238" s="22" t="str">
        <f ca="1">IFERROR(VLOOKUP(B238, Master_List!$A:$I, 8, FALSE), "-")</f>
        <v/>
      </c>
      <c r="S238" s="22" t="str">
        <f ca="1">IFERROR(VLOOKUP(B238, Master_List!$A:$I, 9, FALSE), "-")</f>
        <v/>
      </c>
      <c r="T238" s="20" t="str">
        <f ca="1">Master_List!$AW$6</f>
        <v>TOSHIBA</v>
      </c>
      <c r="U238" s="20" t="str">
        <f ca="1">Master_List!$AW$7</f>
        <v>MRMU</v>
      </c>
      <c r="V238" s="20" t="str">
        <f ca="1">Master_List!$AW$8</f>
        <v>12kV</v>
      </c>
      <c r="W238" s="20" t="str">
        <f ca="1">Master_List!$AW$9</f>
        <v>2S1F</v>
      </c>
      <c r="X238" s="20" t="str">
        <f ca="1">Master_List!$AW$10</f>
        <v>MTM</v>
      </c>
      <c r="Y238" s="20" t="str">
        <f ca="1">Master_List!$AW$11</f>
        <v>HERMETICALLY SEAL</v>
      </c>
      <c r="Z238" s="20" t="str">
        <f ca="1">Master_List!$AW$12</f>
        <v>750kVA</v>
      </c>
      <c r="AA238" s="20" t="str">
        <f ca="1">Master_List!$AW$13</f>
        <v>1317</v>
      </c>
      <c r="AB238" s="20">
        <f ca="1">Master_List!$AW$14</f>
        <v>0</v>
      </c>
      <c r="AC238" s="20">
        <f ca="1">Master_List!$AW$15</f>
        <v>0</v>
      </c>
      <c r="AD238" s="20">
        <f ca="1">Master_List!$AW$16</f>
        <v>0</v>
      </c>
      <c r="AE238" s="20">
        <f ca="1">Master_List!$AW$17</f>
        <v>0</v>
      </c>
      <c r="AF238" s="20" t="str">
        <f ca="1">Master_List!$AW$18</f>
        <v>INDKOM</v>
      </c>
      <c r="AG238" s="20" t="str">
        <f ca="1">Master_List!$AW$19</f>
        <v>J-SLOTTED</v>
      </c>
      <c r="AH238" s="20" t="str">
        <f ca="1">Master_List!$AW$20</f>
        <v>1600A</v>
      </c>
      <c r="AI238" s="20" t="str">
        <f ca="1">Master_List!$AW$21</f>
        <v>LV5080090</v>
      </c>
      <c r="AJ238" s="20" t="str">
        <f ca="1">Master_List!$AW$22</f>
        <v>LVDB TX1</v>
      </c>
      <c r="AK238" s="20">
        <f ca="1">Master_List!$AW$23</f>
        <v>0</v>
      </c>
      <c r="AL238" s="20">
        <f ca="1">Master_List!$AW$24</f>
        <v>0</v>
      </c>
      <c r="AM238" s="20">
        <f ca="1">Master_List!$AW$25</f>
        <v>0</v>
      </c>
      <c r="AN238" s="20">
        <f ca="1">Master_List!$AW$26</f>
        <v>0</v>
      </c>
      <c r="AO238" s="20" t="str">
        <f ca="1">Master_List!$AW$27</f>
        <v>LVDB TX2</v>
      </c>
      <c r="AP238" s="20" t="str">
        <f ca="1">Master_List!$AW$28</f>
        <v>SUNPOWER TECHNOLOGIES</v>
      </c>
      <c r="AQ238" s="20" t="str">
        <f ca="1">Master_List!$AW$29</f>
        <v>SPS 30-10 L</v>
      </c>
      <c r="AR238" s="20" t="str">
        <f ca="1">Master_List!$AW$30</f>
        <v>11193-8527</v>
      </c>
      <c r="AS238" s="20">
        <f ca="1">Master_List!$AW$31</f>
        <v>0</v>
      </c>
      <c r="AT238" s="20">
        <f ca="1">Master_List!$AW$32</f>
        <v>0</v>
      </c>
      <c r="AU238" s="20">
        <f ca="1">Master_List!$AW$33</f>
        <v>0</v>
      </c>
      <c r="AV238" s="20">
        <f ca="1">Master_List!$AW$34</f>
        <v>0</v>
      </c>
      <c r="AW238" s="20">
        <f ca="1">Master_List!$AW$35</f>
        <v>0</v>
      </c>
      <c r="AX238" s="20">
        <f ca="1">Master_List!$AW$36</f>
        <v>0</v>
      </c>
      <c r="AY238" s="20">
        <f ca="1">Master_List!$AW$37</f>
        <v>0</v>
      </c>
      <c r="AZ238" s="20">
        <f ca="1">Master_List!$AW$38</f>
        <v>0</v>
      </c>
      <c r="BA238" s="20">
        <f ca="1">Master_List!$AW$39</f>
        <v>0</v>
      </c>
      <c r="BB238" s="20" t="s">
        <v>2240</v>
      </c>
      <c r="BC238" s="20" t="s">
        <v>2241</v>
      </c>
      <c r="BD238" s="6" t="s">
        <v>1744</v>
      </c>
      <c r="BE238" s="6" t="s">
        <v>1869</v>
      </c>
      <c r="BF238" s="6" t="s">
        <v>1746</v>
      </c>
      <c r="BG238" s="6" t="str">
        <f t="shared" si="3"/>
        <v>C:\Users\aremi\Desktop\REPORT CBM\PO 42289580 - Pahang 11kV SECOND CYCLE AZZAD 2026\RAW MATERIAL\047. TNB BARU (IR+VI)\RAW DATA\IR</v>
      </c>
      <c r="BH238" s="24" t="s">
        <v>775</v>
      </c>
    </row>
    <row r="239" spans="1:60" ht="30" customHeight="1" x14ac:dyDescent="0.25">
      <c r="A239" s="6">
        <v>119</v>
      </c>
      <c r="B239" s="6" t="s">
        <v>1590</v>
      </c>
      <c r="C239" s="6">
        <v>1</v>
      </c>
      <c r="D239" s="6" t="s">
        <v>2242</v>
      </c>
      <c r="E239" s="6">
        <v>119</v>
      </c>
      <c r="F239" s="6" t="str">
        <f ca="1">Master_List!$AW$1</f>
        <v>PERPUSTAKAAN PUSAT</v>
      </c>
      <c r="G239" s="27" t="str">
        <f ca="1">Master_List!$AW$2</f>
        <v>09:30 PM</v>
      </c>
      <c r="H239" s="32" t="str">
        <f ca="1">Master_List!$AW$3</f>
        <v>20/07/2026</v>
      </c>
      <c r="I239" s="28" t="str">
        <f ca="1">Master_List!$AW$4</f>
        <v>28.5</v>
      </c>
      <c r="J239" s="6" t="str">
        <f ca="1">Master_List!$AW$5</f>
        <v>65</v>
      </c>
      <c r="K239" s="6" t="s">
        <v>576</v>
      </c>
      <c r="L239" s="21" t="str">
        <f ca="1">IFERROR(VLOOKUP(B239, Master_List!$A:$I, 2, FALSE), "-")</f>
        <v/>
      </c>
      <c r="M239" s="22" t="str">
        <f ca="1">IFERROR(VLOOKUP(B239, Master_List!$A:$I, 3, FALSE), "-")</f>
        <v/>
      </c>
      <c r="N239" s="22" t="str">
        <f ca="1">IFERROR(VLOOKUP(B239, Master_List!$A:$I, 4, FALSE), "-")</f>
        <v/>
      </c>
      <c r="O239" s="22" t="str">
        <f ca="1">IFERROR(VLOOKUP(B239, Master_List!$A:$I, 5, FALSE), "-")</f>
        <v/>
      </c>
      <c r="P239" s="22" t="str">
        <f ca="1">IFERROR(VLOOKUP(B239, Master_List!$A:$I, 6, FALSE), "-")</f>
        <v/>
      </c>
      <c r="Q239" s="22" t="str">
        <f ca="1">IFERROR(VLOOKUP(B239, Master_List!$A:$I, 7, FALSE), "-")</f>
        <v/>
      </c>
      <c r="R239" s="22" t="str">
        <f ca="1">IFERROR(VLOOKUP(B239, Master_List!$A:$I, 8, FALSE), "-")</f>
        <v/>
      </c>
      <c r="S239" s="22" t="str">
        <f ca="1">IFERROR(VLOOKUP(B239, Master_List!$A:$I, 9, FALSE), "-")</f>
        <v/>
      </c>
      <c r="T239" s="20" t="str">
        <f ca="1">Master_List!$AW$6</f>
        <v>TOSHIBA</v>
      </c>
      <c r="U239" s="20" t="str">
        <f ca="1">Master_List!$AW$7</f>
        <v>MRMU</v>
      </c>
      <c r="V239" s="20" t="str">
        <f ca="1">Master_List!$AW$8</f>
        <v>12kV</v>
      </c>
      <c r="W239" s="20" t="str">
        <f ca="1">Master_List!$AW$9</f>
        <v>2S1F</v>
      </c>
      <c r="X239" s="20" t="str">
        <f ca="1">Master_List!$AW$10</f>
        <v>MTM</v>
      </c>
      <c r="Y239" s="20" t="str">
        <f ca="1">Master_List!$AW$11</f>
        <v>HERMETICALLY SEAL</v>
      </c>
      <c r="Z239" s="20" t="str">
        <f ca="1">Master_List!$AW$12</f>
        <v>750kVA</v>
      </c>
      <c r="AA239" s="20" t="str">
        <f ca="1">Master_List!$AW$13</f>
        <v>1317</v>
      </c>
      <c r="AB239" s="20">
        <f ca="1">Master_List!$AW$14</f>
        <v>0</v>
      </c>
      <c r="AC239" s="20">
        <f ca="1">Master_List!$AW$15</f>
        <v>0</v>
      </c>
      <c r="AD239" s="20">
        <f ca="1">Master_List!$AW$16</f>
        <v>0</v>
      </c>
      <c r="AE239" s="20">
        <f ca="1">Master_List!$AW$17</f>
        <v>0</v>
      </c>
      <c r="AF239" s="20" t="str">
        <f ca="1">Master_List!$AW$18</f>
        <v>INDKOM</v>
      </c>
      <c r="AG239" s="20" t="str">
        <f ca="1">Master_List!$AW$19</f>
        <v>J-SLOTTED</v>
      </c>
      <c r="AH239" s="20" t="str">
        <f ca="1">Master_List!$AW$20</f>
        <v>1600A</v>
      </c>
      <c r="AI239" s="20" t="str">
        <f ca="1">Master_List!$AW$21</f>
        <v>LV5080090</v>
      </c>
      <c r="AJ239" s="20" t="str">
        <f ca="1">Master_List!$AW$22</f>
        <v>LVDB TX1</v>
      </c>
      <c r="AK239" s="20">
        <f ca="1">Master_List!$AW$23</f>
        <v>0</v>
      </c>
      <c r="AL239" s="20">
        <f ca="1">Master_List!$AW$24</f>
        <v>0</v>
      </c>
      <c r="AM239" s="20">
        <f ca="1">Master_List!$AW$25</f>
        <v>0</v>
      </c>
      <c r="AN239" s="20">
        <f ca="1">Master_List!$AW$26</f>
        <v>0</v>
      </c>
      <c r="AO239" s="20" t="str">
        <f ca="1">Master_List!$AW$27</f>
        <v>LVDB TX2</v>
      </c>
      <c r="AP239" s="20" t="str">
        <f ca="1">Master_List!$AW$28</f>
        <v>SUNPOWER TECHNOLOGIES</v>
      </c>
      <c r="AQ239" s="20" t="str">
        <f ca="1">Master_List!$AW$29</f>
        <v>SPS 30-10 L</v>
      </c>
      <c r="AR239" s="20" t="str">
        <f ca="1">Master_List!$AW$30</f>
        <v>11193-8527</v>
      </c>
      <c r="AS239" s="20">
        <f ca="1">Master_List!$AW$31</f>
        <v>0</v>
      </c>
      <c r="AT239" s="20">
        <f ca="1">Master_List!$AW$32</f>
        <v>0</v>
      </c>
      <c r="AU239" s="20">
        <f ca="1">Master_List!$AW$33</f>
        <v>0</v>
      </c>
      <c r="AV239" s="20">
        <f ca="1">Master_List!$AW$34</f>
        <v>0</v>
      </c>
      <c r="AW239" s="20">
        <f ca="1">Master_List!$AW$35</f>
        <v>0</v>
      </c>
      <c r="AX239" s="20">
        <f ca="1">Master_List!$AW$36</f>
        <v>0</v>
      </c>
      <c r="AY239" s="20">
        <f ca="1">Master_List!$AW$37</f>
        <v>0</v>
      </c>
      <c r="AZ239" s="20">
        <f ca="1">Master_List!$AW$38</f>
        <v>0</v>
      </c>
      <c r="BA239" s="20">
        <f ca="1">Master_List!$AW$39</f>
        <v>0</v>
      </c>
      <c r="BB239" s="20" t="s">
        <v>2240</v>
      </c>
      <c r="BC239" s="20" t="s">
        <v>2241</v>
      </c>
      <c r="BD239" s="6" t="s">
        <v>1744</v>
      </c>
      <c r="BE239" s="6" t="s">
        <v>1869</v>
      </c>
      <c r="BF239" s="6" t="s">
        <v>1748</v>
      </c>
      <c r="BG239" s="6" t="str">
        <f t="shared" si="3"/>
        <v>C:\Users\aremi\Desktop\REPORT CBM\PO 42289580 - Pahang 11kV SECOND CYCLE AZZAD 2026\RAW MATERIAL\047. TNB BARU (IR+VI)\RAW DATA\IR</v>
      </c>
      <c r="BH239" s="24" t="s">
        <v>776</v>
      </c>
    </row>
    <row r="240" spans="1:60" ht="30" customHeight="1" x14ac:dyDescent="0.25">
      <c r="A240" s="6">
        <v>120</v>
      </c>
      <c r="B240" s="6" t="s">
        <v>1590</v>
      </c>
      <c r="C240" s="6">
        <v>1</v>
      </c>
      <c r="D240" s="6" t="s">
        <v>2242</v>
      </c>
      <c r="E240" s="6">
        <v>120</v>
      </c>
      <c r="F240" s="6" t="str">
        <f ca="1">Master_List!$AW$1</f>
        <v>PERPUSTAKAAN PUSAT</v>
      </c>
      <c r="G240" s="27" t="str">
        <f ca="1">Master_List!$AW$2</f>
        <v>09:30 PM</v>
      </c>
      <c r="H240" s="32" t="str">
        <f ca="1">Master_List!$AW$3</f>
        <v>20/07/2026</v>
      </c>
      <c r="I240" s="28" t="str">
        <f ca="1">Master_List!$AW$4</f>
        <v>28.5</v>
      </c>
      <c r="J240" s="6" t="str">
        <f ca="1">Master_List!$AW$5</f>
        <v>65</v>
      </c>
      <c r="K240" s="6" t="s">
        <v>579</v>
      </c>
      <c r="L240" s="21" t="str">
        <f ca="1">IFERROR(VLOOKUP(B240, Master_List!$A:$I, 2, FALSE), "-")</f>
        <v/>
      </c>
      <c r="M240" s="22" t="str">
        <f ca="1">IFERROR(VLOOKUP(B240, Master_List!$A:$I, 3, FALSE), "-")</f>
        <v/>
      </c>
      <c r="N240" s="22" t="str">
        <f ca="1">IFERROR(VLOOKUP(B240, Master_List!$A:$I, 4, FALSE), "-")</f>
        <v/>
      </c>
      <c r="O240" s="22" t="str">
        <f ca="1">IFERROR(VLOOKUP(B240, Master_List!$A:$I, 5, FALSE), "-")</f>
        <v/>
      </c>
      <c r="P240" s="22" t="str">
        <f ca="1">IFERROR(VLOOKUP(B240, Master_List!$A:$I, 6, FALSE), "-")</f>
        <v/>
      </c>
      <c r="Q240" s="22" t="str">
        <f ca="1">IFERROR(VLOOKUP(B240, Master_List!$A:$I, 7, FALSE), "-")</f>
        <v/>
      </c>
      <c r="R240" s="22" t="str">
        <f ca="1">IFERROR(VLOOKUP(B240, Master_List!$A:$I, 8, FALSE), "-")</f>
        <v/>
      </c>
      <c r="S240" s="22" t="str">
        <f ca="1">IFERROR(VLOOKUP(B240, Master_List!$A:$I, 9, FALSE), "-")</f>
        <v/>
      </c>
      <c r="T240" s="20" t="str">
        <f ca="1">Master_List!$AW$6</f>
        <v>TOSHIBA</v>
      </c>
      <c r="U240" s="20" t="str">
        <f ca="1">Master_List!$AW$7</f>
        <v>MRMU</v>
      </c>
      <c r="V240" s="20" t="str">
        <f ca="1">Master_List!$AW$8</f>
        <v>12kV</v>
      </c>
      <c r="W240" s="20" t="str">
        <f ca="1">Master_List!$AW$9</f>
        <v>2S1F</v>
      </c>
      <c r="X240" s="20" t="str">
        <f ca="1">Master_List!$AW$10</f>
        <v>MTM</v>
      </c>
      <c r="Y240" s="20" t="str">
        <f ca="1">Master_List!$AW$11</f>
        <v>HERMETICALLY SEAL</v>
      </c>
      <c r="Z240" s="20" t="str">
        <f ca="1">Master_List!$AW$12</f>
        <v>750kVA</v>
      </c>
      <c r="AA240" s="20" t="str">
        <f ca="1">Master_List!$AW$13</f>
        <v>1317</v>
      </c>
      <c r="AB240" s="20">
        <f ca="1">Master_List!$AW$14</f>
        <v>0</v>
      </c>
      <c r="AC240" s="20">
        <f ca="1">Master_List!$AW$15</f>
        <v>0</v>
      </c>
      <c r="AD240" s="20">
        <f ca="1">Master_List!$AW$16</f>
        <v>0</v>
      </c>
      <c r="AE240" s="20">
        <f ca="1">Master_List!$AW$17</f>
        <v>0</v>
      </c>
      <c r="AF240" s="20" t="str">
        <f ca="1">Master_List!$AW$18</f>
        <v>INDKOM</v>
      </c>
      <c r="AG240" s="20" t="str">
        <f ca="1">Master_List!$AW$19</f>
        <v>J-SLOTTED</v>
      </c>
      <c r="AH240" s="20" t="str">
        <f ca="1">Master_List!$AW$20</f>
        <v>1600A</v>
      </c>
      <c r="AI240" s="20" t="str">
        <f ca="1">Master_List!$AW$21</f>
        <v>LV5080090</v>
      </c>
      <c r="AJ240" s="20" t="str">
        <f ca="1">Master_List!$AW$22</f>
        <v>LVDB TX1</v>
      </c>
      <c r="AK240" s="20">
        <f ca="1">Master_List!$AW$23</f>
        <v>0</v>
      </c>
      <c r="AL240" s="20">
        <f ca="1">Master_List!$AW$24</f>
        <v>0</v>
      </c>
      <c r="AM240" s="20">
        <f ca="1">Master_List!$AW$25</f>
        <v>0</v>
      </c>
      <c r="AN240" s="20">
        <f ca="1">Master_List!$AW$26</f>
        <v>0</v>
      </c>
      <c r="AO240" s="20" t="str">
        <f ca="1">Master_List!$AW$27</f>
        <v>LVDB TX2</v>
      </c>
      <c r="AP240" s="20" t="str">
        <f ca="1">Master_List!$AW$28</f>
        <v>SUNPOWER TECHNOLOGIES</v>
      </c>
      <c r="AQ240" s="20" t="str">
        <f ca="1">Master_List!$AW$29</f>
        <v>SPS 30-10 L</v>
      </c>
      <c r="AR240" s="20" t="str">
        <f ca="1">Master_List!$AW$30</f>
        <v>11193-8527</v>
      </c>
      <c r="AS240" s="20">
        <f ca="1">Master_List!$AW$31</f>
        <v>0</v>
      </c>
      <c r="AT240" s="20">
        <f ca="1">Master_List!$AW$32</f>
        <v>0</v>
      </c>
      <c r="AU240" s="20">
        <f ca="1">Master_List!$AW$33</f>
        <v>0</v>
      </c>
      <c r="AV240" s="20">
        <f ca="1">Master_List!$AW$34</f>
        <v>0</v>
      </c>
      <c r="AW240" s="20">
        <f ca="1">Master_List!$AW$35</f>
        <v>0</v>
      </c>
      <c r="AX240" s="20">
        <f ca="1">Master_List!$AW$36</f>
        <v>0</v>
      </c>
      <c r="AY240" s="20">
        <f ca="1">Master_List!$AW$37</f>
        <v>0</v>
      </c>
      <c r="AZ240" s="20">
        <f ca="1">Master_List!$AW$38</f>
        <v>0</v>
      </c>
      <c r="BA240" s="20">
        <f ca="1">Master_List!$AW$39</f>
        <v>0</v>
      </c>
      <c r="BB240" s="20" t="s">
        <v>2240</v>
      </c>
      <c r="BC240" s="20" t="s">
        <v>2241</v>
      </c>
      <c r="BD240" s="6" t="s">
        <v>1744</v>
      </c>
      <c r="BE240" s="6" t="s">
        <v>1870</v>
      </c>
      <c r="BF240" s="6" t="s">
        <v>1746</v>
      </c>
      <c r="BG240" s="6" t="str">
        <f t="shared" si="3"/>
        <v>C:\Users\aremi\Desktop\REPORT CBM\PO 42289580 - Pahang 11kV SECOND CYCLE AZZAD 2026\RAW MATERIAL\047. TNB BARU (IR+VI)\RAW DATA\IR</v>
      </c>
      <c r="BH240" s="24" t="s">
        <v>777</v>
      </c>
    </row>
    <row r="241" spans="1:60" ht="30" customHeight="1" x14ac:dyDescent="0.25">
      <c r="A241" s="6">
        <v>120</v>
      </c>
      <c r="B241" s="6" t="s">
        <v>1590</v>
      </c>
      <c r="C241" s="6">
        <v>1</v>
      </c>
      <c r="D241" s="6" t="s">
        <v>2242</v>
      </c>
      <c r="E241" s="6">
        <v>120</v>
      </c>
      <c r="F241" s="6" t="str">
        <f ca="1">Master_List!$AW$1</f>
        <v>PERPUSTAKAAN PUSAT</v>
      </c>
      <c r="G241" s="27" t="str">
        <f ca="1">Master_List!$AW$2</f>
        <v>09:30 PM</v>
      </c>
      <c r="H241" s="32" t="str">
        <f ca="1">Master_List!$AW$3</f>
        <v>20/07/2026</v>
      </c>
      <c r="I241" s="28" t="str">
        <f ca="1">Master_List!$AW$4</f>
        <v>28.5</v>
      </c>
      <c r="J241" s="6" t="str">
        <f ca="1">Master_List!$AW$5</f>
        <v>65</v>
      </c>
      <c r="K241" s="6" t="s">
        <v>579</v>
      </c>
      <c r="L241" s="21" t="str">
        <f ca="1">IFERROR(VLOOKUP(B241, Master_List!$A:$I, 2, FALSE), "-")</f>
        <v/>
      </c>
      <c r="M241" s="22" t="str">
        <f ca="1">IFERROR(VLOOKUP(B241, Master_List!$A:$I, 3, FALSE), "-")</f>
        <v/>
      </c>
      <c r="N241" s="22" t="str">
        <f ca="1">IFERROR(VLOOKUP(B241, Master_List!$A:$I, 4, FALSE), "-")</f>
        <v/>
      </c>
      <c r="O241" s="22" t="str">
        <f ca="1">IFERROR(VLOOKUP(B241, Master_List!$A:$I, 5, FALSE), "-")</f>
        <v/>
      </c>
      <c r="P241" s="22" t="str">
        <f ca="1">IFERROR(VLOOKUP(B241, Master_List!$A:$I, 6, FALSE), "-")</f>
        <v/>
      </c>
      <c r="Q241" s="22" t="str">
        <f ca="1">IFERROR(VLOOKUP(B241, Master_List!$A:$I, 7, FALSE), "-")</f>
        <v/>
      </c>
      <c r="R241" s="22" t="str">
        <f ca="1">IFERROR(VLOOKUP(B241, Master_List!$A:$I, 8, FALSE), "-")</f>
        <v/>
      </c>
      <c r="S241" s="22" t="str">
        <f ca="1">IFERROR(VLOOKUP(B241, Master_List!$A:$I, 9, FALSE), "-")</f>
        <v/>
      </c>
      <c r="T241" s="20" t="str">
        <f ca="1">Master_List!$AW$6</f>
        <v>TOSHIBA</v>
      </c>
      <c r="U241" s="20" t="str">
        <f ca="1">Master_List!$AW$7</f>
        <v>MRMU</v>
      </c>
      <c r="V241" s="20" t="str">
        <f ca="1">Master_List!$AW$8</f>
        <v>12kV</v>
      </c>
      <c r="W241" s="20" t="str">
        <f ca="1">Master_List!$AW$9</f>
        <v>2S1F</v>
      </c>
      <c r="X241" s="20" t="str">
        <f ca="1">Master_List!$AW$10</f>
        <v>MTM</v>
      </c>
      <c r="Y241" s="20" t="str">
        <f ca="1">Master_List!$AW$11</f>
        <v>HERMETICALLY SEAL</v>
      </c>
      <c r="Z241" s="20" t="str">
        <f ca="1">Master_List!$AW$12</f>
        <v>750kVA</v>
      </c>
      <c r="AA241" s="20" t="str">
        <f ca="1">Master_List!$AW$13</f>
        <v>1317</v>
      </c>
      <c r="AB241" s="20">
        <f ca="1">Master_List!$AW$14</f>
        <v>0</v>
      </c>
      <c r="AC241" s="20">
        <f ca="1">Master_List!$AW$15</f>
        <v>0</v>
      </c>
      <c r="AD241" s="20">
        <f ca="1">Master_List!$AW$16</f>
        <v>0</v>
      </c>
      <c r="AE241" s="20">
        <f ca="1">Master_List!$AW$17</f>
        <v>0</v>
      </c>
      <c r="AF241" s="20" t="str">
        <f ca="1">Master_List!$AW$18</f>
        <v>INDKOM</v>
      </c>
      <c r="AG241" s="20" t="str">
        <f ca="1">Master_List!$AW$19</f>
        <v>J-SLOTTED</v>
      </c>
      <c r="AH241" s="20" t="str">
        <f ca="1">Master_List!$AW$20</f>
        <v>1600A</v>
      </c>
      <c r="AI241" s="20" t="str">
        <f ca="1">Master_List!$AW$21</f>
        <v>LV5080090</v>
      </c>
      <c r="AJ241" s="20" t="str">
        <f ca="1">Master_List!$AW$22</f>
        <v>LVDB TX1</v>
      </c>
      <c r="AK241" s="20">
        <f ca="1">Master_List!$AW$23</f>
        <v>0</v>
      </c>
      <c r="AL241" s="20">
        <f ca="1">Master_List!$AW$24</f>
        <v>0</v>
      </c>
      <c r="AM241" s="20">
        <f ca="1">Master_List!$AW$25</f>
        <v>0</v>
      </c>
      <c r="AN241" s="20">
        <f ca="1">Master_List!$AW$26</f>
        <v>0</v>
      </c>
      <c r="AO241" s="20" t="str">
        <f ca="1">Master_List!$AW$27</f>
        <v>LVDB TX2</v>
      </c>
      <c r="AP241" s="20" t="str">
        <f ca="1">Master_List!$AW$28</f>
        <v>SUNPOWER TECHNOLOGIES</v>
      </c>
      <c r="AQ241" s="20" t="str">
        <f ca="1">Master_List!$AW$29</f>
        <v>SPS 30-10 L</v>
      </c>
      <c r="AR241" s="20" t="str">
        <f ca="1">Master_List!$AW$30</f>
        <v>11193-8527</v>
      </c>
      <c r="AS241" s="20">
        <f ca="1">Master_List!$AW$31</f>
        <v>0</v>
      </c>
      <c r="AT241" s="20">
        <f ca="1">Master_List!$AW$32</f>
        <v>0</v>
      </c>
      <c r="AU241" s="20">
        <f ca="1">Master_List!$AW$33</f>
        <v>0</v>
      </c>
      <c r="AV241" s="20">
        <f ca="1">Master_List!$AW$34</f>
        <v>0</v>
      </c>
      <c r="AW241" s="20">
        <f ca="1">Master_List!$AW$35</f>
        <v>0</v>
      </c>
      <c r="AX241" s="20">
        <f ca="1">Master_List!$AW$36</f>
        <v>0</v>
      </c>
      <c r="AY241" s="20">
        <f ca="1">Master_List!$AW$37</f>
        <v>0</v>
      </c>
      <c r="AZ241" s="20">
        <f ca="1">Master_List!$AW$38</f>
        <v>0</v>
      </c>
      <c r="BA241" s="20">
        <f ca="1">Master_List!$AW$39</f>
        <v>0</v>
      </c>
      <c r="BB241" s="20" t="s">
        <v>2240</v>
      </c>
      <c r="BC241" s="20" t="s">
        <v>2241</v>
      </c>
      <c r="BD241" s="6" t="s">
        <v>1744</v>
      </c>
      <c r="BE241" s="6" t="s">
        <v>1870</v>
      </c>
      <c r="BF241" s="6" t="s">
        <v>1748</v>
      </c>
      <c r="BG241" s="6" t="str">
        <f t="shared" si="3"/>
        <v>C:\Users\aremi\Desktop\REPORT CBM\PO 42289580 - Pahang 11kV SECOND CYCLE AZZAD 2026\RAW MATERIAL\047. TNB BARU (IR+VI)\RAW DATA\IR</v>
      </c>
      <c r="BH241" s="24" t="s">
        <v>778</v>
      </c>
    </row>
    <row r="242" spans="1:60" ht="30" customHeight="1" x14ac:dyDescent="0.25">
      <c r="A242" s="6">
        <v>121</v>
      </c>
      <c r="B242" s="6" t="s">
        <v>1590</v>
      </c>
      <c r="C242" s="6">
        <v>1</v>
      </c>
      <c r="D242" s="6" t="s">
        <v>2242</v>
      </c>
      <c r="E242" s="6">
        <v>121</v>
      </c>
      <c r="F242" s="6" t="str">
        <f ca="1">Master_List!$AW$1</f>
        <v>PERPUSTAKAAN PUSAT</v>
      </c>
      <c r="G242" s="27" t="str">
        <f ca="1">Master_List!$AW$2</f>
        <v>09:30 PM</v>
      </c>
      <c r="H242" s="32" t="str">
        <f ca="1">Master_List!$AW$3</f>
        <v>20/07/2026</v>
      </c>
      <c r="I242" s="28" t="str">
        <f ca="1">Master_List!$AW$4</f>
        <v>28.5</v>
      </c>
      <c r="J242" s="6" t="str">
        <f ca="1">Master_List!$AW$5</f>
        <v>65</v>
      </c>
      <c r="K242" s="6" t="s">
        <v>582</v>
      </c>
      <c r="L242" s="21" t="str">
        <f ca="1">IFERROR(VLOOKUP(B242, Master_List!$A:$I, 2, FALSE), "-")</f>
        <v/>
      </c>
      <c r="M242" s="22" t="str">
        <f ca="1">IFERROR(VLOOKUP(B242, Master_List!$A:$I, 3, FALSE), "-")</f>
        <v/>
      </c>
      <c r="N242" s="22" t="str">
        <f ca="1">IFERROR(VLOOKUP(B242, Master_List!$A:$I, 4, FALSE), "-")</f>
        <v/>
      </c>
      <c r="O242" s="22" t="str">
        <f ca="1">IFERROR(VLOOKUP(B242, Master_List!$A:$I, 5, FALSE), "-")</f>
        <v/>
      </c>
      <c r="P242" s="22" t="str">
        <f ca="1">IFERROR(VLOOKUP(B242, Master_List!$A:$I, 6, FALSE), "-")</f>
        <v/>
      </c>
      <c r="Q242" s="22" t="str">
        <f ca="1">IFERROR(VLOOKUP(B242, Master_List!$A:$I, 7, FALSE), "-")</f>
        <v/>
      </c>
      <c r="R242" s="22" t="str">
        <f ca="1">IFERROR(VLOOKUP(B242, Master_List!$A:$I, 8, FALSE), "-")</f>
        <v/>
      </c>
      <c r="S242" s="22" t="str">
        <f ca="1">IFERROR(VLOOKUP(B242, Master_List!$A:$I, 9, FALSE), "-")</f>
        <v/>
      </c>
      <c r="T242" s="20" t="str">
        <f ca="1">Master_List!$AW$6</f>
        <v>TOSHIBA</v>
      </c>
      <c r="U242" s="20" t="str">
        <f ca="1">Master_List!$AW$7</f>
        <v>MRMU</v>
      </c>
      <c r="V242" s="20" t="str">
        <f ca="1">Master_List!$AW$8</f>
        <v>12kV</v>
      </c>
      <c r="W242" s="20" t="str">
        <f ca="1">Master_List!$AW$9</f>
        <v>2S1F</v>
      </c>
      <c r="X242" s="20" t="str">
        <f ca="1">Master_List!$AW$10</f>
        <v>MTM</v>
      </c>
      <c r="Y242" s="20" t="str">
        <f ca="1">Master_List!$AW$11</f>
        <v>HERMETICALLY SEAL</v>
      </c>
      <c r="Z242" s="20" t="str">
        <f ca="1">Master_List!$AW$12</f>
        <v>750kVA</v>
      </c>
      <c r="AA242" s="20" t="str">
        <f ca="1">Master_List!$AW$13</f>
        <v>1317</v>
      </c>
      <c r="AB242" s="20">
        <f ca="1">Master_List!$AW$14</f>
        <v>0</v>
      </c>
      <c r="AC242" s="20">
        <f ca="1">Master_List!$AW$15</f>
        <v>0</v>
      </c>
      <c r="AD242" s="20">
        <f ca="1">Master_List!$AW$16</f>
        <v>0</v>
      </c>
      <c r="AE242" s="20">
        <f ca="1">Master_List!$AW$17</f>
        <v>0</v>
      </c>
      <c r="AF242" s="20" t="str">
        <f ca="1">Master_List!$AW$18</f>
        <v>INDKOM</v>
      </c>
      <c r="AG242" s="20" t="str">
        <f ca="1">Master_List!$AW$19</f>
        <v>J-SLOTTED</v>
      </c>
      <c r="AH242" s="20" t="str">
        <f ca="1">Master_List!$AW$20</f>
        <v>1600A</v>
      </c>
      <c r="AI242" s="20" t="str">
        <f ca="1">Master_List!$AW$21</f>
        <v>LV5080090</v>
      </c>
      <c r="AJ242" s="20" t="str">
        <f ca="1">Master_List!$AW$22</f>
        <v>LVDB TX1</v>
      </c>
      <c r="AK242" s="20">
        <f ca="1">Master_List!$AW$23</f>
        <v>0</v>
      </c>
      <c r="AL242" s="20">
        <f ca="1">Master_List!$AW$24</f>
        <v>0</v>
      </c>
      <c r="AM242" s="20">
        <f ca="1">Master_List!$AW$25</f>
        <v>0</v>
      </c>
      <c r="AN242" s="20">
        <f ca="1">Master_List!$AW$26</f>
        <v>0</v>
      </c>
      <c r="AO242" s="20" t="str">
        <f ca="1">Master_List!$AW$27</f>
        <v>LVDB TX2</v>
      </c>
      <c r="AP242" s="20" t="str">
        <f ca="1">Master_List!$AW$28</f>
        <v>SUNPOWER TECHNOLOGIES</v>
      </c>
      <c r="AQ242" s="20" t="str">
        <f ca="1">Master_List!$AW$29</f>
        <v>SPS 30-10 L</v>
      </c>
      <c r="AR242" s="20" t="str">
        <f ca="1">Master_List!$AW$30</f>
        <v>11193-8527</v>
      </c>
      <c r="AS242" s="20">
        <f ca="1">Master_List!$AW$31</f>
        <v>0</v>
      </c>
      <c r="AT242" s="20">
        <f ca="1">Master_List!$AW$32</f>
        <v>0</v>
      </c>
      <c r="AU242" s="20">
        <f ca="1">Master_List!$AW$33</f>
        <v>0</v>
      </c>
      <c r="AV242" s="20">
        <f ca="1">Master_List!$AW$34</f>
        <v>0</v>
      </c>
      <c r="AW242" s="20">
        <f ca="1">Master_List!$AW$35</f>
        <v>0</v>
      </c>
      <c r="AX242" s="20">
        <f ca="1">Master_List!$AW$36</f>
        <v>0</v>
      </c>
      <c r="AY242" s="20">
        <f ca="1">Master_List!$AW$37</f>
        <v>0</v>
      </c>
      <c r="AZ242" s="20">
        <f ca="1">Master_List!$AW$38</f>
        <v>0</v>
      </c>
      <c r="BA242" s="20">
        <f ca="1">Master_List!$AW$39</f>
        <v>0</v>
      </c>
      <c r="BB242" s="20" t="s">
        <v>2240</v>
      </c>
      <c r="BC242" s="20" t="s">
        <v>2241</v>
      </c>
      <c r="BD242" s="6" t="s">
        <v>1744</v>
      </c>
      <c r="BE242" s="6" t="s">
        <v>1871</v>
      </c>
      <c r="BF242" s="6" t="s">
        <v>1746</v>
      </c>
      <c r="BG242" s="6" t="str">
        <f t="shared" si="3"/>
        <v>C:\Users\aremi\Desktop\REPORT CBM\PO 42289580 - Pahang 11kV SECOND CYCLE AZZAD 2026\RAW MATERIAL\047. TNB BARU (IR+VI)\RAW DATA\IR</v>
      </c>
      <c r="BH242" s="24" t="s">
        <v>779</v>
      </c>
    </row>
    <row r="243" spans="1:60" ht="30" customHeight="1" x14ac:dyDescent="0.25">
      <c r="A243" s="6">
        <v>121</v>
      </c>
      <c r="B243" s="6" t="s">
        <v>1590</v>
      </c>
      <c r="C243" s="6">
        <v>1</v>
      </c>
      <c r="D243" s="6" t="s">
        <v>2242</v>
      </c>
      <c r="E243" s="6">
        <v>121</v>
      </c>
      <c r="F243" s="6" t="str">
        <f ca="1">Master_List!$AW$1</f>
        <v>PERPUSTAKAAN PUSAT</v>
      </c>
      <c r="G243" s="27" t="str">
        <f ca="1">Master_List!$AW$2</f>
        <v>09:30 PM</v>
      </c>
      <c r="H243" s="32" t="str">
        <f ca="1">Master_List!$AW$3</f>
        <v>20/07/2026</v>
      </c>
      <c r="I243" s="28" t="str">
        <f ca="1">Master_List!$AW$4</f>
        <v>28.5</v>
      </c>
      <c r="J243" s="6" t="str">
        <f ca="1">Master_List!$AW$5</f>
        <v>65</v>
      </c>
      <c r="K243" s="6" t="s">
        <v>582</v>
      </c>
      <c r="L243" s="21" t="str">
        <f ca="1">IFERROR(VLOOKUP(B243, Master_List!$A:$I, 2, FALSE), "-")</f>
        <v/>
      </c>
      <c r="M243" s="22" t="str">
        <f ca="1">IFERROR(VLOOKUP(B243, Master_List!$A:$I, 3, FALSE), "-")</f>
        <v/>
      </c>
      <c r="N243" s="22" t="str">
        <f ca="1">IFERROR(VLOOKUP(B243, Master_List!$A:$I, 4, FALSE), "-")</f>
        <v/>
      </c>
      <c r="O243" s="22" t="str">
        <f ca="1">IFERROR(VLOOKUP(B243, Master_List!$A:$I, 5, FALSE), "-")</f>
        <v/>
      </c>
      <c r="P243" s="22" t="str">
        <f ca="1">IFERROR(VLOOKUP(B243, Master_List!$A:$I, 6, FALSE), "-")</f>
        <v/>
      </c>
      <c r="Q243" s="22" t="str">
        <f ca="1">IFERROR(VLOOKUP(B243, Master_List!$A:$I, 7, FALSE), "-")</f>
        <v/>
      </c>
      <c r="R243" s="22" t="str">
        <f ca="1">IFERROR(VLOOKUP(B243, Master_List!$A:$I, 8, FALSE), "-")</f>
        <v/>
      </c>
      <c r="S243" s="22" t="str">
        <f ca="1">IFERROR(VLOOKUP(B243, Master_List!$A:$I, 9, FALSE), "-")</f>
        <v/>
      </c>
      <c r="T243" s="20" t="str">
        <f ca="1">Master_List!$AW$6</f>
        <v>TOSHIBA</v>
      </c>
      <c r="U243" s="20" t="str">
        <f ca="1">Master_List!$AW$7</f>
        <v>MRMU</v>
      </c>
      <c r="V243" s="20" t="str">
        <f ca="1">Master_List!$AW$8</f>
        <v>12kV</v>
      </c>
      <c r="W243" s="20" t="str">
        <f ca="1">Master_List!$AW$9</f>
        <v>2S1F</v>
      </c>
      <c r="X243" s="20" t="str">
        <f ca="1">Master_List!$AW$10</f>
        <v>MTM</v>
      </c>
      <c r="Y243" s="20" t="str">
        <f ca="1">Master_List!$AW$11</f>
        <v>HERMETICALLY SEAL</v>
      </c>
      <c r="Z243" s="20" t="str">
        <f ca="1">Master_List!$AW$12</f>
        <v>750kVA</v>
      </c>
      <c r="AA243" s="20" t="str">
        <f ca="1">Master_List!$AW$13</f>
        <v>1317</v>
      </c>
      <c r="AB243" s="20">
        <f ca="1">Master_List!$AW$14</f>
        <v>0</v>
      </c>
      <c r="AC243" s="20">
        <f ca="1">Master_List!$AW$15</f>
        <v>0</v>
      </c>
      <c r="AD243" s="20">
        <f ca="1">Master_List!$AW$16</f>
        <v>0</v>
      </c>
      <c r="AE243" s="20">
        <f ca="1">Master_List!$AW$17</f>
        <v>0</v>
      </c>
      <c r="AF243" s="20" t="str">
        <f ca="1">Master_List!$AW$18</f>
        <v>INDKOM</v>
      </c>
      <c r="AG243" s="20" t="str">
        <f ca="1">Master_List!$AW$19</f>
        <v>J-SLOTTED</v>
      </c>
      <c r="AH243" s="20" t="str">
        <f ca="1">Master_List!$AW$20</f>
        <v>1600A</v>
      </c>
      <c r="AI243" s="20" t="str">
        <f ca="1">Master_List!$AW$21</f>
        <v>LV5080090</v>
      </c>
      <c r="AJ243" s="20" t="str">
        <f ca="1">Master_List!$AW$22</f>
        <v>LVDB TX1</v>
      </c>
      <c r="AK243" s="20">
        <f ca="1">Master_List!$AW$23</f>
        <v>0</v>
      </c>
      <c r="AL243" s="20">
        <f ca="1">Master_List!$AW$24</f>
        <v>0</v>
      </c>
      <c r="AM243" s="20">
        <f ca="1">Master_List!$AW$25</f>
        <v>0</v>
      </c>
      <c r="AN243" s="20">
        <f ca="1">Master_List!$AW$26</f>
        <v>0</v>
      </c>
      <c r="AO243" s="20" t="str">
        <f ca="1">Master_List!$AW$27</f>
        <v>LVDB TX2</v>
      </c>
      <c r="AP243" s="20" t="str">
        <f ca="1">Master_List!$AW$28</f>
        <v>SUNPOWER TECHNOLOGIES</v>
      </c>
      <c r="AQ243" s="20" t="str">
        <f ca="1">Master_List!$AW$29</f>
        <v>SPS 30-10 L</v>
      </c>
      <c r="AR243" s="20" t="str">
        <f ca="1">Master_List!$AW$30</f>
        <v>11193-8527</v>
      </c>
      <c r="AS243" s="20">
        <f ca="1">Master_List!$AW$31</f>
        <v>0</v>
      </c>
      <c r="AT243" s="20">
        <f ca="1">Master_List!$AW$32</f>
        <v>0</v>
      </c>
      <c r="AU243" s="20">
        <f ca="1">Master_List!$AW$33</f>
        <v>0</v>
      </c>
      <c r="AV243" s="20">
        <f ca="1">Master_List!$AW$34</f>
        <v>0</v>
      </c>
      <c r="AW243" s="20">
        <f ca="1">Master_List!$AW$35</f>
        <v>0</v>
      </c>
      <c r="AX243" s="20">
        <f ca="1">Master_List!$AW$36</f>
        <v>0</v>
      </c>
      <c r="AY243" s="20">
        <f ca="1">Master_List!$AW$37</f>
        <v>0</v>
      </c>
      <c r="AZ243" s="20">
        <f ca="1">Master_List!$AW$38</f>
        <v>0</v>
      </c>
      <c r="BA243" s="20">
        <f ca="1">Master_List!$AW$39</f>
        <v>0</v>
      </c>
      <c r="BB243" s="20" t="s">
        <v>2240</v>
      </c>
      <c r="BC243" s="20" t="s">
        <v>2241</v>
      </c>
      <c r="BD243" s="6" t="s">
        <v>1744</v>
      </c>
      <c r="BE243" s="6" t="s">
        <v>1871</v>
      </c>
      <c r="BF243" s="6" t="s">
        <v>1748</v>
      </c>
      <c r="BG243" s="6" t="str">
        <f t="shared" si="3"/>
        <v>C:\Users\aremi\Desktop\REPORT CBM\PO 42289580 - Pahang 11kV SECOND CYCLE AZZAD 2026\RAW MATERIAL\047. TNB BARU (IR+VI)\RAW DATA\IR</v>
      </c>
      <c r="BH243" s="24" t="s">
        <v>780</v>
      </c>
    </row>
    <row r="244" spans="1:60" ht="30" customHeight="1" x14ac:dyDescent="0.25">
      <c r="A244" s="6">
        <v>122</v>
      </c>
      <c r="B244" s="6" t="s">
        <v>1590</v>
      </c>
      <c r="C244" s="6">
        <v>1</v>
      </c>
      <c r="D244" s="6" t="s">
        <v>2242</v>
      </c>
      <c r="E244" s="6">
        <v>122</v>
      </c>
      <c r="F244" s="6" t="str">
        <f ca="1">Master_List!$AW$1</f>
        <v>PERPUSTAKAAN PUSAT</v>
      </c>
      <c r="G244" s="27" t="str">
        <f ca="1">Master_List!$AW$2</f>
        <v>09:30 PM</v>
      </c>
      <c r="H244" s="32" t="str">
        <f ca="1">Master_List!$AW$3</f>
        <v>20/07/2026</v>
      </c>
      <c r="I244" s="28" t="str">
        <f ca="1">Master_List!$AW$4</f>
        <v>28.5</v>
      </c>
      <c r="J244" s="6" t="str">
        <f ca="1">Master_List!$AW$5</f>
        <v>65</v>
      </c>
      <c r="K244" s="6" t="s">
        <v>585</v>
      </c>
      <c r="L244" s="21" t="str">
        <f ca="1">IFERROR(VLOOKUP(B244, Master_List!$A:$I, 2, FALSE), "-")</f>
        <v/>
      </c>
      <c r="M244" s="22" t="str">
        <f ca="1">IFERROR(VLOOKUP(B244, Master_List!$A:$I, 3, FALSE), "-")</f>
        <v/>
      </c>
      <c r="N244" s="22" t="str">
        <f ca="1">IFERROR(VLOOKUP(B244, Master_List!$A:$I, 4, FALSE), "-")</f>
        <v/>
      </c>
      <c r="O244" s="22" t="str">
        <f ca="1">IFERROR(VLOOKUP(B244, Master_List!$A:$I, 5, FALSE), "-")</f>
        <v/>
      </c>
      <c r="P244" s="22" t="str">
        <f ca="1">IFERROR(VLOOKUP(B244, Master_List!$A:$I, 6, FALSE), "-")</f>
        <v/>
      </c>
      <c r="Q244" s="22" t="str">
        <f ca="1">IFERROR(VLOOKUP(B244, Master_List!$A:$I, 7, FALSE), "-")</f>
        <v/>
      </c>
      <c r="R244" s="22" t="str">
        <f ca="1">IFERROR(VLOOKUP(B244, Master_List!$A:$I, 8, FALSE), "-")</f>
        <v/>
      </c>
      <c r="S244" s="22" t="str">
        <f ca="1">IFERROR(VLOOKUP(B244, Master_List!$A:$I, 9, FALSE), "-")</f>
        <v/>
      </c>
      <c r="T244" s="20" t="str">
        <f ca="1">Master_List!$AW$6</f>
        <v>TOSHIBA</v>
      </c>
      <c r="U244" s="20" t="str">
        <f ca="1">Master_List!$AW$7</f>
        <v>MRMU</v>
      </c>
      <c r="V244" s="20" t="str">
        <f ca="1">Master_List!$AW$8</f>
        <v>12kV</v>
      </c>
      <c r="W244" s="20" t="str">
        <f ca="1">Master_List!$AW$9</f>
        <v>2S1F</v>
      </c>
      <c r="X244" s="20" t="str">
        <f ca="1">Master_List!$AW$10</f>
        <v>MTM</v>
      </c>
      <c r="Y244" s="20" t="str">
        <f ca="1">Master_List!$AW$11</f>
        <v>HERMETICALLY SEAL</v>
      </c>
      <c r="Z244" s="20" t="str">
        <f ca="1">Master_List!$AW$12</f>
        <v>750kVA</v>
      </c>
      <c r="AA244" s="20" t="str">
        <f ca="1">Master_List!$AW$13</f>
        <v>1317</v>
      </c>
      <c r="AB244" s="20">
        <f ca="1">Master_List!$AW$14</f>
        <v>0</v>
      </c>
      <c r="AC244" s="20">
        <f ca="1">Master_List!$AW$15</f>
        <v>0</v>
      </c>
      <c r="AD244" s="20">
        <f ca="1">Master_List!$AW$16</f>
        <v>0</v>
      </c>
      <c r="AE244" s="20">
        <f ca="1">Master_List!$AW$17</f>
        <v>0</v>
      </c>
      <c r="AF244" s="20" t="str">
        <f ca="1">Master_List!$AW$18</f>
        <v>INDKOM</v>
      </c>
      <c r="AG244" s="20" t="str">
        <f ca="1">Master_List!$AW$19</f>
        <v>J-SLOTTED</v>
      </c>
      <c r="AH244" s="20" t="str">
        <f ca="1">Master_List!$AW$20</f>
        <v>1600A</v>
      </c>
      <c r="AI244" s="20" t="str">
        <f ca="1">Master_List!$AW$21</f>
        <v>LV5080090</v>
      </c>
      <c r="AJ244" s="20" t="str">
        <f ca="1">Master_List!$AW$22</f>
        <v>LVDB TX1</v>
      </c>
      <c r="AK244" s="20">
        <f ca="1">Master_List!$AW$23</f>
        <v>0</v>
      </c>
      <c r="AL244" s="20">
        <f ca="1">Master_List!$AW$24</f>
        <v>0</v>
      </c>
      <c r="AM244" s="20">
        <f ca="1">Master_List!$AW$25</f>
        <v>0</v>
      </c>
      <c r="AN244" s="20">
        <f ca="1">Master_List!$AW$26</f>
        <v>0</v>
      </c>
      <c r="AO244" s="20" t="str">
        <f ca="1">Master_List!$AW$27</f>
        <v>LVDB TX2</v>
      </c>
      <c r="AP244" s="20" t="str">
        <f ca="1">Master_List!$AW$28</f>
        <v>SUNPOWER TECHNOLOGIES</v>
      </c>
      <c r="AQ244" s="20" t="str">
        <f ca="1">Master_List!$AW$29</f>
        <v>SPS 30-10 L</v>
      </c>
      <c r="AR244" s="20" t="str">
        <f ca="1">Master_List!$AW$30</f>
        <v>11193-8527</v>
      </c>
      <c r="AS244" s="20">
        <f ca="1">Master_List!$AW$31</f>
        <v>0</v>
      </c>
      <c r="AT244" s="20">
        <f ca="1">Master_List!$AW$32</f>
        <v>0</v>
      </c>
      <c r="AU244" s="20">
        <f ca="1">Master_List!$AW$33</f>
        <v>0</v>
      </c>
      <c r="AV244" s="20">
        <f ca="1">Master_List!$AW$34</f>
        <v>0</v>
      </c>
      <c r="AW244" s="20">
        <f ca="1">Master_List!$AW$35</f>
        <v>0</v>
      </c>
      <c r="AX244" s="20">
        <f ca="1">Master_List!$AW$36</f>
        <v>0</v>
      </c>
      <c r="AY244" s="20">
        <f ca="1">Master_List!$AW$37</f>
        <v>0</v>
      </c>
      <c r="AZ244" s="20">
        <f ca="1">Master_List!$AW$38</f>
        <v>0</v>
      </c>
      <c r="BA244" s="20">
        <f ca="1">Master_List!$AW$39</f>
        <v>0</v>
      </c>
      <c r="BB244" s="20" t="s">
        <v>2240</v>
      </c>
      <c r="BC244" s="20" t="s">
        <v>2241</v>
      </c>
      <c r="BD244" s="6" t="s">
        <v>1744</v>
      </c>
      <c r="BE244" s="6" t="s">
        <v>1872</v>
      </c>
      <c r="BF244" s="6" t="s">
        <v>1746</v>
      </c>
      <c r="BG244" s="6" t="str">
        <f t="shared" si="3"/>
        <v>C:\Users\aremi\Desktop\REPORT CBM\PO 42289580 - Pahang 11kV SECOND CYCLE AZZAD 2026\RAW MATERIAL\047. TNB BARU (IR+VI)\RAW DATA\IR</v>
      </c>
      <c r="BH244" s="24" t="s">
        <v>782</v>
      </c>
    </row>
    <row r="245" spans="1:60" ht="30" customHeight="1" x14ac:dyDescent="0.25">
      <c r="A245" s="6">
        <v>122</v>
      </c>
      <c r="B245" s="6" t="s">
        <v>1590</v>
      </c>
      <c r="C245" s="6">
        <v>1</v>
      </c>
      <c r="D245" s="6" t="s">
        <v>2242</v>
      </c>
      <c r="E245" s="6">
        <v>122</v>
      </c>
      <c r="F245" s="6" t="str">
        <f ca="1">Master_List!$AW$1</f>
        <v>PERPUSTAKAAN PUSAT</v>
      </c>
      <c r="G245" s="27" t="str">
        <f ca="1">Master_List!$AW$2</f>
        <v>09:30 PM</v>
      </c>
      <c r="H245" s="32" t="str">
        <f ca="1">Master_List!$AW$3</f>
        <v>20/07/2026</v>
      </c>
      <c r="I245" s="28" t="str">
        <f ca="1">Master_List!$AW$4</f>
        <v>28.5</v>
      </c>
      <c r="J245" s="6" t="str">
        <f ca="1">Master_List!$AW$5</f>
        <v>65</v>
      </c>
      <c r="K245" s="6" t="s">
        <v>585</v>
      </c>
      <c r="L245" s="21" t="str">
        <f ca="1">IFERROR(VLOOKUP(B245, Master_List!$A:$I, 2, FALSE), "-")</f>
        <v/>
      </c>
      <c r="M245" s="22" t="str">
        <f ca="1">IFERROR(VLOOKUP(B245, Master_List!$A:$I, 3, FALSE), "-")</f>
        <v/>
      </c>
      <c r="N245" s="22" t="str">
        <f ca="1">IFERROR(VLOOKUP(B245, Master_List!$A:$I, 4, FALSE), "-")</f>
        <v/>
      </c>
      <c r="O245" s="22" t="str">
        <f ca="1">IFERROR(VLOOKUP(B245, Master_List!$A:$I, 5, FALSE), "-")</f>
        <v/>
      </c>
      <c r="P245" s="22" t="str">
        <f ca="1">IFERROR(VLOOKUP(B245, Master_List!$A:$I, 6, FALSE), "-")</f>
        <v/>
      </c>
      <c r="Q245" s="22" t="str">
        <f ca="1">IFERROR(VLOOKUP(B245, Master_List!$A:$I, 7, FALSE), "-")</f>
        <v/>
      </c>
      <c r="R245" s="22" t="str">
        <f ca="1">IFERROR(VLOOKUP(B245, Master_List!$A:$I, 8, FALSE), "-")</f>
        <v/>
      </c>
      <c r="S245" s="22" t="str">
        <f ca="1">IFERROR(VLOOKUP(B245, Master_List!$A:$I, 9, FALSE), "-")</f>
        <v/>
      </c>
      <c r="T245" s="20" t="str">
        <f ca="1">Master_List!$AW$6</f>
        <v>TOSHIBA</v>
      </c>
      <c r="U245" s="20" t="str">
        <f ca="1">Master_List!$AW$7</f>
        <v>MRMU</v>
      </c>
      <c r="V245" s="20" t="str">
        <f ca="1">Master_List!$AW$8</f>
        <v>12kV</v>
      </c>
      <c r="W245" s="20" t="str">
        <f ca="1">Master_List!$AW$9</f>
        <v>2S1F</v>
      </c>
      <c r="X245" s="20" t="str">
        <f ca="1">Master_List!$AW$10</f>
        <v>MTM</v>
      </c>
      <c r="Y245" s="20" t="str">
        <f ca="1">Master_List!$AW$11</f>
        <v>HERMETICALLY SEAL</v>
      </c>
      <c r="Z245" s="20" t="str">
        <f ca="1">Master_List!$AW$12</f>
        <v>750kVA</v>
      </c>
      <c r="AA245" s="20" t="str">
        <f ca="1">Master_List!$AW$13</f>
        <v>1317</v>
      </c>
      <c r="AB245" s="20">
        <f ca="1">Master_List!$AW$14</f>
        <v>0</v>
      </c>
      <c r="AC245" s="20">
        <f ca="1">Master_List!$AW$15</f>
        <v>0</v>
      </c>
      <c r="AD245" s="20">
        <f ca="1">Master_List!$AW$16</f>
        <v>0</v>
      </c>
      <c r="AE245" s="20">
        <f ca="1">Master_List!$AW$17</f>
        <v>0</v>
      </c>
      <c r="AF245" s="20" t="str">
        <f ca="1">Master_List!$AW$18</f>
        <v>INDKOM</v>
      </c>
      <c r="AG245" s="20" t="str">
        <f ca="1">Master_List!$AW$19</f>
        <v>J-SLOTTED</v>
      </c>
      <c r="AH245" s="20" t="str">
        <f ca="1">Master_List!$AW$20</f>
        <v>1600A</v>
      </c>
      <c r="AI245" s="20" t="str">
        <f ca="1">Master_List!$AW$21</f>
        <v>LV5080090</v>
      </c>
      <c r="AJ245" s="20" t="str">
        <f ca="1">Master_List!$AW$22</f>
        <v>LVDB TX1</v>
      </c>
      <c r="AK245" s="20">
        <f ca="1">Master_List!$AW$23</f>
        <v>0</v>
      </c>
      <c r="AL245" s="20">
        <f ca="1">Master_List!$AW$24</f>
        <v>0</v>
      </c>
      <c r="AM245" s="20">
        <f ca="1">Master_List!$AW$25</f>
        <v>0</v>
      </c>
      <c r="AN245" s="20">
        <f ca="1">Master_List!$AW$26</f>
        <v>0</v>
      </c>
      <c r="AO245" s="20" t="str">
        <f ca="1">Master_List!$AW$27</f>
        <v>LVDB TX2</v>
      </c>
      <c r="AP245" s="20" t="str">
        <f ca="1">Master_List!$AW$28</f>
        <v>SUNPOWER TECHNOLOGIES</v>
      </c>
      <c r="AQ245" s="20" t="str">
        <f ca="1">Master_List!$AW$29</f>
        <v>SPS 30-10 L</v>
      </c>
      <c r="AR245" s="20" t="str">
        <f ca="1">Master_List!$AW$30</f>
        <v>11193-8527</v>
      </c>
      <c r="AS245" s="20">
        <f ca="1">Master_List!$AW$31</f>
        <v>0</v>
      </c>
      <c r="AT245" s="20">
        <f ca="1">Master_List!$AW$32</f>
        <v>0</v>
      </c>
      <c r="AU245" s="20">
        <f ca="1">Master_List!$AW$33</f>
        <v>0</v>
      </c>
      <c r="AV245" s="20">
        <f ca="1">Master_List!$AW$34</f>
        <v>0</v>
      </c>
      <c r="AW245" s="20">
        <f ca="1">Master_List!$AW$35</f>
        <v>0</v>
      </c>
      <c r="AX245" s="20">
        <f ca="1">Master_List!$AW$36</f>
        <v>0</v>
      </c>
      <c r="AY245" s="20">
        <f ca="1">Master_List!$AW$37</f>
        <v>0</v>
      </c>
      <c r="AZ245" s="20">
        <f ca="1">Master_List!$AW$38</f>
        <v>0</v>
      </c>
      <c r="BA245" s="20">
        <f ca="1">Master_List!$AW$39</f>
        <v>0</v>
      </c>
      <c r="BB245" s="20" t="s">
        <v>2240</v>
      </c>
      <c r="BC245" s="20" t="s">
        <v>2241</v>
      </c>
      <c r="BD245" s="6" t="s">
        <v>1744</v>
      </c>
      <c r="BE245" s="6" t="s">
        <v>1872</v>
      </c>
      <c r="BF245" s="6" t="s">
        <v>1748</v>
      </c>
      <c r="BG245" s="6" t="str">
        <f t="shared" si="3"/>
        <v>C:\Users\aremi\Desktop\REPORT CBM\PO 42289580 - Pahang 11kV SECOND CYCLE AZZAD 2026\RAW MATERIAL\047. TNB BARU (IR+VI)\RAW DATA\IR</v>
      </c>
      <c r="BH245" s="24" t="s">
        <v>783</v>
      </c>
    </row>
    <row r="246" spans="1:60" ht="30" customHeight="1" x14ac:dyDescent="0.25">
      <c r="A246" s="6">
        <v>123</v>
      </c>
      <c r="B246" s="6" t="s">
        <v>1590</v>
      </c>
      <c r="C246" s="6">
        <v>1</v>
      </c>
      <c r="D246" s="6" t="s">
        <v>2243</v>
      </c>
      <c r="E246" s="6">
        <v>123</v>
      </c>
      <c r="F246" s="6" t="str">
        <f ca="1">Master_List!$AW$1</f>
        <v>PERPUSTAKAAN PUSAT</v>
      </c>
      <c r="G246" s="27" t="str">
        <f ca="1">Master_List!$AW$2</f>
        <v>09:30 PM</v>
      </c>
      <c r="H246" s="32" t="str">
        <f ca="1">Master_List!$AW$3</f>
        <v>20/07/2026</v>
      </c>
      <c r="I246" s="28" t="str">
        <f ca="1">Master_List!$AW$4</f>
        <v>28.5</v>
      </c>
      <c r="J246" s="6" t="str">
        <f ca="1">Master_List!$AW$5</f>
        <v>65</v>
      </c>
      <c r="K246" s="6" t="s">
        <v>588</v>
      </c>
      <c r="L246" s="21" t="str">
        <f ca="1">IFERROR(VLOOKUP(B246, Master_List!$A:$I, 2, FALSE), "-")</f>
        <v/>
      </c>
      <c r="M246" s="22" t="str">
        <f ca="1">IFERROR(VLOOKUP(B246, Master_List!$A:$I, 3, FALSE), "-")</f>
        <v/>
      </c>
      <c r="N246" s="22" t="str">
        <f ca="1">IFERROR(VLOOKUP(B246, Master_List!$A:$I, 4, FALSE), "-")</f>
        <v/>
      </c>
      <c r="O246" s="22" t="str">
        <f ca="1">IFERROR(VLOOKUP(B246, Master_List!$A:$I, 5, FALSE), "-")</f>
        <v/>
      </c>
      <c r="P246" s="22" t="str">
        <f ca="1">IFERROR(VLOOKUP(B246, Master_List!$A:$I, 6, FALSE), "-")</f>
        <v/>
      </c>
      <c r="Q246" s="22" t="str">
        <f ca="1">IFERROR(VLOOKUP(B246, Master_List!$A:$I, 7, FALSE), "-")</f>
        <v/>
      </c>
      <c r="R246" s="22" t="str">
        <f ca="1">IFERROR(VLOOKUP(B246, Master_List!$A:$I, 8, FALSE), "-")</f>
        <v/>
      </c>
      <c r="S246" s="22" t="str">
        <f ca="1">IFERROR(VLOOKUP(B246, Master_List!$A:$I, 9, FALSE), "-")</f>
        <v/>
      </c>
      <c r="T246" s="20" t="str">
        <f ca="1">Master_List!$AW$6</f>
        <v>TOSHIBA</v>
      </c>
      <c r="U246" s="20" t="str">
        <f ca="1">Master_List!$AW$7</f>
        <v>MRMU</v>
      </c>
      <c r="V246" s="20" t="str">
        <f ca="1">Master_List!$AW$8</f>
        <v>12kV</v>
      </c>
      <c r="W246" s="20" t="str">
        <f ca="1">Master_List!$AW$9</f>
        <v>2S1F</v>
      </c>
      <c r="X246" s="20" t="str">
        <f ca="1">Master_List!$AW$10</f>
        <v>MTM</v>
      </c>
      <c r="Y246" s="20" t="str">
        <f ca="1">Master_List!$AW$11</f>
        <v>HERMETICALLY SEAL</v>
      </c>
      <c r="Z246" s="20" t="str">
        <f ca="1">Master_List!$AW$12</f>
        <v>750kVA</v>
      </c>
      <c r="AA246" s="20" t="str">
        <f ca="1">Master_List!$AW$13</f>
        <v>1317</v>
      </c>
      <c r="AB246" s="20">
        <f ca="1">Master_List!$AW$14</f>
        <v>0</v>
      </c>
      <c r="AC246" s="20">
        <f ca="1">Master_List!$AW$15</f>
        <v>0</v>
      </c>
      <c r="AD246" s="20">
        <f ca="1">Master_List!$AW$16</f>
        <v>0</v>
      </c>
      <c r="AE246" s="20">
        <f ca="1">Master_List!$AW$17</f>
        <v>0</v>
      </c>
      <c r="AF246" s="20" t="str">
        <f ca="1">Master_List!$AW$18</f>
        <v>INDKOM</v>
      </c>
      <c r="AG246" s="20" t="str">
        <f ca="1">Master_List!$AW$19</f>
        <v>J-SLOTTED</v>
      </c>
      <c r="AH246" s="20" t="str">
        <f ca="1">Master_List!$AW$20</f>
        <v>1600A</v>
      </c>
      <c r="AI246" s="20" t="str">
        <f ca="1">Master_List!$AW$21</f>
        <v>LV5080090</v>
      </c>
      <c r="AJ246" s="20" t="str">
        <f ca="1">Master_List!$AW$22</f>
        <v>LVDB TX1</v>
      </c>
      <c r="AK246" s="20">
        <f ca="1">Master_List!$AW$23</f>
        <v>0</v>
      </c>
      <c r="AL246" s="20">
        <f ca="1">Master_List!$AW$24</f>
        <v>0</v>
      </c>
      <c r="AM246" s="20">
        <f ca="1">Master_List!$AW$25</f>
        <v>0</v>
      </c>
      <c r="AN246" s="20">
        <f ca="1">Master_List!$AW$26</f>
        <v>0</v>
      </c>
      <c r="AO246" s="20" t="str">
        <f ca="1">Master_List!$AW$27</f>
        <v>LVDB TX2</v>
      </c>
      <c r="AP246" s="20" t="str">
        <f ca="1">Master_List!$AW$28</f>
        <v>SUNPOWER TECHNOLOGIES</v>
      </c>
      <c r="AQ246" s="20" t="str">
        <f ca="1">Master_List!$AW$29</f>
        <v>SPS 30-10 L</v>
      </c>
      <c r="AR246" s="20" t="str">
        <f ca="1">Master_List!$AW$30</f>
        <v>11193-8527</v>
      </c>
      <c r="AS246" s="20">
        <f ca="1">Master_List!$AW$31</f>
        <v>0</v>
      </c>
      <c r="AT246" s="20">
        <f ca="1">Master_List!$AW$32</f>
        <v>0</v>
      </c>
      <c r="AU246" s="20">
        <f ca="1">Master_List!$AW$33</f>
        <v>0</v>
      </c>
      <c r="AV246" s="20">
        <f ca="1">Master_List!$AW$34</f>
        <v>0</v>
      </c>
      <c r="AW246" s="20">
        <f ca="1">Master_List!$AW$35</f>
        <v>0</v>
      </c>
      <c r="AX246" s="20">
        <f ca="1">Master_List!$AW$36</f>
        <v>0</v>
      </c>
      <c r="AY246" s="20">
        <f ca="1">Master_List!$AW$37</f>
        <v>0</v>
      </c>
      <c r="AZ246" s="20">
        <f ca="1">Master_List!$AW$38</f>
        <v>0</v>
      </c>
      <c r="BA246" s="20">
        <f ca="1">Master_List!$AW$39</f>
        <v>0</v>
      </c>
      <c r="BB246" s="20" t="s">
        <v>2240</v>
      </c>
      <c r="BC246" s="20" t="s">
        <v>2241</v>
      </c>
      <c r="BD246" s="6" t="s">
        <v>1744</v>
      </c>
      <c r="BE246" s="6" t="s">
        <v>1873</v>
      </c>
      <c r="BF246" s="6" t="s">
        <v>1746</v>
      </c>
      <c r="BG246" s="6" t="str">
        <f t="shared" si="3"/>
        <v>C:\Users\aremi\Desktop\REPORT CBM\PO 42289580 - Pahang 11kV SECOND CYCLE AZZAD 2026\RAW MATERIAL\047. TNB BARU (IR+VI)\RAW DATA\IR</v>
      </c>
      <c r="BH246" s="24" t="s">
        <v>784</v>
      </c>
    </row>
    <row r="247" spans="1:60" ht="30" customHeight="1" x14ac:dyDescent="0.25">
      <c r="A247" s="6">
        <v>123</v>
      </c>
      <c r="B247" s="6" t="s">
        <v>1590</v>
      </c>
      <c r="C247" s="6">
        <v>1</v>
      </c>
      <c r="D247" s="6" t="s">
        <v>2243</v>
      </c>
      <c r="E247" s="6">
        <v>123</v>
      </c>
      <c r="F247" s="6" t="str">
        <f ca="1">Master_List!$AW$1</f>
        <v>PERPUSTAKAAN PUSAT</v>
      </c>
      <c r="G247" s="27" t="str">
        <f ca="1">Master_List!$AW$2</f>
        <v>09:30 PM</v>
      </c>
      <c r="H247" s="32" t="str">
        <f ca="1">Master_List!$AW$3</f>
        <v>20/07/2026</v>
      </c>
      <c r="I247" s="28" t="str">
        <f ca="1">Master_List!$AW$4</f>
        <v>28.5</v>
      </c>
      <c r="J247" s="6" t="str">
        <f ca="1">Master_List!$AW$5</f>
        <v>65</v>
      </c>
      <c r="K247" s="6" t="s">
        <v>588</v>
      </c>
      <c r="L247" s="21" t="str">
        <f ca="1">IFERROR(VLOOKUP(B247, Master_List!$A:$I, 2, FALSE), "-")</f>
        <v/>
      </c>
      <c r="M247" s="22" t="str">
        <f ca="1">IFERROR(VLOOKUP(B247, Master_List!$A:$I, 3, FALSE), "-")</f>
        <v/>
      </c>
      <c r="N247" s="22" t="str">
        <f ca="1">IFERROR(VLOOKUP(B247, Master_List!$A:$I, 4, FALSE), "-")</f>
        <v/>
      </c>
      <c r="O247" s="22" t="str">
        <f ca="1">IFERROR(VLOOKUP(B247, Master_List!$A:$I, 5, FALSE), "-")</f>
        <v/>
      </c>
      <c r="P247" s="22" t="str">
        <f ca="1">IFERROR(VLOOKUP(B247, Master_List!$A:$I, 6, FALSE), "-")</f>
        <v/>
      </c>
      <c r="Q247" s="22" t="str">
        <f ca="1">IFERROR(VLOOKUP(B247, Master_List!$A:$I, 7, FALSE), "-")</f>
        <v/>
      </c>
      <c r="R247" s="22" t="str">
        <f ca="1">IFERROR(VLOOKUP(B247, Master_List!$A:$I, 8, FALSE), "-")</f>
        <v/>
      </c>
      <c r="S247" s="22" t="str">
        <f ca="1">IFERROR(VLOOKUP(B247, Master_List!$A:$I, 9, FALSE), "-")</f>
        <v/>
      </c>
      <c r="T247" s="20" t="str">
        <f ca="1">Master_List!$AW$6</f>
        <v>TOSHIBA</v>
      </c>
      <c r="U247" s="20" t="str">
        <f ca="1">Master_List!$AW$7</f>
        <v>MRMU</v>
      </c>
      <c r="V247" s="20" t="str">
        <f ca="1">Master_List!$AW$8</f>
        <v>12kV</v>
      </c>
      <c r="W247" s="20" t="str">
        <f ca="1">Master_List!$AW$9</f>
        <v>2S1F</v>
      </c>
      <c r="X247" s="20" t="str">
        <f ca="1">Master_List!$AW$10</f>
        <v>MTM</v>
      </c>
      <c r="Y247" s="20" t="str">
        <f ca="1">Master_List!$AW$11</f>
        <v>HERMETICALLY SEAL</v>
      </c>
      <c r="Z247" s="20" t="str">
        <f ca="1">Master_List!$AW$12</f>
        <v>750kVA</v>
      </c>
      <c r="AA247" s="20" t="str">
        <f ca="1">Master_List!$AW$13</f>
        <v>1317</v>
      </c>
      <c r="AB247" s="20">
        <f ca="1">Master_List!$AW$14</f>
        <v>0</v>
      </c>
      <c r="AC247" s="20">
        <f ca="1">Master_List!$AW$15</f>
        <v>0</v>
      </c>
      <c r="AD247" s="20">
        <f ca="1">Master_List!$AW$16</f>
        <v>0</v>
      </c>
      <c r="AE247" s="20">
        <f ca="1">Master_List!$AW$17</f>
        <v>0</v>
      </c>
      <c r="AF247" s="20" t="str">
        <f ca="1">Master_List!$AW$18</f>
        <v>INDKOM</v>
      </c>
      <c r="AG247" s="20" t="str">
        <f ca="1">Master_List!$AW$19</f>
        <v>J-SLOTTED</v>
      </c>
      <c r="AH247" s="20" t="str">
        <f ca="1">Master_List!$AW$20</f>
        <v>1600A</v>
      </c>
      <c r="AI247" s="20" t="str">
        <f ca="1">Master_List!$AW$21</f>
        <v>LV5080090</v>
      </c>
      <c r="AJ247" s="20" t="str">
        <f ca="1">Master_List!$AW$22</f>
        <v>LVDB TX1</v>
      </c>
      <c r="AK247" s="20">
        <f ca="1">Master_List!$AW$23</f>
        <v>0</v>
      </c>
      <c r="AL247" s="20">
        <f ca="1">Master_List!$AW$24</f>
        <v>0</v>
      </c>
      <c r="AM247" s="20">
        <f ca="1">Master_List!$AW$25</f>
        <v>0</v>
      </c>
      <c r="AN247" s="20">
        <f ca="1">Master_List!$AW$26</f>
        <v>0</v>
      </c>
      <c r="AO247" s="20" t="str">
        <f ca="1">Master_List!$AW$27</f>
        <v>LVDB TX2</v>
      </c>
      <c r="AP247" s="20" t="str">
        <f ca="1">Master_List!$AW$28</f>
        <v>SUNPOWER TECHNOLOGIES</v>
      </c>
      <c r="AQ247" s="20" t="str">
        <f ca="1">Master_List!$AW$29</f>
        <v>SPS 30-10 L</v>
      </c>
      <c r="AR247" s="20" t="str">
        <f ca="1">Master_List!$AW$30</f>
        <v>11193-8527</v>
      </c>
      <c r="AS247" s="20">
        <f ca="1">Master_List!$AW$31</f>
        <v>0</v>
      </c>
      <c r="AT247" s="20">
        <f ca="1">Master_List!$AW$32</f>
        <v>0</v>
      </c>
      <c r="AU247" s="20">
        <f ca="1">Master_List!$AW$33</f>
        <v>0</v>
      </c>
      <c r="AV247" s="20">
        <f ca="1">Master_List!$AW$34</f>
        <v>0</v>
      </c>
      <c r="AW247" s="20">
        <f ca="1">Master_List!$AW$35</f>
        <v>0</v>
      </c>
      <c r="AX247" s="20">
        <f ca="1">Master_List!$AW$36</f>
        <v>0</v>
      </c>
      <c r="AY247" s="20">
        <f ca="1">Master_List!$AW$37</f>
        <v>0</v>
      </c>
      <c r="AZ247" s="20">
        <f ca="1">Master_List!$AW$38</f>
        <v>0</v>
      </c>
      <c r="BA247" s="20">
        <f ca="1">Master_List!$AW$39</f>
        <v>0</v>
      </c>
      <c r="BB247" s="20" t="s">
        <v>2240</v>
      </c>
      <c r="BC247" s="20" t="s">
        <v>2241</v>
      </c>
      <c r="BD247" s="6" t="s">
        <v>1744</v>
      </c>
      <c r="BE247" s="6" t="s">
        <v>1873</v>
      </c>
      <c r="BF247" s="6" t="s">
        <v>1748</v>
      </c>
      <c r="BG247" s="6" t="str">
        <f t="shared" si="3"/>
        <v>C:\Users\aremi\Desktop\REPORT CBM\PO 42289580 - Pahang 11kV SECOND CYCLE AZZAD 2026\RAW MATERIAL\047. TNB BARU (IR+VI)\RAW DATA\IR</v>
      </c>
      <c r="BH247" s="24" t="s">
        <v>785</v>
      </c>
    </row>
    <row r="248" spans="1:60" ht="30" customHeight="1" x14ac:dyDescent="0.25">
      <c r="A248" s="6">
        <v>124</v>
      </c>
      <c r="B248" s="6" t="s">
        <v>1590</v>
      </c>
      <c r="C248" s="6">
        <v>1</v>
      </c>
      <c r="D248" s="6" t="s">
        <v>2244</v>
      </c>
      <c r="E248" s="6">
        <v>124</v>
      </c>
      <c r="F248" s="6" t="str">
        <f ca="1">Master_List!$AW$1</f>
        <v>PERPUSTAKAAN PUSAT</v>
      </c>
      <c r="G248" s="27" t="str">
        <f ca="1">Master_List!$AW$2</f>
        <v>09:30 PM</v>
      </c>
      <c r="H248" s="32" t="str">
        <f ca="1">Master_List!$AW$3</f>
        <v>20/07/2026</v>
      </c>
      <c r="I248" s="28" t="str">
        <f ca="1">Master_List!$AW$4</f>
        <v>28.5</v>
      </c>
      <c r="J248" s="6" t="str">
        <f ca="1">Master_List!$AW$5</f>
        <v>65</v>
      </c>
      <c r="K248" s="6" t="s">
        <v>591</v>
      </c>
      <c r="L248" s="21" t="str">
        <f ca="1">IFERROR(VLOOKUP(B248, Master_List!$A:$I, 2, FALSE), "-")</f>
        <v/>
      </c>
      <c r="M248" s="22" t="str">
        <f ca="1">IFERROR(VLOOKUP(B248, Master_List!$A:$I, 3, FALSE), "-")</f>
        <v/>
      </c>
      <c r="N248" s="22" t="str">
        <f ca="1">IFERROR(VLOOKUP(B248, Master_List!$A:$I, 4, FALSE), "-")</f>
        <v/>
      </c>
      <c r="O248" s="22" t="str">
        <f ca="1">IFERROR(VLOOKUP(B248, Master_List!$A:$I, 5, FALSE), "-")</f>
        <v/>
      </c>
      <c r="P248" s="22" t="str">
        <f ca="1">IFERROR(VLOOKUP(B248, Master_List!$A:$I, 6, FALSE), "-")</f>
        <v/>
      </c>
      <c r="Q248" s="22" t="str">
        <f ca="1">IFERROR(VLOOKUP(B248, Master_List!$A:$I, 7, FALSE), "-")</f>
        <v/>
      </c>
      <c r="R248" s="22" t="str">
        <f ca="1">IFERROR(VLOOKUP(B248, Master_List!$A:$I, 8, FALSE), "-")</f>
        <v/>
      </c>
      <c r="S248" s="22" t="str">
        <f ca="1">IFERROR(VLOOKUP(B248, Master_List!$A:$I, 9, FALSE), "-")</f>
        <v/>
      </c>
      <c r="T248" s="20" t="str">
        <f ca="1">Master_List!$AW$6</f>
        <v>TOSHIBA</v>
      </c>
      <c r="U248" s="20" t="str">
        <f ca="1">Master_List!$AW$7</f>
        <v>MRMU</v>
      </c>
      <c r="V248" s="20" t="str">
        <f ca="1">Master_List!$AW$8</f>
        <v>12kV</v>
      </c>
      <c r="W248" s="20" t="str">
        <f ca="1">Master_List!$AW$9</f>
        <v>2S1F</v>
      </c>
      <c r="X248" s="20" t="str">
        <f ca="1">Master_List!$AW$10</f>
        <v>MTM</v>
      </c>
      <c r="Y248" s="20" t="str">
        <f ca="1">Master_List!$AW$11</f>
        <v>HERMETICALLY SEAL</v>
      </c>
      <c r="Z248" s="20" t="str">
        <f ca="1">Master_List!$AW$12</f>
        <v>750kVA</v>
      </c>
      <c r="AA248" s="20" t="str">
        <f ca="1">Master_List!$AW$13</f>
        <v>1317</v>
      </c>
      <c r="AB248" s="20">
        <f ca="1">Master_List!$AW$14</f>
        <v>0</v>
      </c>
      <c r="AC248" s="20">
        <f ca="1">Master_List!$AW$15</f>
        <v>0</v>
      </c>
      <c r="AD248" s="20">
        <f ca="1">Master_List!$AW$16</f>
        <v>0</v>
      </c>
      <c r="AE248" s="20">
        <f ca="1">Master_List!$AW$17</f>
        <v>0</v>
      </c>
      <c r="AF248" s="20" t="str">
        <f ca="1">Master_List!$AW$18</f>
        <v>INDKOM</v>
      </c>
      <c r="AG248" s="20" t="str">
        <f ca="1">Master_List!$AW$19</f>
        <v>J-SLOTTED</v>
      </c>
      <c r="AH248" s="20" t="str">
        <f ca="1">Master_List!$AW$20</f>
        <v>1600A</v>
      </c>
      <c r="AI248" s="20" t="str">
        <f ca="1">Master_List!$AW$21</f>
        <v>LV5080090</v>
      </c>
      <c r="AJ248" s="20" t="str">
        <f ca="1">Master_List!$AW$22</f>
        <v>LVDB TX1</v>
      </c>
      <c r="AK248" s="20">
        <f ca="1">Master_List!$AW$23</f>
        <v>0</v>
      </c>
      <c r="AL248" s="20">
        <f ca="1">Master_List!$AW$24</f>
        <v>0</v>
      </c>
      <c r="AM248" s="20">
        <f ca="1">Master_List!$AW$25</f>
        <v>0</v>
      </c>
      <c r="AN248" s="20">
        <f ca="1">Master_List!$AW$26</f>
        <v>0</v>
      </c>
      <c r="AO248" s="20" t="str">
        <f ca="1">Master_List!$AW$27</f>
        <v>LVDB TX2</v>
      </c>
      <c r="AP248" s="20" t="str">
        <f ca="1">Master_List!$AW$28</f>
        <v>SUNPOWER TECHNOLOGIES</v>
      </c>
      <c r="AQ248" s="20" t="str">
        <f ca="1">Master_List!$AW$29</f>
        <v>SPS 30-10 L</v>
      </c>
      <c r="AR248" s="20" t="str">
        <f ca="1">Master_List!$AW$30</f>
        <v>11193-8527</v>
      </c>
      <c r="AS248" s="20">
        <f ca="1">Master_List!$AW$31</f>
        <v>0</v>
      </c>
      <c r="AT248" s="20">
        <f ca="1">Master_List!$AW$32</f>
        <v>0</v>
      </c>
      <c r="AU248" s="20">
        <f ca="1">Master_List!$AW$33</f>
        <v>0</v>
      </c>
      <c r="AV248" s="20">
        <f ca="1">Master_List!$AW$34</f>
        <v>0</v>
      </c>
      <c r="AW248" s="20">
        <f ca="1">Master_List!$AW$35</f>
        <v>0</v>
      </c>
      <c r="AX248" s="20">
        <f ca="1">Master_List!$AW$36</f>
        <v>0</v>
      </c>
      <c r="AY248" s="20">
        <f ca="1">Master_List!$AW$37</f>
        <v>0</v>
      </c>
      <c r="AZ248" s="20">
        <f ca="1">Master_List!$AW$38</f>
        <v>0</v>
      </c>
      <c r="BA248" s="20">
        <f ca="1">Master_List!$AW$39</f>
        <v>0</v>
      </c>
      <c r="BB248" s="20" t="s">
        <v>2240</v>
      </c>
      <c r="BC248" s="20" t="s">
        <v>2241</v>
      </c>
      <c r="BD248" s="6" t="s">
        <v>1744</v>
      </c>
      <c r="BE248" s="6" t="s">
        <v>1874</v>
      </c>
      <c r="BF248" s="6" t="s">
        <v>1746</v>
      </c>
      <c r="BG248" s="6" t="str">
        <f t="shared" si="3"/>
        <v>C:\Users\aremi\Desktop\REPORT CBM\PO 42289580 - Pahang 11kV SECOND CYCLE AZZAD 2026\RAW MATERIAL\047. TNB BARU (IR+VI)\RAW DATA\IR</v>
      </c>
      <c r="BH248" s="24" t="s">
        <v>786</v>
      </c>
    </row>
    <row r="249" spans="1:60" ht="30" customHeight="1" x14ac:dyDescent="0.25">
      <c r="A249" s="6">
        <v>124</v>
      </c>
      <c r="B249" s="6" t="s">
        <v>1590</v>
      </c>
      <c r="C249" s="6">
        <v>1</v>
      </c>
      <c r="D249" s="6" t="s">
        <v>2244</v>
      </c>
      <c r="E249" s="6">
        <v>124</v>
      </c>
      <c r="F249" s="6" t="str">
        <f ca="1">Master_List!$AW$1</f>
        <v>PERPUSTAKAAN PUSAT</v>
      </c>
      <c r="G249" s="27" t="str">
        <f ca="1">Master_List!$AW$2</f>
        <v>09:30 PM</v>
      </c>
      <c r="H249" s="32" t="str">
        <f ca="1">Master_List!$AW$3</f>
        <v>20/07/2026</v>
      </c>
      <c r="I249" s="28" t="str">
        <f ca="1">Master_List!$AW$4</f>
        <v>28.5</v>
      </c>
      <c r="J249" s="6" t="str">
        <f ca="1">Master_List!$AW$5</f>
        <v>65</v>
      </c>
      <c r="K249" s="6" t="s">
        <v>591</v>
      </c>
      <c r="L249" s="21" t="str">
        <f ca="1">IFERROR(VLOOKUP(B249, Master_List!$A:$I, 2, FALSE), "-")</f>
        <v/>
      </c>
      <c r="M249" s="22" t="str">
        <f ca="1">IFERROR(VLOOKUP(B249, Master_List!$A:$I, 3, FALSE), "-")</f>
        <v/>
      </c>
      <c r="N249" s="22" t="str">
        <f ca="1">IFERROR(VLOOKUP(B249, Master_List!$A:$I, 4, FALSE), "-")</f>
        <v/>
      </c>
      <c r="O249" s="22" t="str">
        <f ca="1">IFERROR(VLOOKUP(B249, Master_List!$A:$I, 5, FALSE), "-")</f>
        <v/>
      </c>
      <c r="P249" s="22" t="str">
        <f ca="1">IFERROR(VLOOKUP(B249, Master_List!$A:$I, 6, FALSE), "-")</f>
        <v/>
      </c>
      <c r="Q249" s="22" t="str">
        <f ca="1">IFERROR(VLOOKUP(B249, Master_List!$A:$I, 7, FALSE), "-")</f>
        <v/>
      </c>
      <c r="R249" s="22" t="str">
        <f ca="1">IFERROR(VLOOKUP(B249, Master_List!$A:$I, 8, FALSE), "-")</f>
        <v/>
      </c>
      <c r="S249" s="22" t="str">
        <f ca="1">IFERROR(VLOOKUP(B249, Master_List!$A:$I, 9, FALSE), "-")</f>
        <v/>
      </c>
      <c r="T249" s="20" t="str">
        <f ca="1">Master_List!$AW$6</f>
        <v>TOSHIBA</v>
      </c>
      <c r="U249" s="20" t="str">
        <f ca="1">Master_List!$AW$7</f>
        <v>MRMU</v>
      </c>
      <c r="V249" s="20" t="str">
        <f ca="1">Master_List!$AW$8</f>
        <v>12kV</v>
      </c>
      <c r="W249" s="20" t="str">
        <f ca="1">Master_List!$AW$9</f>
        <v>2S1F</v>
      </c>
      <c r="X249" s="20" t="str">
        <f ca="1">Master_List!$AW$10</f>
        <v>MTM</v>
      </c>
      <c r="Y249" s="20" t="str">
        <f ca="1">Master_List!$AW$11</f>
        <v>HERMETICALLY SEAL</v>
      </c>
      <c r="Z249" s="20" t="str">
        <f ca="1">Master_List!$AW$12</f>
        <v>750kVA</v>
      </c>
      <c r="AA249" s="20" t="str">
        <f ca="1">Master_List!$AW$13</f>
        <v>1317</v>
      </c>
      <c r="AB249" s="20">
        <f ca="1">Master_List!$AW$14</f>
        <v>0</v>
      </c>
      <c r="AC249" s="20">
        <f ca="1">Master_List!$AW$15</f>
        <v>0</v>
      </c>
      <c r="AD249" s="20">
        <f ca="1">Master_List!$AW$16</f>
        <v>0</v>
      </c>
      <c r="AE249" s="20">
        <f ca="1">Master_List!$AW$17</f>
        <v>0</v>
      </c>
      <c r="AF249" s="20" t="str">
        <f ca="1">Master_List!$AW$18</f>
        <v>INDKOM</v>
      </c>
      <c r="AG249" s="20" t="str">
        <f ca="1">Master_List!$AW$19</f>
        <v>J-SLOTTED</v>
      </c>
      <c r="AH249" s="20" t="str">
        <f ca="1">Master_List!$AW$20</f>
        <v>1600A</v>
      </c>
      <c r="AI249" s="20" t="str">
        <f ca="1">Master_List!$AW$21</f>
        <v>LV5080090</v>
      </c>
      <c r="AJ249" s="20" t="str">
        <f ca="1">Master_List!$AW$22</f>
        <v>LVDB TX1</v>
      </c>
      <c r="AK249" s="20">
        <f ca="1">Master_List!$AW$23</f>
        <v>0</v>
      </c>
      <c r="AL249" s="20">
        <f ca="1">Master_List!$AW$24</f>
        <v>0</v>
      </c>
      <c r="AM249" s="20">
        <f ca="1">Master_List!$AW$25</f>
        <v>0</v>
      </c>
      <c r="AN249" s="20">
        <f ca="1">Master_List!$AW$26</f>
        <v>0</v>
      </c>
      <c r="AO249" s="20" t="str">
        <f ca="1">Master_List!$AW$27</f>
        <v>LVDB TX2</v>
      </c>
      <c r="AP249" s="20" t="str">
        <f ca="1">Master_List!$AW$28</f>
        <v>SUNPOWER TECHNOLOGIES</v>
      </c>
      <c r="AQ249" s="20" t="str">
        <f ca="1">Master_List!$AW$29</f>
        <v>SPS 30-10 L</v>
      </c>
      <c r="AR249" s="20" t="str">
        <f ca="1">Master_List!$AW$30</f>
        <v>11193-8527</v>
      </c>
      <c r="AS249" s="20">
        <f ca="1">Master_List!$AW$31</f>
        <v>0</v>
      </c>
      <c r="AT249" s="20">
        <f ca="1">Master_List!$AW$32</f>
        <v>0</v>
      </c>
      <c r="AU249" s="20">
        <f ca="1">Master_List!$AW$33</f>
        <v>0</v>
      </c>
      <c r="AV249" s="20">
        <f ca="1">Master_List!$AW$34</f>
        <v>0</v>
      </c>
      <c r="AW249" s="20">
        <f ca="1">Master_List!$AW$35</f>
        <v>0</v>
      </c>
      <c r="AX249" s="20">
        <f ca="1">Master_List!$AW$36</f>
        <v>0</v>
      </c>
      <c r="AY249" s="20">
        <f ca="1">Master_List!$AW$37</f>
        <v>0</v>
      </c>
      <c r="AZ249" s="20">
        <f ca="1">Master_List!$AW$38</f>
        <v>0</v>
      </c>
      <c r="BA249" s="20">
        <f ca="1">Master_List!$AW$39</f>
        <v>0</v>
      </c>
      <c r="BB249" s="20" t="s">
        <v>2240</v>
      </c>
      <c r="BC249" s="20" t="s">
        <v>2241</v>
      </c>
      <c r="BD249" s="6" t="s">
        <v>1744</v>
      </c>
      <c r="BE249" s="6" t="s">
        <v>1874</v>
      </c>
      <c r="BF249" s="6" t="s">
        <v>1748</v>
      </c>
      <c r="BG249" s="6" t="str">
        <f t="shared" si="3"/>
        <v>C:\Users\aremi\Desktop\REPORT CBM\PO 42289580 - Pahang 11kV SECOND CYCLE AZZAD 2026\RAW MATERIAL\047. TNB BARU (IR+VI)\RAW DATA\IR</v>
      </c>
      <c r="BH249" s="24" t="s">
        <v>787</v>
      </c>
    </row>
    <row r="250" spans="1:60" ht="30" customHeight="1" x14ac:dyDescent="0.25">
      <c r="A250" s="6">
        <v>125</v>
      </c>
      <c r="B250" s="6" t="s">
        <v>1591</v>
      </c>
      <c r="C250" s="6">
        <v>1</v>
      </c>
      <c r="D250" s="6" t="s">
        <v>2242</v>
      </c>
      <c r="E250" s="6">
        <v>125</v>
      </c>
      <c r="F250" s="6" t="str">
        <f ca="1">Master_List!$AW$1</f>
        <v>PERPUSTAKAAN PUSAT</v>
      </c>
      <c r="G250" s="27" t="str">
        <f ca="1">Master_List!$AW$2</f>
        <v>09:30 PM</v>
      </c>
      <c r="H250" s="32" t="str">
        <f ca="1">Master_List!$AW$3</f>
        <v>20/07/2026</v>
      </c>
      <c r="I250" s="28" t="str">
        <f ca="1">Master_List!$AW$4</f>
        <v>28.5</v>
      </c>
      <c r="J250" s="6" t="str">
        <f ca="1">Master_List!$AW$5</f>
        <v>65</v>
      </c>
      <c r="K250" s="6" t="s">
        <v>570</v>
      </c>
      <c r="L250" s="21" t="str">
        <f ca="1">IFERROR(VLOOKUP(B250, Master_List!$A:$I, 2, FALSE), "-")</f>
        <v/>
      </c>
      <c r="M250" s="22" t="str">
        <f ca="1">IFERROR(VLOOKUP(B250, Master_List!$A:$I, 3, FALSE), "-")</f>
        <v/>
      </c>
      <c r="N250" s="22" t="str">
        <f ca="1">IFERROR(VLOOKUP(B250, Master_List!$A:$I, 4, FALSE), "-")</f>
        <v/>
      </c>
      <c r="O250" s="22" t="str">
        <f ca="1">IFERROR(VLOOKUP(B250, Master_List!$A:$I, 5, FALSE), "-")</f>
        <v/>
      </c>
      <c r="P250" s="22" t="str">
        <f ca="1">IFERROR(VLOOKUP(B250, Master_List!$A:$I, 6, FALSE), "-")</f>
        <v/>
      </c>
      <c r="Q250" s="22" t="str">
        <f ca="1">IFERROR(VLOOKUP(B250, Master_List!$A:$I, 7, FALSE), "-")</f>
        <v/>
      </c>
      <c r="R250" s="22" t="str">
        <f ca="1">IFERROR(VLOOKUP(B250, Master_List!$A:$I, 8, FALSE), "-")</f>
        <v/>
      </c>
      <c r="S250" s="22" t="str">
        <f ca="1">IFERROR(VLOOKUP(B250, Master_List!$A:$I, 9, FALSE), "-")</f>
        <v/>
      </c>
      <c r="T250" s="20" t="str">
        <f ca="1">Master_List!$AW$6</f>
        <v>TOSHIBA</v>
      </c>
      <c r="U250" s="20" t="str">
        <f ca="1">Master_List!$AW$7</f>
        <v>MRMU</v>
      </c>
      <c r="V250" s="20" t="str">
        <f ca="1">Master_List!$AW$8</f>
        <v>12kV</v>
      </c>
      <c r="W250" s="20" t="str">
        <f ca="1">Master_List!$AW$9</f>
        <v>2S1F</v>
      </c>
      <c r="X250" s="20" t="str">
        <f ca="1">Master_List!$AW$10</f>
        <v>MTM</v>
      </c>
      <c r="Y250" s="20" t="str">
        <f ca="1">Master_List!$AW$11</f>
        <v>HERMETICALLY SEAL</v>
      </c>
      <c r="Z250" s="20" t="str">
        <f ca="1">Master_List!$AW$12</f>
        <v>750kVA</v>
      </c>
      <c r="AA250" s="20" t="str">
        <f ca="1">Master_List!$AW$13</f>
        <v>1317</v>
      </c>
      <c r="AB250" s="20">
        <f ca="1">Master_List!$AW$14</f>
        <v>0</v>
      </c>
      <c r="AC250" s="20">
        <f ca="1">Master_List!$AW$15</f>
        <v>0</v>
      </c>
      <c r="AD250" s="20">
        <f ca="1">Master_List!$AW$16</f>
        <v>0</v>
      </c>
      <c r="AE250" s="20">
        <f ca="1">Master_List!$AW$17</f>
        <v>0</v>
      </c>
      <c r="AF250" s="20" t="str">
        <f ca="1">Master_List!$AW$18</f>
        <v>INDKOM</v>
      </c>
      <c r="AG250" s="20" t="str">
        <f ca="1">Master_List!$AW$19</f>
        <v>J-SLOTTED</v>
      </c>
      <c r="AH250" s="20" t="str">
        <f ca="1">Master_List!$AW$20</f>
        <v>1600A</v>
      </c>
      <c r="AI250" s="20" t="str">
        <f ca="1">Master_List!$AW$21</f>
        <v>LV5080090</v>
      </c>
      <c r="AJ250" s="20" t="str">
        <f ca="1">Master_List!$AW$22</f>
        <v>LVDB TX1</v>
      </c>
      <c r="AK250" s="20">
        <f ca="1">Master_List!$AW$23</f>
        <v>0</v>
      </c>
      <c r="AL250" s="20">
        <f ca="1">Master_List!$AW$24</f>
        <v>0</v>
      </c>
      <c r="AM250" s="20">
        <f ca="1">Master_List!$AW$25</f>
        <v>0</v>
      </c>
      <c r="AN250" s="20">
        <f ca="1">Master_List!$AW$26</f>
        <v>0</v>
      </c>
      <c r="AO250" s="20" t="str">
        <f ca="1">Master_List!$AW$27</f>
        <v>LVDB TX2</v>
      </c>
      <c r="AP250" s="20" t="str">
        <f ca="1">Master_List!$AW$28</f>
        <v>SUNPOWER TECHNOLOGIES</v>
      </c>
      <c r="AQ250" s="20" t="str">
        <f ca="1">Master_List!$AW$29</f>
        <v>SPS 30-10 L</v>
      </c>
      <c r="AR250" s="20" t="str">
        <f ca="1">Master_List!$AW$30</f>
        <v>11193-8527</v>
      </c>
      <c r="AS250" s="20">
        <f ca="1">Master_List!$AW$31</f>
        <v>0</v>
      </c>
      <c r="AT250" s="20">
        <f ca="1">Master_List!$AW$32</f>
        <v>0</v>
      </c>
      <c r="AU250" s="20">
        <f ca="1">Master_List!$AW$33</f>
        <v>0</v>
      </c>
      <c r="AV250" s="20">
        <f ca="1">Master_List!$AW$34</f>
        <v>0</v>
      </c>
      <c r="AW250" s="20">
        <f ca="1">Master_List!$AW$35</f>
        <v>0</v>
      </c>
      <c r="AX250" s="20">
        <f ca="1">Master_List!$AW$36</f>
        <v>0</v>
      </c>
      <c r="AY250" s="20">
        <f ca="1">Master_List!$AW$37</f>
        <v>0</v>
      </c>
      <c r="AZ250" s="20">
        <f ca="1">Master_List!$AW$38</f>
        <v>0</v>
      </c>
      <c r="BA250" s="20">
        <f ca="1">Master_List!$AW$39</f>
        <v>0</v>
      </c>
      <c r="BB250" s="20" t="s">
        <v>2240</v>
      </c>
      <c r="BC250" s="20" t="s">
        <v>2241</v>
      </c>
      <c r="BD250" s="6" t="s">
        <v>1744</v>
      </c>
      <c r="BE250" s="6" t="s">
        <v>1875</v>
      </c>
      <c r="BF250" s="6" t="s">
        <v>1746</v>
      </c>
      <c r="BG250" s="6" t="str">
        <f t="shared" si="3"/>
        <v>C:\Users\aremi\Desktop\REPORT CBM\PO 42289580 - Pahang 11kV SECOND CYCLE AZZAD 2026\RAW MATERIAL\047. TNB BARU (IR+VI)\RAW DATA\IR</v>
      </c>
      <c r="BH250" s="24" t="s">
        <v>788</v>
      </c>
    </row>
    <row r="251" spans="1:60" ht="30" customHeight="1" x14ac:dyDescent="0.25">
      <c r="A251" s="6">
        <v>125</v>
      </c>
      <c r="B251" s="6" t="s">
        <v>1591</v>
      </c>
      <c r="C251" s="6">
        <v>1</v>
      </c>
      <c r="D251" s="6" t="s">
        <v>2242</v>
      </c>
      <c r="E251" s="6">
        <v>125</v>
      </c>
      <c r="F251" s="6" t="str">
        <f ca="1">Master_List!$AW$1</f>
        <v>PERPUSTAKAAN PUSAT</v>
      </c>
      <c r="G251" s="27" t="str">
        <f ca="1">Master_List!$AW$2</f>
        <v>09:30 PM</v>
      </c>
      <c r="H251" s="32" t="str">
        <f ca="1">Master_List!$AW$3</f>
        <v>20/07/2026</v>
      </c>
      <c r="I251" s="28" t="str">
        <f ca="1">Master_List!$AW$4</f>
        <v>28.5</v>
      </c>
      <c r="J251" s="6" t="str">
        <f ca="1">Master_List!$AW$5</f>
        <v>65</v>
      </c>
      <c r="K251" s="6" t="s">
        <v>570</v>
      </c>
      <c r="L251" s="21" t="str">
        <f ca="1">IFERROR(VLOOKUP(B251, Master_List!$A:$I, 2, FALSE), "-")</f>
        <v/>
      </c>
      <c r="M251" s="22" t="str">
        <f ca="1">IFERROR(VLOOKUP(B251, Master_List!$A:$I, 3, FALSE), "-")</f>
        <v/>
      </c>
      <c r="N251" s="22" t="str">
        <f ca="1">IFERROR(VLOOKUP(B251, Master_List!$A:$I, 4, FALSE), "-")</f>
        <v/>
      </c>
      <c r="O251" s="22" t="str">
        <f ca="1">IFERROR(VLOOKUP(B251, Master_List!$A:$I, 5, FALSE), "-")</f>
        <v/>
      </c>
      <c r="P251" s="22" t="str">
        <f ca="1">IFERROR(VLOOKUP(B251, Master_List!$A:$I, 6, FALSE), "-")</f>
        <v/>
      </c>
      <c r="Q251" s="22" t="str">
        <f ca="1">IFERROR(VLOOKUP(B251, Master_List!$A:$I, 7, FALSE), "-")</f>
        <v/>
      </c>
      <c r="R251" s="22" t="str">
        <f ca="1">IFERROR(VLOOKUP(B251, Master_List!$A:$I, 8, FALSE), "-")</f>
        <v/>
      </c>
      <c r="S251" s="22" t="str">
        <f ca="1">IFERROR(VLOOKUP(B251, Master_List!$A:$I, 9, FALSE), "-")</f>
        <v/>
      </c>
      <c r="T251" s="20" t="str">
        <f ca="1">Master_List!$AW$6</f>
        <v>TOSHIBA</v>
      </c>
      <c r="U251" s="20" t="str">
        <f ca="1">Master_List!$AW$7</f>
        <v>MRMU</v>
      </c>
      <c r="V251" s="20" t="str">
        <f ca="1">Master_List!$AW$8</f>
        <v>12kV</v>
      </c>
      <c r="W251" s="20" t="str">
        <f ca="1">Master_List!$AW$9</f>
        <v>2S1F</v>
      </c>
      <c r="X251" s="20" t="str">
        <f ca="1">Master_List!$AW$10</f>
        <v>MTM</v>
      </c>
      <c r="Y251" s="20" t="str">
        <f ca="1">Master_List!$AW$11</f>
        <v>HERMETICALLY SEAL</v>
      </c>
      <c r="Z251" s="20" t="str">
        <f ca="1">Master_List!$AW$12</f>
        <v>750kVA</v>
      </c>
      <c r="AA251" s="20" t="str">
        <f ca="1">Master_List!$AW$13</f>
        <v>1317</v>
      </c>
      <c r="AB251" s="20">
        <f ca="1">Master_List!$AW$14</f>
        <v>0</v>
      </c>
      <c r="AC251" s="20">
        <f ca="1">Master_List!$AW$15</f>
        <v>0</v>
      </c>
      <c r="AD251" s="20">
        <f ca="1">Master_List!$AW$16</f>
        <v>0</v>
      </c>
      <c r="AE251" s="20">
        <f ca="1">Master_List!$AW$17</f>
        <v>0</v>
      </c>
      <c r="AF251" s="20" t="str">
        <f ca="1">Master_List!$AW$18</f>
        <v>INDKOM</v>
      </c>
      <c r="AG251" s="20" t="str">
        <f ca="1">Master_List!$AW$19</f>
        <v>J-SLOTTED</v>
      </c>
      <c r="AH251" s="20" t="str">
        <f ca="1">Master_List!$AW$20</f>
        <v>1600A</v>
      </c>
      <c r="AI251" s="20" t="str">
        <f ca="1">Master_List!$AW$21</f>
        <v>LV5080090</v>
      </c>
      <c r="AJ251" s="20" t="str">
        <f ca="1">Master_List!$AW$22</f>
        <v>LVDB TX1</v>
      </c>
      <c r="AK251" s="20">
        <f ca="1">Master_List!$AW$23</f>
        <v>0</v>
      </c>
      <c r="AL251" s="20">
        <f ca="1">Master_List!$AW$24</f>
        <v>0</v>
      </c>
      <c r="AM251" s="20">
        <f ca="1">Master_List!$AW$25</f>
        <v>0</v>
      </c>
      <c r="AN251" s="20">
        <f ca="1">Master_List!$AW$26</f>
        <v>0</v>
      </c>
      <c r="AO251" s="20" t="str">
        <f ca="1">Master_List!$AW$27</f>
        <v>LVDB TX2</v>
      </c>
      <c r="AP251" s="20" t="str">
        <f ca="1">Master_List!$AW$28</f>
        <v>SUNPOWER TECHNOLOGIES</v>
      </c>
      <c r="AQ251" s="20" t="str">
        <f ca="1">Master_List!$AW$29</f>
        <v>SPS 30-10 L</v>
      </c>
      <c r="AR251" s="20" t="str">
        <f ca="1">Master_List!$AW$30</f>
        <v>11193-8527</v>
      </c>
      <c r="AS251" s="20">
        <f ca="1">Master_List!$AW$31</f>
        <v>0</v>
      </c>
      <c r="AT251" s="20">
        <f ca="1">Master_List!$AW$32</f>
        <v>0</v>
      </c>
      <c r="AU251" s="20">
        <f ca="1">Master_List!$AW$33</f>
        <v>0</v>
      </c>
      <c r="AV251" s="20">
        <f ca="1">Master_List!$AW$34</f>
        <v>0</v>
      </c>
      <c r="AW251" s="20">
        <f ca="1">Master_List!$AW$35</f>
        <v>0</v>
      </c>
      <c r="AX251" s="20">
        <f ca="1">Master_List!$AW$36</f>
        <v>0</v>
      </c>
      <c r="AY251" s="20">
        <f ca="1">Master_List!$AW$37</f>
        <v>0</v>
      </c>
      <c r="AZ251" s="20">
        <f ca="1">Master_List!$AW$38</f>
        <v>0</v>
      </c>
      <c r="BA251" s="20">
        <f ca="1">Master_List!$AW$39</f>
        <v>0</v>
      </c>
      <c r="BB251" s="20" t="s">
        <v>2240</v>
      </c>
      <c r="BC251" s="20" t="s">
        <v>2241</v>
      </c>
      <c r="BD251" s="6" t="s">
        <v>1744</v>
      </c>
      <c r="BE251" s="6" t="s">
        <v>1875</v>
      </c>
      <c r="BF251" s="6" t="s">
        <v>1748</v>
      </c>
      <c r="BG251" s="6" t="str">
        <f t="shared" si="3"/>
        <v>C:\Users\aremi\Desktop\REPORT CBM\PO 42289580 - Pahang 11kV SECOND CYCLE AZZAD 2026\RAW MATERIAL\047. TNB BARU (IR+VI)\RAW DATA\IR</v>
      </c>
      <c r="BH251" s="24" t="s">
        <v>789</v>
      </c>
    </row>
    <row r="252" spans="1:60" ht="30" customHeight="1" x14ac:dyDescent="0.25">
      <c r="A252" s="6">
        <v>126</v>
      </c>
      <c r="B252" s="6" t="s">
        <v>1591</v>
      </c>
      <c r="C252" s="6">
        <v>1</v>
      </c>
      <c r="D252" s="6" t="s">
        <v>2242</v>
      </c>
      <c r="E252" s="6">
        <v>126</v>
      </c>
      <c r="F252" s="6" t="str">
        <f ca="1">Master_List!$AW$1</f>
        <v>PERPUSTAKAAN PUSAT</v>
      </c>
      <c r="G252" s="27" t="str">
        <f ca="1">Master_List!$AW$2</f>
        <v>09:30 PM</v>
      </c>
      <c r="H252" s="32" t="str">
        <f ca="1">Master_List!$AW$3</f>
        <v>20/07/2026</v>
      </c>
      <c r="I252" s="28" t="str">
        <f ca="1">Master_List!$AW$4</f>
        <v>28.5</v>
      </c>
      <c r="J252" s="6" t="str">
        <f ca="1">Master_List!$AW$5</f>
        <v>65</v>
      </c>
      <c r="K252" s="6" t="s">
        <v>573</v>
      </c>
      <c r="L252" s="21" t="str">
        <f ca="1">IFERROR(VLOOKUP(B252, Master_List!$A:$I, 2, FALSE), "-")</f>
        <v/>
      </c>
      <c r="M252" s="22" t="str">
        <f ca="1">IFERROR(VLOOKUP(B252, Master_List!$A:$I, 3, FALSE), "-")</f>
        <v/>
      </c>
      <c r="N252" s="22" t="str">
        <f ca="1">IFERROR(VLOOKUP(B252, Master_List!$A:$I, 4, FALSE), "-")</f>
        <v/>
      </c>
      <c r="O252" s="22" t="str">
        <f ca="1">IFERROR(VLOOKUP(B252, Master_List!$A:$I, 5, FALSE), "-")</f>
        <v/>
      </c>
      <c r="P252" s="22" t="str">
        <f ca="1">IFERROR(VLOOKUP(B252, Master_List!$A:$I, 6, FALSE), "-")</f>
        <v/>
      </c>
      <c r="Q252" s="22" t="str">
        <f ca="1">IFERROR(VLOOKUP(B252, Master_List!$A:$I, 7, FALSE), "-")</f>
        <v/>
      </c>
      <c r="R252" s="22" t="str">
        <f ca="1">IFERROR(VLOOKUP(B252, Master_List!$A:$I, 8, FALSE), "-")</f>
        <v/>
      </c>
      <c r="S252" s="22" t="str">
        <f ca="1">IFERROR(VLOOKUP(B252, Master_List!$A:$I, 9, FALSE), "-")</f>
        <v/>
      </c>
      <c r="T252" s="20" t="str">
        <f ca="1">Master_List!$AW$6</f>
        <v>TOSHIBA</v>
      </c>
      <c r="U252" s="20" t="str">
        <f ca="1">Master_List!$AW$7</f>
        <v>MRMU</v>
      </c>
      <c r="V252" s="20" t="str">
        <f ca="1">Master_List!$AW$8</f>
        <v>12kV</v>
      </c>
      <c r="W252" s="20" t="str">
        <f ca="1">Master_List!$AW$9</f>
        <v>2S1F</v>
      </c>
      <c r="X252" s="20" t="str">
        <f ca="1">Master_List!$AW$10</f>
        <v>MTM</v>
      </c>
      <c r="Y252" s="20" t="str">
        <f ca="1">Master_List!$AW$11</f>
        <v>HERMETICALLY SEAL</v>
      </c>
      <c r="Z252" s="20" t="str">
        <f ca="1">Master_List!$AW$12</f>
        <v>750kVA</v>
      </c>
      <c r="AA252" s="20" t="str">
        <f ca="1">Master_List!$AW$13</f>
        <v>1317</v>
      </c>
      <c r="AB252" s="20">
        <f ca="1">Master_List!$AW$14</f>
        <v>0</v>
      </c>
      <c r="AC252" s="20">
        <f ca="1">Master_List!$AW$15</f>
        <v>0</v>
      </c>
      <c r="AD252" s="20">
        <f ca="1">Master_List!$AW$16</f>
        <v>0</v>
      </c>
      <c r="AE252" s="20">
        <f ca="1">Master_List!$AW$17</f>
        <v>0</v>
      </c>
      <c r="AF252" s="20" t="str">
        <f ca="1">Master_List!$AW$18</f>
        <v>INDKOM</v>
      </c>
      <c r="AG252" s="20" t="str">
        <f ca="1">Master_List!$AW$19</f>
        <v>J-SLOTTED</v>
      </c>
      <c r="AH252" s="20" t="str">
        <f ca="1">Master_List!$AW$20</f>
        <v>1600A</v>
      </c>
      <c r="AI252" s="20" t="str">
        <f ca="1">Master_List!$AW$21</f>
        <v>LV5080090</v>
      </c>
      <c r="AJ252" s="20" t="str">
        <f ca="1">Master_List!$AW$22</f>
        <v>LVDB TX1</v>
      </c>
      <c r="AK252" s="20">
        <f ca="1">Master_List!$AW$23</f>
        <v>0</v>
      </c>
      <c r="AL252" s="20">
        <f ca="1">Master_List!$AW$24</f>
        <v>0</v>
      </c>
      <c r="AM252" s="20">
        <f ca="1">Master_List!$AW$25</f>
        <v>0</v>
      </c>
      <c r="AN252" s="20">
        <f ca="1">Master_List!$AW$26</f>
        <v>0</v>
      </c>
      <c r="AO252" s="20" t="str">
        <f ca="1">Master_List!$AW$27</f>
        <v>LVDB TX2</v>
      </c>
      <c r="AP252" s="20" t="str">
        <f ca="1">Master_List!$AW$28</f>
        <v>SUNPOWER TECHNOLOGIES</v>
      </c>
      <c r="AQ252" s="20" t="str">
        <f ca="1">Master_List!$AW$29</f>
        <v>SPS 30-10 L</v>
      </c>
      <c r="AR252" s="20" t="str">
        <f ca="1">Master_List!$AW$30</f>
        <v>11193-8527</v>
      </c>
      <c r="AS252" s="20">
        <f ca="1">Master_List!$AW$31</f>
        <v>0</v>
      </c>
      <c r="AT252" s="20">
        <f ca="1">Master_List!$AW$32</f>
        <v>0</v>
      </c>
      <c r="AU252" s="20">
        <f ca="1">Master_List!$AW$33</f>
        <v>0</v>
      </c>
      <c r="AV252" s="20">
        <f ca="1">Master_List!$AW$34</f>
        <v>0</v>
      </c>
      <c r="AW252" s="20">
        <f ca="1">Master_List!$AW$35</f>
        <v>0</v>
      </c>
      <c r="AX252" s="20">
        <f ca="1">Master_List!$AW$36</f>
        <v>0</v>
      </c>
      <c r="AY252" s="20">
        <f ca="1">Master_List!$AW$37</f>
        <v>0</v>
      </c>
      <c r="AZ252" s="20">
        <f ca="1">Master_List!$AW$38</f>
        <v>0</v>
      </c>
      <c r="BA252" s="20">
        <f ca="1">Master_List!$AW$39</f>
        <v>0</v>
      </c>
      <c r="BB252" s="20" t="s">
        <v>2240</v>
      </c>
      <c r="BC252" s="20" t="s">
        <v>2241</v>
      </c>
      <c r="BD252" s="6" t="s">
        <v>1744</v>
      </c>
      <c r="BE252" s="6" t="s">
        <v>1876</v>
      </c>
      <c r="BF252" s="6" t="s">
        <v>1746</v>
      </c>
      <c r="BG252" s="6" t="str">
        <f t="shared" si="3"/>
        <v>C:\Users\aremi\Desktop\REPORT CBM\PO 42289580 - Pahang 11kV SECOND CYCLE AZZAD 2026\RAW MATERIAL\047. TNB BARU (IR+VI)\RAW DATA\IR</v>
      </c>
      <c r="BH252" s="24" t="s">
        <v>790</v>
      </c>
    </row>
    <row r="253" spans="1:60" ht="30" customHeight="1" x14ac:dyDescent="0.25">
      <c r="A253" s="6">
        <v>126</v>
      </c>
      <c r="B253" s="6" t="s">
        <v>1591</v>
      </c>
      <c r="C253" s="6">
        <v>1</v>
      </c>
      <c r="D253" s="6" t="s">
        <v>2242</v>
      </c>
      <c r="E253" s="6">
        <v>126</v>
      </c>
      <c r="F253" s="6" t="str">
        <f ca="1">Master_List!$AW$1</f>
        <v>PERPUSTAKAAN PUSAT</v>
      </c>
      <c r="G253" s="27" t="str">
        <f ca="1">Master_List!$AW$2</f>
        <v>09:30 PM</v>
      </c>
      <c r="H253" s="32" t="str">
        <f ca="1">Master_List!$AW$3</f>
        <v>20/07/2026</v>
      </c>
      <c r="I253" s="28" t="str">
        <f ca="1">Master_List!$AW$4</f>
        <v>28.5</v>
      </c>
      <c r="J253" s="6" t="str">
        <f ca="1">Master_List!$AW$5</f>
        <v>65</v>
      </c>
      <c r="K253" s="6" t="s">
        <v>573</v>
      </c>
      <c r="L253" s="21" t="str">
        <f ca="1">IFERROR(VLOOKUP(B253, Master_List!$A:$I, 2, FALSE), "-")</f>
        <v/>
      </c>
      <c r="M253" s="22" t="str">
        <f ca="1">IFERROR(VLOOKUP(B253, Master_List!$A:$I, 3, FALSE), "-")</f>
        <v/>
      </c>
      <c r="N253" s="22" t="str">
        <f ca="1">IFERROR(VLOOKUP(B253, Master_List!$A:$I, 4, FALSE), "-")</f>
        <v/>
      </c>
      <c r="O253" s="22" t="str">
        <f ca="1">IFERROR(VLOOKUP(B253, Master_List!$A:$I, 5, FALSE), "-")</f>
        <v/>
      </c>
      <c r="P253" s="22" t="str">
        <f ca="1">IFERROR(VLOOKUP(B253, Master_List!$A:$I, 6, FALSE), "-")</f>
        <v/>
      </c>
      <c r="Q253" s="22" t="str">
        <f ca="1">IFERROR(VLOOKUP(B253, Master_List!$A:$I, 7, FALSE), "-")</f>
        <v/>
      </c>
      <c r="R253" s="22" t="str">
        <f ca="1">IFERROR(VLOOKUP(B253, Master_List!$A:$I, 8, FALSE), "-")</f>
        <v/>
      </c>
      <c r="S253" s="22" t="str">
        <f ca="1">IFERROR(VLOOKUP(B253, Master_List!$A:$I, 9, FALSE), "-")</f>
        <v/>
      </c>
      <c r="T253" s="20" t="str">
        <f ca="1">Master_List!$AW$6</f>
        <v>TOSHIBA</v>
      </c>
      <c r="U253" s="20" t="str">
        <f ca="1">Master_List!$AW$7</f>
        <v>MRMU</v>
      </c>
      <c r="V253" s="20" t="str">
        <f ca="1">Master_List!$AW$8</f>
        <v>12kV</v>
      </c>
      <c r="W253" s="20" t="str">
        <f ca="1">Master_List!$AW$9</f>
        <v>2S1F</v>
      </c>
      <c r="X253" s="20" t="str">
        <f ca="1">Master_List!$AW$10</f>
        <v>MTM</v>
      </c>
      <c r="Y253" s="20" t="str">
        <f ca="1">Master_List!$AW$11</f>
        <v>HERMETICALLY SEAL</v>
      </c>
      <c r="Z253" s="20" t="str">
        <f ca="1">Master_List!$AW$12</f>
        <v>750kVA</v>
      </c>
      <c r="AA253" s="20" t="str">
        <f ca="1">Master_List!$AW$13</f>
        <v>1317</v>
      </c>
      <c r="AB253" s="20">
        <f ca="1">Master_List!$AW$14</f>
        <v>0</v>
      </c>
      <c r="AC253" s="20">
        <f ca="1">Master_List!$AW$15</f>
        <v>0</v>
      </c>
      <c r="AD253" s="20">
        <f ca="1">Master_List!$AW$16</f>
        <v>0</v>
      </c>
      <c r="AE253" s="20">
        <f ca="1">Master_List!$AW$17</f>
        <v>0</v>
      </c>
      <c r="AF253" s="20" t="str">
        <f ca="1">Master_List!$AW$18</f>
        <v>INDKOM</v>
      </c>
      <c r="AG253" s="20" t="str">
        <f ca="1">Master_List!$AW$19</f>
        <v>J-SLOTTED</v>
      </c>
      <c r="AH253" s="20" t="str">
        <f ca="1">Master_List!$AW$20</f>
        <v>1600A</v>
      </c>
      <c r="AI253" s="20" t="str">
        <f ca="1">Master_List!$AW$21</f>
        <v>LV5080090</v>
      </c>
      <c r="AJ253" s="20" t="str">
        <f ca="1">Master_List!$AW$22</f>
        <v>LVDB TX1</v>
      </c>
      <c r="AK253" s="20">
        <f ca="1">Master_List!$AW$23</f>
        <v>0</v>
      </c>
      <c r="AL253" s="20">
        <f ca="1">Master_List!$AW$24</f>
        <v>0</v>
      </c>
      <c r="AM253" s="20">
        <f ca="1">Master_List!$AW$25</f>
        <v>0</v>
      </c>
      <c r="AN253" s="20">
        <f ca="1">Master_List!$AW$26</f>
        <v>0</v>
      </c>
      <c r="AO253" s="20" t="str">
        <f ca="1">Master_List!$AW$27</f>
        <v>LVDB TX2</v>
      </c>
      <c r="AP253" s="20" t="str">
        <f ca="1">Master_List!$AW$28</f>
        <v>SUNPOWER TECHNOLOGIES</v>
      </c>
      <c r="AQ253" s="20" t="str">
        <f ca="1">Master_List!$AW$29</f>
        <v>SPS 30-10 L</v>
      </c>
      <c r="AR253" s="20" t="str">
        <f ca="1">Master_List!$AW$30</f>
        <v>11193-8527</v>
      </c>
      <c r="AS253" s="20">
        <f ca="1">Master_List!$AW$31</f>
        <v>0</v>
      </c>
      <c r="AT253" s="20">
        <f ca="1">Master_List!$AW$32</f>
        <v>0</v>
      </c>
      <c r="AU253" s="20">
        <f ca="1">Master_List!$AW$33</f>
        <v>0</v>
      </c>
      <c r="AV253" s="20">
        <f ca="1">Master_List!$AW$34</f>
        <v>0</v>
      </c>
      <c r="AW253" s="20">
        <f ca="1">Master_List!$AW$35</f>
        <v>0</v>
      </c>
      <c r="AX253" s="20">
        <f ca="1">Master_List!$AW$36</f>
        <v>0</v>
      </c>
      <c r="AY253" s="20">
        <f ca="1">Master_List!$AW$37</f>
        <v>0</v>
      </c>
      <c r="AZ253" s="20">
        <f ca="1">Master_List!$AW$38</f>
        <v>0</v>
      </c>
      <c r="BA253" s="20">
        <f ca="1">Master_List!$AW$39</f>
        <v>0</v>
      </c>
      <c r="BB253" s="20" t="s">
        <v>2240</v>
      </c>
      <c r="BC253" s="20" t="s">
        <v>2241</v>
      </c>
      <c r="BD253" s="6" t="s">
        <v>1744</v>
      </c>
      <c r="BE253" s="6" t="s">
        <v>1876</v>
      </c>
      <c r="BF253" s="6" t="s">
        <v>1748</v>
      </c>
      <c r="BG253" s="6" t="str">
        <f t="shared" si="3"/>
        <v>C:\Users\aremi\Desktop\REPORT CBM\PO 42289580 - Pahang 11kV SECOND CYCLE AZZAD 2026\RAW MATERIAL\047. TNB BARU (IR+VI)\RAW DATA\IR</v>
      </c>
      <c r="BH253" s="24" t="s">
        <v>791</v>
      </c>
    </row>
    <row r="254" spans="1:60" ht="30" customHeight="1" x14ac:dyDescent="0.25">
      <c r="A254" s="6">
        <v>127</v>
      </c>
      <c r="B254" s="6" t="s">
        <v>1591</v>
      </c>
      <c r="C254" s="6">
        <v>1</v>
      </c>
      <c r="D254" s="6" t="s">
        <v>2242</v>
      </c>
      <c r="E254" s="6">
        <v>127</v>
      </c>
      <c r="F254" s="6" t="str">
        <f ca="1">Master_List!$AW$1</f>
        <v>PERPUSTAKAAN PUSAT</v>
      </c>
      <c r="G254" s="27" t="str">
        <f ca="1">Master_List!$AW$2</f>
        <v>09:30 PM</v>
      </c>
      <c r="H254" s="32" t="str">
        <f ca="1">Master_List!$AW$3</f>
        <v>20/07/2026</v>
      </c>
      <c r="I254" s="28" t="str">
        <f ca="1">Master_List!$AW$4</f>
        <v>28.5</v>
      </c>
      <c r="J254" s="6" t="str">
        <f ca="1">Master_List!$AW$5</f>
        <v>65</v>
      </c>
      <c r="K254" s="6" t="s">
        <v>576</v>
      </c>
      <c r="L254" s="21" t="str">
        <f ca="1">IFERROR(VLOOKUP(B254, Master_List!$A:$I, 2, FALSE), "-")</f>
        <v/>
      </c>
      <c r="M254" s="22" t="str">
        <f ca="1">IFERROR(VLOOKUP(B254, Master_List!$A:$I, 3, FALSE), "-")</f>
        <v/>
      </c>
      <c r="N254" s="22" t="str">
        <f ca="1">IFERROR(VLOOKUP(B254, Master_List!$A:$I, 4, FALSE), "-")</f>
        <v/>
      </c>
      <c r="O254" s="22" t="str">
        <f ca="1">IFERROR(VLOOKUP(B254, Master_List!$A:$I, 5, FALSE), "-")</f>
        <v/>
      </c>
      <c r="P254" s="22" t="str">
        <f ca="1">IFERROR(VLOOKUP(B254, Master_List!$A:$I, 6, FALSE), "-")</f>
        <v/>
      </c>
      <c r="Q254" s="22" t="str">
        <f ca="1">IFERROR(VLOOKUP(B254, Master_List!$A:$I, 7, FALSE), "-")</f>
        <v/>
      </c>
      <c r="R254" s="22" t="str">
        <f ca="1">IFERROR(VLOOKUP(B254, Master_List!$A:$I, 8, FALSE), "-")</f>
        <v/>
      </c>
      <c r="S254" s="22" t="str">
        <f ca="1">IFERROR(VLOOKUP(B254, Master_List!$A:$I, 9, FALSE), "-")</f>
        <v/>
      </c>
      <c r="T254" s="20" t="str">
        <f ca="1">Master_List!$AW$6</f>
        <v>TOSHIBA</v>
      </c>
      <c r="U254" s="20" t="str">
        <f ca="1">Master_List!$AW$7</f>
        <v>MRMU</v>
      </c>
      <c r="V254" s="20" t="str">
        <f ca="1">Master_List!$AW$8</f>
        <v>12kV</v>
      </c>
      <c r="W254" s="20" t="str">
        <f ca="1">Master_List!$AW$9</f>
        <v>2S1F</v>
      </c>
      <c r="X254" s="20" t="str">
        <f ca="1">Master_List!$AW$10</f>
        <v>MTM</v>
      </c>
      <c r="Y254" s="20" t="str">
        <f ca="1">Master_List!$AW$11</f>
        <v>HERMETICALLY SEAL</v>
      </c>
      <c r="Z254" s="20" t="str">
        <f ca="1">Master_List!$AW$12</f>
        <v>750kVA</v>
      </c>
      <c r="AA254" s="20" t="str">
        <f ca="1">Master_List!$AW$13</f>
        <v>1317</v>
      </c>
      <c r="AB254" s="20">
        <f ca="1">Master_List!$AW$14</f>
        <v>0</v>
      </c>
      <c r="AC254" s="20">
        <f ca="1">Master_List!$AW$15</f>
        <v>0</v>
      </c>
      <c r="AD254" s="20">
        <f ca="1">Master_List!$AW$16</f>
        <v>0</v>
      </c>
      <c r="AE254" s="20">
        <f ca="1">Master_List!$AW$17</f>
        <v>0</v>
      </c>
      <c r="AF254" s="20" t="str">
        <f ca="1">Master_List!$AW$18</f>
        <v>INDKOM</v>
      </c>
      <c r="AG254" s="20" t="str">
        <f ca="1">Master_List!$AW$19</f>
        <v>J-SLOTTED</v>
      </c>
      <c r="AH254" s="20" t="str">
        <f ca="1">Master_List!$AW$20</f>
        <v>1600A</v>
      </c>
      <c r="AI254" s="20" t="str">
        <f ca="1">Master_List!$AW$21</f>
        <v>LV5080090</v>
      </c>
      <c r="AJ254" s="20" t="str">
        <f ca="1">Master_List!$AW$22</f>
        <v>LVDB TX1</v>
      </c>
      <c r="AK254" s="20">
        <f ca="1">Master_List!$AW$23</f>
        <v>0</v>
      </c>
      <c r="AL254" s="20">
        <f ca="1">Master_List!$AW$24</f>
        <v>0</v>
      </c>
      <c r="AM254" s="20">
        <f ca="1">Master_List!$AW$25</f>
        <v>0</v>
      </c>
      <c r="AN254" s="20">
        <f ca="1">Master_List!$AW$26</f>
        <v>0</v>
      </c>
      <c r="AO254" s="20" t="str">
        <f ca="1">Master_List!$AW$27</f>
        <v>LVDB TX2</v>
      </c>
      <c r="AP254" s="20" t="str">
        <f ca="1">Master_List!$AW$28</f>
        <v>SUNPOWER TECHNOLOGIES</v>
      </c>
      <c r="AQ254" s="20" t="str">
        <f ca="1">Master_List!$AW$29</f>
        <v>SPS 30-10 L</v>
      </c>
      <c r="AR254" s="20" t="str">
        <f ca="1">Master_List!$AW$30</f>
        <v>11193-8527</v>
      </c>
      <c r="AS254" s="20">
        <f ca="1">Master_List!$AW$31</f>
        <v>0</v>
      </c>
      <c r="AT254" s="20">
        <f ca="1">Master_List!$AW$32</f>
        <v>0</v>
      </c>
      <c r="AU254" s="20">
        <f ca="1">Master_List!$AW$33</f>
        <v>0</v>
      </c>
      <c r="AV254" s="20">
        <f ca="1">Master_List!$AW$34</f>
        <v>0</v>
      </c>
      <c r="AW254" s="20">
        <f ca="1">Master_List!$AW$35</f>
        <v>0</v>
      </c>
      <c r="AX254" s="20">
        <f ca="1">Master_List!$AW$36</f>
        <v>0</v>
      </c>
      <c r="AY254" s="20">
        <f ca="1">Master_List!$AW$37</f>
        <v>0</v>
      </c>
      <c r="AZ254" s="20">
        <f ca="1">Master_List!$AW$38</f>
        <v>0</v>
      </c>
      <c r="BA254" s="20">
        <f ca="1">Master_List!$AW$39</f>
        <v>0</v>
      </c>
      <c r="BB254" s="20" t="s">
        <v>2240</v>
      </c>
      <c r="BC254" s="20" t="s">
        <v>2241</v>
      </c>
      <c r="BD254" s="6" t="s">
        <v>1744</v>
      </c>
      <c r="BE254" s="6" t="s">
        <v>1877</v>
      </c>
      <c r="BF254" s="6" t="s">
        <v>1746</v>
      </c>
      <c r="BG254" s="6" t="str">
        <f t="shared" si="3"/>
        <v>C:\Users\aremi\Desktop\REPORT CBM\PO 42289580 - Pahang 11kV SECOND CYCLE AZZAD 2026\RAW MATERIAL\047. TNB BARU (IR+VI)\RAW DATA\IR</v>
      </c>
      <c r="BH254" s="24" t="s">
        <v>792</v>
      </c>
    </row>
    <row r="255" spans="1:60" ht="30" customHeight="1" x14ac:dyDescent="0.25">
      <c r="A255" s="6">
        <v>127</v>
      </c>
      <c r="B255" s="6" t="s">
        <v>1591</v>
      </c>
      <c r="C255" s="6">
        <v>1</v>
      </c>
      <c r="D255" s="6" t="s">
        <v>2242</v>
      </c>
      <c r="E255" s="6">
        <v>127</v>
      </c>
      <c r="F255" s="6" t="str">
        <f ca="1">Master_List!$AW$1</f>
        <v>PERPUSTAKAAN PUSAT</v>
      </c>
      <c r="G255" s="27" t="str">
        <f ca="1">Master_List!$AW$2</f>
        <v>09:30 PM</v>
      </c>
      <c r="H255" s="32" t="str">
        <f ca="1">Master_List!$AW$3</f>
        <v>20/07/2026</v>
      </c>
      <c r="I255" s="28" t="str">
        <f ca="1">Master_List!$AW$4</f>
        <v>28.5</v>
      </c>
      <c r="J255" s="6" t="str">
        <f ca="1">Master_List!$AW$5</f>
        <v>65</v>
      </c>
      <c r="K255" s="6" t="s">
        <v>576</v>
      </c>
      <c r="L255" s="21" t="str">
        <f ca="1">IFERROR(VLOOKUP(B255, Master_List!$A:$I, 2, FALSE), "-")</f>
        <v/>
      </c>
      <c r="M255" s="22" t="str">
        <f ca="1">IFERROR(VLOOKUP(B255, Master_List!$A:$I, 3, FALSE), "-")</f>
        <v/>
      </c>
      <c r="N255" s="22" t="str">
        <f ca="1">IFERROR(VLOOKUP(B255, Master_List!$A:$I, 4, FALSE), "-")</f>
        <v/>
      </c>
      <c r="O255" s="22" t="str">
        <f ca="1">IFERROR(VLOOKUP(B255, Master_List!$A:$I, 5, FALSE), "-")</f>
        <v/>
      </c>
      <c r="P255" s="22" t="str">
        <f ca="1">IFERROR(VLOOKUP(B255, Master_List!$A:$I, 6, FALSE), "-")</f>
        <v/>
      </c>
      <c r="Q255" s="22" t="str">
        <f ca="1">IFERROR(VLOOKUP(B255, Master_List!$A:$I, 7, FALSE), "-")</f>
        <v/>
      </c>
      <c r="R255" s="22" t="str">
        <f ca="1">IFERROR(VLOOKUP(B255, Master_List!$A:$I, 8, FALSE), "-")</f>
        <v/>
      </c>
      <c r="S255" s="22" t="str">
        <f ca="1">IFERROR(VLOOKUP(B255, Master_List!$A:$I, 9, FALSE), "-")</f>
        <v/>
      </c>
      <c r="T255" s="20" t="str">
        <f ca="1">Master_List!$AW$6</f>
        <v>TOSHIBA</v>
      </c>
      <c r="U255" s="20" t="str">
        <f ca="1">Master_List!$AW$7</f>
        <v>MRMU</v>
      </c>
      <c r="V255" s="20" t="str">
        <f ca="1">Master_List!$AW$8</f>
        <v>12kV</v>
      </c>
      <c r="W255" s="20" t="str">
        <f ca="1">Master_List!$AW$9</f>
        <v>2S1F</v>
      </c>
      <c r="X255" s="20" t="str">
        <f ca="1">Master_List!$AW$10</f>
        <v>MTM</v>
      </c>
      <c r="Y255" s="20" t="str">
        <f ca="1">Master_List!$AW$11</f>
        <v>HERMETICALLY SEAL</v>
      </c>
      <c r="Z255" s="20" t="str">
        <f ca="1">Master_List!$AW$12</f>
        <v>750kVA</v>
      </c>
      <c r="AA255" s="20" t="str">
        <f ca="1">Master_List!$AW$13</f>
        <v>1317</v>
      </c>
      <c r="AB255" s="20">
        <f ca="1">Master_List!$AW$14</f>
        <v>0</v>
      </c>
      <c r="AC255" s="20">
        <f ca="1">Master_List!$AW$15</f>
        <v>0</v>
      </c>
      <c r="AD255" s="20">
        <f ca="1">Master_List!$AW$16</f>
        <v>0</v>
      </c>
      <c r="AE255" s="20">
        <f ca="1">Master_List!$AW$17</f>
        <v>0</v>
      </c>
      <c r="AF255" s="20" t="str">
        <f ca="1">Master_List!$AW$18</f>
        <v>INDKOM</v>
      </c>
      <c r="AG255" s="20" t="str">
        <f ca="1">Master_List!$AW$19</f>
        <v>J-SLOTTED</v>
      </c>
      <c r="AH255" s="20" t="str">
        <f ca="1">Master_List!$AW$20</f>
        <v>1600A</v>
      </c>
      <c r="AI255" s="20" t="str">
        <f ca="1">Master_List!$AW$21</f>
        <v>LV5080090</v>
      </c>
      <c r="AJ255" s="20" t="str">
        <f ca="1">Master_List!$AW$22</f>
        <v>LVDB TX1</v>
      </c>
      <c r="AK255" s="20">
        <f ca="1">Master_List!$AW$23</f>
        <v>0</v>
      </c>
      <c r="AL255" s="20">
        <f ca="1">Master_List!$AW$24</f>
        <v>0</v>
      </c>
      <c r="AM255" s="20">
        <f ca="1">Master_List!$AW$25</f>
        <v>0</v>
      </c>
      <c r="AN255" s="20">
        <f ca="1">Master_List!$AW$26</f>
        <v>0</v>
      </c>
      <c r="AO255" s="20" t="str">
        <f ca="1">Master_List!$AW$27</f>
        <v>LVDB TX2</v>
      </c>
      <c r="AP255" s="20" t="str">
        <f ca="1">Master_List!$AW$28</f>
        <v>SUNPOWER TECHNOLOGIES</v>
      </c>
      <c r="AQ255" s="20" t="str">
        <f ca="1">Master_List!$AW$29</f>
        <v>SPS 30-10 L</v>
      </c>
      <c r="AR255" s="20" t="str">
        <f ca="1">Master_List!$AW$30</f>
        <v>11193-8527</v>
      </c>
      <c r="AS255" s="20">
        <f ca="1">Master_List!$AW$31</f>
        <v>0</v>
      </c>
      <c r="AT255" s="20">
        <f ca="1">Master_List!$AW$32</f>
        <v>0</v>
      </c>
      <c r="AU255" s="20">
        <f ca="1">Master_List!$AW$33</f>
        <v>0</v>
      </c>
      <c r="AV255" s="20">
        <f ca="1">Master_List!$AW$34</f>
        <v>0</v>
      </c>
      <c r="AW255" s="20">
        <f ca="1">Master_List!$AW$35</f>
        <v>0</v>
      </c>
      <c r="AX255" s="20">
        <f ca="1">Master_List!$AW$36</f>
        <v>0</v>
      </c>
      <c r="AY255" s="20">
        <f ca="1">Master_List!$AW$37</f>
        <v>0</v>
      </c>
      <c r="AZ255" s="20">
        <f ca="1">Master_List!$AW$38</f>
        <v>0</v>
      </c>
      <c r="BA255" s="20">
        <f ca="1">Master_List!$AW$39</f>
        <v>0</v>
      </c>
      <c r="BB255" s="20" t="s">
        <v>2240</v>
      </c>
      <c r="BC255" s="20" t="s">
        <v>2241</v>
      </c>
      <c r="BD255" s="6" t="s">
        <v>1744</v>
      </c>
      <c r="BE255" s="6" t="s">
        <v>1877</v>
      </c>
      <c r="BF255" s="6" t="s">
        <v>1748</v>
      </c>
      <c r="BG255" s="6" t="str">
        <f t="shared" si="3"/>
        <v>C:\Users\aremi\Desktop\REPORT CBM\PO 42289580 - Pahang 11kV SECOND CYCLE AZZAD 2026\RAW MATERIAL\047. TNB BARU (IR+VI)\RAW DATA\IR</v>
      </c>
      <c r="BH255" s="24" t="s">
        <v>793</v>
      </c>
    </row>
    <row r="256" spans="1:60" ht="30" customHeight="1" x14ac:dyDescent="0.25">
      <c r="A256" s="6">
        <v>128</v>
      </c>
      <c r="B256" s="6" t="s">
        <v>1591</v>
      </c>
      <c r="C256" s="6">
        <v>1</v>
      </c>
      <c r="D256" s="6" t="s">
        <v>2242</v>
      </c>
      <c r="E256" s="6">
        <v>128</v>
      </c>
      <c r="F256" s="6" t="str">
        <f ca="1">Master_List!$AW$1</f>
        <v>PERPUSTAKAAN PUSAT</v>
      </c>
      <c r="G256" s="27" t="str">
        <f ca="1">Master_List!$AW$2</f>
        <v>09:30 PM</v>
      </c>
      <c r="H256" s="32" t="str">
        <f ca="1">Master_List!$AW$3</f>
        <v>20/07/2026</v>
      </c>
      <c r="I256" s="28" t="str">
        <f ca="1">Master_List!$AW$4</f>
        <v>28.5</v>
      </c>
      <c r="J256" s="6" t="str">
        <f ca="1">Master_List!$AW$5</f>
        <v>65</v>
      </c>
      <c r="K256" s="6" t="s">
        <v>579</v>
      </c>
      <c r="L256" s="21" t="str">
        <f ca="1">IFERROR(VLOOKUP(B256, Master_List!$A:$I, 2, FALSE), "-")</f>
        <v/>
      </c>
      <c r="M256" s="22" t="str">
        <f ca="1">IFERROR(VLOOKUP(B256, Master_List!$A:$I, 3, FALSE), "-")</f>
        <v/>
      </c>
      <c r="N256" s="22" t="str">
        <f ca="1">IFERROR(VLOOKUP(B256, Master_List!$A:$I, 4, FALSE), "-")</f>
        <v/>
      </c>
      <c r="O256" s="22" t="str">
        <f ca="1">IFERROR(VLOOKUP(B256, Master_List!$A:$I, 5, FALSE), "-")</f>
        <v/>
      </c>
      <c r="P256" s="22" t="str">
        <f ca="1">IFERROR(VLOOKUP(B256, Master_List!$A:$I, 6, FALSE), "-")</f>
        <v/>
      </c>
      <c r="Q256" s="22" t="str">
        <f ca="1">IFERROR(VLOOKUP(B256, Master_List!$A:$I, 7, FALSE), "-")</f>
        <v/>
      </c>
      <c r="R256" s="22" t="str">
        <f ca="1">IFERROR(VLOOKUP(B256, Master_List!$A:$I, 8, FALSE), "-")</f>
        <v/>
      </c>
      <c r="S256" s="22" t="str">
        <f ca="1">IFERROR(VLOOKUP(B256, Master_List!$A:$I, 9, FALSE), "-")</f>
        <v/>
      </c>
      <c r="T256" s="20" t="str">
        <f ca="1">Master_List!$AW$6</f>
        <v>TOSHIBA</v>
      </c>
      <c r="U256" s="20" t="str">
        <f ca="1">Master_List!$AW$7</f>
        <v>MRMU</v>
      </c>
      <c r="V256" s="20" t="str">
        <f ca="1">Master_List!$AW$8</f>
        <v>12kV</v>
      </c>
      <c r="W256" s="20" t="str">
        <f ca="1">Master_List!$AW$9</f>
        <v>2S1F</v>
      </c>
      <c r="X256" s="20" t="str">
        <f ca="1">Master_List!$AW$10</f>
        <v>MTM</v>
      </c>
      <c r="Y256" s="20" t="str">
        <f ca="1">Master_List!$AW$11</f>
        <v>HERMETICALLY SEAL</v>
      </c>
      <c r="Z256" s="20" t="str">
        <f ca="1">Master_List!$AW$12</f>
        <v>750kVA</v>
      </c>
      <c r="AA256" s="20" t="str">
        <f ca="1">Master_List!$AW$13</f>
        <v>1317</v>
      </c>
      <c r="AB256" s="20">
        <f ca="1">Master_List!$AW$14</f>
        <v>0</v>
      </c>
      <c r="AC256" s="20">
        <f ca="1">Master_List!$AW$15</f>
        <v>0</v>
      </c>
      <c r="AD256" s="20">
        <f ca="1">Master_List!$AW$16</f>
        <v>0</v>
      </c>
      <c r="AE256" s="20">
        <f ca="1">Master_List!$AW$17</f>
        <v>0</v>
      </c>
      <c r="AF256" s="20" t="str">
        <f ca="1">Master_List!$AW$18</f>
        <v>INDKOM</v>
      </c>
      <c r="AG256" s="20" t="str">
        <f ca="1">Master_List!$AW$19</f>
        <v>J-SLOTTED</v>
      </c>
      <c r="AH256" s="20" t="str">
        <f ca="1">Master_List!$AW$20</f>
        <v>1600A</v>
      </c>
      <c r="AI256" s="20" t="str">
        <f ca="1">Master_List!$AW$21</f>
        <v>LV5080090</v>
      </c>
      <c r="AJ256" s="20" t="str">
        <f ca="1">Master_List!$AW$22</f>
        <v>LVDB TX1</v>
      </c>
      <c r="AK256" s="20">
        <f ca="1">Master_List!$AW$23</f>
        <v>0</v>
      </c>
      <c r="AL256" s="20">
        <f ca="1">Master_List!$AW$24</f>
        <v>0</v>
      </c>
      <c r="AM256" s="20">
        <f ca="1">Master_List!$AW$25</f>
        <v>0</v>
      </c>
      <c r="AN256" s="20">
        <f ca="1">Master_List!$AW$26</f>
        <v>0</v>
      </c>
      <c r="AO256" s="20" t="str">
        <f ca="1">Master_List!$AW$27</f>
        <v>LVDB TX2</v>
      </c>
      <c r="AP256" s="20" t="str">
        <f ca="1">Master_List!$AW$28</f>
        <v>SUNPOWER TECHNOLOGIES</v>
      </c>
      <c r="AQ256" s="20" t="str">
        <f ca="1">Master_List!$AW$29</f>
        <v>SPS 30-10 L</v>
      </c>
      <c r="AR256" s="20" t="str">
        <f ca="1">Master_List!$AW$30</f>
        <v>11193-8527</v>
      </c>
      <c r="AS256" s="20">
        <f ca="1">Master_List!$AW$31</f>
        <v>0</v>
      </c>
      <c r="AT256" s="20">
        <f ca="1">Master_List!$AW$32</f>
        <v>0</v>
      </c>
      <c r="AU256" s="20">
        <f ca="1">Master_List!$AW$33</f>
        <v>0</v>
      </c>
      <c r="AV256" s="20">
        <f ca="1">Master_List!$AW$34</f>
        <v>0</v>
      </c>
      <c r="AW256" s="20">
        <f ca="1">Master_List!$AW$35</f>
        <v>0</v>
      </c>
      <c r="AX256" s="20">
        <f ca="1">Master_List!$AW$36</f>
        <v>0</v>
      </c>
      <c r="AY256" s="20">
        <f ca="1">Master_List!$AW$37</f>
        <v>0</v>
      </c>
      <c r="AZ256" s="20">
        <f ca="1">Master_List!$AW$38</f>
        <v>0</v>
      </c>
      <c r="BA256" s="20">
        <f ca="1">Master_List!$AW$39</f>
        <v>0</v>
      </c>
      <c r="BB256" s="20" t="s">
        <v>2240</v>
      </c>
      <c r="BC256" s="20" t="s">
        <v>2241</v>
      </c>
      <c r="BD256" s="6" t="s">
        <v>1744</v>
      </c>
      <c r="BE256" s="6" t="s">
        <v>1878</v>
      </c>
      <c r="BF256" s="6" t="s">
        <v>1746</v>
      </c>
      <c r="BG256" s="6" t="str">
        <f t="shared" si="3"/>
        <v>C:\Users\aremi\Desktop\REPORT CBM\PO 42289580 - Pahang 11kV SECOND CYCLE AZZAD 2026\RAW MATERIAL\047. TNB BARU (IR+VI)\RAW DATA\IR</v>
      </c>
      <c r="BH256" s="24" t="s">
        <v>794</v>
      </c>
    </row>
    <row r="257" spans="1:60" ht="30" customHeight="1" x14ac:dyDescent="0.25">
      <c r="A257" s="6">
        <v>128</v>
      </c>
      <c r="B257" s="6" t="s">
        <v>1591</v>
      </c>
      <c r="C257" s="6">
        <v>1</v>
      </c>
      <c r="D257" s="6" t="s">
        <v>2242</v>
      </c>
      <c r="E257" s="6">
        <v>128</v>
      </c>
      <c r="F257" s="6" t="str">
        <f ca="1">Master_List!$AW$1</f>
        <v>PERPUSTAKAAN PUSAT</v>
      </c>
      <c r="G257" s="27" t="str">
        <f ca="1">Master_List!$AW$2</f>
        <v>09:30 PM</v>
      </c>
      <c r="H257" s="32" t="str">
        <f ca="1">Master_List!$AW$3</f>
        <v>20/07/2026</v>
      </c>
      <c r="I257" s="28" t="str">
        <f ca="1">Master_List!$AW$4</f>
        <v>28.5</v>
      </c>
      <c r="J257" s="6" t="str">
        <f ca="1">Master_List!$AW$5</f>
        <v>65</v>
      </c>
      <c r="K257" s="6" t="s">
        <v>579</v>
      </c>
      <c r="L257" s="21" t="str">
        <f ca="1">IFERROR(VLOOKUP(B257, Master_List!$A:$I, 2, FALSE), "-")</f>
        <v/>
      </c>
      <c r="M257" s="22" t="str">
        <f ca="1">IFERROR(VLOOKUP(B257, Master_List!$A:$I, 3, FALSE), "-")</f>
        <v/>
      </c>
      <c r="N257" s="22" t="str">
        <f ca="1">IFERROR(VLOOKUP(B257, Master_List!$A:$I, 4, FALSE), "-")</f>
        <v/>
      </c>
      <c r="O257" s="22" t="str">
        <f ca="1">IFERROR(VLOOKUP(B257, Master_List!$A:$I, 5, FALSE), "-")</f>
        <v/>
      </c>
      <c r="P257" s="22" t="str">
        <f ca="1">IFERROR(VLOOKUP(B257, Master_List!$A:$I, 6, FALSE), "-")</f>
        <v/>
      </c>
      <c r="Q257" s="22" t="str">
        <f ca="1">IFERROR(VLOOKUP(B257, Master_List!$A:$I, 7, FALSE), "-")</f>
        <v/>
      </c>
      <c r="R257" s="22" t="str">
        <f ca="1">IFERROR(VLOOKUP(B257, Master_List!$A:$I, 8, FALSE), "-")</f>
        <v/>
      </c>
      <c r="S257" s="22" t="str">
        <f ca="1">IFERROR(VLOOKUP(B257, Master_List!$A:$I, 9, FALSE), "-")</f>
        <v/>
      </c>
      <c r="T257" s="20" t="str">
        <f ca="1">Master_List!$AW$6</f>
        <v>TOSHIBA</v>
      </c>
      <c r="U257" s="20" t="str">
        <f ca="1">Master_List!$AW$7</f>
        <v>MRMU</v>
      </c>
      <c r="V257" s="20" t="str">
        <f ca="1">Master_List!$AW$8</f>
        <v>12kV</v>
      </c>
      <c r="W257" s="20" t="str">
        <f ca="1">Master_List!$AW$9</f>
        <v>2S1F</v>
      </c>
      <c r="X257" s="20" t="str">
        <f ca="1">Master_List!$AW$10</f>
        <v>MTM</v>
      </c>
      <c r="Y257" s="20" t="str">
        <f ca="1">Master_List!$AW$11</f>
        <v>HERMETICALLY SEAL</v>
      </c>
      <c r="Z257" s="20" t="str">
        <f ca="1">Master_List!$AW$12</f>
        <v>750kVA</v>
      </c>
      <c r="AA257" s="20" t="str">
        <f ca="1">Master_List!$AW$13</f>
        <v>1317</v>
      </c>
      <c r="AB257" s="20">
        <f ca="1">Master_List!$AW$14</f>
        <v>0</v>
      </c>
      <c r="AC257" s="20">
        <f ca="1">Master_List!$AW$15</f>
        <v>0</v>
      </c>
      <c r="AD257" s="20">
        <f ca="1">Master_List!$AW$16</f>
        <v>0</v>
      </c>
      <c r="AE257" s="20">
        <f ca="1">Master_List!$AW$17</f>
        <v>0</v>
      </c>
      <c r="AF257" s="20" t="str">
        <f ca="1">Master_List!$AW$18</f>
        <v>INDKOM</v>
      </c>
      <c r="AG257" s="20" t="str">
        <f ca="1">Master_List!$AW$19</f>
        <v>J-SLOTTED</v>
      </c>
      <c r="AH257" s="20" t="str">
        <f ca="1">Master_List!$AW$20</f>
        <v>1600A</v>
      </c>
      <c r="AI257" s="20" t="str">
        <f ca="1">Master_List!$AW$21</f>
        <v>LV5080090</v>
      </c>
      <c r="AJ257" s="20" t="str">
        <f ca="1">Master_List!$AW$22</f>
        <v>LVDB TX1</v>
      </c>
      <c r="AK257" s="20">
        <f ca="1">Master_List!$AW$23</f>
        <v>0</v>
      </c>
      <c r="AL257" s="20">
        <f ca="1">Master_List!$AW$24</f>
        <v>0</v>
      </c>
      <c r="AM257" s="20">
        <f ca="1">Master_List!$AW$25</f>
        <v>0</v>
      </c>
      <c r="AN257" s="20">
        <f ca="1">Master_List!$AW$26</f>
        <v>0</v>
      </c>
      <c r="AO257" s="20" t="str">
        <f ca="1">Master_List!$AW$27</f>
        <v>LVDB TX2</v>
      </c>
      <c r="AP257" s="20" t="str">
        <f ca="1">Master_List!$AW$28</f>
        <v>SUNPOWER TECHNOLOGIES</v>
      </c>
      <c r="AQ257" s="20" t="str">
        <f ca="1">Master_List!$AW$29</f>
        <v>SPS 30-10 L</v>
      </c>
      <c r="AR257" s="20" t="str">
        <f ca="1">Master_List!$AW$30</f>
        <v>11193-8527</v>
      </c>
      <c r="AS257" s="20">
        <f ca="1">Master_List!$AW$31</f>
        <v>0</v>
      </c>
      <c r="AT257" s="20">
        <f ca="1">Master_List!$AW$32</f>
        <v>0</v>
      </c>
      <c r="AU257" s="20">
        <f ca="1">Master_List!$AW$33</f>
        <v>0</v>
      </c>
      <c r="AV257" s="20">
        <f ca="1">Master_List!$AW$34</f>
        <v>0</v>
      </c>
      <c r="AW257" s="20">
        <f ca="1">Master_List!$AW$35</f>
        <v>0</v>
      </c>
      <c r="AX257" s="20">
        <f ca="1">Master_List!$AW$36</f>
        <v>0</v>
      </c>
      <c r="AY257" s="20">
        <f ca="1">Master_List!$AW$37</f>
        <v>0</v>
      </c>
      <c r="AZ257" s="20">
        <f ca="1">Master_List!$AW$38</f>
        <v>0</v>
      </c>
      <c r="BA257" s="20">
        <f ca="1">Master_List!$AW$39</f>
        <v>0</v>
      </c>
      <c r="BB257" s="20" t="s">
        <v>2240</v>
      </c>
      <c r="BC257" s="20" t="s">
        <v>2241</v>
      </c>
      <c r="BD257" s="6" t="s">
        <v>1744</v>
      </c>
      <c r="BE257" s="6" t="s">
        <v>1878</v>
      </c>
      <c r="BF257" s="6" t="s">
        <v>1748</v>
      </c>
      <c r="BG257" s="6" t="str">
        <f t="shared" si="3"/>
        <v>C:\Users\aremi\Desktop\REPORT CBM\PO 42289580 - Pahang 11kV SECOND CYCLE AZZAD 2026\RAW MATERIAL\047. TNB BARU (IR+VI)\RAW DATA\IR</v>
      </c>
      <c r="BH257" s="24" t="s">
        <v>795</v>
      </c>
    </row>
    <row r="258" spans="1:60" ht="30" customHeight="1" x14ac:dyDescent="0.25">
      <c r="A258" s="6">
        <v>129</v>
      </c>
      <c r="B258" s="6" t="s">
        <v>1591</v>
      </c>
      <c r="C258" s="6">
        <v>1</v>
      </c>
      <c r="D258" s="6" t="s">
        <v>2242</v>
      </c>
      <c r="E258" s="6">
        <v>129</v>
      </c>
      <c r="F258" s="6" t="str">
        <f ca="1">Master_List!$AW$1</f>
        <v>PERPUSTAKAAN PUSAT</v>
      </c>
      <c r="G258" s="27" t="str">
        <f ca="1">Master_List!$AW$2</f>
        <v>09:30 PM</v>
      </c>
      <c r="H258" s="32" t="str">
        <f ca="1">Master_List!$AW$3</f>
        <v>20/07/2026</v>
      </c>
      <c r="I258" s="28" t="str">
        <f ca="1">Master_List!$AW$4</f>
        <v>28.5</v>
      </c>
      <c r="J258" s="6" t="str">
        <f ca="1">Master_List!$AW$5</f>
        <v>65</v>
      </c>
      <c r="K258" s="6" t="s">
        <v>582</v>
      </c>
      <c r="L258" s="21" t="str">
        <f ca="1">IFERROR(VLOOKUP(B258, Master_List!$A:$I, 2, FALSE), "-")</f>
        <v/>
      </c>
      <c r="M258" s="22" t="str">
        <f ca="1">IFERROR(VLOOKUP(B258, Master_List!$A:$I, 3, FALSE), "-")</f>
        <v/>
      </c>
      <c r="N258" s="22" t="str">
        <f ca="1">IFERROR(VLOOKUP(B258, Master_List!$A:$I, 4, FALSE), "-")</f>
        <v/>
      </c>
      <c r="O258" s="22" t="str">
        <f ca="1">IFERROR(VLOOKUP(B258, Master_List!$A:$I, 5, FALSE), "-")</f>
        <v/>
      </c>
      <c r="P258" s="22" t="str">
        <f ca="1">IFERROR(VLOOKUP(B258, Master_List!$A:$I, 6, FALSE), "-")</f>
        <v/>
      </c>
      <c r="Q258" s="22" t="str">
        <f ca="1">IFERROR(VLOOKUP(B258, Master_List!$A:$I, 7, FALSE), "-")</f>
        <v/>
      </c>
      <c r="R258" s="22" t="str">
        <f ca="1">IFERROR(VLOOKUP(B258, Master_List!$A:$I, 8, FALSE), "-")</f>
        <v/>
      </c>
      <c r="S258" s="22" t="str">
        <f ca="1">IFERROR(VLOOKUP(B258, Master_List!$A:$I, 9, FALSE), "-")</f>
        <v/>
      </c>
      <c r="T258" s="20" t="str">
        <f ca="1">Master_List!$AW$6</f>
        <v>TOSHIBA</v>
      </c>
      <c r="U258" s="20" t="str">
        <f ca="1">Master_List!$AW$7</f>
        <v>MRMU</v>
      </c>
      <c r="V258" s="20" t="str">
        <f ca="1">Master_List!$AW$8</f>
        <v>12kV</v>
      </c>
      <c r="W258" s="20" t="str">
        <f ca="1">Master_List!$AW$9</f>
        <v>2S1F</v>
      </c>
      <c r="X258" s="20" t="str">
        <f ca="1">Master_List!$AW$10</f>
        <v>MTM</v>
      </c>
      <c r="Y258" s="20" t="str">
        <f ca="1">Master_List!$AW$11</f>
        <v>HERMETICALLY SEAL</v>
      </c>
      <c r="Z258" s="20" t="str">
        <f ca="1">Master_List!$AW$12</f>
        <v>750kVA</v>
      </c>
      <c r="AA258" s="20" t="str">
        <f ca="1">Master_List!$AW$13</f>
        <v>1317</v>
      </c>
      <c r="AB258" s="20">
        <f ca="1">Master_List!$AW$14</f>
        <v>0</v>
      </c>
      <c r="AC258" s="20">
        <f ca="1">Master_List!$AW$15</f>
        <v>0</v>
      </c>
      <c r="AD258" s="20">
        <f ca="1">Master_List!$AW$16</f>
        <v>0</v>
      </c>
      <c r="AE258" s="20">
        <f ca="1">Master_List!$AW$17</f>
        <v>0</v>
      </c>
      <c r="AF258" s="20" t="str">
        <f ca="1">Master_List!$AW$18</f>
        <v>INDKOM</v>
      </c>
      <c r="AG258" s="20" t="str">
        <f ca="1">Master_List!$AW$19</f>
        <v>J-SLOTTED</v>
      </c>
      <c r="AH258" s="20" t="str">
        <f ca="1">Master_List!$AW$20</f>
        <v>1600A</v>
      </c>
      <c r="AI258" s="20" t="str">
        <f ca="1">Master_List!$AW$21</f>
        <v>LV5080090</v>
      </c>
      <c r="AJ258" s="20" t="str">
        <f ca="1">Master_List!$AW$22</f>
        <v>LVDB TX1</v>
      </c>
      <c r="AK258" s="20">
        <f ca="1">Master_List!$AW$23</f>
        <v>0</v>
      </c>
      <c r="AL258" s="20">
        <f ca="1">Master_List!$AW$24</f>
        <v>0</v>
      </c>
      <c r="AM258" s="20">
        <f ca="1">Master_List!$AW$25</f>
        <v>0</v>
      </c>
      <c r="AN258" s="20">
        <f ca="1">Master_List!$AW$26</f>
        <v>0</v>
      </c>
      <c r="AO258" s="20" t="str">
        <f ca="1">Master_List!$AW$27</f>
        <v>LVDB TX2</v>
      </c>
      <c r="AP258" s="20" t="str">
        <f ca="1">Master_List!$AW$28</f>
        <v>SUNPOWER TECHNOLOGIES</v>
      </c>
      <c r="AQ258" s="20" t="str">
        <f ca="1">Master_List!$AW$29</f>
        <v>SPS 30-10 L</v>
      </c>
      <c r="AR258" s="20" t="str">
        <f ca="1">Master_List!$AW$30</f>
        <v>11193-8527</v>
      </c>
      <c r="AS258" s="20">
        <f ca="1">Master_List!$AW$31</f>
        <v>0</v>
      </c>
      <c r="AT258" s="20">
        <f ca="1">Master_List!$AW$32</f>
        <v>0</v>
      </c>
      <c r="AU258" s="20">
        <f ca="1">Master_List!$AW$33</f>
        <v>0</v>
      </c>
      <c r="AV258" s="20">
        <f ca="1">Master_List!$AW$34</f>
        <v>0</v>
      </c>
      <c r="AW258" s="20">
        <f ca="1">Master_List!$AW$35</f>
        <v>0</v>
      </c>
      <c r="AX258" s="20">
        <f ca="1">Master_List!$AW$36</f>
        <v>0</v>
      </c>
      <c r="AY258" s="20">
        <f ca="1">Master_List!$AW$37</f>
        <v>0</v>
      </c>
      <c r="AZ258" s="20">
        <f ca="1">Master_List!$AW$38</f>
        <v>0</v>
      </c>
      <c r="BA258" s="20">
        <f ca="1">Master_List!$AW$39</f>
        <v>0</v>
      </c>
      <c r="BB258" s="20" t="s">
        <v>2240</v>
      </c>
      <c r="BC258" s="20" t="s">
        <v>2241</v>
      </c>
      <c r="BD258" s="6" t="s">
        <v>1744</v>
      </c>
      <c r="BE258" s="6" t="s">
        <v>1879</v>
      </c>
      <c r="BF258" s="6" t="s">
        <v>1746</v>
      </c>
      <c r="BG258" s="6" t="str">
        <f t="shared" si="3"/>
        <v>C:\Users\aremi\Desktop\REPORT CBM\PO 42289580 - Pahang 11kV SECOND CYCLE AZZAD 2026\RAW MATERIAL\047. TNB BARU (IR+VI)\RAW DATA\IR</v>
      </c>
      <c r="BH258" s="24" t="s">
        <v>796</v>
      </c>
    </row>
    <row r="259" spans="1:60" ht="30" customHeight="1" x14ac:dyDescent="0.25">
      <c r="A259" s="6">
        <v>129</v>
      </c>
      <c r="B259" s="6" t="s">
        <v>1591</v>
      </c>
      <c r="C259" s="6">
        <v>1</v>
      </c>
      <c r="D259" s="6" t="s">
        <v>2242</v>
      </c>
      <c r="E259" s="6">
        <v>129</v>
      </c>
      <c r="F259" s="6" t="str">
        <f ca="1">Master_List!$AW$1</f>
        <v>PERPUSTAKAAN PUSAT</v>
      </c>
      <c r="G259" s="27" t="str">
        <f ca="1">Master_List!$AW$2</f>
        <v>09:30 PM</v>
      </c>
      <c r="H259" s="32" t="str">
        <f ca="1">Master_List!$AW$3</f>
        <v>20/07/2026</v>
      </c>
      <c r="I259" s="28" t="str">
        <f ca="1">Master_List!$AW$4</f>
        <v>28.5</v>
      </c>
      <c r="J259" s="6" t="str">
        <f ca="1">Master_List!$AW$5</f>
        <v>65</v>
      </c>
      <c r="K259" s="6" t="s">
        <v>582</v>
      </c>
      <c r="L259" s="21" t="str">
        <f ca="1">IFERROR(VLOOKUP(B259, Master_List!$A:$I, 2, FALSE), "-")</f>
        <v/>
      </c>
      <c r="M259" s="22" t="str">
        <f ca="1">IFERROR(VLOOKUP(B259, Master_List!$A:$I, 3, FALSE), "-")</f>
        <v/>
      </c>
      <c r="N259" s="22" t="str">
        <f ca="1">IFERROR(VLOOKUP(B259, Master_List!$A:$I, 4, FALSE), "-")</f>
        <v/>
      </c>
      <c r="O259" s="22" t="str">
        <f ca="1">IFERROR(VLOOKUP(B259, Master_List!$A:$I, 5, FALSE), "-")</f>
        <v/>
      </c>
      <c r="P259" s="22" t="str">
        <f ca="1">IFERROR(VLOOKUP(B259, Master_List!$A:$I, 6, FALSE), "-")</f>
        <v/>
      </c>
      <c r="Q259" s="22" t="str">
        <f ca="1">IFERROR(VLOOKUP(B259, Master_List!$A:$I, 7, FALSE), "-")</f>
        <v/>
      </c>
      <c r="R259" s="22" t="str">
        <f ca="1">IFERROR(VLOOKUP(B259, Master_List!$A:$I, 8, FALSE), "-")</f>
        <v/>
      </c>
      <c r="S259" s="22" t="str">
        <f ca="1">IFERROR(VLOOKUP(B259, Master_List!$A:$I, 9, FALSE), "-")</f>
        <v/>
      </c>
      <c r="T259" s="20" t="str">
        <f ca="1">Master_List!$AW$6</f>
        <v>TOSHIBA</v>
      </c>
      <c r="U259" s="20" t="str">
        <f ca="1">Master_List!$AW$7</f>
        <v>MRMU</v>
      </c>
      <c r="V259" s="20" t="str">
        <f ca="1">Master_List!$AW$8</f>
        <v>12kV</v>
      </c>
      <c r="W259" s="20" t="str">
        <f ca="1">Master_List!$AW$9</f>
        <v>2S1F</v>
      </c>
      <c r="X259" s="20" t="str">
        <f ca="1">Master_List!$AW$10</f>
        <v>MTM</v>
      </c>
      <c r="Y259" s="20" t="str">
        <f ca="1">Master_List!$AW$11</f>
        <v>HERMETICALLY SEAL</v>
      </c>
      <c r="Z259" s="20" t="str">
        <f ca="1">Master_List!$AW$12</f>
        <v>750kVA</v>
      </c>
      <c r="AA259" s="20" t="str">
        <f ca="1">Master_List!$AW$13</f>
        <v>1317</v>
      </c>
      <c r="AB259" s="20">
        <f ca="1">Master_List!$AW$14</f>
        <v>0</v>
      </c>
      <c r="AC259" s="20">
        <f ca="1">Master_List!$AW$15</f>
        <v>0</v>
      </c>
      <c r="AD259" s="20">
        <f ca="1">Master_List!$AW$16</f>
        <v>0</v>
      </c>
      <c r="AE259" s="20">
        <f ca="1">Master_List!$AW$17</f>
        <v>0</v>
      </c>
      <c r="AF259" s="20" t="str">
        <f ca="1">Master_List!$AW$18</f>
        <v>INDKOM</v>
      </c>
      <c r="AG259" s="20" t="str">
        <f ca="1">Master_List!$AW$19</f>
        <v>J-SLOTTED</v>
      </c>
      <c r="AH259" s="20" t="str">
        <f ca="1">Master_List!$AW$20</f>
        <v>1600A</v>
      </c>
      <c r="AI259" s="20" t="str">
        <f ca="1">Master_List!$AW$21</f>
        <v>LV5080090</v>
      </c>
      <c r="AJ259" s="20" t="str">
        <f ca="1">Master_List!$AW$22</f>
        <v>LVDB TX1</v>
      </c>
      <c r="AK259" s="20">
        <f ca="1">Master_List!$AW$23</f>
        <v>0</v>
      </c>
      <c r="AL259" s="20">
        <f ca="1">Master_List!$AW$24</f>
        <v>0</v>
      </c>
      <c r="AM259" s="20">
        <f ca="1">Master_List!$AW$25</f>
        <v>0</v>
      </c>
      <c r="AN259" s="20">
        <f ca="1">Master_List!$AW$26</f>
        <v>0</v>
      </c>
      <c r="AO259" s="20" t="str">
        <f ca="1">Master_List!$AW$27</f>
        <v>LVDB TX2</v>
      </c>
      <c r="AP259" s="20" t="str">
        <f ca="1">Master_List!$AW$28</f>
        <v>SUNPOWER TECHNOLOGIES</v>
      </c>
      <c r="AQ259" s="20" t="str">
        <f ca="1">Master_List!$AW$29</f>
        <v>SPS 30-10 L</v>
      </c>
      <c r="AR259" s="20" t="str">
        <f ca="1">Master_List!$AW$30</f>
        <v>11193-8527</v>
      </c>
      <c r="AS259" s="20">
        <f ca="1">Master_List!$AW$31</f>
        <v>0</v>
      </c>
      <c r="AT259" s="20">
        <f ca="1">Master_List!$AW$32</f>
        <v>0</v>
      </c>
      <c r="AU259" s="20">
        <f ca="1">Master_List!$AW$33</f>
        <v>0</v>
      </c>
      <c r="AV259" s="20">
        <f ca="1">Master_List!$AW$34</f>
        <v>0</v>
      </c>
      <c r="AW259" s="20">
        <f ca="1">Master_List!$AW$35</f>
        <v>0</v>
      </c>
      <c r="AX259" s="20">
        <f ca="1">Master_List!$AW$36</f>
        <v>0</v>
      </c>
      <c r="AY259" s="20">
        <f ca="1">Master_List!$AW$37</f>
        <v>0</v>
      </c>
      <c r="AZ259" s="20">
        <f ca="1">Master_List!$AW$38</f>
        <v>0</v>
      </c>
      <c r="BA259" s="20">
        <f ca="1">Master_List!$AW$39</f>
        <v>0</v>
      </c>
      <c r="BB259" s="20" t="s">
        <v>2240</v>
      </c>
      <c r="BC259" s="20" t="s">
        <v>2241</v>
      </c>
      <c r="BD259" s="6" t="s">
        <v>1744</v>
      </c>
      <c r="BE259" s="6" t="s">
        <v>1879</v>
      </c>
      <c r="BF259" s="6" t="s">
        <v>1748</v>
      </c>
      <c r="BG259" s="6" t="str">
        <f t="shared" ref="BG259:BG313" si="4">BG258</f>
        <v>C:\Users\aremi\Desktop\REPORT CBM\PO 42289580 - Pahang 11kV SECOND CYCLE AZZAD 2026\RAW MATERIAL\047. TNB BARU (IR+VI)\RAW DATA\IR</v>
      </c>
      <c r="BH259" s="24" t="s">
        <v>797</v>
      </c>
    </row>
    <row r="260" spans="1:60" ht="30" customHeight="1" x14ac:dyDescent="0.25">
      <c r="A260" s="6">
        <v>130</v>
      </c>
      <c r="B260" s="6" t="s">
        <v>1591</v>
      </c>
      <c r="C260" s="6">
        <v>1</v>
      </c>
      <c r="D260" s="6" t="s">
        <v>2242</v>
      </c>
      <c r="E260" s="6">
        <v>130</v>
      </c>
      <c r="F260" s="6" t="str">
        <f ca="1">Master_List!$AW$1</f>
        <v>PERPUSTAKAAN PUSAT</v>
      </c>
      <c r="G260" s="27" t="str">
        <f ca="1">Master_List!$AW$2</f>
        <v>09:30 PM</v>
      </c>
      <c r="H260" s="32" t="str">
        <f ca="1">Master_List!$AW$3</f>
        <v>20/07/2026</v>
      </c>
      <c r="I260" s="28" t="str">
        <f ca="1">Master_List!$AW$4</f>
        <v>28.5</v>
      </c>
      <c r="J260" s="6" t="str">
        <f ca="1">Master_List!$AW$5</f>
        <v>65</v>
      </c>
      <c r="K260" s="6" t="s">
        <v>585</v>
      </c>
      <c r="L260" s="21" t="str">
        <f ca="1">IFERROR(VLOOKUP(B260, Master_List!$A:$I, 2, FALSE), "-")</f>
        <v/>
      </c>
      <c r="M260" s="22" t="str">
        <f ca="1">IFERROR(VLOOKUP(B260, Master_List!$A:$I, 3, FALSE), "-")</f>
        <v/>
      </c>
      <c r="N260" s="22" t="str">
        <f ca="1">IFERROR(VLOOKUP(B260, Master_List!$A:$I, 4, FALSE), "-")</f>
        <v/>
      </c>
      <c r="O260" s="22" t="str">
        <f ca="1">IFERROR(VLOOKUP(B260, Master_List!$A:$I, 5, FALSE), "-")</f>
        <v/>
      </c>
      <c r="P260" s="22" t="str">
        <f ca="1">IFERROR(VLOOKUP(B260, Master_List!$A:$I, 6, FALSE), "-")</f>
        <v/>
      </c>
      <c r="Q260" s="22" t="str">
        <f ca="1">IFERROR(VLOOKUP(B260, Master_List!$A:$I, 7, FALSE), "-")</f>
        <v/>
      </c>
      <c r="R260" s="22" t="str">
        <f ca="1">IFERROR(VLOOKUP(B260, Master_List!$A:$I, 8, FALSE), "-")</f>
        <v/>
      </c>
      <c r="S260" s="22" t="str">
        <f ca="1">IFERROR(VLOOKUP(B260, Master_List!$A:$I, 9, FALSE), "-")</f>
        <v/>
      </c>
      <c r="T260" s="20" t="str">
        <f ca="1">Master_List!$AW$6</f>
        <v>TOSHIBA</v>
      </c>
      <c r="U260" s="20" t="str">
        <f ca="1">Master_List!$AW$7</f>
        <v>MRMU</v>
      </c>
      <c r="V260" s="20" t="str">
        <f ca="1">Master_List!$AW$8</f>
        <v>12kV</v>
      </c>
      <c r="W260" s="20" t="str">
        <f ca="1">Master_List!$AW$9</f>
        <v>2S1F</v>
      </c>
      <c r="X260" s="20" t="str">
        <f ca="1">Master_List!$AW$10</f>
        <v>MTM</v>
      </c>
      <c r="Y260" s="20" t="str">
        <f ca="1">Master_List!$AW$11</f>
        <v>HERMETICALLY SEAL</v>
      </c>
      <c r="Z260" s="20" t="str">
        <f ca="1">Master_List!$AW$12</f>
        <v>750kVA</v>
      </c>
      <c r="AA260" s="20" t="str">
        <f ca="1">Master_List!$AW$13</f>
        <v>1317</v>
      </c>
      <c r="AB260" s="20">
        <f ca="1">Master_List!$AW$14</f>
        <v>0</v>
      </c>
      <c r="AC260" s="20">
        <f ca="1">Master_List!$AW$15</f>
        <v>0</v>
      </c>
      <c r="AD260" s="20">
        <f ca="1">Master_List!$AW$16</f>
        <v>0</v>
      </c>
      <c r="AE260" s="20">
        <f ca="1">Master_List!$AW$17</f>
        <v>0</v>
      </c>
      <c r="AF260" s="20" t="str">
        <f ca="1">Master_List!$AW$18</f>
        <v>INDKOM</v>
      </c>
      <c r="AG260" s="20" t="str">
        <f ca="1">Master_List!$AW$19</f>
        <v>J-SLOTTED</v>
      </c>
      <c r="AH260" s="20" t="str">
        <f ca="1">Master_List!$AW$20</f>
        <v>1600A</v>
      </c>
      <c r="AI260" s="20" t="str">
        <f ca="1">Master_List!$AW$21</f>
        <v>LV5080090</v>
      </c>
      <c r="AJ260" s="20" t="str">
        <f ca="1">Master_List!$AW$22</f>
        <v>LVDB TX1</v>
      </c>
      <c r="AK260" s="20">
        <f ca="1">Master_List!$AW$23</f>
        <v>0</v>
      </c>
      <c r="AL260" s="20">
        <f ca="1">Master_List!$AW$24</f>
        <v>0</v>
      </c>
      <c r="AM260" s="20">
        <f ca="1">Master_List!$AW$25</f>
        <v>0</v>
      </c>
      <c r="AN260" s="20">
        <f ca="1">Master_List!$AW$26</f>
        <v>0</v>
      </c>
      <c r="AO260" s="20" t="str">
        <f ca="1">Master_List!$AW$27</f>
        <v>LVDB TX2</v>
      </c>
      <c r="AP260" s="20" t="str">
        <f ca="1">Master_List!$AW$28</f>
        <v>SUNPOWER TECHNOLOGIES</v>
      </c>
      <c r="AQ260" s="20" t="str">
        <f ca="1">Master_List!$AW$29</f>
        <v>SPS 30-10 L</v>
      </c>
      <c r="AR260" s="20" t="str">
        <f ca="1">Master_List!$AW$30</f>
        <v>11193-8527</v>
      </c>
      <c r="AS260" s="20">
        <f ca="1">Master_List!$AW$31</f>
        <v>0</v>
      </c>
      <c r="AT260" s="20">
        <f ca="1">Master_List!$AW$32</f>
        <v>0</v>
      </c>
      <c r="AU260" s="20">
        <f ca="1">Master_List!$AW$33</f>
        <v>0</v>
      </c>
      <c r="AV260" s="20">
        <f ca="1">Master_List!$AW$34</f>
        <v>0</v>
      </c>
      <c r="AW260" s="20">
        <f ca="1">Master_List!$AW$35</f>
        <v>0</v>
      </c>
      <c r="AX260" s="20">
        <f ca="1">Master_List!$AW$36</f>
        <v>0</v>
      </c>
      <c r="AY260" s="20">
        <f ca="1">Master_List!$AW$37</f>
        <v>0</v>
      </c>
      <c r="AZ260" s="20">
        <f ca="1">Master_List!$AW$38</f>
        <v>0</v>
      </c>
      <c r="BA260" s="20">
        <f ca="1">Master_List!$AW$39</f>
        <v>0</v>
      </c>
      <c r="BB260" s="20" t="s">
        <v>2240</v>
      </c>
      <c r="BC260" s="20" t="s">
        <v>2241</v>
      </c>
      <c r="BD260" s="6" t="s">
        <v>1744</v>
      </c>
      <c r="BE260" s="6" t="s">
        <v>1880</v>
      </c>
      <c r="BF260" s="6" t="s">
        <v>1746</v>
      </c>
      <c r="BG260" s="6" t="str">
        <f t="shared" si="4"/>
        <v>C:\Users\aremi\Desktop\REPORT CBM\PO 42289580 - Pahang 11kV SECOND CYCLE AZZAD 2026\RAW MATERIAL\047. TNB BARU (IR+VI)\RAW DATA\IR</v>
      </c>
      <c r="BH260" s="24" t="s">
        <v>799</v>
      </c>
    </row>
    <row r="261" spans="1:60" ht="30" customHeight="1" x14ac:dyDescent="0.25">
      <c r="A261" s="6">
        <v>130</v>
      </c>
      <c r="B261" s="6" t="s">
        <v>1591</v>
      </c>
      <c r="C261" s="6">
        <v>1</v>
      </c>
      <c r="D261" s="6" t="s">
        <v>2242</v>
      </c>
      <c r="E261" s="6">
        <v>130</v>
      </c>
      <c r="F261" s="6" t="str">
        <f ca="1">Master_List!$AW$1</f>
        <v>PERPUSTAKAAN PUSAT</v>
      </c>
      <c r="G261" s="27" t="str">
        <f ca="1">Master_List!$AW$2</f>
        <v>09:30 PM</v>
      </c>
      <c r="H261" s="32" t="str">
        <f ca="1">Master_List!$AW$3</f>
        <v>20/07/2026</v>
      </c>
      <c r="I261" s="28" t="str">
        <f ca="1">Master_List!$AW$4</f>
        <v>28.5</v>
      </c>
      <c r="J261" s="6" t="str">
        <f ca="1">Master_List!$AW$5</f>
        <v>65</v>
      </c>
      <c r="K261" s="6" t="s">
        <v>585</v>
      </c>
      <c r="L261" s="21" t="str">
        <f ca="1">IFERROR(VLOOKUP(B261, Master_List!$A:$I, 2, FALSE), "-")</f>
        <v/>
      </c>
      <c r="M261" s="22" t="str">
        <f ca="1">IFERROR(VLOOKUP(B261, Master_List!$A:$I, 3, FALSE), "-")</f>
        <v/>
      </c>
      <c r="N261" s="22" t="str">
        <f ca="1">IFERROR(VLOOKUP(B261, Master_List!$A:$I, 4, FALSE), "-")</f>
        <v/>
      </c>
      <c r="O261" s="22" t="str">
        <f ca="1">IFERROR(VLOOKUP(B261, Master_List!$A:$I, 5, FALSE), "-")</f>
        <v/>
      </c>
      <c r="P261" s="22" t="str">
        <f ca="1">IFERROR(VLOOKUP(B261, Master_List!$A:$I, 6, FALSE), "-")</f>
        <v/>
      </c>
      <c r="Q261" s="22" t="str">
        <f ca="1">IFERROR(VLOOKUP(B261, Master_List!$A:$I, 7, FALSE), "-")</f>
        <v/>
      </c>
      <c r="R261" s="22" t="str">
        <f ca="1">IFERROR(VLOOKUP(B261, Master_List!$A:$I, 8, FALSE), "-")</f>
        <v/>
      </c>
      <c r="S261" s="22" t="str">
        <f ca="1">IFERROR(VLOOKUP(B261, Master_List!$A:$I, 9, FALSE), "-")</f>
        <v/>
      </c>
      <c r="T261" s="20" t="str">
        <f ca="1">Master_List!$AW$6</f>
        <v>TOSHIBA</v>
      </c>
      <c r="U261" s="20" t="str">
        <f ca="1">Master_List!$AW$7</f>
        <v>MRMU</v>
      </c>
      <c r="V261" s="20" t="str">
        <f ca="1">Master_List!$AW$8</f>
        <v>12kV</v>
      </c>
      <c r="W261" s="20" t="str">
        <f ca="1">Master_List!$AW$9</f>
        <v>2S1F</v>
      </c>
      <c r="X261" s="20" t="str">
        <f ca="1">Master_List!$AW$10</f>
        <v>MTM</v>
      </c>
      <c r="Y261" s="20" t="str">
        <f ca="1">Master_List!$AW$11</f>
        <v>HERMETICALLY SEAL</v>
      </c>
      <c r="Z261" s="20" t="str">
        <f ca="1">Master_List!$AW$12</f>
        <v>750kVA</v>
      </c>
      <c r="AA261" s="20" t="str">
        <f ca="1">Master_List!$AW$13</f>
        <v>1317</v>
      </c>
      <c r="AB261" s="20">
        <f ca="1">Master_List!$AW$14</f>
        <v>0</v>
      </c>
      <c r="AC261" s="20">
        <f ca="1">Master_List!$AW$15</f>
        <v>0</v>
      </c>
      <c r="AD261" s="20">
        <f ca="1">Master_List!$AW$16</f>
        <v>0</v>
      </c>
      <c r="AE261" s="20">
        <f ca="1">Master_List!$AW$17</f>
        <v>0</v>
      </c>
      <c r="AF261" s="20" t="str">
        <f ca="1">Master_List!$AW$18</f>
        <v>INDKOM</v>
      </c>
      <c r="AG261" s="20" t="str">
        <f ca="1">Master_List!$AW$19</f>
        <v>J-SLOTTED</v>
      </c>
      <c r="AH261" s="20" t="str">
        <f ca="1">Master_List!$AW$20</f>
        <v>1600A</v>
      </c>
      <c r="AI261" s="20" t="str">
        <f ca="1">Master_List!$AW$21</f>
        <v>LV5080090</v>
      </c>
      <c r="AJ261" s="20" t="str">
        <f ca="1">Master_List!$AW$22</f>
        <v>LVDB TX1</v>
      </c>
      <c r="AK261" s="20">
        <f ca="1">Master_List!$AW$23</f>
        <v>0</v>
      </c>
      <c r="AL261" s="20">
        <f ca="1">Master_List!$AW$24</f>
        <v>0</v>
      </c>
      <c r="AM261" s="20">
        <f ca="1">Master_List!$AW$25</f>
        <v>0</v>
      </c>
      <c r="AN261" s="20">
        <f ca="1">Master_List!$AW$26</f>
        <v>0</v>
      </c>
      <c r="AO261" s="20" t="str">
        <f ca="1">Master_List!$AW$27</f>
        <v>LVDB TX2</v>
      </c>
      <c r="AP261" s="20" t="str">
        <f ca="1">Master_List!$AW$28</f>
        <v>SUNPOWER TECHNOLOGIES</v>
      </c>
      <c r="AQ261" s="20" t="str">
        <f ca="1">Master_List!$AW$29</f>
        <v>SPS 30-10 L</v>
      </c>
      <c r="AR261" s="20" t="str">
        <f ca="1">Master_List!$AW$30</f>
        <v>11193-8527</v>
      </c>
      <c r="AS261" s="20">
        <f ca="1">Master_List!$AW$31</f>
        <v>0</v>
      </c>
      <c r="AT261" s="20">
        <f ca="1">Master_List!$AW$32</f>
        <v>0</v>
      </c>
      <c r="AU261" s="20">
        <f ca="1">Master_List!$AW$33</f>
        <v>0</v>
      </c>
      <c r="AV261" s="20">
        <f ca="1">Master_List!$AW$34</f>
        <v>0</v>
      </c>
      <c r="AW261" s="20">
        <f ca="1">Master_List!$AW$35</f>
        <v>0</v>
      </c>
      <c r="AX261" s="20">
        <f ca="1">Master_List!$AW$36</f>
        <v>0</v>
      </c>
      <c r="AY261" s="20">
        <f ca="1">Master_List!$AW$37</f>
        <v>0</v>
      </c>
      <c r="AZ261" s="20">
        <f ca="1">Master_List!$AW$38</f>
        <v>0</v>
      </c>
      <c r="BA261" s="20">
        <f ca="1">Master_List!$AW$39</f>
        <v>0</v>
      </c>
      <c r="BB261" s="20" t="s">
        <v>2240</v>
      </c>
      <c r="BC261" s="20" t="s">
        <v>2241</v>
      </c>
      <c r="BD261" s="6" t="s">
        <v>1744</v>
      </c>
      <c r="BE261" s="6" t="s">
        <v>1880</v>
      </c>
      <c r="BF261" s="6" t="s">
        <v>1748</v>
      </c>
      <c r="BG261" s="6" t="str">
        <f t="shared" si="4"/>
        <v>C:\Users\aremi\Desktop\REPORT CBM\PO 42289580 - Pahang 11kV SECOND CYCLE AZZAD 2026\RAW MATERIAL\047. TNB BARU (IR+VI)\RAW DATA\IR</v>
      </c>
      <c r="BH261" s="24" t="s">
        <v>800</v>
      </c>
    </row>
    <row r="262" spans="1:60" ht="30" customHeight="1" x14ac:dyDescent="0.25">
      <c r="A262" s="6">
        <v>131</v>
      </c>
      <c r="B262" s="6" t="s">
        <v>1591</v>
      </c>
      <c r="C262" s="6">
        <v>1</v>
      </c>
      <c r="D262" s="6" t="s">
        <v>2243</v>
      </c>
      <c r="E262" s="6">
        <v>131</v>
      </c>
      <c r="F262" s="6" t="str">
        <f ca="1">Master_List!$AW$1</f>
        <v>PERPUSTAKAAN PUSAT</v>
      </c>
      <c r="G262" s="27" t="str">
        <f ca="1">Master_List!$AW$2</f>
        <v>09:30 PM</v>
      </c>
      <c r="H262" s="32" t="str">
        <f ca="1">Master_List!$AW$3</f>
        <v>20/07/2026</v>
      </c>
      <c r="I262" s="28" t="str">
        <f ca="1">Master_List!$AW$4</f>
        <v>28.5</v>
      </c>
      <c r="J262" s="6" t="str">
        <f ca="1">Master_List!$AW$5</f>
        <v>65</v>
      </c>
      <c r="K262" s="6" t="s">
        <v>588</v>
      </c>
      <c r="L262" s="21" t="str">
        <f ca="1">IFERROR(VLOOKUP(B262, Master_List!$A:$I, 2, FALSE), "-")</f>
        <v/>
      </c>
      <c r="M262" s="22" t="str">
        <f ca="1">IFERROR(VLOOKUP(B262, Master_List!$A:$I, 3, FALSE), "-")</f>
        <v/>
      </c>
      <c r="N262" s="22" t="str">
        <f ca="1">IFERROR(VLOOKUP(B262, Master_List!$A:$I, 4, FALSE), "-")</f>
        <v/>
      </c>
      <c r="O262" s="22" t="str">
        <f ca="1">IFERROR(VLOOKUP(B262, Master_List!$A:$I, 5, FALSE), "-")</f>
        <v/>
      </c>
      <c r="P262" s="22" t="str">
        <f ca="1">IFERROR(VLOOKUP(B262, Master_List!$A:$I, 6, FALSE), "-")</f>
        <v/>
      </c>
      <c r="Q262" s="22" t="str">
        <f ca="1">IFERROR(VLOOKUP(B262, Master_List!$A:$I, 7, FALSE), "-")</f>
        <v/>
      </c>
      <c r="R262" s="22" t="str">
        <f ca="1">IFERROR(VLOOKUP(B262, Master_List!$A:$I, 8, FALSE), "-")</f>
        <v/>
      </c>
      <c r="S262" s="22" t="str">
        <f ca="1">IFERROR(VLOOKUP(B262, Master_List!$A:$I, 9, FALSE), "-")</f>
        <v/>
      </c>
      <c r="T262" s="20" t="str">
        <f ca="1">Master_List!$AW$6</f>
        <v>TOSHIBA</v>
      </c>
      <c r="U262" s="20" t="str">
        <f ca="1">Master_List!$AW$7</f>
        <v>MRMU</v>
      </c>
      <c r="V262" s="20" t="str">
        <f ca="1">Master_List!$AW$8</f>
        <v>12kV</v>
      </c>
      <c r="W262" s="20" t="str">
        <f ca="1">Master_List!$AW$9</f>
        <v>2S1F</v>
      </c>
      <c r="X262" s="20" t="str">
        <f ca="1">Master_List!$AW$10</f>
        <v>MTM</v>
      </c>
      <c r="Y262" s="20" t="str">
        <f ca="1">Master_List!$AW$11</f>
        <v>HERMETICALLY SEAL</v>
      </c>
      <c r="Z262" s="20" t="str">
        <f ca="1">Master_List!$AW$12</f>
        <v>750kVA</v>
      </c>
      <c r="AA262" s="20" t="str">
        <f ca="1">Master_List!$AW$13</f>
        <v>1317</v>
      </c>
      <c r="AB262" s="20">
        <f ca="1">Master_List!$AW$14</f>
        <v>0</v>
      </c>
      <c r="AC262" s="20">
        <f ca="1">Master_List!$AW$15</f>
        <v>0</v>
      </c>
      <c r="AD262" s="20">
        <f ca="1">Master_List!$AW$16</f>
        <v>0</v>
      </c>
      <c r="AE262" s="20">
        <f ca="1">Master_List!$AW$17</f>
        <v>0</v>
      </c>
      <c r="AF262" s="20" t="str">
        <f ca="1">Master_List!$AW$18</f>
        <v>INDKOM</v>
      </c>
      <c r="AG262" s="20" t="str">
        <f ca="1">Master_List!$AW$19</f>
        <v>J-SLOTTED</v>
      </c>
      <c r="AH262" s="20" t="str">
        <f ca="1">Master_List!$AW$20</f>
        <v>1600A</v>
      </c>
      <c r="AI262" s="20" t="str">
        <f ca="1">Master_List!$AW$21</f>
        <v>LV5080090</v>
      </c>
      <c r="AJ262" s="20" t="str">
        <f ca="1">Master_List!$AW$22</f>
        <v>LVDB TX1</v>
      </c>
      <c r="AK262" s="20">
        <f ca="1">Master_List!$AW$23</f>
        <v>0</v>
      </c>
      <c r="AL262" s="20">
        <f ca="1">Master_List!$AW$24</f>
        <v>0</v>
      </c>
      <c r="AM262" s="20">
        <f ca="1">Master_List!$AW$25</f>
        <v>0</v>
      </c>
      <c r="AN262" s="20">
        <f ca="1">Master_List!$AW$26</f>
        <v>0</v>
      </c>
      <c r="AO262" s="20" t="str">
        <f ca="1">Master_List!$AW$27</f>
        <v>LVDB TX2</v>
      </c>
      <c r="AP262" s="20" t="str">
        <f ca="1">Master_List!$AW$28</f>
        <v>SUNPOWER TECHNOLOGIES</v>
      </c>
      <c r="AQ262" s="20" t="str">
        <f ca="1">Master_List!$AW$29</f>
        <v>SPS 30-10 L</v>
      </c>
      <c r="AR262" s="20" t="str">
        <f ca="1">Master_List!$AW$30</f>
        <v>11193-8527</v>
      </c>
      <c r="AS262" s="20">
        <f ca="1">Master_List!$AW$31</f>
        <v>0</v>
      </c>
      <c r="AT262" s="20">
        <f ca="1">Master_List!$AW$32</f>
        <v>0</v>
      </c>
      <c r="AU262" s="20">
        <f ca="1">Master_List!$AW$33</f>
        <v>0</v>
      </c>
      <c r="AV262" s="20">
        <f ca="1">Master_List!$AW$34</f>
        <v>0</v>
      </c>
      <c r="AW262" s="20">
        <f ca="1">Master_List!$AW$35</f>
        <v>0</v>
      </c>
      <c r="AX262" s="20">
        <f ca="1">Master_List!$AW$36</f>
        <v>0</v>
      </c>
      <c r="AY262" s="20">
        <f ca="1">Master_List!$AW$37</f>
        <v>0</v>
      </c>
      <c r="AZ262" s="20">
        <f ca="1">Master_List!$AW$38</f>
        <v>0</v>
      </c>
      <c r="BA262" s="20">
        <f ca="1">Master_List!$AW$39</f>
        <v>0</v>
      </c>
      <c r="BB262" s="20" t="s">
        <v>2240</v>
      </c>
      <c r="BC262" s="20" t="s">
        <v>2241</v>
      </c>
      <c r="BD262" s="6" t="s">
        <v>1744</v>
      </c>
      <c r="BE262" s="6" t="s">
        <v>1881</v>
      </c>
      <c r="BF262" s="6" t="s">
        <v>1746</v>
      </c>
      <c r="BG262" s="6" t="str">
        <f t="shared" si="4"/>
        <v>C:\Users\aremi\Desktop\REPORT CBM\PO 42289580 - Pahang 11kV SECOND CYCLE AZZAD 2026\RAW MATERIAL\047. TNB BARU (IR+VI)\RAW DATA\IR</v>
      </c>
      <c r="BH262" s="24" t="s">
        <v>801</v>
      </c>
    </row>
    <row r="263" spans="1:60" ht="30" customHeight="1" x14ac:dyDescent="0.25">
      <c r="A263" s="6">
        <v>131</v>
      </c>
      <c r="B263" s="6" t="s">
        <v>1591</v>
      </c>
      <c r="C263" s="6">
        <v>1</v>
      </c>
      <c r="D263" s="6" t="s">
        <v>2243</v>
      </c>
      <c r="E263" s="6">
        <v>131</v>
      </c>
      <c r="F263" s="6" t="str">
        <f ca="1">Master_List!$AW$1</f>
        <v>PERPUSTAKAAN PUSAT</v>
      </c>
      <c r="G263" s="27" t="str">
        <f ca="1">Master_List!$AW$2</f>
        <v>09:30 PM</v>
      </c>
      <c r="H263" s="32" t="str">
        <f ca="1">Master_List!$AW$3</f>
        <v>20/07/2026</v>
      </c>
      <c r="I263" s="28" t="str">
        <f ca="1">Master_List!$AW$4</f>
        <v>28.5</v>
      </c>
      <c r="J263" s="6" t="str">
        <f ca="1">Master_List!$AW$5</f>
        <v>65</v>
      </c>
      <c r="K263" s="6" t="s">
        <v>588</v>
      </c>
      <c r="L263" s="21" t="str">
        <f ca="1">IFERROR(VLOOKUP(B263, Master_List!$A:$I, 2, FALSE), "-")</f>
        <v/>
      </c>
      <c r="M263" s="22" t="str">
        <f ca="1">IFERROR(VLOOKUP(B263, Master_List!$A:$I, 3, FALSE), "-")</f>
        <v/>
      </c>
      <c r="N263" s="22" t="str">
        <f ca="1">IFERROR(VLOOKUP(B263, Master_List!$A:$I, 4, FALSE), "-")</f>
        <v/>
      </c>
      <c r="O263" s="22" t="str">
        <f ca="1">IFERROR(VLOOKUP(B263, Master_List!$A:$I, 5, FALSE), "-")</f>
        <v/>
      </c>
      <c r="P263" s="22" t="str">
        <f ca="1">IFERROR(VLOOKUP(B263, Master_List!$A:$I, 6, FALSE), "-")</f>
        <v/>
      </c>
      <c r="Q263" s="22" t="str">
        <f ca="1">IFERROR(VLOOKUP(B263, Master_List!$A:$I, 7, FALSE), "-")</f>
        <v/>
      </c>
      <c r="R263" s="22" t="str">
        <f ca="1">IFERROR(VLOOKUP(B263, Master_List!$A:$I, 8, FALSE), "-")</f>
        <v/>
      </c>
      <c r="S263" s="22" t="str">
        <f ca="1">IFERROR(VLOOKUP(B263, Master_List!$A:$I, 9, FALSE), "-")</f>
        <v/>
      </c>
      <c r="T263" s="20" t="str">
        <f ca="1">Master_List!$AW$6</f>
        <v>TOSHIBA</v>
      </c>
      <c r="U263" s="20" t="str">
        <f ca="1">Master_List!$AW$7</f>
        <v>MRMU</v>
      </c>
      <c r="V263" s="20" t="str">
        <f ca="1">Master_List!$AW$8</f>
        <v>12kV</v>
      </c>
      <c r="W263" s="20" t="str">
        <f ca="1">Master_List!$AW$9</f>
        <v>2S1F</v>
      </c>
      <c r="X263" s="20" t="str">
        <f ca="1">Master_List!$AW$10</f>
        <v>MTM</v>
      </c>
      <c r="Y263" s="20" t="str">
        <f ca="1">Master_List!$AW$11</f>
        <v>HERMETICALLY SEAL</v>
      </c>
      <c r="Z263" s="20" t="str">
        <f ca="1">Master_List!$AW$12</f>
        <v>750kVA</v>
      </c>
      <c r="AA263" s="20" t="str">
        <f ca="1">Master_List!$AW$13</f>
        <v>1317</v>
      </c>
      <c r="AB263" s="20">
        <f ca="1">Master_List!$AW$14</f>
        <v>0</v>
      </c>
      <c r="AC263" s="20">
        <f ca="1">Master_List!$AW$15</f>
        <v>0</v>
      </c>
      <c r="AD263" s="20">
        <f ca="1">Master_List!$AW$16</f>
        <v>0</v>
      </c>
      <c r="AE263" s="20">
        <f ca="1">Master_List!$AW$17</f>
        <v>0</v>
      </c>
      <c r="AF263" s="20" t="str">
        <f ca="1">Master_List!$AW$18</f>
        <v>INDKOM</v>
      </c>
      <c r="AG263" s="20" t="str">
        <f ca="1">Master_List!$AW$19</f>
        <v>J-SLOTTED</v>
      </c>
      <c r="AH263" s="20" t="str">
        <f ca="1">Master_List!$AW$20</f>
        <v>1600A</v>
      </c>
      <c r="AI263" s="20" t="str">
        <f ca="1">Master_List!$AW$21</f>
        <v>LV5080090</v>
      </c>
      <c r="AJ263" s="20" t="str">
        <f ca="1">Master_List!$AW$22</f>
        <v>LVDB TX1</v>
      </c>
      <c r="AK263" s="20">
        <f ca="1">Master_List!$AW$23</f>
        <v>0</v>
      </c>
      <c r="AL263" s="20">
        <f ca="1">Master_List!$AW$24</f>
        <v>0</v>
      </c>
      <c r="AM263" s="20">
        <f ca="1">Master_List!$AW$25</f>
        <v>0</v>
      </c>
      <c r="AN263" s="20">
        <f ca="1">Master_List!$AW$26</f>
        <v>0</v>
      </c>
      <c r="AO263" s="20" t="str">
        <f ca="1">Master_List!$AW$27</f>
        <v>LVDB TX2</v>
      </c>
      <c r="AP263" s="20" t="str">
        <f ca="1">Master_List!$AW$28</f>
        <v>SUNPOWER TECHNOLOGIES</v>
      </c>
      <c r="AQ263" s="20" t="str">
        <f ca="1">Master_List!$AW$29</f>
        <v>SPS 30-10 L</v>
      </c>
      <c r="AR263" s="20" t="str">
        <f ca="1">Master_List!$AW$30</f>
        <v>11193-8527</v>
      </c>
      <c r="AS263" s="20">
        <f ca="1">Master_List!$AW$31</f>
        <v>0</v>
      </c>
      <c r="AT263" s="20">
        <f ca="1">Master_List!$AW$32</f>
        <v>0</v>
      </c>
      <c r="AU263" s="20">
        <f ca="1">Master_List!$AW$33</f>
        <v>0</v>
      </c>
      <c r="AV263" s="20">
        <f ca="1">Master_List!$AW$34</f>
        <v>0</v>
      </c>
      <c r="AW263" s="20">
        <f ca="1">Master_List!$AW$35</f>
        <v>0</v>
      </c>
      <c r="AX263" s="20">
        <f ca="1">Master_List!$AW$36</f>
        <v>0</v>
      </c>
      <c r="AY263" s="20">
        <f ca="1">Master_List!$AW$37</f>
        <v>0</v>
      </c>
      <c r="AZ263" s="20">
        <f ca="1">Master_List!$AW$38</f>
        <v>0</v>
      </c>
      <c r="BA263" s="20">
        <f ca="1">Master_List!$AW$39</f>
        <v>0</v>
      </c>
      <c r="BB263" s="20" t="s">
        <v>2240</v>
      </c>
      <c r="BC263" s="20" t="s">
        <v>2241</v>
      </c>
      <c r="BD263" s="6" t="s">
        <v>1744</v>
      </c>
      <c r="BE263" s="6" t="s">
        <v>1881</v>
      </c>
      <c r="BF263" s="6" t="s">
        <v>1748</v>
      </c>
      <c r="BG263" s="6" t="str">
        <f t="shared" si="4"/>
        <v>C:\Users\aremi\Desktop\REPORT CBM\PO 42289580 - Pahang 11kV SECOND CYCLE AZZAD 2026\RAW MATERIAL\047. TNB BARU (IR+VI)\RAW DATA\IR</v>
      </c>
      <c r="BH263" s="24" t="s">
        <v>802</v>
      </c>
    </row>
    <row r="264" spans="1:60" ht="30" customHeight="1" x14ac:dyDescent="0.25">
      <c r="A264" s="6">
        <v>132</v>
      </c>
      <c r="B264" s="6" t="s">
        <v>1591</v>
      </c>
      <c r="C264" s="6">
        <v>1</v>
      </c>
      <c r="D264" s="6" t="s">
        <v>2244</v>
      </c>
      <c r="E264" s="6">
        <v>132</v>
      </c>
      <c r="F264" s="6" t="str">
        <f ca="1">Master_List!$AW$1</f>
        <v>PERPUSTAKAAN PUSAT</v>
      </c>
      <c r="G264" s="27" t="str">
        <f ca="1">Master_List!$AW$2</f>
        <v>09:30 PM</v>
      </c>
      <c r="H264" s="32" t="str">
        <f ca="1">Master_List!$AW$3</f>
        <v>20/07/2026</v>
      </c>
      <c r="I264" s="28" t="str">
        <f ca="1">Master_List!$AW$4</f>
        <v>28.5</v>
      </c>
      <c r="J264" s="6" t="str">
        <f ca="1">Master_List!$AW$5</f>
        <v>65</v>
      </c>
      <c r="K264" s="6" t="s">
        <v>591</v>
      </c>
      <c r="L264" s="21" t="str">
        <f ca="1">IFERROR(VLOOKUP(B264, Master_List!$A:$I, 2, FALSE), "-")</f>
        <v/>
      </c>
      <c r="M264" s="22" t="str">
        <f ca="1">IFERROR(VLOOKUP(B264, Master_List!$A:$I, 3, FALSE), "-")</f>
        <v/>
      </c>
      <c r="N264" s="22" t="str">
        <f ca="1">IFERROR(VLOOKUP(B264, Master_List!$A:$I, 4, FALSE), "-")</f>
        <v/>
      </c>
      <c r="O264" s="22" t="str">
        <f ca="1">IFERROR(VLOOKUP(B264, Master_List!$A:$I, 5, FALSE), "-")</f>
        <v/>
      </c>
      <c r="P264" s="22" t="str">
        <f ca="1">IFERROR(VLOOKUP(B264, Master_List!$A:$I, 6, FALSE), "-")</f>
        <v/>
      </c>
      <c r="Q264" s="22" t="str">
        <f ca="1">IFERROR(VLOOKUP(B264, Master_List!$A:$I, 7, FALSE), "-")</f>
        <v/>
      </c>
      <c r="R264" s="22" t="str">
        <f ca="1">IFERROR(VLOOKUP(B264, Master_List!$A:$I, 8, FALSE), "-")</f>
        <v/>
      </c>
      <c r="S264" s="22" t="str">
        <f ca="1">IFERROR(VLOOKUP(B264, Master_List!$A:$I, 9, FALSE), "-")</f>
        <v/>
      </c>
      <c r="T264" s="20" t="str">
        <f ca="1">Master_List!$AW$6</f>
        <v>TOSHIBA</v>
      </c>
      <c r="U264" s="20" t="str">
        <f ca="1">Master_List!$AW$7</f>
        <v>MRMU</v>
      </c>
      <c r="V264" s="20" t="str">
        <f ca="1">Master_List!$AW$8</f>
        <v>12kV</v>
      </c>
      <c r="W264" s="20" t="str">
        <f ca="1">Master_List!$AW$9</f>
        <v>2S1F</v>
      </c>
      <c r="X264" s="20" t="str">
        <f ca="1">Master_List!$AW$10</f>
        <v>MTM</v>
      </c>
      <c r="Y264" s="20" t="str">
        <f ca="1">Master_List!$AW$11</f>
        <v>HERMETICALLY SEAL</v>
      </c>
      <c r="Z264" s="20" t="str">
        <f ca="1">Master_List!$AW$12</f>
        <v>750kVA</v>
      </c>
      <c r="AA264" s="20" t="str">
        <f ca="1">Master_List!$AW$13</f>
        <v>1317</v>
      </c>
      <c r="AB264" s="20">
        <f ca="1">Master_List!$AW$14</f>
        <v>0</v>
      </c>
      <c r="AC264" s="20">
        <f ca="1">Master_List!$AW$15</f>
        <v>0</v>
      </c>
      <c r="AD264" s="20">
        <f ca="1">Master_List!$AW$16</f>
        <v>0</v>
      </c>
      <c r="AE264" s="20">
        <f ca="1">Master_List!$AW$17</f>
        <v>0</v>
      </c>
      <c r="AF264" s="20" t="str">
        <f ca="1">Master_List!$AW$18</f>
        <v>INDKOM</v>
      </c>
      <c r="AG264" s="20" t="str">
        <f ca="1">Master_List!$AW$19</f>
        <v>J-SLOTTED</v>
      </c>
      <c r="AH264" s="20" t="str">
        <f ca="1">Master_List!$AW$20</f>
        <v>1600A</v>
      </c>
      <c r="AI264" s="20" t="str">
        <f ca="1">Master_List!$AW$21</f>
        <v>LV5080090</v>
      </c>
      <c r="AJ264" s="20" t="str">
        <f ca="1">Master_List!$AW$22</f>
        <v>LVDB TX1</v>
      </c>
      <c r="AK264" s="20">
        <f ca="1">Master_List!$AW$23</f>
        <v>0</v>
      </c>
      <c r="AL264" s="20">
        <f ca="1">Master_List!$AW$24</f>
        <v>0</v>
      </c>
      <c r="AM264" s="20">
        <f ca="1">Master_List!$AW$25</f>
        <v>0</v>
      </c>
      <c r="AN264" s="20">
        <f ca="1">Master_List!$AW$26</f>
        <v>0</v>
      </c>
      <c r="AO264" s="20" t="str">
        <f ca="1">Master_List!$AW$27</f>
        <v>LVDB TX2</v>
      </c>
      <c r="AP264" s="20" t="str">
        <f ca="1">Master_List!$AW$28</f>
        <v>SUNPOWER TECHNOLOGIES</v>
      </c>
      <c r="AQ264" s="20" t="str">
        <f ca="1">Master_List!$AW$29</f>
        <v>SPS 30-10 L</v>
      </c>
      <c r="AR264" s="20" t="str">
        <f ca="1">Master_List!$AW$30</f>
        <v>11193-8527</v>
      </c>
      <c r="AS264" s="20">
        <f ca="1">Master_List!$AW$31</f>
        <v>0</v>
      </c>
      <c r="AT264" s="20">
        <f ca="1">Master_List!$AW$32</f>
        <v>0</v>
      </c>
      <c r="AU264" s="20">
        <f ca="1">Master_List!$AW$33</f>
        <v>0</v>
      </c>
      <c r="AV264" s="20">
        <f ca="1">Master_List!$AW$34</f>
        <v>0</v>
      </c>
      <c r="AW264" s="20">
        <f ca="1">Master_List!$AW$35</f>
        <v>0</v>
      </c>
      <c r="AX264" s="20">
        <f ca="1">Master_List!$AW$36</f>
        <v>0</v>
      </c>
      <c r="AY264" s="20">
        <f ca="1">Master_List!$AW$37</f>
        <v>0</v>
      </c>
      <c r="AZ264" s="20">
        <f ca="1">Master_List!$AW$38</f>
        <v>0</v>
      </c>
      <c r="BA264" s="20">
        <f ca="1">Master_List!$AW$39</f>
        <v>0</v>
      </c>
      <c r="BB264" s="20" t="s">
        <v>2240</v>
      </c>
      <c r="BC264" s="20" t="s">
        <v>2241</v>
      </c>
      <c r="BD264" s="6" t="s">
        <v>1744</v>
      </c>
      <c r="BE264" s="6" t="s">
        <v>1882</v>
      </c>
      <c r="BF264" s="6" t="s">
        <v>1746</v>
      </c>
      <c r="BG264" s="6" t="str">
        <f t="shared" si="4"/>
        <v>C:\Users\aremi\Desktop\REPORT CBM\PO 42289580 - Pahang 11kV SECOND CYCLE AZZAD 2026\RAW MATERIAL\047. TNB BARU (IR+VI)\RAW DATA\IR</v>
      </c>
      <c r="BH264" s="24" t="s">
        <v>803</v>
      </c>
    </row>
    <row r="265" spans="1:60" ht="30" customHeight="1" x14ac:dyDescent="0.25">
      <c r="A265" s="6">
        <v>132</v>
      </c>
      <c r="B265" s="6" t="s">
        <v>1591</v>
      </c>
      <c r="C265" s="6">
        <v>1</v>
      </c>
      <c r="D265" s="6" t="s">
        <v>2244</v>
      </c>
      <c r="E265" s="6">
        <v>132</v>
      </c>
      <c r="F265" s="6" t="str">
        <f ca="1">Master_List!$AW$1</f>
        <v>PERPUSTAKAAN PUSAT</v>
      </c>
      <c r="G265" s="27" t="str">
        <f ca="1">Master_List!$AW$2</f>
        <v>09:30 PM</v>
      </c>
      <c r="H265" s="32" t="str">
        <f ca="1">Master_List!$AW$3</f>
        <v>20/07/2026</v>
      </c>
      <c r="I265" s="28" t="str">
        <f ca="1">Master_List!$AW$4</f>
        <v>28.5</v>
      </c>
      <c r="J265" s="6" t="str">
        <f ca="1">Master_List!$AW$5</f>
        <v>65</v>
      </c>
      <c r="K265" s="6" t="s">
        <v>591</v>
      </c>
      <c r="L265" s="21" t="str">
        <f ca="1">IFERROR(VLOOKUP(B265, Master_List!$A:$I, 2, FALSE), "-")</f>
        <v/>
      </c>
      <c r="M265" s="22" t="str">
        <f ca="1">IFERROR(VLOOKUP(B265, Master_List!$A:$I, 3, FALSE), "-")</f>
        <v/>
      </c>
      <c r="N265" s="22" t="str">
        <f ca="1">IFERROR(VLOOKUP(B265, Master_List!$A:$I, 4, FALSE), "-")</f>
        <v/>
      </c>
      <c r="O265" s="22" t="str">
        <f ca="1">IFERROR(VLOOKUP(B265, Master_List!$A:$I, 5, FALSE), "-")</f>
        <v/>
      </c>
      <c r="P265" s="22" t="str">
        <f ca="1">IFERROR(VLOOKUP(B265, Master_List!$A:$I, 6, FALSE), "-")</f>
        <v/>
      </c>
      <c r="Q265" s="22" t="str">
        <f ca="1">IFERROR(VLOOKUP(B265, Master_List!$A:$I, 7, FALSE), "-")</f>
        <v/>
      </c>
      <c r="R265" s="22" t="str">
        <f ca="1">IFERROR(VLOOKUP(B265, Master_List!$A:$I, 8, FALSE), "-")</f>
        <v/>
      </c>
      <c r="S265" s="22" t="str">
        <f ca="1">IFERROR(VLOOKUP(B265, Master_List!$A:$I, 9, FALSE), "-")</f>
        <v/>
      </c>
      <c r="T265" s="20" t="str">
        <f ca="1">Master_List!$AW$6</f>
        <v>TOSHIBA</v>
      </c>
      <c r="U265" s="20" t="str">
        <f ca="1">Master_List!$AW$7</f>
        <v>MRMU</v>
      </c>
      <c r="V265" s="20" t="str">
        <f ca="1">Master_List!$AW$8</f>
        <v>12kV</v>
      </c>
      <c r="W265" s="20" t="str">
        <f ca="1">Master_List!$AW$9</f>
        <v>2S1F</v>
      </c>
      <c r="X265" s="20" t="str">
        <f ca="1">Master_List!$AW$10</f>
        <v>MTM</v>
      </c>
      <c r="Y265" s="20" t="str">
        <f ca="1">Master_List!$AW$11</f>
        <v>HERMETICALLY SEAL</v>
      </c>
      <c r="Z265" s="20" t="str">
        <f ca="1">Master_List!$AW$12</f>
        <v>750kVA</v>
      </c>
      <c r="AA265" s="20" t="str">
        <f ca="1">Master_List!$AW$13</f>
        <v>1317</v>
      </c>
      <c r="AB265" s="20">
        <f ca="1">Master_List!$AW$14</f>
        <v>0</v>
      </c>
      <c r="AC265" s="20">
        <f ca="1">Master_List!$AW$15</f>
        <v>0</v>
      </c>
      <c r="AD265" s="20">
        <f ca="1">Master_List!$AW$16</f>
        <v>0</v>
      </c>
      <c r="AE265" s="20">
        <f ca="1">Master_List!$AW$17</f>
        <v>0</v>
      </c>
      <c r="AF265" s="20" t="str">
        <f ca="1">Master_List!$AW$18</f>
        <v>INDKOM</v>
      </c>
      <c r="AG265" s="20" t="str">
        <f ca="1">Master_List!$AW$19</f>
        <v>J-SLOTTED</v>
      </c>
      <c r="AH265" s="20" t="str">
        <f ca="1">Master_List!$AW$20</f>
        <v>1600A</v>
      </c>
      <c r="AI265" s="20" t="str">
        <f ca="1">Master_List!$AW$21</f>
        <v>LV5080090</v>
      </c>
      <c r="AJ265" s="20" t="str">
        <f ca="1">Master_List!$AW$22</f>
        <v>LVDB TX1</v>
      </c>
      <c r="AK265" s="20">
        <f ca="1">Master_List!$AW$23</f>
        <v>0</v>
      </c>
      <c r="AL265" s="20">
        <f ca="1">Master_List!$AW$24</f>
        <v>0</v>
      </c>
      <c r="AM265" s="20">
        <f ca="1">Master_List!$AW$25</f>
        <v>0</v>
      </c>
      <c r="AN265" s="20">
        <f ca="1">Master_List!$AW$26</f>
        <v>0</v>
      </c>
      <c r="AO265" s="20" t="str">
        <f ca="1">Master_List!$AW$27</f>
        <v>LVDB TX2</v>
      </c>
      <c r="AP265" s="20" t="str">
        <f ca="1">Master_List!$AW$28</f>
        <v>SUNPOWER TECHNOLOGIES</v>
      </c>
      <c r="AQ265" s="20" t="str">
        <f ca="1">Master_List!$AW$29</f>
        <v>SPS 30-10 L</v>
      </c>
      <c r="AR265" s="20" t="str">
        <f ca="1">Master_List!$AW$30</f>
        <v>11193-8527</v>
      </c>
      <c r="AS265" s="20">
        <f ca="1">Master_List!$AW$31</f>
        <v>0</v>
      </c>
      <c r="AT265" s="20">
        <f ca="1">Master_List!$AW$32</f>
        <v>0</v>
      </c>
      <c r="AU265" s="20">
        <f ca="1">Master_List!$AW$33</f>
        <v>0</v>
      </c>
      <c r="AV265" s="20">
        <f ca="1">Master_List!$AW$34</f>
        <v>0</v>
      </c>
      <c r="AW265" s="20">
        <f ca="1">Master_List!$AW$35</f>
        <v>0</v>
      </c>
      <c r="AX265" s="20">
        <f ca="1">Master_List!$AW$36</f>
        <v>0</v>
      </c>
      <c r="AY265" s="20">
        <f ca="1">Master_List!$AW$37</f>
        <v>0</v>
      </c>
      <c r="AZ265" s="20">
        <f ca="1">Master_List!$AW$38</f>
        <v>0</v>
      </c>
      <c r="BA265" s="20">
        <f ca="1">Master_List!$AW$39</f>
        <v>0</v>
      </c>
      <c r="BB265" s="20" t="s">
        <v>2240</v>
      </c>
      <c r="BC265" s="20" t="s">
        <v>2241</v>
      </c>
      <c r="BD265" s="6" t="s">
        <v>1744</v>
      </c>
      <c r="BE265" s="6" t="s">
        <v>1882</v>
      </c>
      <c r="BF265" s="6" t="s">
        <v>1748</v>
      </c>
      <c r="BG265" s="6" t="str">
        <f t="shared" si="4"/>
        <v>C:\Users\aremi\Desktop\REPORT CBM\PO 42289580 - Pahang 11kV SECOND CYCLE AZZAD 2026\RAW MATERIAL\047. TNB BARU (IR+VI)\RAW DATA\IR</v>
      </c>
      <c r="BH265" s="24" t="s">
        <v>804</v>
      </c>
    </row>
    <row r="266" spans="1:60" ht="30" customHeight="1" x14ac:dyDescent="0.25">
      <c r="A266" s="6">
        <v>133</v>
      </c>
      <c r="B266" s="6" t="s">
        <v>1570</v>
      </c>
      <c r="C266" s="6">
        <v>1</v>
      </c>
      <c r="D266" s="6" t="s">
        <v>2245</v>
      </c>
      <c r="E266" s="6">
        <v>133</v>
      </c>
      <c r="F266" s="6" t="str">
        <f ca="1">Master_List!$AW$1</f>
        <v>PERPUSTAKAAN PUSAT</v>
      </c>
      <c r="G266" s="27" t="str">
        <f ca="1">Master_List!$AW$2</f>
        <v>09:30 PM</v>
      </c>
      <c r="H266" s="32" t="str">
        <f ca="1">Master_List!$AW$3</f>
        <v>20/07/2026</v>
      </c>
      <c r="I266" s="28" t="str">
        <f ca="1">Master_List!$AW$4</f>
        <v>28.5</v>
      </c>
      <c r="J266" s="6" t="str">
        <f ca="1">Master_List!$AW$5</f>
        <v>65</v>
      </c>
      <c r="K266" s="6" t="s">
        <v>1453</v>
      </c>
      <c r="L266" s="21">
        <v>1</v>
      </c>
      <c r="M266" s="21" t="s">
        <v>2246</v>
      </c>
      <c r="N266" s="21" t="s">
        <v>2246</v>
      </c>
      <c r="O266" s="21" t="s">
        <v>2246</v>
      </c>
      <c r="P266" s="21" t="s">
        <v>2246</v>
      </c>
      <c r="Q266" s="21" t="s">
        <v>2246</v>
      </c>
      <c r="R266" s="21" t="s">
        <v>2246</v>
      </c>
      <c r="S266" s="21" t="s">
        <v>2246</v>
      </c>
      <c r="T266" s="20" t="str">
        <f ca="1">Master_List!$AW$6</f>
        <v>TOSHIBA</v>
      </c>
      <c r="U266" s="20" t="str">
        <f ca="1">Master_List!$AW$7</f>
        <v>MRMU</v>
      </c>
      <c r="V266" s="20" t="str">
        <f ca="1">Master_List!$AW$8</f>
        <v>12kV</v>
      </c>
      <c r="W266" s="20" t="str">
        <f ca="1">Master_List!$AW$9</f>
        <v>2S1F</v>
      </c>
      <c r="X266" s="20" t="str">
        <f ca="1">Master_List!$AW$10</f>
        <v>MTM</v>
      </c>
      <c r="Y266" s="20" t="str">
        <f ca="1">Master_List!$AW$11</f>
        <v>HERMETICALLY SEAL</v>
      </c>
      <c r="Z266" s="20" t="str">
        <f ca="1">Master_List!$AW$12</f>
        <v>750kVA</v>
      </c>
      <c r="AA266" s="20" t="str">
        <f ca="1">Master_List!$AW$13</f>
        <v>1317</v>
      </c>
      <c r="AB266" s="20">
        <f ca="1">Master_List!$AW$14</f>
        <v>0</v>
      </c>
      <c r="AC266" s="20">
        <f ca="1">Master_List!$AW$15</f>
        <v>0</v>
      </c>
      <c r="AD266" s="20">
        <f ca="1">Master_List!$AW$16</f>
        <v>0</v>
      </c>
      <c r="AE266" s="20">
        <f ca="1">Master_List!$AW$17</f>
        <v>0</v>
      </c>
      <c r="AF266" s="20" t="str">
        <f ca="1">Master_List!$AW$18</f>
        <v>INDKOM</v>
      </c>
      <c r="AG266" s="20" t="str">
        <f ca="1">Master_List!$AW$19</f>
        <v>J-SLOTTED</v>
      </c>
      <c r="AH266" s="20" t="str">
        <f ca="1">Master_List!$AW$20</f>
        <v>1600A</v>
      </c>
      <c r="AI266" s="20" t="str">
        <f ca="1">Master_List!$AW$21</f>
        <v>LV5080090</v>
      </c>
      <c r="AJ266" s="20" t="str">
        <f ca="1">Master_List!$AW$22</f>
        <v>LVDB TX1</v>
      </c>
      <c r="AK266" s="20">
        <f ca="1">Master_List!$AW$23</f>
        <v>0</v>
      </c>
      <c r="AL266" s="20">
        <f ca="1">Master_List!$AW$24</f>
        <v>0</v>
      </c>
      <c r="AM266" s="20">
        <f ca="1">Master_List!$AW$25</f>
        <v>0</v>
      </c>
      <c r="AN266" s="20">
        <f ca="1">Master_List!$AW$26</f>
        <v>0</v>
      </c>
      <c r="AO266" s="20" t="str">
        <f ca="1">Master_List!$AW$27</f>
        <v>LVDB TX2</v>
      </c>
      <c r="AP266" s="20" t="str">
        <f ca="1">Master_List!$AW$28</f>
        <v>SUNPOWER TECHNOLOGIES</v>
      </c>
      <c r="AQ266" s="20" t="str">
        <f ca="1">Master_List!$AW$29</f>
        <v>SPS 30-10 L</v>
      </c>
      <c r="AR266" s="20" t="str">
        <f ca="1">Master_List!$AW$30</f>
        <v>11193-8527</v>
      </c>
      <c r="AS266" s="20">
        <f ca="1">Master_List!$AW$31</f>
        <v>0</v>
      </c>
      <c r="AT266" s="20">
        <f ca="1">Master_List!$AW$32</f>
        <v>0</v>
      </c>
      <c r="AU266" s="20">
        <f ca="1">Master_List!$AW$33</f>
        <v>0</v>
      </c>
      <c r="AV266" s="20">
        <f ca="1">Master_List!$AW$34</f>
        <v>0</v>
      </c>
      <c r="AW266" s="20">
        <f ca="1">Master_List!$AW$35</f>
        <v>0</v>
      </c>
      <c r="AX266" s="20">
        <f ca="1">Master_List!$AW$36</f>
        <v>0</v>
      </c>
      <c r="AY266" s="20">
        <f ca="1">Master_List!$AW$37</f>
        <v>0</v>
      </c>
      <c r="AZ266" s="20">
        <f ca="1">Master_List!$AW$38</f>
        <v>0</v>
      </c>
      <c r="BA266" s="20">
        <f ca="1">Master_List!$AW$39</f>
        <v>0</v>
      </c>
      <c r="BB266" s="20" t="s">
        <v>2240</v>
      </c>
      <c r="BC266" s="20" t="s">
        <v>2241</v>
      </c>
      <c r="BD266" s="6" t="s">
        <v>1744</v>
      </c>
      <c r="BE266" s="6" t="s">
        <v>1883</v>
      </c>
      <c r="BF266" s="6" t="s">
        <v>1746</v>
      </c>
      <c r="BG266" s="6" t="str">
        <f t="shared" si="4"/>
        <v>C:\Users\aremi\Desktop\REPORT CBM\PO 42289580 - Pahang 11kV SECOND CYCLE AZZAD 2026\RAW MATERIAL\047. TNB BARU (IR+VI)\RAW DATA\IR</v>
      </c>
      <c r="BH266" s="24" t="s">
        <v>805</v>
      </c>
    </row>
    <row r="267" spans="1:60" ht="30" customHeight="1" x14ac:dyDescent="0.25">
      <c r="A267" s="6">
        <v>133</v>
      </c>
      <c r="B267" s="6" t="s">
        <v>1570</v>
      </c>
      <c r="C267" s="6">
        <v>1</v>
      </c>
      <c r="D267" s="6" t="s">
        <v>2245</v>
      </c>
      <c r="E267" s="6">
        <v>133</v>
      </c>
      <c r="F267" s="6" t="str">
        <f ca="1">Master_List!$AW$1</f>
        <v>PERPUSTAKAAN PUSAT</v>
      </c>
      <c r="G267" s="27" t="str">
        <f ca="1">Master_List!$AW$2</f>
        <v>09:30 PM</v>
      </c>
      <c r="H267" s="32" t="str">
        <f ca="1">Master_List!$AW$3</f>
        <v>20/07/2026</v>
      </c>
      <c r="I267" s="28" t="str">
        <f ca="1">Master_List!$AW$4</f>
        <v>28.5</v>
      </c>
      <c r="J267" s="6" t="str">
        <f ca="1">Master_List!$AW$5</f>
        <v>65</v>
      </c>
      <c r="K267" s="6" t="s">
        <v>1453</v>
      </c>
      <c r="L267" s="21">
        <v>1</v>
      </c>
      <c r="M267" s="21" t="s">
        <v>2246</v>
      </c>
      <c r="N267" s="21" t="s">
        <v>2246</v>
      </c>
      <c r="O267" s="21" t="s">
        <v>2246</v>
      </c>
      <c r="P267" s="21" t="s">
        <v>2246</v>
      </c>
      <c r="Q267" s="21" t="s">
        <v>2246</v>
      </c>
      <c r="R267" s="21" t="s">
        <v>2246</v>
      </c>
      <c r="S267" s="21" t="s">
        <v>2246</v>
      </c>
      <c r="T267" s="20" t="str">
        <f ca="1">Master_List!$AW$6</f>
        <v>TOSHIBA</v>
      </c>
      <c r="U267" s="20" t="str">
        <f ca="1">Master_List!$AW$7</f>
        <v>MRMU</v>
      </c>
      <c r="V267" s="20" t="str">
        <f ca="1">Master_List!$AW$8</f>
        <v>12kV</v>
      </c>
      <c r="W267" s="20" t="str">
        <f ca="1">Master_List!$AW$9</f>
        <v>2S1F</v>
      </c>
      <c r="X267" s="20" t="str">
        <f ca="1">Master_List!$AW$10</f>
        <v>MTM</v>
      </c>
      <c r="Y267" s="20" t="str">
        <f ca="1">Master_List!$AW$11</f>
        <v>HERMETICALLY SEAL</v>
      </c>
      <c r="Z267" s="20" t="str">
        <f ca="1">Master_List!$AW$12</f>
        <v>750kVA</v>
      </c>
      <c r="AA267" s="20" t="str">
        <f ca="1">Master_List!$AW$13</f>
        <v>1317</v>
      </c>
      <c r="AB267" s="20">
        <f ca="1">Master_List!$AW$14</f>
        <v>0</v>
      </c>
      <c r="AC267" s="20">
        <f ca="1">Master_List!$AW$15</f>
        <v>0</v>
      </c>
      <c r="AD267" s="20">
        <f ca="1">Master_List!$AW$16</f>
        <v>0</v>
      </c>
      <c r="AE267" s="20">
        <f ca="1">Master_List!$AW$17</f>
        <v>0</v>
      </c>
      <c r="AF267" s="20" t="str">
        <f ca="1">Master_List!$AW$18</f>
        <v>INDKOM</v>
      </c>
      <c r="AG267" s="20" t="str">
        <f ca="1">Master_List!$AW$19</f>
        <v>J-SLOTTED</v>
      </c>
      <c r="AH267" s="20" t="str">
        <f ca="1">Master_List!$AW$20</f>
        <v>1600A</v>
      </c>
      <c r="AI267" s="20" t="str">
        <f ca="1">Master_List!$AW$21</f>
        <v>LV5080090</v>
      </c>
      <c r="AJ267" s="20" t="str">
        <f ca="1">Master_List!$AW$22</f>
        <v>LVDB TX1</v>
      </c>
      <c r="AK267" s="20">
        <f ca="1">Master_List!$AW$23</f>
        <v>0</v>
      </c>
      <c r="AL267" s="20">
        <f ca="1">Master_List!$AW$24</f>
        <v>0</v>
      </c>
      <c r="AM267" s="20">
        <f ca="1">Master_List!$AW$25</f>
        <v>0</v>
      </c>
      <c r="AN267" s="20">
        <f ca="1">Master_List!$AW$26</f>
        <v>0</v>
      </c>
      <c r="AO267" s="20" t="str">
        <f ca="1">Master_List!$AW$27</f>
        <v>LVDB TX2</v>
      </c>
      <c r="AP267" s="20" t="str">
        <f ca="1">Master_List!$AW$28</f>
        <v>SUNPOWER TECHNOLOGIES</v>
      </c>
      <c r="AQ267" s="20" t="str">
        <f ca="1">Master_List!$AW$29</f>
        <v>SPS 30-10 L</v>
      </c>
      <c r="AR267" s="20" t="str">
        <f ca="1">Master_List!$AW$30</f>
        <v>11193-8527</v>
      </c>
      <c r="AS267" s="20">
        <f ca="1">Master_List!$AW$31</f>
        <v>0</v>
      </c>
      <c r="AT267" s="20">
        <f ca="1">Master_List!$AW$32</f>
        <v>0</v>
      </c>
      <c r="AU267" s="20">
        <f ca="1">Master_List!$AW$33</f>
        <v>0</v>
      </c>
      <c r="AV267" s="20">
        <f ca="1">Master_List!$AW$34</f>
        <v>0</v>
      </c>
      <c r="AW267" s="20">
        <f ca="1">Master_List!$AW$35</f>
        <v>0</v>
      </c>
      <c r="AX267" s="20">
        <f ca="1">Master_List!$AW$36</f>
        <v>0</v>
      </c>
      <c r="AY267" s="20">
        <f ca="1">Master_List!$AW$37</f>
        <v>0</v>
      </c>
      <c r="AZ267" s="20">
        <f ca="1">Master_List!$AW$38</f>
        <v>0</v>
      </c>
      <c r="BA267" s="20">
        <f ca="1">Master_List!$AW$39</f>
        <v>0</v>
      </c>
      <c r="BB267" s="20" t="s">
        <v>2240</v>
      </c>
      <c r="BC267" s="20" t="s">
        <v>2241</v>
      </c>
      <c r="BD267" s="6" t="s">
        <v>1744</v>
      </c>
      <c r="BE267" s="6" t="s">
        <v>1883</v>
      </c>
      <c r="BF267" s="6" t="s">
        <v>1748</v>
      </c>
      <c r="BG267" s="6" t="str">
        <f t="shared" si="4"/>
        <v>C:\Users\aremi\Desktop\REPORT CBM\PO 42289580 - Pahang 11kV SECOND CYCLE AZZAD 2026\RAW MATERIAL\047. TNB BARU (IR+VI)\RAW DATA\IR</v>
      </c>
      <c r="BH267" s="24" t="s">
        <v>806</v>
      </c>
    </row>
    <row r="268" spans="1:60" ht="30" customHeight="1" x14ac:dyDescent="0.25">
      <c r="A268" s="6">
        <v>134</v>
      </c>
      <c r="B268" s="6" t="s">
        <v>1570</v>
      </c>
      <c r="C268" s="6">
        <v>1</v>
      </c>
      <c r="D268" s="6" t="s">
        <v>2245</v>
      </c>
      <c r="E268" s="6">
        <v>134</v>
      </c>
      <c r="F268" s="6" t="str">
        <f ca="1">Master_List!$AW$1</f>
        <v>PERPUSTAKAAN PUSAT</v>
      </c>
      <c r="G268" s="27" t="str">
        <f ca="1">Master_List!$AW$2</f>
        <v>09:30 PM</v>
      </c>
      <c r="H268" s="32" t="str">
        <f ca="1">Master_List!$AW$3</f>
        <v>20/07/2026</v>
      </c>
      <c r="I268" s="28" t="str">
        <f ca="1">Master_List!$AW$4</f>
        <v>28.5</v>
      </c>
      <c r="J268" s="6" t="str">
        <f ca="1">Master_List!$AW$5</f>
        <v>65</v>
      </c>
      <c r="K268" s="6" t="s">
        <v>1497</v>
      </c>
      <c r="L268" s="21">
        <v>1</v>
      </c>
      <c r="M268" s="21" t="s">
        <v>2246</v>
      </c>
      <c r="N268" s="21" t="s">
        <v>2246</v>
      </c>
      <c r="O268" s="21" t="s">
        <v>2246</v>
      </c>
      <c r="P268" s="21" t="s">
        <v>2246</v>
      </c>
      <c r="Q268" s="21" t="s">
        <v>2246</v>
      </c>
      <c r="R268" s="21" t="s">
        <v>2246</v>
      </c>
      <c r="S268" s="21" t="s">
        <v>2246</v>
      </c>
      <c r="T268" s="20" t="str">
        <f ca="1">Master_List!$AW$6</f>
        <v>TOSHIBA</v>
      </c>
      <c r="U268" s="20" t="str">
        <f ca="1">Master_List!$AW$7</f>
        <v>MRMU</v>
      </c>
      <c r="V268" s="20" t="str">
        <f ca="1">Master_List!$AW$8</f>
        <v>12kV</v>
      </c>
      <c r="W268" s="20" t="str">
        <f ca="1">Master_List!$AW$9</f>
        <v>2S1F</v>
      </c>
      <c r="X268" s="20" t="str">
        <f ca="1">Master_List!$AW$10</f>
        <v>MTM</v>
      </c>
      <c r="Y268" s="20" t="str">
        <f ca="1">Master_List!$AW$11</f>
        <v>HERMETICALLY SEAL</v>
      </c>
      <c r="Z268" s="20" t="str">
        <f ca="1">Master_List!$AW$12</f>
        <v>750kVA</v>
      </c>
      <c r="AA268" s="20" t="str">
        <f ca="1">Master_List!$AW$13</f>
        <v>1317</v>
      </c>
      <c r="AB268" s="20">
        <f ca="1">Master_List!$AW$14</f>
        <v>0</v>
      </c>
      <c r="AC268" s="20">
        <f ca="1">Master_List!$AW$15</f>
        <v>0</v>
      </c>
      <c r="AD268" s="20">
        <f ca="1">Master_List!$AW$16</f>
        <v>0</v>
      </c>
      <c r="AE268" s="20">
        <f ca="1">Master_List!$AW$17</f>
        <v>0</v>
      </c>
      <c r="AF268" s="20" t="str">
        <f ca="1">Master_List!$AW$18</f>
        <v>INDKOM</v>
      </c>
      <c r="AG268" s="20" t="str">
        <f ca="1">Master_List!$AW$19</f>
        <v>J-SLOTTED</v>
      </c>
      <c r="AH268" s="20" t="str">
        <f ca="1">Master_List!$AW$20</f>
        <v>1600A</v>
      </c>
      <c r="AI268" s="20" t="str">
        <f ca="1">Master_List!$AW$21</f>
        <v>LV5080090</v>
      </c>
      <c r="AJ268" s="20" t="str">
        <f ca="1">Master_List!$AW$22</f>
        <v>LVDB TX1</v>
      </c>
      <c r="AK268" s="20">
        <f ca="1">Master_List!$AW$23</f>
        <v>0</v>
      </c>
      <c r="AL268" s="20">
        <f ca="1">Master_List!$AW$24</f>
        <v>0</v>
      </c>
      <c r="AM268" s="20">
        <f ca="1">Master_List!$AW$25</f>
        <v>0</v>
      </c>
      <c r="AN268" s="20">
        <f ca="1">Master_List!$AW$26</f>
        <v>0</v>
      </c>
      <c r="AO268" s="20" t="str">
        <f ca="1">Master_List!$AW$27</f>
        <v>LVDB TX2</v>
      </c>
      <c r="AP268" s="20" t="str">
        <f ca="1">Master_List!$AW$28</f>
        <v>SUNPOWER TECHNOLOGIES</v>
      </c>
      <c r="AQ268" s="20" t="str">
        <f ca="1">Master_List!$AW$29</f>
        <v>SPS 30-10 L</v>
      </c>
      <c r="AR268" s="20" t="str">
        <f ca="1">Master_List!$AW$30</f>
        <v>11193-8527</v>
      </c>
      <c r="AS268" s="20">
        <f ca="1">Master_List!$AW$31</f>
        <v>0</v>
      </c>
      <c r="AT268" s="20">
        <f ca="1">Master_List!$AW$32</f>
        <v>0</v>
      </c>
      <c r="AU268" s="20">
        <f ca="1">Master_List!$AW$33</f>
        <v>0</v>
      </c>
      <c r="AV268" s="20">
        <f ca="1">Master_List!$AW$34</f>
        <v>0</v>
      </c>
      <c r="AW268" s="20">
        <f ca="1">Master_List!$AW$35</f>
        <v>0</v>
      </c>
      <c r="AX268" s="20">
        <f ca="1">Master_List!$AW$36</f>
        <v>0</v>
      </c>
      <c r="AY268" s="20">
        <f ca="1">Master_List!$AW$37</f>
        <v>0</v>
      </c>
      <c r="AZ268" s="20">
        <f ca="1">Master_List!$AW$38</f>
        <v>0</v>
      </c>
      <c r="BA268" s="20">
        <f ca="1">Master_List!$AW$39</f>
        <v>0</v>
      </c>
      <c r="BB268" s="20" t="s">
        <v>2240</v>
      </c>
      <c r="BC268" s="20" t="s">
        <v>2241</v>
      </c>
      <c r="BD268" s="6" t="s">
        <v>1744</v>
      </c>
      <c r="BE268" s="6" t="s">
        <v>1884</v>
      </c>
      <c r="BF268" s="6" t="s">
        <v>1746</v>
      </c>
      <c r="BG268" s="6" t="str">
        <f t="shared" si="4"/>
        <v>C:\Users\aremi\Desktop\REPORT CBM\PO 42289580 - Pahang 11kV SECOND CYCLE AZZAD 2026\RAW MATERIAL\047. TNB BARU (IR+VI)\RAW DATA\IR</v>
      </c>
      <c r="BH268" s="24" t="s">
        <v>807</v>
      </c>
    </row>
    <row r="269" spans="1:60" ht="30" customHeight="1" x14ac:dyDescent="0.25">
      <c r="A269" s="6">
        <v>134</v>
      </c>
      <c r="B269" s="6" t="s">
        <v>1570</v>
      </c>
      <c r="C269" s="6">
        <v>1</v>
      </c>
      <c r="D269" s="6" t="s">
        <v>2245</v>
      </c>
      <c r="E269" s="6">
        <v>134</v>
      </c>
      <c r="F269" s="6" t="str">
        <f ca="1">Master_List!$AW$1</f>
        <v>PERPUSTAKAAN PUSAT</v>
      </c>
      <c r="G269" s="27" t="str">
        <f ca="1">Master_List!$AW$2</f>
        <v>09:30 PM</v>
      </c>
      <c r="H269" s="32" t="str">
        <f ca="1">Master_List!$AW$3</f>
        <v>20/07/2026</v>
      </c>
      <c r="I269" s="28" t="str">
        <f ca="1">Master_List!$AW$4</f>
        <v>28.5</v>
      </c>
      <c r="J269" s="6" t="str">
        <f ca="1">Master_List!$AW$5</f>
        <v>65</v>
      </c>
      <c r="K269" s="6" t="s">
        <v>1497</v>
      </c>
      <c r="L269" s="21">
        <v>1</v>
      </c>
      <c r="M269" s="21" t="s">
        <v>2246</v>
      </c>
      <c r="N269" s="21" t="s">
        <v>2246</v>
      </c>
      <c r="O269" s="21" t="s">
        <v>2246</v>
      </c>
      <c r="P269" s="21" t="s">
        <v>2246</v>
      </c>
      <c r="Q269" s="21" t="s">
        <v>2246</v>
      </c>
      <c r="R269" s="21" t="s">
        <v>2246</v>
      </c>
      <c r="S269" s="21" t="s">
        <v>2246</v>
      </c>
      <c r="T269" s="20" t="str">
        <f ca="1">Master_List!$AW$6</f>
        <v>TOSHIBA</v>
      </c>
      <c r="U269" s="20" t="str">
        <f ca="1">Master_List!$AW$7</f>
        <v>MRMU</v>
      </c>
      <c r="V269" s="20" t="str">
        <f ca="1">Master_List!$AW$8</f>
        <v>12kV</v>
      </c>
      <c r="W269" s="20" t="str">
        <f ca="1">Master_List!$AW$9</f>
        <v>2S1F</v>
      </c>
      <c r="X269" s="20" t="str">
        <f ca="1">Master_List!$AW$10</f>
        <v>MTM</v>
      </c>
      <c r="Y269" s="20" t="str">
        <f ca="1">Master_List!$AW$11</f>
        <v>HERMETICALLY SEAL</v>
      </c>
      <c r="Z269" s="20" t="str">
        <f ca="1">Master_List!$AW$12</f>
        <v>750kVA</v>
      </c>
      <c r="AA269" s="20" t="str">
        <f ca="1">Master_List!$AW$13</f>
        <v>1317</v>
      </c>
      <c r="AB269" s="20">
        <f ca="1">Master_List!$AW$14</f>
        <v>0</v>
      </c>
      <c r="AC269" s="20">
        <f ca="1">Master_List!$AW$15</f>
        <v>0</v>
      </c>
      <c r="AD269" s="20">
        <f ca="1">Master_List!$AW$16</f>
        <v>0</v>
      </c>
      <c r="AE269" s="20">
        <f ca="1">Master_List!$AW$17</f>
        <v>0</v>
      </c>
      <c r="AF269" s="20" t="str">
        <f ca="1">Master_List!$AW$18</f>
        <v>INDKOM</v>
      </c>
      <c r="AG269" s="20" t="str">
        <f ca="1">Master_List!$AW$19</f>
        <v>J-SLOTTED</v>
      </c>
      <c r="AH269" s="20" t="str">
        <f ca="1">Master_List!$AW$20</f>
        <v>1600A</v>
      </c>
      <c r="AI269" s="20" t="str">
        <f ca="1">Master_List!$AW$21</f>
        <v>LV5080090</v>
      </c>
      <c r="AJ269" s="20" t="str">
        <f ca="1">Master_List!$AW$22</f>
        <v>LVDB TX1</v>
      </c>
      <c r="AK269" s="20">
        <f ca="1">Master_List!$AW$23</f>
        <v>0</v>
      </c>
      <c r="AL269" s="20">
        <f ca="1">Master_List!$AW$24</f>
        <v>0</v>
      </c>
      <c r="AM269" s="20">
        <f ca="1">Master_List!$AW$25</f>
        <v>0</v>
      </c>
      <c r="AN269" s="20">
        <f ca="1">Master_List!$AW$26</f>
        <v>0</v>
      </c>
      <c r="AO269" s="20" t="str">
        <f ca="1">Master_List!$AW$27</f>
        <v>LVDB TX2</v>
      </c>
      <c r="AP269" s="20" t="str">
        <f ca="1">Master_List!$AW$28</f>
        <v>SUNPOWER TECHNOLOGIES</v>
      </c>
      <c r="AQ269" s="20" t="str">
        <f ca="1">Master_List!$AW$29</f>
        <v>SPS 30-10 L</v>
      </c>
      <c r="AR269" s="20" t="str">
        <f ca="1">Master_List!$AW$30</f>
        <v>11193-8527</v>
      </c>
      <c r="AS269" s="20">
        <f ca="1">Master_List!$AW$31</f>
        <v>0</v>
      </c>
      <c r="AT269" s="20">
        <f ca="1">Master_List!$AW$32</f>
        <v>0</v>
      </c>
      <c r="AU269" s="20">
        <f ca="1">Master_List!$AW$33</f>
        <v>0</v>
      </c>
      <c r="AV269" s="20">
        <f ca="1">Master_List!$AW$34</f>
        <v>0</v>
      </c>
      <c r="AW269" s="20">
        <f ca="1">Master_List!$AW$35</f>
        <v>0</v>
      </c>
      <c r="AX269" s="20">
        <f ca="1">Master_List!$AW$36</f>
        <v>0</v>
      </c>
      <c r="AY269" s="20">
        <f ca="1">Master_List!$AW$37</f>
        <v>0</v>
      </c>
      <c r="AZ269" s="20">
        <f ca="1">Master_List!$AW$38</f>
        <v>0</v>
      </c>
      <c r="BA269" s="20">
        <f ca="1">Master_List!$AW$39</f>
        <v>0</v>
      </c>
      <c r="BB269" s="20" t="s">
        <v>2240</v>
      </c>
      <c r="BC269" s="20" t="s">
        <v>2241</v>
      </c>
      <c r="BD269" s="6" t="s">
        <v>1744</v>
      </c>
      <c r="BE269" s="6" t="s">
        <v>1884</v>
      </c>
      <c r="BF269" s="6" t="s">
        <v>1748</v>
      </c>
      <c r="BG269" s="6" t="str">
        <f t="shared" si="4"/>
        <v>C:\Users\aremi\Desktop\REPORT CBM\PO 42289580 - Pahang 11kV SECOND CYCLE AZZAD 2026\RAW MATERIAL\047. TNB BARU (IR+VI)\RAW DATA\IR</v>
      </c>
      <c r="BH269" s="24" t="s">
        <v>808</v>
      </c>
    </row>
    <row r="270" spans="1:60" ht="30" customHeight="1" x14ac:dyDescent="0.25">
      <c r="A270" s="6">
        <v>135</v>
      </c>
      <c r="B270" s="6" t="s">
        <v>1570</v>
      </c>
      <c r="C270" s="6">
        <v>1</v>
      </c>
      <c r="D270" s="6" t="s">
        <v>2247</v>
      </c>
      <c r="E270" s="6">
        <v>135</v>
      </c>
      <c r="F270" s="6" t="str">
        <f ca="1">Master_List!$AW$1</f>
        <v>PERPUSTAKAAN PUSAT</v>
      </c>
      <c r="G270" s="27" t="str">
        <f ca="1">Master_List!$AW$2</f>
        <v>09:30 PM</v>
      </c>
      <c r="H270" s="32" t="str">
        <f ca="1">Master_List!$AW$3</f>
        <v>20/07/2026</v>
      </c>
      <c r="I270" s="28" t="str">
        <f ca="1">Master_List!$AW$4</f>
        <v>28.5</v>
      </c>
      <c r="J270" s="6" t="str">
        <f ca="1">Master_List!$AW$5</f>
        <v>65</v>
      </c>
      <c r="K270" s="6" t="s">
        <v>1571</v>
      </c>
      <c r="L270" s="21">
        <v>1</v>
      </c>
      <c r="M270" s="21" t="s">
        <v>2248</v>
      </c>
      <c r="N270" s="21" t="s">
        <v>2246</v>
      </c>
      <c r="O270" s="21" t="s">
        <v>2246</v>
      </c>
      <c r="P270" s="21" t="s">
        <v>2246</v>
      </c>
      <c r="Q270" s="21" t="s">
        <v>2246</v>
      </c>
      <c r="R270" s="21" t="s">
        <v>2246</v>
      </c>
      <c r="S270" s="21" t="s">
        <v>2246</v>
      </c>
      <c r="T270" s="20" t="str">
        <f ca="1">Master_List!$AW$6</f>
        <v>TOSHIBA</v>
      </c>
      <c r="U270" s="20" t="str">
        <f ca="1">Master_List!$AW$7</f>
        <v>MRMU</v>
      </c>
      <c r="V270" s="20" t="str">
        <f ca="1">Master_List!$AW$8</f>
        <v>12kV</v>
      </c>
      <c r="W270" s="20" t="str">
        <f ca="1">Master_List!$AW$9</f>
        <v>2S1F</v>
      </c>
      <c r="X270" s="20" t="str">
        <f ca="1">Master_List!$AW$10</f>
        <v>MTM</v>
      </c>
      <c r="Y270" s="20" t="str">
        <f ca="1">Master_List!$AW$11</f>
        <v>HERMETICALLY SEAL</v>
      </c>
      <c r="Z270" s="20" t="str">
        <f ca="1">Master_List!$AW$12</f>
        <v>750kVA</v>
      </c>
      <c r="AA270" s="20" t="str">
        <f ca="1">Master_List!$AW$13</f>
        <v>1317</v>
      </c>
      <c r="AB270" s="20">
        <f ca="1">Master_List!$AW$14</f>
        <v>0</v>
      </c>
      <c r="AC270" s="20">
        <f ca="1">Master_List!$AW$15</f>
        <v>0</v>
      </c>
      <c r="AD270" s="20">
        <f ca="1">Master_List!$AW$16</f>
        <v>0</v>
      </c>
      <c r="AE270" s="20">
        <f ca="1">Master_List!$AW$17</f>
        <v>0</v>
      </c>
      <c r="AF270" s="20" t="str">
        <f ca="1">Master_List!$AW$18</f>
        <v>INDKOM</v>
      </c>
      <c r="AG270" s="20" t="str">
        <f ca="1">Master_List!$AW$19</f>
        <v>J-SLOTTED</v>
      </c>
      <c r="AH270" s="20" t="str">
        <f ca="1">Master_List!$AW$20</f>
        <v>1600A</v>
      </c>
      <c r="AI270" s="20" t="str">
        <f ca="1">Master_List!$AW$21</f>
        <v>LV5080090</v>
      </c>
      <c r="AJ270" s="20" t="str">
        <f ca="1">Master_List!$AW$22</f>
        <v>LVDB TX1</v>
      </c>
      <c r="AK270" s="20">
        <f ca="1">Master_List!$AW$23</f>
        <v>0</v>
      </c>
      <c r="AL270" s="20">
        <f ca="1">Master_List!$AW$24</f>
        <v>0</v>
      </c>
      <c r="AM270" s="20">
        <f ca="1">Master_List!$AW$25</f>
        <v>0</v>
      </c>
      <c r="AN270" s="20">
        <f ca="1">Master_List!$AW$26</f>
        <v>0</v>
      </c>
      <c r="AO270" s="20" t="str">
        <f ca="1">Master_List!$AW$27</f>
        <v>LVDB TX2</v>
      </c>
      <c r="AP270" s="20" t="str">
        <f ca="1">Master_List!$AW$28</f>
        <v>SUNPOWER TECHNOLOGIES</v>
      </c>
      <c r="AQ270" s="20" t="str">
        <f ca="1">Master_List!$AW$29</f>
        <v>SPS 30-10 L</v>
      </c>
      <c r="AR270" s="20" t="str">
        <f ca="1">Master_List!$AW$30</f>
        <v>11193-8527</v>
      </c>
      <c r="AS270" s="20">
        <f ca="1">Master_List!$AW$31</f>
        <v>0</v>
      </c>
      <c r="AT270" s="20">
        <f ca="1">Master_List!$AW$32</f>
        <v>0</v>
      </c>
      <c r="AU270" s="20">
        <f ca="1">Master_List!$AW$33</f>
        <v>0</v>
      </c>
      <c r="AV270" s="20">
        <f ca="1">Master_List!$AW$34</f>
        <v>0</v>
      </c>
      <c r="AW270" s="20">
        <f ca="1">Master_List!$AW$35</f>
        <v>0</v>
      </c>
      <c r="AX270" s="20">
        <f ca="1">Master_List!$AW$36</f>
        <v>0</v>
      </c>
      <c r="AY270" s="20">
        <f ca="1">Master_List!$AW$37</f>
        <v>0</v>
      </c>
      <c r="AZ270" s="20">
        <f ca="1">Master_List!$AW$38</f>
        <v>0</v>
      </c>
      <c r="BA270" s="20">
        <f ca="1">Master_List!$AW$39</f>
        <v>0</v>
      </c>
      <c r="BB270" s="20" t="s">
        <v>2240</v>
      </c>
      <c r="BC270" s="20" t="s">
        <v>2241</v>
      </c>
      <c r="BD270" s="6" t="s">
        <v>1744</v>
      </c>
      <c r="BE270" s="6" t="s">
        <v>1885</v>
      </c>
      <c r="BF270" s="6" t="s">
        <v>1746</v>
      </c>
      <c r="BG270" s="6" t="str">
        <f t="shared" si="4"/>
        <v>C:\Users\aremi\Desktop\REPORT CBM\PO 42289580 - Pahang 11kV SECOND CYCLE AZZAD 2026\RAW MATERIAL\047. TNB BARU (IR+VI)\RAW DATA\IR</v>
      </c>
      <c r="BH270" s="24" t="s">
        <v>809</v>
      </c>
    </row>
    <row r="271" spans="1:60" ht="30" customHeight="1" x14ac:dyDescent="0.25">
      <c r="A271" s="6">
        <v>135</v>
      </c>
      <c r="B271" s="6" t="s">
        <v>1570</v>
      </c>
      <c r="C271" s="6">
        <v>1</v>
      </c>
      <c r="D271" s="6" t="s">
        <v>2247</v>
      </c>
      <c r="E271" s="6">
        <v>135</v>
      </c>
      <c r="F271" s="6" t="str">
        <f ca="1">Master_List!$AW$1</f>
        <v>PERPUSTAKAAN PUSAT</v>
      </c>
      <c r="G271" s="27" t="str">
        <f ca="1">Master_List!$AW$2</f>
        <v>09:30 PM</v>
      </c>
      <c r="H271" s="32" t="str">
        <f ca="1">Master_List!$AW$3</f>
        <v>20/07/2026</v>
      </c>
      <c r="I271" s="28" t="str">
        <f ca="1">Master_List!$AW$4</f>
        <v>28.5</v>
      </c>
      <c r="J271" s="6" t="str">
        <f ca="1">Master_List!$AW$5</f>
        <v>65</v>
      </c>
      <c r="K271" s="6" t="s">
        <v>1571</v>
      </c>
      <c r="L271" s="21">
        <v>1</v>
      </c>
      <c r="M271" s="21" t="s">
        <v>2248</v>
      </c>
      <c r="N271" s="21" t="s">
        <v>2246</v>
      </c>
      <c r="O271" s="21" t="s">
        <v>2246</v>
      </c>
      <c r="P271" s="21" t="s">
        <v>2246</v>
      </c>
      <c r="Q271" s="21" t="s">
        <v>2246</v>
      </c>
      <c r="R271" s="21" t="s">
        <v>2246</v>
      </c>
      <c r="S271" s="21" t="s">
        <v>2246</v>
      </c>
      <c r="T271" s="20" t="str">
        <f ca="1">Master_List!$AW$6</f>
        <v>TOSHIBA</v>
      </c>
      <c r="U271" s="20" t="str">
        <f ca="1">Master_List!$AW$7</f>
        <v>MRMU</v>
      </c>
      <c r="V271" s="20" t="str">
        <f ca="1">Master_List!$AW$8</f>
        <v>12kV</v>
      </c>
      <c r="W271" s="20" t="str">
        <f ca="1">Master_List!$AW$9</f>
        <v>2S1F</v>
      </c>
      <c r="X271" s="20" t="str">
        <f ca="1">Master_List!$AW$10</f>
        <v>MTM</v>
      </c>
      <c r="Y271" s="20" t="str">
        <f ca="1">Master_List!$AW$11</f>
        <v>HERMETICALLY SEAL</v>
      </c>
      <c r="Z271" s="20" t="str">
        <f ca="1">Master_List!$AW$12</f>
        <v>750kVA</v>
      </c>
      <c r="AA271" s="20" t="str">
        <f ca="1">Master_List!$AW$13</f>
        <v>1317</v>
      </c>
      <c r="AB271" s="20">
        <f ca="1">Master_List!$AW$14</f>
        <v>0</v>
      </c>
      <c r="AC271" s="20">
        <f ca="1">Master_List!$AW$15</f>
        <v>0</v>
      </c>
      <c r="AD271" s="20">
        <f ca="1">Master_List!$AW$16</f>
        <v>0</v>
      </c>
      <c r="AE271" s="20">
        <f ca="1">Master_List!$AW$17</f>
        <v>0</v>
      </c>
      <c r="AF271" s="20" t="str">
        <f ca="1">Master_List!$AW$18</f>
        <v>INDKOM</v>
      </c>
      <c r="AG271" s="20" t="str">
        <f ca="1">Master_List!$AW$19</f>
        <v>J-SLOTTED</v>
      </c>
      <c r="AH271" s="20" t="str">
        <f ca="1">Master_List!$AW$20</f>
        <v>1600A</v>
      </c>
      <c r="AI271" s="20" t="str">
        <f ca="1">Master_List!$AW$21</f>
        <v>LV5080090</v>
      </c>
      <c r="AJ271" s="20" t="str">
        <f ca="1">Master_List!$AW$22</f>
        <v>LVDB TX1</v>
      </c>
      <c r="AK271" s="20">
        <f ca="1">Master_List!$AW$23</f>
        <v>0</v>
      </c>
      <c r="AL271" s="20">
        <f ca="1">Master_List!$AW$24</f>
        <v>0</v>
      </c>
      <c r="AM271" s="20">
        <f ca="1">Master_List!$AW$25</f>
        <v>0</v>
      </c>
      <c r="AN271" s="20">
        <f ca="1">Master_List!$AW$26</f>
        <v>0</v>
      </c>
      <c r="AO271" s="20" t="str">
        <f ca="1">Master_List!$AW$27</f>
        <v>LVDB TX2</v>
      </c>
      <c r="AP271" s="20" t="str">
        <f ca="1">Master_List!$AW$28</f>
        <v>SUNPOWER TECHNOLOGIES</v>
      </c>
      <c r="AQ271" s="20" t="str">
        <f ca="1">Master_List!$AW$29</f>
        <v>SPS 30-10 L</v>
      </c>
      <c r="AR271" s="20" t="str">
        <f ca="1">Master_List!$AW$30</f>
        <v>11193-8527</v>
      </c>
      <c r="AS271" s="20">
        <f ca="1">Master_List!$AW$31</f>
        <v>0</v>
      </c>
      <c r="AT271" s="20">
        <f ca="1">Master_List!$AW$32</f>
        <v>0</v>
      </c>
      <c r="AU271" s="20">
        <f ca="1">Master_List!$AW$33</f>
        <v>0</v>
      </c>
      <c r="AV271" s="20">
        <f ca="1">Master_List!$AW$34</f>
        <v>0</v>
      </c>
      <c r="AW271" s="20">
        <f ca="1">Master_List!$AW$35</f>
        <v>0</v>
      </c>
      <c r="AX271" s="20">
        <f ca="1">Master_List!$AW$36</f>
        <v>0</v>
      </c>
      <c r="AY271" s="20">
        <f ca="1">Master_List!$AW$37</f>
        <v>0</v>
      </c>
      <c r="AZ271" s="20">
        <f ca="1">Master_List!$AW$38</f>
        <v>0</v>
      </c>
      <c r="BA271" s="20">
        <f ca="1">Master_List!$AW$39</f>
        <v>0</v>
      </c>
      <c r="BB271" s="20" t="s">
        <v>2240</v>
      </c>
      <c r="BC271" s="20" t="s">
        <v>2241</v>
      </c>
      <c r="BD271" s="6" t="s">
        <v>1744</v>
      </c>
      <c r="BE271" s="6" t="s">
        <v>1885</v>
      </c>
      <c r="BF271" s="6" t="s">
        <v>1748</v>
      </c>
      <c r="BG271" s="6" t="str">
        <f t="shared" si="4"/>
        <v>C:\Users\aremi\Desktop\REPORT CBM\PO 42289580 - Pahang 11kV SECOND CYCLE AZZAD 2026\RAW MATERIAL\047. TNB BARU (IR+VI)\RAW DATA\IR</v>
      </c>
      <c r="BH271" s="24" t="s">
        <v>810</v>
      </c>
    </row>
    <row r="272" spans="1:60" ht="30" customHeight="1" x14ac:dyDescent="0.25">
      <c r="A272" s="6">
        <v>136</v>
      </c>
      <c r="B272" s="6" t="s">
        <v>1570</v>
      </c>
      <c r="C272" s="6">
        <v>1</v>
      </c>
      <c r="D272" s="6" t="s">
        <v>2247</v>
      </c>
      <c r="E272" s="6">
        <v>136</v>
      </c>
      <c r="F272" s="6" t="str">
        <f ca="1">Master_List!$AW$1</f>
        <v>PERPUSTAKAAN PUSAT</v>
      </c>
      <c r="G272" s="27" t="str">
        <f ca="1">Master_List!$AW$2</f>
        <v>09:30 PM</v>
      </c>
      <c r="H272" s="32" t="str">
        <f ca="1">Master_List!$AW$3</f>
        <v>20/07/2026</v>
      </c>
      <c r="I272" s="28" t="str">
        <f ca="1">Master_List!$AW$4</f>
        <v>28.5</v>
      </c>
      <c r="J272" s="6" t="str">
        <f ca="1">Master_List!$AW$5</f>
        <v>65</v>
      </c>
      <c r="K272" s="6" t="s">
        <v>1572</v>
      </c>
      <c r="L272" s="21">
        <v>1</v>
      </c>
      <c r="M272" s="21" t="s">
        <v>2248</v>
      </c>
      <c r="N272" s="21" t="s">
        <v>2246</v>
      </c>
      <c r="O272" s="21" t="s">
        <v>2246</v>
      </c>
      <c r="P272" s="21" t="s">
        <v>2246</v>
      </c>
      <c r="Q272" s="21" t="s">
        <v>2246</v>
      </c>
      <c r="R272" s="21" t="s">
        <v>2246</v>
      </c>
      <c r="S272" s="21" t="s">
        <v>2246</v>
      </c>
      <c r="T272" s="20" t="str">
        <f ca="1">Master_List!$AW$6</f>
        <v>TOSHIBA</v>
      </c>
      <c r="U272" s="20" t="str">
        <f ca="1">Master_List!$AW$7</f>
        <v>MRMU</v>
      </c>
      <c r="V272" s="20" t="str">
        <f ca="1">Master_List!$AW$8</f>
        <v>12kV</v>
      </c>
      <c r="W272" s="20" t="str">
        <f ca="1">Master_List!$AW$9</f>
        <v>2S1F</v>
      </c>
      <c r="X272" s="20" t="str">
        <f ca="1">Master_List!$AW$10</f>
        <v>MTM</v>
      </c>
      <c r="Y272" s="20" t="str">
        <f ca="1">Master_List!$AW$11</f>
        <v>HERMETICALLY SEAL</v>
      </c>
      <c r="Z272" s="20" t="str">
        <f ca="1">Master_List!$AW$12</f>
        <v>750kVA</v>
      </c>
      <c r="AA272" s="20" t="str">
        <f ca="1">Master_List!$AW$13</f>
        <v>1317</v>
      </c>
      <c r="AB272" s="20">
        <f ca="1">Master_List!$AW$14</f>
        <v>0</v>
      </c>
      <c r="AC272" s="20">
        <f ca="1">Master_List!$AW$15</f>
        <v>0</v>
      </c>
      <c r="AD272" s="20">
        <f ca="1">Master_List!$AW$16</f>
        <v>0</v>
      </c>
      <c r="AE272" s="20">
        <f ca="1">Master_List!$AW$17</f>
        <v>0</v>
      </c>
      <c r="AF272" s="20" t="str">
        <f ca="1">Master_List!$AW$18</f>
        <v>INDKOM</v>
      </c>
      <c r="AG272" s="20" t="str">
        <f ca="1">Master_List!$AW$19</f>
        <v>J-SLOTTED</v>
      </c>
      <c r="AH272" s="20" t="str">
        <f ca="1">Master_List!$AW$20</f>
        <v>1600A</v>
      </c>
      <c r="AI272" s="20" t="str">
        <f ca="1">Master_List!$AW$21</f>
        <v>LV5080090</v>
      </c>
      <c r="AJ272" s="20" t="str">
        <f ca="1">Master_List!$AW$22</f>
        <v>LVDB TX1</v>
      </c>
      <c r="AK272" s="20">
        <f ca="1">Master_List!$AW$23</f>
        <v>0</v>
      </c>
      <c r="AL272" s="20">
        <f ca="1">Master_List!$AW$24</f>
        <v>0</v>
      </c>
      <c r="AM272" s="20">
        <f ca="1">Master_List!$AW$25</f>
        <v>0</v>
      </c>
      <c r="AN272" s="20">
        <f ca="1">Master_List!$AW$26</f>
        <v>0</v>
      </c>
      <c r="AO272" s="20" t="str">
        <f ca="1">Master_List!$AW$27</f>
        <v>LVDB TX2</v>
      </c>
      <c r="AP272" s="20" t="str">
        <f ca="1">Master_List!$AW$28</f>
        <v>SUNPOWER TECHNOLOGIES</v>
      </c>
      <c r="AQ272" s="20" t="str">
        <f ca="1">Master_List!$AW$29</f>
        <v>SPS 30-10 L</v>
      </c>
      <c r="AR272" s="20" t="str">
        <f ca="1">Master_List!$AW$30</f>
        <v>11193-8527</v>
      </c>
      <c r="AS272" s="20">
        <f ca="1">Master_List!$AW$31</f>
        <v>0</v>
      </c>
      <c r="AT272" s="20">
        <f ca="1">Master_List!$AW$32</f>
        <v>0</v>
      </c>
      <c r="AU272" s="20">
        <f ca="1">Master_List!$AW$33</f>
        <v>0</v>
      </c>
      <c r="AV272" s="20">
        <f ca="1">Master_List!$AW$34</f>
        <v>0</v>
      </c>
      <c r="AW272" s="20">
        <f ca="1">Master_List!$AW$35</f>
        <v>0</v>
      </c>
      <c r="AX272" s="20">
        <f ca="1">Master_List!$AW$36</f>
        <v>0</v>
      </c>
      <c r="AY272" s="20">
        <f ca="1">Master_List!$AW$37</f>
        <v>0</v>
      </c>
      <c r="AZ272" s="20">
        <f ca="1">Master_List!$AW$38</f>
        <v>0</v>
      </c>
      <c r="BA272" s="20">
        <f ca="1">Master_List!$AW$39</f>
        <v>0</v>
      </c>
      <c r="BB272" s="20" t="s">
        <v>2240</v>
      </c>
      <c r="BC272" s="20" t="s">
        <v>2241</v>
      </c>
      <c r="BD272" s="6" t="s">
        <v>1744</v>
      </c>
      <c r="BE272" s="6" t="s">
        <v>1886</v>
      </c>
      <c r="BF272" s="6" t="s">
        <v>1746</v>
      </c>
      <c r="BG272" s="6" t="str">
        <f t="shared" si="4"/>
        <v>C:\Users\aremi\Desktop\REPORT CBM\PO 42289580 - Pahang 11kV SECOND CYCLE AZZAD 2026\RAW MATERIAL\047. TNB BARU (IR+VI)\RAW DATA\IR</v>
      </c>
      <c r="BH272" s="24" t="s">
        <v>811</v>
      </c>
    </row>
    <row r="273" spans="1:60" ht="30" customHeight="1" x14ac:dyDescent="0.25">
      <c r="A273" s="6">
        <v>136</v>
      </c>
      <c r="B273" s="6" t="s">
        <v>1570</v>
      </c>
      <c r="C273" s="6">
        <v>1</v>
      </c>
      <c r="D273" s="6" t="s">
        <v>2247</v>
      </c>
      <c r="E273" s="6">
        <v>136</v>
      </c>
      <c r="F273" s="6" t="str">
        <f ca="1">Master_List!$AW$1</f>
        <v>PERPUSTAKAAN PUSAT</v>
      </c>
      <c r="G273" s="27" t="str">
        <f ca="1">Master_List!$AW$2</f>
        <v>09:30 PM</v>
      </c>
      <c r="H273" s="32" t="str">
        <f ca="1">Master_List!$AW$3</f>
        <v>20/07/2026</v>
      </c>
      <c r="I273" s="28" t="str">
        <f ca="1">Master_List!$AW$4</f>
        <v>28.5</v>
      </c>
      <c r="J273" s="6" t="str">
        <f ca="1">Master_List!$AW$5</f>
        <v>65</v>
      </c>
      <c r="K273" s="6" t="s">
        <v>1572</v>
      </c>
      <c r="L273" s="21">
        <v>1</v>
      </c>
      <c r="M273" s="21" t="s">
        <v>2248</v>
      </c>
      <c r="N273" s="21" t="s">
        <v>2246</v>
      </c>
      <c r="O273" s="21" t="s">
        <v>2246</v>
      </c>
      <c r="P273" s="21" t="s">
        <v>2246</v>
      </c>
      <c r="Q273" s="21" t="s">
        <v>2246</v>
      </c>
      <c r="R273" s="21" t="s">
        <v>2246</v>
      </c>
      <c r="S273" s="21" t="s">
        <v>2246</v>
      </c>
      <c r="T273" s="20" t="str">
        <f ca="1">Master_List!$AW$6</f>
        <v>TOSHIBA</v>
      </c>
      <c r="U273" s="20" t="str">
        <f ca="1">Master_List!$AW$7</f>
        <v>MRMU</v>
      </c>
      <c r="V273" s="20" t="str">
        <f ca="1">Master_List!$AW$8</f>
        <v>12kV</v>
      </c>
      <c r="W273" s="20" t="str">
        <f ca="1">Master_List!$AW$9</f>
        <v>2S1F</v>
      </c>
      <c r="X273" s="20" t="str">
        <f ca="1">Master_List!$AW$10</f>
        <v>MTM</v>
      </c>
      <c r="Y273" s="20" t="str">
        <f ca="1">Master_List!$AW$11</f>
        <v>HERMETICALLY SEAL</v>
      </c>
      <c r="Z273" s="20" t="str">
        <f ca="1">Master_List!$AW$12</f>
        <v>750kVA</v>
      </c>
      <c r="AA273" s="20" t="str">
        <f ca="1">Master_List!$AW$13</f>
        <v>1317</v>
      </c>
      <c r="AB273" s="20">
        <f ca="1">Master_List!$AW$14</f>
        <v>0</v>
      </c>
      <c r="AC273" s="20">
        <f ca="1">Master_List!$AW$15</f>
        <v>0</v>
      </c>
      <c r="AD273" s="20">
        <f ca="1">Master_List!$AW$16</f>
        <v>0</v>
      </c>
      <c r="AE273" s="20">
        <f ca="1">Master_List!$AW$17</f>
        <v>0</v>
      </c>
      <c r="AF273" s="20" t="str">
        <f ca="1">Master_List!$AW$18</f>
        <v>INDKOM</v>
      </c>
      <c r="AG273" s="20" t="str">
        <f ca="1">Master_List!$AW$19</f>
        <v>J-SLOTTED</v>
      </c>
      <c r="AH273" s="20" t="str">
        <f ca="1">Master_List!$AW$20</f>
        <v>1600A</v>
      </c>
      <c r="AI273" s="20" t="str">
        <f ca="1">Master_List!$AW$21</f>
        <v>LV5080090</v>
      </c>
      <c r="AJ273" s="20" t="str">
        <f ca="1">Master_List!$AW$22</f>
        <v>LVDB TX1</v>
      </c>
      <c r="AK273" s="20">
        <f ca="1">Master_List!$AW$23</f>
        <v>0</v>
      </c>
      <c r="AL273" s="20">
        <f ca="1">Master_List!$AW$24</f>
        <v>0</v>
      </c>
      <c r="AM273" s="20">
        <f ca="1">Master_List!$AW$25</f>
        <v>0</v>
      </c>
      <c r="AN273" s="20">
        <f ca="1">Master_List!$AW$26</f>
        <v>0</v>
      </c>
      <c r="AO273" s="20" t="str">
        <f ca="1">Master_List!$AW$27</f>
        <v>LVDB TX2</v>
      </c>
      <c r="AP273" s="20" t="str">
        <f ca="1">Master_List!$AW$28</f>
        <v>SUNPOWER TECHNOLOGIES</v>
      </c>
      <c r="AQ273" s="20" t="str">
        <f ca="1">Master_List!$AW$29</f>
        <v>SPS 30-10 L</v>
      </c>
      <c r="AR273" s="20" t="str">
        <f ca="1">Master_List!$AW$30</f>
        <v>11193-8527</v>
      </c>
      <c r="AS273" s="20">
        <f ca="1">Master_List!$AW$31</f>
        <v>0</v>
      </c>
      <c r="AT273" s="20">
        <f ca="1">Master_List!$AW$32</f>
        <v>0</v>
      </c>
      <c r="AU273" s="20">
        <f ca="1">Master_List!$AW$33</f>
        <v>0</v>
      </c>
      <c r="AV273" s="20">
        <f ca="1">Master_List!$AW$34</f>
        <v>0</v>
      </c>
      <c r="AW273" s="20">
        <f ca="1">Master_List!$AW$35</f>
        <v>0</v>
      </c>
      <c r="AX273" s="20">
        <f ca="1">Master_List!$AW$36</f>
        <v>0</v>
      </c>
      <c r="AY273" s="20">
        <f ca="1">Master_List!$AW$37</f>
        <v>0</v>
      </c>
      <c r="AZ273" s="20">
        <f ca="1">Master_List!$AW$38</f>
        <v>0</v>
      </c>
      <c r="BA273" s="20">
        <f ca="1">Master_List!$AW$39</f>
        <v>0</v>
      </c>
      <c r="BB273" s="20" t="s">
        <v>2240</v>
      </c>
      <c r="BC273" s="20" t="s">
        <v>2241</v>
      </c>
      <c r="BD273" s="6" t="s">
        <v>1744</v>
      </c>
      <c r="BE273" s="6" t="s">
        <v>1886</v>
      </c>
      <c r="BF273" s="6" t="s">
        <v>1748</v>
      </c>
      <c r="BG273" s="6" t="str">
        <f t="shared" si="4"/>
        <v>C:\Users\aremi\Desktop\REPORT CBM\PO 42289580 - Pahang 11kV SECOND CYCLE AZZAD 2026\RAW MATERIAL\047. TNB BARU (IR+VI)\RAW DATA\IR</v>
      </c>
      <c r="BH273" s="24" t="s">
        <v>812</v>
      </c>
    </row>
    <row r="274" spans="1:60" ht="30" customHeight="1" x14ac:dyDescent="0.25">
      <c r="A274" s="6">
        <v>137</v>
      </c>
      <c r="B274" s="6" t="s">
        <v>1570</v>
      </c>
      <c r="C274" s="6">
        <v>1</v>
      </c>
      <c r="D274" s="6" t="s">
        <v>2247</v>
      </c>
      <c r="E274" s="6">
        <v>137</v>
      </c>
      <c r="F274" s="6" t="str">
        <f ca="1">Master_List!$AW$1</f>
        <v>PERPUSTAKAAN PUSAT</v>
      </c>
      <c r="G274" s="27" t="str">
        <f ca="1">Master_List!$AW$2</f>
        <v>09:30 PM</v>
      </c>
      <c r="H274" s="32" t="str">
        <f ca="1">Master_List!$AW$3</f>
        <v>20/07/2026</v>
      </c>
      <c r="I274" s="28" t="str">
        <f ca="1">Master_List!$AW$4</f>
        <v>28.5</v>
      </c>
      <c r="J274" s="6" t="str">
        <f ca="1">Master_List!$AW$5</f>
        <v>65</v>
      </c>
      <c r="K274" s="6" t="s">
        <v>1573</v>
      </c>
      <c r="L274" s="21">
        <v>1</v>
      </c>
      <c r="M274" s="21" t="s">
        <v>2248</v>
      </c>
      <c r="N274" s="21" t="s">
        <v>2246</v>
      </c>
      <c r="O274" s="21" t="s">
        <v>2246</v>
      </c>
      <c r="P274" s="21" t="s">
        <v>2246</v>
      </c>
      <c r="Q274" s="21" t="s">
        <v>2246</v>
      </c>
      <c r="R274" s="21" t="s">
        <v>2246</v>
      </c>
      <c r="S274" s="21" t="s">
        <v>2246</v>
      </c>
      <c r="T274" s="20" t="str">
        <f ca="1">Master_List!$AW$6</f>
        <v>TOSHIBA</v>
      </c>
      <c r="U274" s="20" t="str">
        <f ca="1">Master_List!$AW$7</f>
        <v>MRMU</v>
      </c>
      <c r="V274" s="20" t="str">
        <f ca="1">Master_List!$AW$8</f>
        <v>12kV</v>
      </c>
      <c r="W274" s="20" t="str">
        <f ca="1">Master_List!$AW$9</f>
        <v>2S1F</v>
      </c>
      <c r="X274" s="20" t="str">
        <f ca="1">Master_List!$AW$10</f>
        <v>MTM</v>
      </c>
      <c r="Y274" s="20" t="str">
        <f ca="1">Master_List!$AW$11</f>
        <v>HERMETICALLY SEAL</v>
      </c>
      <c r="Z274" s="20" t="str">
        <f ca="1">Master_List!$AW$12</f>
        <v>750kVA</v>
      </c>
      <c r="AA274" s="20" t="str">
        <f ca="1">Master_List!$AW$13</f>
        <v>1317</v>
      </c>
      <c r="AB274" s="20">
        <f ca="1">Master_List!$AW$14</f>
        <v>0</v>
      </c>
      <c r="AC274" s="20">
        <f ca="1">Master_List!$AW$15</f>
        <v>0</v>
      </c>
      <c r="AD274" s="20">
        <f ca="1">Master_List!$AW$16</f>
        <v>0</v>
      </c>
      <c r="AE274" s="20">
        <f ca="1">Master_List!$AW$17</f>
        <v>0</v>
      </c>
      <c r="AF274" s="20" t="str">
        <f ca="1">Master_List!$AW$18</f>
        <v>INDKOM</v>
      </c>
      <c r="AG274" s="20" t="str">
        <f ca="1">Master_List!$AW$19</f>
        <v>J-SLOTTED</v>
      </c>
      <c r="AH274" s="20" t="str">
        <f ca="1">Master_List!$AW$20</f>
        <v>1600A</v>
      </c>
      <c r="AI274" s="20" t="str">
        <f ca="1">Master_List!$AW$21</f>
        <v>LV5080090</v>
      </c>
      <c r="AJ274" s="20" t="str">
        <f ca="1">Master_List!$AW$22</f>
        <v>LVDB TX1</v>
      </c>
      <c r="AK274" s="20">
        <f ca="1">Master_List!$AW$23</f>
        <v>0</v>
      </c>
      <c r="AL274" s="20">
        <f ca="1">Master_List!$AW$24</f>
        <v>0</v>
      </c>
      <c r="AM274" s="20">
        <f ca="1">Master_List!$AW$25</f>
        <v>0</v>
      </c>
      <c r="AN274" s="20">
        <f ca="1">Master_List!$AW$26</f>
        <v>0</v>
      </c>
      <c r="AO274" s="20" t="str">
        <f ca="1">Master_List!$AW$27</f>
        <v>LVDB TX2</v>
      </c>
      <c r="AP274" s="20" t="str">
        <f ca="1">Master_List!$AW$28</f>
        <v>SUNPOWER TECHNOLOGIES</v>
      </c>
      <c r="AQ274" s="20" t="str">
        <f ca="1">Master_List!$AW$29</f>
        <v>SPS 30-10 L</v>
      </c>
      <c r="AR274" s="20" t="str">
        <f ca="1">Master_List!$AW$30</f>
        <v>11193-8527</v>
      </c>
      <c r="AS274" s="20">
        <f ca="1">Master_List!$AW$31</f>
        <v>0</v>
      </c>
      <c r="AT274" s="20">
        <f ca="1">Master_List!$AW$32</f>
        <v>0</v>
      </c>
      <c r="AU274" s="20">
        <f ca="1">Master_List!$AW$33</f>
        <v>0</v>
      </c>
      <c r="AV274" s="20">
        <f ca="1">Master_List!$AW$34</f>
        <v>0</v>
      </c>
      <c r="AW274" s="20">
        <f ca="1">Master_List!$AW$35</f>
        <v>0</v>
      </c>
      <c r="AX274" s="20">
        <f ca="1">Master_List!$AW$36</f>
        <v>0</v>
      </c>
      <c r="AY274" s="20">
        <f ca="1">Master_List!$AW$37</f>
        <v>0</v>
      </c>
      <c r="AZ274" s="20">
        <f ca="1">Master_List!$AW$38</f>
        <v>0</v>
      </c>
      <c r="BA274" s="20">
        <f ca="1">Master_List!$AW$39</f>
        <v>0</v>
      </c>
      <c r="BB274" s="20" t="s">
        <v>2240</v>
      </c>
      <c r="BC274" s="20" t="s">
        <v>2241</v>
      </c>
      <c r="BD274" s="6" t="s">
        <v>1744</v>
      </c>
      <c r="BE274" s="6" t="s">
        <v>1887</v>
      </c>
      <c r="BF274" s="6" t="s">
        <v>1746</v>
      </c>
      <c r="BG274" s="6" t="str">
        <f t="shared" si="4"/>
        <v>C:\Users\aremi\Desktop\REPORT CBM\PO 42289580 - Pahang 11kV SECOND CYCLE AZZAD 2026\RAW MATERIAL\047. TNB BARU (IR+VI)\RAW DATA\IR</v>
      </c>
      <c r="BH274" s="24" t="s">
        <v>813</v>
      </c>
    </row>
    <row r="275" spans="1:60" ht="30" customHeight="1" x14ac:dyDescent="0.25">
      <c r="A275" s="6">
        <v>137</v>
      </c>
      <c r="B275" s="6" t="s">
        <v>1570</v>
      </c>
      <c r="C275" s="6">
        <v>1</v>
      </c>
      <c r="D275" s="6" t="s">
        <v>2247</v>
      </c>
      <c r="E275" s="6">
        <v>137</v>
      </c>
      <c r="F275" s="6" t="str">
        <f ca="1">Master_List!$AW$1</f>
        <v>PERPUSTAKAAN PUSAT</v>
      </c>
      <c r="G275" s="27" t="str">
        <f ca="1">Master_List!$AW$2</f>
        <v>09:30 PM</v>
      </c>
      <c r="H275" s="32" t="str">
        <f ca="1">Master_List!$AW$3</f>
        <v>20/07/2026</v>
      </c>
      <c r="I275" s="28" t="str">
        <f ca="1">Master_List!$AW$4</f>
        <v>28.5</v>
      </c>
      <c r="J275" s="6" t="str">
        <f ca="1">Master_List!$AW$5</f>
        <v>65</v>
      </c>
      <c r="K275" s="6" t="s">
        <v>1573</v>
      </c>
      <c r="L275" s="21">
        <v>1</v>
      </c>
      <c r="M275" s="21" t="s">
        <v>2248</v>
      </c>
      <c r="N275" s="21" t="s">
        <v>2246</v>
      </c>
      <c r="O275" s="21" t="s">
        <v>2246</v>
      </c>
      <c r="P275" s="21" t="s">
        <v>2246</v>
      </c>
      <c r="Q275" s="21" t="s">
        <v>2246</v>
      </c>
      <c r="R275" s="21" t="s">
        <v>2246</v>
      </c>
      <c r="S275" s="21" t="s">
        <v>2246</v>
      </c>
      <c r="T275" s="20" t="str">
        <f ca="1">Master_List!$AW$6</f>
        <v>TOSHIBA</v>
      </c>
      <c r="U275" s="20" t="str">
        <f ca="1">Master_List!$AW$7</f>
        <v>MRMU</v>
      </c>
      <c r="V275" s="20" t="str">
        <f ca="1">Master_List!$AW$8</f>
        <v>12kV</v>
      </c>
      <c r="W275" s="20" t="str">
        <f ca="1">Master_List!$AW$9</f>
        <v>2S1F</v>
      </c>
      <c r="X275" s="20" t="str">
        <f ca="1">Master_List!$AW$10</f>
        <v>MTM</v>
      </c>
      <c r="Y275" s="20" t="str">
        <f ca="1">Master_List!$AW$11</f>
        <v>HERMETICALLY SEAL</v>
      </c>
      <c r="Z275" s="20" t="str">
        <f ca="1">Master_List!$AW$12</f>
        <v>750kVA</v>
      </c>
      <c r="AA275" s="20" t="str">
        <f ca="1">Master_List!$AW$13</f>
        <v>1317</v>
      </c>
      <c r="AB275" s="20">
        <f ca="1">Master_List!$AW$14</f>
        <v>0</v>
      </c>
      <c r="AC275" s="20">
        <f ca="1">Master_List!$AW$15</f>
        <v>0</v>
      </c>
      <c r="AD275" s="20">
        <f ca="1">Master_List!$AW$16</f>
        <v>0</v>
      </c>
      <c r="AE275" s="20">
        <f ca="1">Master_List!$AW$17</f>
        <v>0</v>
      </c>
      <c r="AF275" s="20" t="str">
        <f ca="1">Master_List!$AW$18</f>
        <v>INDKOM</v>
      </c>
      <c r="AG275" s="20" t="str">
        <f ca="1">Master_List!$AW$19</f>
        <v>J-SLOTTED</v>
      </c>
      <c r="AH275" s="20" t="str">
        <f ca="1">Master_List!$AW$20</f>
        <v>1600A</v>
      </c>
      <c r="AI275" s="20" t="str">
        <f ca="1">Master_List!$AW$21</f>
        <v>LV5080090</v>
      </c>
      <c r="AJ275" s="20" t="str">
        <f ca="1">Master_List!$AW$22</f>
        <v>LVDB TX1</v>
      </c>
      <c r="AK275" s="20">
        <f ca="1">Master_List!$AW$23</f>
        <v>0</v>
      </c>
      <c r="AL275" s="20">
        <f ca="1">Master_List!$AW$24</f>
        <v>0</v>
      </c>
      <c r="AM275" s="20">
        <f ca="1">Master_List!$AW$25</f>
        <v>0</v>
      </c>
      <c r="AN275" s="20">
        <f ca="1">Master_List!$AW$26</f>
        <v>0</v>
      </c>
      <c r="AO275" s="20" t="str">
        <f ca="1">Master_List!$AW$27</f>
        <v>LVDB TX2</v>
      </c>
      <c r="AP275" s="20" t="str">
        <f ca="1">Master_List!$AW$28</f>
        <v>SUNPOWER TECHNOLOGIES</v>
      </c>
      <c r="AQ275" s="20" t="str">
        <f ca="1">Master_List!$AW$29</f>
        <v>SPS 30-10 L</v>
      </c>
      <c r="AR275" s="20" t="str">
        <f ca="1">Master_List!$AW$30</f>
        <v>11193-8527</v>
      </c>
      <c r="AS275" s="20">
        <f ca="1">Master_List!$AW$31</f>
        <v>0</v>
      </c>
      <c r="AT275" s="20">
        <f ca="1">Master_List!$AW$32</f>
        <v>0</v>
      </c>
      <c r="AU275" s="20">
        <f ca="1">Master_List!$AW$33</f>
        <v>0</v>
      </c>
      <c r="AV275" s="20">
        <f ca="1">Master_List!$AW$34</f>
        <v>0</v>
      </c>
      <c r="AW275" s="20">
        <f ca="1">Master_List!$AW$35</f>
        <v>0</v>
      </c>
      <c r="AX275" s="20">
        <f ca="1">Master_List!$AW$36</f>
        <v>0</v>
      </c>
      <c r="AY275" s="20">
        <f ca="1">Master_List!$AW$37</f>
        <v>0</v>
      </c>
      <c r="AZ275" s="20">
        <f ca="1">Master_List!$AW$38</f>
        <v>0</v>
      </c>
      <c r="BA275" s="20">
        <f ca="1">Master_List!$AW$39</f>
        <v>0</v>
      </c>
      <c r="BB275" s="20" t="s">
        <v>2240</v>
      </c>
      <c r="BC275" s="20" t="s">
        <v>2241</v>
      </c>
      <c r="BD275" s="6" t="s">
        <v>1744</v>
      </c>
      <c r="BE275" s="6" t="s">
        <v>1887</v>
      </c>
      <c r="BF275" s="6" t="s">
        <v>1748</v>
      </c>
      <c r="BG275" s="6" t="str">
        <f t="shared" si="4"/>
        <v>C:\Users\aremi\Desktop\REPORT CBM\PO 42289580 - Pahang 11kV SECOND CYCLE AZZAD 2026\RAW MATERIAL\047. TNB BARU (IR+VI)\RAW DATA\IR</v>
      </c>
      <c r="BH275" s="24" t="s">
        <v>814</v>
      </c>
    </row>
    <row r="276" spans="1:60" ht="30" customHeight="1" x14ac:dyDescent="0.25">
      <c r="A276" s="6">
        <v>138</v>
      </c>
      <c r="B276" s="6" t="s">
        <v>1570</v>
      </c>
      <c r="C276" s="6">
        <v>1</v>
      </c>
      <c r="D276" s="6" t="s">
        <v>2249</v>
      </c>
      <c r="E276" s="6">
        <v>138</v>
      </c>
      <c r="F276" s="6" t="str">
        <f ca="1">Master_List!$AW$1</f>
        <v>PERPUSTAKAAN PUSAT</v>
      </c>
      <c r="G276" s="27" t="str">
        <f ca="1">Master_List!$AW$2</f>
        <v>09:30 PM</v>
      </c>
      <c r="H276" s="32" t="str">
        <f ca="1">Master_List!$AW$3</f>
        <v>20/07/2026</v>
      </c>
      <c r="I276" s="28" t="str">
        <f ca="1">Master_List!$AW$4</f>
        <v>28.5</v>
      </c>
      <c r="J276" s="6" t="str">
        <f ca="1">Master_List!$AW$5</f>
        <v>65</v>
      </c>
      <c r="K276" s="6" t="s">
        <v>1571</v>
      </c>
      <c r="L276" s="21">
        <v>1</v>
      </c>
      <c r="M276" s="21" t="s">
        <v>2250</v>
      </c>
      <c r="N276" s="21" t="s">
        <v>2246</v>
      </c>
      <c r="O276" s="21" t="s">
        <v>2246</v>
      </c>
      <c r="P276" s="21" t="s">
        <v>2246</v>
      </c>
      <c r="Q276" s="21" t="s">
        <v>2246</v>
      </c>
      <c r="R276" s="21" t="s">
        <v>2246</v>
      </c>
      <c r="S276" s="21" t="s">
        <v>2246</v>
      </c>
      <c r="T276" s="20" t="str">
        <f ca="1">Master_List!$AW$6</f>
        <v>TOSHIBA</v>
      </c>
      <c r="U276" s="20" t="str">
        <f ca="1">Master_List!$AW$7</f>
        <v>MRMU</v>
      </c>
      <c r="V276" s="20" t="str">
        <f ca="1">Master_List!$AW$8</f>
        <v>12kV</v>
      </c>
      <c r="W276" s="20" t="str">
        <f ca="1">Master_List!$AW$9</f>
        <v>2S1F</v>
      </c>
      <c r="X276" s="20" t="str">
        <f ca="1">Master_List!$AW$10</f>
        <v>MTM</v>
      </c>
      <c r="Y276" s="20" t="str">
        <f ca="1">Master_List!$AW$11</f>
        <v>HERMETICALLY SEAL</v>
      </c>
      <c r="Z276" s="20" t="str">
        <f ca="1">Master_List!$AW$12</f>
        <v>750kVA</v>
      </c>
      <c r="AA276" s="20" t="str">
        <f ca="1">Master_List!$AW$13</f>
        <v>1317</v>
      </c>
      <c r="AB276" s="20">
        <f ca="1">Master_List!$AW$14</f>
        <v>0</v>
      </c>
      <c r="AC276" s="20">
        <f ca="1">Master_List!$AW$15</f>
        <v>0</v>
      </c>
      <c r="AD276" s="20">
        <f ca="1">Master_List!$AW$16</f>
        <v>0</v>
      </c>
      <c r="AE276" s="20">
        <f ca="1">Master_List!$AW$17</f>
        <v>0</v>
      </c>
      <c r="AF276" s="20" t="str">
        <f ca="1">Master_List!$AW$18</f>
        <v>INDKOM</v>
      </c>
      <c r="AG276" s="20" t="str">
        <f ca="1">Master_List!$AW$19</f>
        <v>J-SLOTTED</v>
      </c>
      <c r="AH276" s="20" t="str">
        <f ca="1">Master_List!$AW$20</f>
        <v>1600A</v>
      </c>
      <c r="AI276" s="20" t="str">
        <f ca="1">Master_List!$AW$21</f>
        <v>LV5080090</v>
      </c>
      <c r="AJ276" s="20" t="str">
        <f ca="1">Master_List!$AW$22</f>
        <v>LVDB TX1</v>
      </c>
      <c r="AK276" s="20">
        <f ca="1">Master_List!$AW$23</f>
        <v>0</v>
      </c>
      <c r="AL276" s="20">
        <f ca="1">Master_List!$AW$24</f>
        <v>0</v>
      </c>
      <c r="AM276" s="20">
        <f ca="1">Master_List!$AW$25</f>
        <v>0</v>
      </c>
      <c r="AN276" s="20">
        <f ca="1">Master_List!$AW$26</f>
        <v>0</v>
      </c>
      <c r="AO276" s="20" t="str">
        <f ca="1">Master_List!$AW$27</f>
        <v>LVDB TX2</v>
      </c>
      <c r="AP276" s="20" t="str">
        <f ca="1">Master_List!$AW$28</f>
        <v>SUNPOWER TECHNOLOGIES</v>
      </c>
      <c r="AQ276" s="20" t="str">
        <f ca="1">Master_List!$AW$29</f>
        <v>SPS 30-10 L</v>
      </c>
      <c r="AR276" s="20" t="str">
        <f ca="1">Master_List!$AW$30</f>
        <v>11193-8527</v>
      </c>
      <c r="AS276" s="20">
        <f ca="1">Master_List!$AW$31</f>
        <v>0</v>
      </c>
      <c r="AT276" s="20">
        <f ca="1">Master_List!$AW$32</f>
        <v>0</v>
      </c>
      <c r="AU276" s="20">
        <f ca="1">Master_List!$AW$33</f>
        <v>0</v>
      </c>
      <c r="AV276" s="20">
        <f ca="1">Master_List!$AW$34</f>
        <v>0</v>
      </c>
      <c r="AW276" s="20">
        <f ca="1">Master_List!$AW$35</f>
        <v>0</v>
      </c>
      <c r="AX276" s="20">
        <f ca="1">Master_List!$AW$36</f>
        <v>0</v>
      </c>
      <c r="AY276" s="20">
        <f ca="1">Master_List!$AW$37</f>
        <v>0</v>
      </c>
      <c r="AZ276" s="20">
        <f ca="1">Master_List!$AW$38</f>
        <v>0</v>
      </c>
      <c r="BA276" s="20">
        <f ca="1">Master_List!$AW$39</f>
        <v>0</v>
      </c>
      <c r="BB276" s="20" t="s">
        <v>2240</v>
      </c>
      <c r="BC276" s="20" t="s">
        <v>2241</v>
      </c>
      <c r="BD276" s="6" t="s">
        <v>1744</v>
      </c>
      <c r="BE276" s="6" t="s">
        <v>1888</v>
      </c>
      <c r="BF276" s="6" t="s">
        <v>1746</v>
      </c>
      <c r="BG276" s="6" t="str">
        <f t="shared" si="4"/>
        <v>C:\Users\aremi\Desktop\REPORT CBM\PO 42289580 - Pahang 11kV SECOND CYCLE AZZAD 2026\RAW MATERIAL\047. TNB BARU (IR+VI)\RAW DATA\IR</v>
      </c>
      <c r="BH276" s="24" t="s">
        <v>816</v>
      </c>
    </row>
    <row r="277" spans="1:60" ht="30" customHeight="1" x14ac:dyDescent="0.25">
      <c r="A277" s="6">
        <v>138</v>
      </c>
      <c r="B277" s="6" t="s">
        <v>1570</v>
      </c>
      <c r="C277" s="6">
        <v>1</v>
      </c>
      <c r="D277" s="6" t="s">
        <v>2249</v>
      </c>
      <c r="E277" s="6">
        <v>138</v>
      </c>
      <c r="F277" s="6" t="str">
        <f ca="1">Master_List!$AW$1</f>
        <v>PERPUSTAKAAN PUSAT</v>
      </c>
      <c r="G277" s="27" t="str">
        <f ca="1">Master_List!$AW$2</f>
        <v>09:30 PM</v>
      </c>
      <c r="H277" s="32" t="str">
        <f ca="1">Master_List!$AW$3</f>
        <v>20/07/2026</v>
      </c>
      <c r="I277" s="28" t="str">
        <f ca="1">Master_List!$AW$4</f>
        <v>28.5</v>
      </c>
      <c r="J277" s="6" t="str">
        <f ca="1">Master_List!$AW$5</f>
        <v>65</v>
      </c>
      <c r="K277" s="6" t="s">
        <v>1571</v>
      </c>
      <c r="L277" s="21">
        <v>1</v>
      </c>
      <c r="M277" s="21" t="s">
        <v>2250</v>
      </c>
      <c r="N277" s="21" t="s">
        <v>2246</v>
      </c>
      <c r="O277" s="21" t="s">
        <v>2246</v>
      </c>
      <c r="P277" s="21" t="s">
        <v>2246</v>
      </c>
      <c r="Q277" s="21" t="s">
        <v>2246</v>
      </c>
      <c r="R277" s="21" t="s">
        <v>2246</v>
      </c>
      <c r="S277" s="21" t="s">
        <v>2246</v>
      </c>
      <c r="T277" s="20" t="str">
        <f ca="1">Master_List!$AW$6</f>
        <v>TOSHIBA</v>
      </c>
      <c r="U277" s="20" t="str">
        <f ca="1">Master_List!$AW$7</f>
        <v>MRMU</v>
      </c>
      <c r="V277" s="20" t="str">
        <f ca="1">Master_List!$AW$8</f>
        <v>12kV</v>
      </c>
      <c r="W277" s="20" t="str">
        <f ca="1">Master_List!$AW$9</f>
        <v>2S1F</v>
      </c>
      <c r="X277" s="20" t="str">
        <f ca="1">Master_List!$AW$10</f>
        <v>MTM</v>
      </c>
      <c r="Y277" s="20" t="str">
        <f ca="1">Master_List!$AW$11</f>
        <v>HERMETICALLY SEAL</v>
      </c>
      <c r="Z277" s="20" t="str">
        <f ca="1">Master_List!$AW$12</f>
        <v>750kVA</v>
      </c>
      <c r="AA277" s="20" t="str">
        <f ca="1">Master_List!$AW$13</f>
        <v>1317</v>
      </c>
      <c r="AB277" s="20">
        <f ca="1">Master_List!$AW$14</f>
        <v>0</v>
      </c>
      <c r="AC277" s="20">
        <f ca="1">Master_List!$AW$15</f>
        <v>0</v>
      </c>
      <c r="AD277" s="20">
        <f ca="1">Master_List!$AW$16</f>
        <v>0</v>
      </c>
      <c r="AE277" s="20">
        <f ca="1">Master_List!$AW$17</f>
        <v>0</v>
      </c>
      <c r="AF277" s="20" t="str">
        <f ca="1">Master_List!$AW$18</f>
        <v>INDKOM</v>
      </c>
      <c r="AG277" s="20" t="str">
        <f ca="1">Master_List!$AW$19</f>
        <v>J-SLOTTED</v>
      </c>
      <c r="AH277" s="20" t="str">
        <f ca="1">Master_List!$AW$20</f>
        <v>1600A</v>
      </c>
      <c r="AI277" s="20" t="str">
        <f ca="1">Master_List!$AW$21</f>
        <v>LV5080090</v>
      </c>
      <c r="AJ277" s="20" t="str">
        <f ca="1">Master_List!$AW$22</f>
        <v>LVDB TX1</v>
      </c>
      <c r="AK277" s="20">
        <f ca="1">Master_List!$AW$23</f>
        <v>0</v>
      </c>
      <c r="AL277" s="20">
        <f ca="1">Master_List!$AW$24</f>
        <v>0</v>
      </c>
      <c r="AM277" s="20">
        <f ca="1">Master_List!$AW$25</f>
        <v>0</v>
      </c>
      <c r="AN277" s="20">
        <f ca="1">Master_List!$AW$26</f>
        <v>0</v>
      </c>
      <c r="AO277" s="20" t="str">
        <f ca="1">Master_List!$AW$27</f>
        <v>LVDB TX2</v>
      </c>
      <c r="AP277" s="20" t="str">
        <f ca="1">Master_List!$AW$28</f>
        <v>SUNPOWER TECHNOLOGIES</v>
      </c>
      <c r="AQ277" s="20" t="str">
        <f ca="1">Master_List!$AW$29</f>
        <v>SPS 30-10 L</v>
      </c>
      <c r="AR277" s="20" t="str">
        <f ca="1">Master_List!$AW$30</f>
        <v>11193-8527</v>
      </c>
      <c r="AS277" s="20">
        <f ca="1">Master_List!$AW$31</f>
        <v>0</v>
      </c>
      <c r="AT277" s="20">
        <f ca="1">Master_List!$AW$32</f>
        <v>0</v>
      </c>
      <c r="AU277" s="20">
        <f ca="1">Master_List!$AW$33</f>
        <v>0</v>
      </c>
      <c r="AV277" s="20">
        <f ca="1">Master_List!$AW$34</f>
        <v>0</v>
      </c>
      <c r="AW277" s="20">
        <f ca="1">Master_List!$AW$35</f>
        <v>0</v>
      </c>
      <c r="AX277" s="20">
        <f ca="1">Master_List!$AW$36</f>
        <v>0</v>
      </c>
      <c r="AY277" s="20">
        <f ca="1">Master_List!$AW$37</f>
        <v>0</v>
      </c>
      <c r="AZ277" s="20">
        <f ca="1">Master_List!$AW$38</f>
        <v>0</v>
      </c>
      <c r="BA277" s="20">
        <f ca="1">Master_List!$AW$39</f>
        <v>0</v>
      </c>
      <c r="BB277" s="20" t="s">
        <v>2240</v>
      </c>
      <c r="BC277" s="20" t="s">
        <v>2241</v>
      </c>
      <c r="BD277" s="6" t="s">
        <v>1744</v>
      </c>
      <c r="BE277" s="6" t="s">
        <v>1888</v>
      </c>
      <c r="BF277" s="6" t="s">
        <v>1748</v>
      </c>
      <c r="BG277" s="6" t="str">
        <f t="shared" si="4"/>
        <v>C:\Users\aremi\Desktop\REPORT CBM\PO 42289580 - Pahang 11kV SECOND CYCLE AZZAD 2026\RAW MATERIAL\047. TNB BARU (IR+VI)\RAW DATA\IR</v>
      </c>
      <c r="BH277" s="24" t="s">
        <v>817</v>
      </c>
    </row>
    <row r="278" spans="1:60" ht="30" customHeight="1" x14ac:dyDescent="0.25">
      <c r="A278" s="6">
        <v>139</v>
      </c>
      <c r="B278" s="6" t="s">
        <v>1570</v>
      </c>
      <c r="C278" s="6">
        <v>1</v>
      </c>
      <c r="D278" s="6" t="s">
        <v>2249</v>
      </c>
      <c r="E278" s="6">
        <v>139</v>
      </c>
      <c r="F278" s="6" t="str">
        <f ca="1">Master_List!$AW$1</f>
        <v>PERPUSTAKAAN PUSAT</v>
      </c>
      <c r="G278" s="27" t="str">
        <f ca="1">Master_List!$AW$2</f>
        <v>09:30 PM</v>
      </c>
      <c r="H278" s="32" t="str">
        <f ca="1">Master_List!$AW$3</f>
        <v>20/07/2026</v>
      </c>
      <c r="I278" s="28" t="str">
        <f ca="1">Master_List!$AW$4</f>
        <v>28.5</v>
      </c>
      <c r="J278" s="6" t="str">
        <f ca="1">Master_List!$AW$5</f>
        <v>65</v>
      </c>
      <c r="K278" s="6" t="s">
        <v>1572</v>
      </c>
      <c r="L278" s="21">
        <v>1</v>
      </c>
      <c r="M278" s="21" t="s">
        <v>2250</v>
      </c>
      <c r="N278" s="21" t="s">
        <v>2246</v>
      </c>
      <c r="O278" s="21" t="s">
        <v>2246</v>
      </c>
      <c r="P278" s="21" t="s">
        <v>2246</v>
      </c>
      <c r="Q278" s="21" t="s">
        <v>2246</v>
      </c>
      <c r="R278" s="21" t="s">
        <v>2246</v>
      </c>
      <c r="S278" s="21" t="s">
        <v>2246</v>
      </c>
      <c r="T278" s="20" t="str">
        <f ca="1">Master_List!$AW$6</f>
        <v>TOSHIBA</v>
      </c>
      <c r="U278" s="20" t="str">
        <f ca="1">Master_List!$AW$7</f>
        <v>MRMU</v>
      </c>
      <c r="V278" s="20" t="str">
        <f ca="1">Master_List!$AW$8</f>
        <v>12kV</v>
      </c>
      <c r="W278" s="20" t="str">
        <f ca="1">Master_List!$AW$9</f>
        <v>2S1F</v>
      </c>
      <c r="X278" s="20" t="str">
        <f ca="1">Master_List!$AW$10</f>
        <v>MTM</v>
      </c>
      <c r="Y278" s="20" t="str">
        <f ca="1">Master_List!$AW$11</f>
        <v>HERMETICALLY SEAL</v>
      </c>
      <c r="Z278" s="20" t="str">
        <f ca="1">Master_List!$AW$12</f>
        <v>750kVA</v>
      </c>
      <c r="AA278" s="20" t="str">
        <f ca="1">Master_List!$AW$13</f>
        <v>1317</v>
      </c>
      <c r="AB278" s="20">
        <f ca="1">Master_List!$AW$14</f>
        <v>0</v>
      </c>
      <c r="AC278" s="20">
        <f ca="1">Master_List!$AW$15</f>
        <v>0</v>
      </c>
      <c r="AD278" s="20">
        <f ca="1">Master_List!$AW$16</f>
        <v>0</v>
      </c>
      <c r="AE278" s="20">
        <f ca="1">Master_List!$AW$17</f>
        <v>0</v>
      </c>
      <c r="AF278" s="20" t="str">
        <f ca="1">Master_List!$AW$18</f>
        <v>INDKOM</v>
      </c>
      <c r="AG278" s="20" t="str">
        <f ca="1">Master_List!$AW$19</f>
        <v>J-SLOTTED</v>
      </c>
      <c r="AH278" s="20" t="str">
        <f ca="1">Master_List!$AW$20</f>
        <v>1600A</v>
      </c>
      <c r="AI278" s="20" t="str">
        <f ca="1">Master_List!$AW$21</f>
        <v>LV5080090</v>
      </c>
      <c r="AJ278" s="20" t="str">
        <f ca="1">Master_List!$AW$22</f>
        <v>LVDB TX1</v>
      </c>
      <c r="AK278" s="20">
        <f ca="1">Master_List!$AW$23</f>
        <v>0</v>
      </c>
      <c r="AL278" s="20">
        <f ca="1">Master_List!$AW$24</f>
        <v>0</v>
      </c>
      <c r="AM278" s="20">
        <f ca="1">Master_List!$AW$25</f>
        <v>0</v>
      </c>
      <c r="AN278" s="20">
        <f ca="1">Master_List!$AW$26</f>
        <v>0</v>
      </c>
      <c r="AO278" s="20" t="str">
        <f ca="1">Master_List!$AW$27</f>
        <v>LVDB TX2</v>
      </c>
      <c r="AP278" s="20" t="str">
        <f ca="1">Master_List!$AW$28</f>
        <v>SUNPOWER TECHNOLOGIES</v>
      </c>
      <c r="AQ278" s="20" t="str">
        <f ca="1">Master_List!$AW$29</f>
        <v>SPS 30-10 L</v>
      </c>
      <c r="AR278" s="20" t="str">
        <f ca="1">Master_List!$AW$30</f>
        <v>11193-8527</v>
      </c>
      <c r="AS278" s="20">
        <f ca="1">Master_List!$AW$31</f>
        <v>0</v>
      </c>
      <c r="AT278" s="20">
        <f ca="1">Master_List!$AW$32</f>
        <v>0</v>
      </c>
      <c r="AU278" s="20">
        <f ca="1">Master_List!$AW$33</f>
        <v>0</v>
      </c>
      <c r="AV278" s="20">
        <f ca="1">Master_List!$AW$34</f>
        <v>0</v>
      </c>
      <c r="AW278" s="20">
        <f ca="1">Master_List!$AW$35</f>
        <v>0</v>
      </c>
      <c r="AX278" s="20">
        <f ca="1">Master_List!$AW$36</f>
        <v>0</v>
      </c>
      <c r="AY278" s="20">
        <f ca="1">Master_List!$AW$37</f>
        <v>0</v>
      </c>
      <c r="AZ278" s="20">
        <f ca="1">Master_List!$AW$38</f>
        <v>0</v>
      </c>
      <c r="BA278" s="20">
        <f ca="1">Master_List!$AW$39</f>
        <v>0</v>
      </c>
      <c r="BB278" s="20" t="s">
        <v>2240</v>
      </c>
      <c r="BC278" s="20" t="s">
        <v>2241</v>
      </c>
      <c r="BD278" s="6" t="s">
        <v>1744</v>
      </c>
      <c r="BE278" s="6" t="s">
        <v>1889</v>
      </c>
      <c r="BF278" s="6" t="s">
        <v>1746</v>
      </c>
      <c r="BG278" s="6" t="str">
        <f t="shared" si="4"/>
        <v>C:\Users\aremi\Desktop\REPORT CBM\PO 42289580 - Pahang 11kV SECOND CYCLE AZZAD 2026\RAW MATERIAL\047. TNB BARU (IR+VI)\RAW DATA\IR</v>
      </c>
      <c r="BH278" s="24" t="s">
        <v>818</v>
      </c>
    </row>
    <row r="279" spans="1:60" ht="30" customHeight="1" x14ac:dyDescent="0.25">
      <c r="A279" s="6">
        <v>139</v>
      </c>
      <c r="B279" s="6" t="s">
        <v>1570</v>
      </c>
      <c r="C279" s="6">
        <v>1</v>
      </c>
      <c r="D279" s="6" t="s">
        <v>2249</v>
      </c>
      <c r="E279" s="6">
        <v>139</v>
      </c>
      <c r="F279" s="6" t="str">
        <f ca="1">Master_List!$AW$1</f>
        <v>PERPUSTAKAAN PUSAT</v>
      </c>
      <c r="G279" s="27" t="str">
        <f ca="1">Master_List!$AW$2</f>
        <v>09:30 PM</v>
      </c>
      <c r="H279" s="32" t="str">
        <f ca="1">Master_List!$AW$3</f>
        <v>20/07/2026</v>
      </c>
      <c r="I279" s="28" t="str">
        <f ca="1">Master_List!$AW$4</f>
        <v>28.5</v>
      </c>
      <c r="J279" s="6" t="str">
        <f ca="1">Master_List!$AW$5</f>
        <v>65</v>
      </c>
      <c r="K279" s="6" t="s">
        <v>1572</v>
      </c>
      <c r="L279" s="21">
        <v>1</v>
      </c>
      <c r="M279" s="21" t="s">
        <v>2250</v>
      </c>
      <c r="N279" s="21" t="s">
        <v>2246</v>
      </c>
      <c r="O279" s="21" t="s">
        <v>2246</v>
      </c>
      <c r="P279" s="21" t="s">
        <v>2246</v>
      </c>
      <c r="Q279" s="21" t="s">
        <v>2246</v>
      </c>
      <c r="R279" s="21" t="s">
        <v>2246</v>
      </c>
      <c r="S279" s="21" t="s">
        <v>2246</v>
      </c>
      <c r="T279" s="20" t="str">
        <f ca="1">Master_List!$AW$6</f>
        <v>TOSHIBA</v>
      </c>
      <c r="U279" s="20" t="str">
        <f ca="1">Master_List!$AW$7</f>
        <v>MRMU</v>
      </c>
      <c r="V279" s="20" t="str">
        <f ca="1">Master_List!$AW$8</f>
        <v>12kV</v>
      </c>
      <c r="W279" s="20" t="str">
        <f ca="1">Master_List!$AW$9</f>
        <v>2S1F</v>
      </c>
      <c r="X279" s="20" t="str">
        <f ca="1">Master_List!$AW$10</f>
        <v>MTM</v>
      </c>
      <c r="Y279" s="20" t="str">
        <f ca="1">Master_List!$AW$11</f>
        <v>HERMETICALLY SEAL</v>
      </c>
      <c r="Z279" s="20" t="str">
        <f ca="1">Master_List!$AW$12</f>
        <v>750kVA</v>
      </c>
      <c r="AA279" s="20" t="str">
        <f ca="1">Master_List!$AW$13</f>
        <v>1317</v>
      </c>
      <c r="AB279" s="20">
        <f ca="1">Master_List!$AW$14</f>
        <v>0</v>
      </c>
      <c r="AC279" s="20">
        <f ca="1">Master_List!$AW$15</f>
        <v>0</v>
      </c>
      <c r="AD279" s="20">
        <f ca="1">Master_List!$AW$16</f>
        <v>0</v>
      </c>
      <c r="AE279" s="20">
        <f ca="1">Master_List!$AW$17</f>
        <v>0</v>
      </c>
      <c r="AF279" s="20" t="str">
        <f ca="1">Master_List!$AW$18</f>
        <v>INDKOM</v>
      </c>
      <c r="AG279" s="20" t="str">
        <f ca="1">Master_List!$AW$19</f>
        <v>J-SLOTTED</v>
      </c>
      <c r="AH279" s="20" t="str">
        <f ca="1">Master_List!$AW$20</f>
        <v>1600A</v>
      </c>
      <c r="AI279" s="20" t="str">
        <f ca="1">Master_List!$AW$21</f>
        <v>LV5080090</v>
      </c>
      <c r="AJ279" s="20" t="str">
        <f ca="1">Master_List!$AW$22</f>
        <v>LVDB TX1</v>
      </c>
      <c r="AK279" s="20">
        <f ca="1">Master_List!$AW$23</f>
        <v>0</v>
      </c>
      <c r="AL279" s="20">
        <f ca="1">Master_List!$AW$24</f>
        <v>0</v>
      </c>
      <c r="AM279" s="20">
        <f ca="1">Master_List!$AW$25</f>
        <v>0</v>
      </c>
      <c r="AN279" s="20">
        <f ca="1">Master_List!$AW$26</f>
        <v>0</v>
      </c>
      <c r="AO279" s="20" t="str">
        <f ca="1">Master_List!$AW$27</f>
        <v>LVDB TX2</v>
      </c>
      <c r="AP279" s="20" t="str">
        <f ca="1">Master_List!$AW$28</f>
        <v>SUNPOWER TECHNOLOGIES</v>
      </c>
      <c r="AQ279" s="20" t="str">
        <f ca="1">Master_List!$AW$29</f>
        <v>SPS 30-10 L</v>
      </c>
      <c r="AR279" s="20" t="str">
        <f ca="1">Master_List!$AW$30</f>
        <v>11193-8527</v>
      </c>
      <c r="AS279" s="20">
        <f ca="1">Master_List!$AW$31</f>
        <v>0</v>
      </c>
      <c r="AT279" s="20">
        <f ca="1">Master_List!$AW$32</f>
        <v>0</v>
      </c>
      <c r="AU279" s="20">
        <f ca="1">Master_List!$AW$33</f>
        <v>0</v>
      </c>
      <c r="AV279" s="20">
        <f ca="1">Master_List!$AW$34</f>
        <v>0</v>
      </c>
      <c r="AW279" s="20">
        <f ca="1">Master_List!$AW$35</f>
        <v>0</v>
      </c>
      <c r="AX279" s="20">
        <f ca="1">Master_List!$AW$36</f>
        <v>0</v>
      </c>
      <c r="AY279" s="20">
        <f ca="1">Master_List!$AW$37</f>
        <v>0</v>
      </c>
      <c r="AZ279" s="20">
        <f ca="1">Master_List!$AW$38</f>
        <v>0</v>
      </c>
      <c r="BA279" s="20">
        <f ca="1">Master_List!$AW$39</f>
        <v>0</v>
      </c>
      <c r="BB279" s="20" t="s">
        <v>2240</v>
      </c>
      <c r="BC279" s="20" t="s">
        <v>2241</v>
      </c>
      <c r="BD279" s="6" t="s">
        <v>1744</v>
      </c>
      <c r="BE279" s="6" t="s">
        <v>1889</v>
      </c>
      <c r="BF279" s="6" t="s">
        <v>1748</v>
      </c>
      <c r="BG279" s="6" t="str">
        <f t="shared" si="4"/>
        <v>C:\Users\aremi\Desktop\REPORT CBM\PO 42289580 - Pahang 11kV SECOND CYCLE AZZAD 2026\RAW MATERIAL\047. TNB BARU (IR+VI)\RAW DATA\IR</v>
      </c>
      <c r="BH279" s="24" t="s">
        <v>819</v>
      </c>
    </row>
    <row r="280" spans="1:60" ht="30" customHeight="1" x14ac:dyDescent="0.25">
      <c r="A280" s="6">
        <v>140</v>
      </c>
      <c r="B280" s="6" t="s">
        <v>1570</v>
      </c>
      <c r="C280" s="6">
        <v>1</v>
      </c>
      <c r="D280" s="6" t="s">
        <v>2249</v>
      </c>
      <c r="E280" s="6">
        <v>140</v>
      </c>
      <c r="F280" s="6" t="str">
        <f ca="1">Master_List!$AW$1</f>
        <v>PERPUSTAKAAN PUSAT</v>
      </c>
      <c r="G280" s="27" t="str">
        <f ca="1">Master_List!$AW$2</f>
        <v>09:30 PM</v>
      </c>
      <c r="H280" s="32" t="str">
        <f ca="1">Master_List!$AW$3</f>
        <v>20/07/2026</v>
      </c>
      <c r="I280" s="28" t="str">
        <f ca="1">Master_List!$AW$4</f>
        <v>28.5</v>
      </c>
      <c r="J280" s="6" t="str">
        <f ca="1">Master_List!$AW$5</f>
        <v>65</v>
      </c>
      <c r="K280" s="6" t="s">
        <v>1573</v>
      </c>
      <c r="L280" s="21">
        <v>1</v>
      </c>
      <c r="M280" s="21" t="s">
        <v>2250</v>
      </c>
      <c r="N280" s="21" t="s">
        <v>2246</v>
      </c>
      <c r="O280" s="21" t="s">
        <v>2246</v>
      </c>
      <c r="P280" s="21" t="s">
        <v>2246</v>
      </c>
      <c r="Q280" s="21" t="s">
        <v>2246</v>
      </c>
      <c r="R280" s="21" t="s">
        <v>2246</v>
      </c>
      <c r="S280" s="21" t="s">
        <v>2246</v>
      </c>
      <c r="T280" s="20" t="str">
        <f ca="1">Master_List!$AW$6</f>
        <v>TOSHIBA</v>
      </c>
      <c r="U280" s="20" t="str">
        <f ca="1">Master_List!$AW$7</f>
        <v>MRMU</v>
      </c>
      <c r="V280" s="20" t="str">
        <f ca="1">Master_List!$AW$8</f>
        <v>12kV</v>
      </c>
      <c r="W280" s="20" t="str">
        <f ca="1">Master_List!$AW$9</f>
        <v>2S1F</v>
      </c>
      <c r="X280" s="20" t="str">
        <f ca="1">Master_List!$AW$10</f>
        <v>MTM</v>
      </c>
      <c r="Y280" s="20" t="str">
        <f ca="1">Master_List!$AW$11</f>
        <v>HERMETICALLY SEAL</v>
      </c>
      <c r="Z280" s="20" t="str">
        <f ca="1">Master_List!$AW$12</f>
        <v>750kVA</v>
      </c>
      <c r="AA280" s="20" t="str">
        <f ca="1">Master_List!$AW$13</f>
        <v>1317</v>
      </c>
      <c r="AB280" s="20">
        <f ca="1">Master_List!$AW$14</f>
        <v>0</v>
      </c>
      <c r="AC280" s="20">
        <f ca="1">Master_List!$AW$15</f>
        <v>0</v>
      </c>
      <c r="AD280" s="20">
        <f ca="1">Master_List!$AW$16</f>
        <v>0</v>
      </c>
      <c r="AE280" s="20">
        <f ca="1">Master_List!$AW$17</f>
        <v>0</v>
      </c>
      <c r="AF280" s="20" t="str">
        <f ca="1">Master_List!$AW$18</f>
        <v>INDKOM</v>
      </c>
      <c r="AG280" s="20" t="str">
        <f ca="1">Master_List!$AW$19</f>
        <v>J-SLOTTED</v>
      </c>
      <c r="AH280" s="20" t="str">
        <f ca="1">Master_List!$AW$20</f>
        <v>1600A</v>
      </c>
      <c r="AI280" s="20" t="str">
        <f ca="1">Master_List!$AW$21</f>
        <v>LV5080090</v>
      </c>
      <c r="AJ280" s="20" t="str">
        <f ca="1">Master_List!$AW$22</f>
        <v>LVDB TX1</v>
      </c>
      <c r="AK280" s="20">
        <f ca="1">Master_List!$AW$23</f>
        <v>0</v>
      </c>
      <c r="AL280" s="20">
        <f ca="1">Master_List!$AW$24</f>
        <v>0</v>
      </c>
      <c r="AM280" s="20">
        <f ca="1">Master_List!$AW$25</f>
        <v>0</v>
      </c>
      <c r="AN280" s="20">
        <f ca="1">Master_List!$AW$26</f>
        <v>0</v>
      </c>
      <c r="AO280" s="20" t="str">
        <f ca="1">Master_List!$AW$27</f>
        <v>LVDB TX2</v>
      </c>
      <c r="AP280" s="20" t="str">
        <f ca="1">Master_List!$AW$28</f>
        <v>SUNPOWER TECHNOLOGIES</v>
      </c>
      <c r="AQ280" s="20" t="str">
        <f ca="1">Master_List!$AW$29</f>
        <v>SPS 30-10 L</v>
      </c>
      <c r="AR280" s="20" t="str">
        <f ca="1">Master_List!$AW$30</f>
        <v>11193-8527</v>
      </c>
      <c r="AS280" s="20">
        <f ca="1">Master_List!$AW$31</f>
        <v>0</v>
      </c>
      <c r="AT280" s="20">
        <f ca="1">Master_List!$AW$32</f>
        <v>0</v>
      </c>
      <c r="AU280" s="20">
        <f ca="1">Master_List!$AW$33</f>
        <v>0</v>
      </c>
      <c r="AV280" s="20">
        <f ca="1">Master_List!$AW$34</f>
        <v>0</v>
      </c>
      <c r="AW280" s="20">
        <f ca="1">Master_List!$AW$35</f>
        <v>0</v>
      </c>
      <c r="AX280" s="20">
        <f ca="1">Master_List!$AW$36</f>
        <v>0</v>
      </c>
      <c r="AY280" s="20">
        <f ca="1">Master_List!$AW$37</f>
        <v>0</v>
      </c>
      <c r="AZ280" s="20">
        <f ca="1">Master_List!$AW$38</f>
        <v>0</v>
      </c>
      <c r="BA280" s="20">
        <f ca="1">Master_List!$AW$39</f>
        <v>0</v>
      </c>
      <c r="BB280" s="20" t="s">
        <v>2240</v>
      </c>
      <c r="BC280" s="20" t="s">
        <v>2241</v>
      </c>
      <c r="BD280" s="6" t="s">
        <v>1744</v>
      </c>
      <c r="BE280" s="6" t="s">
        <v>1890</v>
      </c>
      <c r="BF280" s="6" t="s">
        <v>1746</v>
      </c>
      <c r="BG280" s="6" t="str">
        <f t="shared" si="4"/>
        <v>C:\Users\aremi\Desktop\REPORT CBM\PO 42289580 - Pahang 11kV SECOND CYCLE AZZAD 2026\RAW MATERIAL\047. TNB BARU (IR+VI)\RAW DATA\IR</v>
      </c>
      <c r="BH280" s="24" t="s">
        <v>820</v>
      </c>
    </row>
    <row r="281" spans="1:60" ht="30" customHeight="1" x14ac:dyDescent="0.25">
      <c r="A281" s="6">
        <v>140</v>
      </c>
      <c r="B281" s="6" t="s">
        <v>1570</v>
      </c>
      <c r="C281" s="6">
        <v>1</v>
      </c>
      <c r="D281" s="6" t="s">
        <v>2249</v>
      </c>
      <c r="E281" s="6">
        <v>140</v>
      </c>
      <c r="F281" s="6" t="str">
        <f ca="1">Master_List!$AW$1</f>
        <v>PERPUSTAKAAN PUSAT</v>
      </c>
      <c r="G281" s="27" t="str">
        <f ca="1">Master_List!$AW$2</f>
        <v>09:30 PM</v>
      </c>
      <c r="H281" s="32" t="str">
        <f ca="1">Master_List!$AW$3</f>
        <v>20/07/2026</v>
      </c>
      <c r="I281" s="28" t="str">
        <f ca="1">Master_List!$AW$4</f>
        <v>28.5</v>
      </c>
      <c r="J281" s="6" t="str">
        <f ca="1">Master_List!$AW$5</f>
        <v>65</v>
      </c>
      <c r="K281" s="6" t="s">
        <v>1573</v>
      </c>
      <c r="L281" s="21">
        <v>1</v>
      </c>
      <c r="M281" s="21" t="s">
        <v>2250</v>
      </c>
      <c r="N281" s="21" t="s">
        <v>2246</v>
      </c>
      <c r="O281" s="21" t="s">
        <v>2246</v>
      </c>
      <c r="P281" s="21" t="s">
        <v>2246</v>
      </c>
      <c r="Q281" s="21" t="s">
        <v>2246</v>
      </c>
      <c r="R281" s="21" t="s">
        <v>2246</v>
      </c>
      <c r="S281" s="21" t="s">
        <v>2246</v>
      </c>
      <c r="T281" s="20" t="str">
        <f ca="1">Master_List!$AW$6</f>
        <v>TOSHIBA</v>
      </c>
      <c r="U281" s="20" t="str">
        <f ca="1">Master_List!$AW$7</f>
        <v>MRMU</v>
      </c>
      <c r="V281" s="20" t="str">
        <f ca="1">Master_List!$AW$8</f>
        <v>12kV</v>
      </c>
      <c r="W281" s="20" t="str">
        <f ca="1">Master_List!$AW$9</f>
        <v>2S1F</v>
      </c>
      <c r="X281" s="20" t="str">
        <f ca="1">Master_List!$AW$10</f>
        <v>MTM</v>
      </c>
      <c r="Y281" s="20" t="str">
        <f ca="1">Master_List!$AW$11</f>
        <v>HERMETICALLY SEAL</v>
      </c>
      <c r="Z281" s="20" t="str">
        <f ca="1">Master_List!$AW$12</f>
        <v>750kVA</v>
      </c>
      <c r="AA281" s="20" t="str">
        <f ca="1">Master_List!$AW$13</f>
        <v>1317</v>
      </c>
      <c r="AB281" s="20">
        <f ca="1">Master_List!$AW$14</f>
        <v>0</v>
      </c>
      <c r="AC281" s="20">
        <f ca="1">Master_List!$AW$15</f>
        <v>0</v>
      </c>
      <c r="AD281" s="20">
        <f ca="1">Master_List!$AW$16</f>
        <v>0</v>
      </c>
      <c r="AE281" s="20">
        <f ca="1">Master_List!$AW$17</f>
        <v>0</v>
      </c>
      <c r="AF281" s="20" t="str">
        <f ca="1">Master_List!$AW$18</f>
        <v>INDKOM</v>
      </c>
      <c r="AG281" s="20" t="str">
        <f ca="1">Master_List!$AW$19</f>
        <v>J-SLOTTED</v>
      </c>
      <c r="AH281" s="20" t="str">
        <f ca="1">Master_List!$AW$20</f>
        <v>1600A</v>
      </c>
      <c r="AI281" s="20" t="str">
        <f ca="1">Master_List!$AW$21</f>
        <v>LV5080090</v>
      </c>
      <c r="AJ281" s="20" t="str">
        <f ca="1">Master_List!$AW$22</f>
        <v>LVDB TX1</v>
      </c>
      <c r="AK281" s="20">
        <f ca="1">Master_List!$AW$23</f>
        <v>0</v>
      </c>
      <c r="AL281" s="20">
        <f ca="1">Master_List!$AW$24</f>
        <v>0</v>
      </c>
      <c r="AM281" s="20">
        <f ca="1">Master_List!$AW$25</f>
        <v>0</v>
      </c>
      <c r="AN281" s="20">
        <f ca="1">Master_List!$AW$26</f>
        <v>0</v>
      </c>
      <c r="AO281" s="20" t="str">
        <f ca="1">Master_List!$AW$27</f>
        <v>LVDB TX2</v>
      </c>
      <c r="AP281" s="20" t="str">
        <f ca="1">Master_List!$AW$28</f>
        <v>SUNPOWER TECHNOLOGIES</v>
      </c>
      <c r="AQ281" s="20" t="str">
        <f ca="1">Master_List!$AW$29</f>
        <v>SPS 30-10 L</v>
      </c>
      <c r="AR281" s="20" t="str">
        <f ca="1">Master_List!$AW$30</f>
        <v>11193-8527</v>
      </c>
      <c r="AS281" s="20">
        <f ca="1">Master_List!$AW$31</f>
        <v>0</v>
      </c>
      <c r="AT281" s="20">
        <f ca="1">Master_List!$AW$32</f>
        <v>0</v>
      </c>
      <c r="AU281" s="20">
        <f ca="1">Master_List!$AW$33</f>
        <v>0</v>
      </c>
      <c r="AV281" s="20">
        <f ca="1">Master_List!$AW$34</f>
        <v>0</v>
      </c>
      <c r="AW281" s="20">
        <f ca="1">Master_List!$AW$35</f>
        <v>0</v>
      </c>
      <c r="AX281" s="20">
        <f ca="1">Master_List!$AW$36</f>
        <v>0</v>
      </c>
      <c r="AY281" s="20">
        <f ca="1">Master_List!$AW$37</f>
        <v>0</v>
      </c>
      <c r="AZ281" s="20">
        <f ca="1">Master_List!$AW$38</f>
        <v>0</v>
      </c>
      <c r="BA281" s="20">
        <f ca="1">Master_List!$AW$39</f>
        <v>0</v>
      </c>
      <c r="BB281" s="20" t="s">
        <v>2240</v>
      </c>
      <c r="BC281" s="20" t="s">
        <v>2241</v>
      </c>
      <c r="BD281" s="6" t="s">
        <v>1744</v>
      </c>
      <c r="BE281" s="6" t="s">
        <v>1890</v>
      </c>
      <c r="BF281" s="6" t="s">
        <v>1748</v>
      </c>
      <c r="BG281" s="6" t="str">
        <f t="shared" si="4"/>
        <v>C:\Users\aremi\Desktop\REPORT CBM\PO 42289580 - Pahang 11kV SECOND CYCLE AZZAD 2026\RAW MATERIAL\047. TNB BARU (IR+VI)\RAW DATA\IR</v>
      </c>
      <c r="BH281" s="24" t="s">
        <v>821</v>
      </c>
    </row>
    <row r="282" spans="1:60" ht="30" customHeight="1" x14ac:dyDescent="0.25">
      <c r="A282" s="6">
        <v>141</v>
      </c>
      <c r="B282" s="6" t="s">
        <v>1574</v>
      </c>
      <c r="C282" s="6">
        <v>1</v>
      </c>
      <c r="D282" s="6" t="s">
        <v>2251</v>
      </c>
      <c r="E282" s="6">
        <v>141</v>
      </c>
      <c r="F282" s="6" t="str">
        <f ca="1">Master_List!$AW$1</f>
        <v>PERPUSTAKAAN PUSAT</v>
      </c>
      <c r="G282" s="27" t="str">
        <f ca="1">Master_List!$AW$2</f>
        <v>09:30 PM</v>
      </c>
      <c r="H282" s="32" t="str">
        <f ca="1">Master_List!$AW$3</f>
        <v>20/07/2026</v>
      </c>
      <c r="I282" s="28" t="str">
        <f ca="1">Master_List!$AW$4</f>
        <v>28.5</v>
      </c>
      <c r="J282" s="6" t="str">
        <f ca="1">Master_List!$AW$5</f>
        <v>65</v>
      </c>
      <c r="K282" s="6" t="s">
        <v>1453</v>
      </c>
      <c r="L282" s="21">
        <v>2</v>
      </c>
      <c r="M282" s="21" t="s">
        <v>2246</v>
      </c>
      <c r="N282" s="21" t="s">
        <v>2246</v>
      </c>
      <c r="O282" s="21" t="s">
        <v>2246</v>
      </c>
      <c r="P282" s="21" t="s">
        <v>2246</v>
      </c>
      <c r="Q282" s="21" t="s">
        <v>2246</v>
      </c>
      <c r="R282" s="21" t="s">
        <v>2246</v>
      </c>
      <c r="S282" s="21" t="s">
        <v>2246</v>
      </c>
      <c r="T282" s="20" t="str">
        <f ca="1">Master_List!$AW$6</f>
        <v>TOSHIBA</v>
      </c>
      <c r="U282" s="20" t="str">
        <f ca="1">Master_List!$AW$7</f>
        <v>MRMU</v>
      </c>
      <c r="V282" s="20" t="str">
        <f ca="1">Master_List!$AW$8</f>
        <v>12kV</v>
      </c>
      <c r="W282" s="20" t="str">
        <f ca="1">Master_List!$AW$9</f>
        <v>2S1F</v>
      </c>
      <c r="X282" s="20" t="str">
        <f ca="1">Master_List!$AW$10</f>
        <v>MTM</v>
      </c>
      <c r="Y282" s="20" t="str">
        <f ca="1">Master_List!$AW$11</f>
        <v>HERMETICALLY SEAL</v>
      </c>
      <c r="Z282" s="20" t="str">
        <f ca="1">Master_List!$AW$12</f>
        <v>750kVA</v>
      </c>
      <c r="AA282" s="20" t="str">
        <f ca="1">Master_List!$AW$13</f>
        <v>1317</v>
      </c>
      <c r="AB282" s="20">
        <f ca="1">Master_List!$AW$14</f>
        <v>0</v>
      </c>
      <c r="AC282" s="20">
        <f ca="1">Master_List!$AW$15</f>
        <v>0</v>
      </c>
      <c r="AD282" s="20">
        <f ca="1">Master_List!$AW$16</f>
        <v>0</v>
      </c>
      <c r="AE282" s="20">
        <f ca="1">Master_List!$AW$17</f>
        <v>0</v>
      </c>
      <c r="AF282" s="20" t="str">
        <f ca="1">Master_List!$AW$18</f>
        <v>INDKOM</v>
      </c>
      <c r="AG282" s="20" t="str">
        <f ca="1">Master_List!$AW$19</f>
        <v>J-SLOTTED</v>
      </c>
      <c r="AH282" s="20" t="str">
        <f ca="1">Master_List!$AW$20</f>
        <v>1600A</v>
      </c>
      <c r="AI282" s="20" t="str">
        <f ca="1">Master_List!$AW$21</f>
        <v>LV5080090</v>
      </c>
      <c r="AJ282" s="20" t="str">
        <f ca="1">Master_List!$AW$22</f>
        <v>LVDB TX1</v>
      </c>
      <c r="AK282" s="20">
        <f ca="1">Master_List!$AW$23</f>
        <v>0</v>
      </c>
      <c r="AL282" s="20">
        <f ca="1">Master_List!$AW$24</f>
        <v>0</v>
      </c>
      <c r="AM282" s="20">
        <f ca="1">Master_List!$AW$25</f>
        <v>0</v>
      </c>
      <c r="AN282" s="20">
        <f ca="1">Master_List!$AW$26</f>
        <v>0</v>
      </c>
      <c r="AO282" s="20" t="str">
        <f ca="1">Master_List!$AW$27</f>
        <v>LVDB TX2</v>
      </c>
      <c r="AP282" s="20" t="str">
        <f ca="1">Master_List!$AW$28</f>
        <v>SUNPOWER TECHNOLOGIES</v>
      </c>
      <c r="AQ282" s="20" t="str">
        <f ca="1">Master_List!$AW$29</f>
        <v>SPS 30-10 L</v>
      </c>
      <c r="AR282" s="20" t="str">
        <f ca="1">Master_List!$AW$30</f>
        <v>11193-8527</v>
      </c>
      <c r="AS282" s="20">
        <f ca="1">Master_List!$AW$31</f>
        <v>0</v>
      </c>
      <c r="AT282" s="20">
        <f ca="1">Master_List!$AW$32</f>
        <v>0</v>
      </c>
      <c r="AU282" s="20">
        <f ca="1">Master_List!$AW$33</f>
        <v>0</v>
      </c>
      <c r="AV282" s="20">
        <f ca="1">Master_List!$AW$34</f>
        <v>0</v>
      </c>
      <c r="AW282" s="20">
        <f ca="1">Master_List!$AW$35</f>
        <v>0</v>
      </c>
      <c r="AX282" s="20">
        <f ca="1">Master_List!$AW$36</f>
        <v>0</v>
      </c>
      <c r="AY282" s="20">
        <f ca="1">Master_List!$AW$37</f>
        <v>0</v>
      </c>
      <c r="AZ282" s="20">
        <f ca="1">Master_List!$AW$38</f>
        <v>0</v>
      </c>
      <c r="BA282" s="20">
        <f ca="1">Master_List!$AW$39</f>
        <v>0</v>
      </c>
      <c r="BB282" s="20" t="s">
        <v>2240</v>
      </c>
      <c r="BC282" s="20" t="s">
        <v>2241</v>
      </c>
      <c r="BD282" s="6" t="s">
        <v>1744</v>
      </c>
      <c r="BE282" s="6" t="s">
        <v>1891</v>
      </c>
      <c r="BF282" s="6" t="s">
        <v>1746</v>
      </c>
      <c r="BG282" s="6" t="str">
        <f t="shared" si="4"/>
        <v>C:\Users\aremi\Desktop\REPORT CBM\PO 42289580 - Pahang 11kV SECOND CYCLE AZZAD 2026\RAW MATERIAL\047. TNB BARU (IR+VI)\RAW DATA\IR</v>
      </c>
      <c r="BH282" s="24" t="s">
        <v>822</v>
      </c>
    </row>
    <row r="283" spans="1:60" ht="30" customHeight="1" x14ac:dyDescent="0.25">
      <c r="A283" s="6">
        <v>141</v>
      </c>
      <c r="B283" s="6" t="s">
        <v>1574</v>
      </c>
      <c r="C283" s="6">
        <v>1</v>
      </c>
      <c r="D283" s="6" t="s">
        <v>2251</v>
      </c>
      <c r="E283" s="6">
        <v>141</v>
      </c>
      <c r="F283" s="6" t="str">
        <f ca="1">Master_List!$AW$1</f>
        <v>PERPUSTAKAAN PUSAT</v>
      </c>
      <c r="G283" s="27" t="str">
        <f ca="1">Master_List!$AW$2</f>
        <v>09:30 PM</v>
      </c>
      <c r="H283" s="32" t="str">
        <f ca="1">Master_List!$AW$3</f>
        <v>20/07/2026</v>
      </c>
      <c r="I283" s="28" t="str">
        <f ca="1">Master_List!$AW$4</f>
        <v>28.5</v>
      </c>
      <c r="J283" s="6" t="str">
        <f ca="1">Master_List!$AW$5</f>
        <v>65</v>
      </c>
      <c r="K283" s="6" t="s">
        <v>1453</v>
      </c>
      <c r="L283" s="21">
        <v>2</v>
      </c>
      <c r="M283" s="21" t="s">
        <v>2246</v>
      </c>
      <c r="N283" s="21" t="s">
        <v>2246</v>
      </c>
      <c r="O283" s="21" t="s">
        <v>2246</v>
      </c>
      <c r="P283" s="21" t="s">
        <v>2246</v>
      </c>
      <c r="Q283" s="21" t="s">
        <v>2246</v>
      </c>
      <c r="R283" s="21" t="s">
        <v>2246</v>
      </c>
      <c r="S283" s="21" t="s">
        <v>2246</v>
      </c>
      <c r="T283" s="20" t="str">
        <f ca="1">Master_List!$AW$6</f>
        <v>TOSHIBA</v>
      </c>
      <c r="U283" s="20" t="str">
        <f ca="1">Master_List!$AW$7</f>
        <v>MRMU</v>
      </c>
      <c r="V283" s="20" t="str">
        <f ca="1">Master_List!$AW$8</f>
        <v>12kV</v>
      </c>
      <c r="W283" s="20" t="str">
        <f ca="1">Master_List!$AW$9</f>
        <v>2S1F</v>
      </c>
      <c r="X283" s="20" t="str">
        <f ca="1">Master_List!$AW$10</f>
        <v>MTM</v>
      </c>
      <c r="Y283" s="20" t="str">
        <f ca="1">Master_List!$AW$11</f>
        <v>HERMETICALLY SEAL</v>
      </c>
      <c r="Z283" s="20" t="str">
        <f ca="1">Master_List!$AW$12</f>
        <v>750kVA</v>
      </c>
      <c r="AA283" s="20" t="str">
        <f ca="1">Master_List!$AW$13</f>
        <v>1317</v>
      </c>
      <c r="AB283" s="20">
        <f ca="1">Master_List!$AW$14</f>
        <v>0</v>
      </c>
      <c r="AC283" s="20">
        <f ca="1">Master_List!$AW$15</f>
        <v>0</v>
      </c>
      <c r="AD283" s="20">
        <f ca="1">Master_List!$AW$16</f>
        <v>0</v>
      </c>
      <c r="AE283" s="20">
        <f ca="1">Master_List!$AW$17</f>
        <v>0</v>
      </c>
      <c r="AF283" s="20" t="str">
        <f ca="1">Master_List!$AW$18</f>
        <v>INDKOM</v>
      </c>
      <c r="AG283" s="20" t="str">
        <f ca="1">Master_List!$AW$19</f>
        <v>J-SLOTTED</v>
      </c>
      <c r="AH283" s="20" t="str">
        <f ca="1">Master_List!$AW$20</f>
        <v>1600A</v>
      </c>
      <c r="AI283" s="20" t="str">
        <f ca="1">Master_List!$AW$21</f>
        <v>LV5080090</v>
      </c>
      <c r="AJ283" s="20" t="str">
        <f ca="1">Master_List!$AW$22</f>
        <v>LVDB TX1</v>
      </c>
      <c r="AK283" s="20">
        <f ca="1">Master_List!$AW$23</f>
        <v>0</v>
      </c>
      <c r="AL283" s="20">
        <f ca="1">Master_List!$AW$24</f>
        <v>0</v>
      </c>
      <c r="AM283" s="20">
        <f ca="1">Master_List!$AW$25</f>
        <v>0</v>
      </c>
      <c r="AN283" s="20">
        <f ca="1">Master_List!$AW$26</f>
        <v>0</v>
      </c>
      <c r="AO283" s="20" t="str">
        <f ca="1">Master_List!$AW$27</f>
        <v>LVDB TX2</v>
      </c>
      <c r="AP283" s="20" t="str">
        <f ca="1">Master_List!$AW$28</f>
        <v>SUNPOWER TECHNOLOGIES</v>
      </c>
      <c r="AQ283" s="20" t="str">
        <f ca="1">Master_List!$AW$29</f>
        <v>SPS 30-10 L</v>
      </c>
      <c r="AR283" s="20" t="str">
        <f ca="1">Master_List!$AW$30</f>
        <v>11193-8527</v>
      </c>
      <c r="AS283" s="20">
        <f ca="1">Master_List!$AW$31</f>
        <v>0</v>
      </c>
      <c r="AT283" s="20">
        <f ca="1">Master_List!$AW$32</f>
        <v>0</v>
      </c>
      <c r="AU283" s="20">
        <f ca="1">Master_List!$AW$33</f>
        <v>0</v>
      </c>
      <c r="AV283" s="20">
        <f ca="1">Master_List!$AW$34</f>
        <v>0</v>
      </c>
      <c r="AW283" s="20">
        <f ca="1">Master_List!$AW$35</f>
        <v>0</v>
      </c>
      <c r="AX283" s="20">
        <f ca="1">Master_List!$AW$36</f>
        <v>0</v>
      </c>
      <c r="AY283" s="20">
        <f ca="1">Master_List!$AW$37</f>
        <v>0</v>
      </c>
      <c r="AZ283" s="20">
        <f ca="1">Master_List!$AW$38</f>
        <v>0</v>
      </c>
      <c r="BA283" s="20">
        <f ca="1">Master_List!$AW$39</f>
        <v>0</v>
      </c>
      <c r="BB283" s="20" t="s">
        <v>2240</v>
      </c>
      <c r="BC283" s="20" t="s">
        <v>2241</v>
      </c>
      <c r="BD283" s="6" t="s">
        <v>1744</v>
      </c>
      <c r="BE283" s="6" t="s">
        <v>1891</v>
      </c>
      <c r="BF283" s="6" t="s">
        <v>1748</v>
      </c>
      <c r="BG283" s="6" t="str">
        <f t="shared" si="4"/>
        <v>C:\Users\aremi\Desktop\REPORT CBM\PO 42289580 - Pahang 11kV SECOND CYCLE AZZAD 2026\RAW MATERIAL\047. TNB BARU (IR+VI)\RAW DATA\IR</v>
      </c>
      <c r="BH283" s="24" t="s">
        <v>823</v>
      </c>
    </row>
    <row r="284" spans="1:60" ht="30" customHeight="1" x14ac:dyDescent="0.25">
      <c r="A284" s="6">
        <v>142</v>
      </c>
      <c r="B284" s="6" t="s">
        <v>1574</v>
      </c>
      <c r="C284" s="6">
        <v>1</v>
      </c>
      <c r="D284" s="6" t="s">
        <v>2251</v>
      </c>
      <c r="E284" s="6">
        <v>142</v>
      </c>
      <c r="F284" s="6" t="str">
        <f ca="1">Master_List!$AW$1</f>
        <v>PERPUSTAKAAN PUSAT</v>
      </c>
      <c r="G284" s="27" t="str">
        <f ca="1">Master_List!$AW$2</f>
        <v>09:30 PM</v>
      </c>
      <c r="H284" s="32" t="str">
        <f ca="1">Master_List!$AW$3</f>
        <v>20/07/2026</v>
      </c>
      <c r="I284" s="28" t="str">
        <f ca="1">Master_List!$AW$4</f>
        <v>28.5</v>
      </c>
      <c r="J284" s="6" t="str">
        <f ca="1">Master_List!$AW$5</f>
        <v>65</v>
      </c>
      <c r="K284" s="6" t="s">
        <v>1497</v>
      </c>
      <c r="L284" s="21">
        <v>2</v>
      </c>
      <c r="M284" s="21" t="s">
        <v>2246</v>
      </c>
      <c r="N284" s="21" t="s">
        <v>2246</v>
      </c>
      <c r="O284" s="21" t="s">
        <v>2246</v>
      </c>
      <c r="P284" s="21" t="s">
        <v>2246</v>
      </c>
      <c r="Q284" s="21" t="s">
        <v>2246</v>
      </c>
      <c r="R284" s="21" t="s">
        <v>2246</v>
      </c>
      <c r="S284" s="21" t="s">
        <v>2246</v>
      </c>
      <c r="T284" s="20" t="str">
        <f ca="1">Master_List!$AW$6</f>
        <v>TOSHIBA</v>
      </c>
      <c r="U284" s="20" t="str">
        <f ca="1">Master_List!$AW$7</f>
        <v>MRMU</v>
      </c>
      <c r="V284" s="20" t="str">
        <f ca="1">Master_List!$AW$8</f>
        <v>12kV</v>
      </c>
      <c r="W284" s="20" t="str">
        <f ca="1">Master_List!$AW$9</f>
        <v>2S1F</v>
      </c>
      <c r="X284" s="20" t="str">
        <f ca="1">Master_List!$AW$10</f>
        <v>MTM</v>
      </c>
      <c r="Y284" s="20" t="str">
        <f ca="1">Master_List!$AW$11</f>
        <v>HERMETICALLY SEAL</v>
      </c>
      <c r="Z284" s="20" t="str">
        <f ca="1">Master_List!$AW$12</f>
        <v>750kVA</v>
      </c>
      <c r="AA284" s="20" t="str">
        <f ca="1">Master_List!$AW$13</f>
        <v>1317</v>
      </c>
      <c r="AB284" s="20">
        <f ca="1">Master_List!$AW$14</f>
        <v>0</v>
      </c>
      <c r="AC284" s="20">
        <f ca="1">Master_List!$AW$15</f>
        <v>0</v>
      </c>
      <c r="AD284" s="20">
        <f ca="1">Master_List!$AW$16</f>
        <v>0</v>
      </c>
      <c r="AE284" s="20">
        <f ca="1">Master_List!$AW$17</f>
        <v>0</v>
      </c>
      <c r="AF284" s="20" t="str">
        <f ca="1">Master_List!$AW$18</f>
        <v>INDKOM</v>
      </c>
      <c r="AG284" s="20" t="str">
        <f ca="1">Master_List!$AW$19</f>
        <v>J-SLOTTED</v>
      </c>
      <c r="AH284" s="20" t="str">
        <f ca="1">Master_List!$AW$20</f>
        <v>1600A</v>
      </c>
      <c r="AI284" s="20" t="str">
        <f ca="1">Master_List!$AW$21</f>
        <v>LV5080090</v>
      </c>
      <c r="AJ284" s="20" t="str">
        <f ca="1">Master_List!$AW$22</f>
        <v>LVDB TX1</v>
      </c>
      <c r="AK284" s="20">
        <f ca="1">Master_List!$AW$23</f>
        <v>0</v>
      </c>
      <c r="AL284" s="20">
        <f ca="1">Master_List!$AW$24</f>
        <v>0</v>
      </c>
      <c r="AM284" s="20">
        <f ca="1">Master_List!$AW$25</f>
        <v>0</v>
      </c>
      <c r="AN284" s="20">
        <f ca="1">Master_List!$AW$26</f>
        <v>0</v>
      </c>
      <c r="AO284" s="20" t="str">
        <f ca="1">Master_List!$AW$27</f>
        <v>LVDB TX2</v>
      </c>
      <c r="AP284" s="20" t="str">
        <f ca="1">Master_List!$AW$28</f>
        <v>SUNPOWER TECHNOLOGIES</v>
      </c>
      <c r="AQ284" s="20" t="str">
        <f ca="1">Master_List!$AW$29</f>
        <v>SPS 30-10 L</v>
      </c>
      <c r="AR284" s="20" t="str">
        <f ca="1">Master_List!$AW$30</f>
        <v>11193-8527</v>
      </c>
      <c r="AS284" s="20">
        <f ca="1">Master_List!$AW$31</f>
        <v>0</v>
      </c>
      <c r="AT284" s="20">
        <f ca="1">Master_List!$AW$32</f>
        <v>0</v>
      </c>
      <c r="AU284" s="20">
        <f ca="1">Master_List!$AW$33</f>
        <v>0</v>
      </c>
      <c r="AV284" s="20">
        <f ca="1">Master_List!$AW$34</f>
        <v>0</v>
      </c>
      <c r="AW284" s="20">
        <f ca="1">Master_List!$AW$35</f>
        <v>0</v>
      </c>
      <c r="AX284" s="20">
        <f ca="1">Master_List!$AW$36</f>
        <v>0</v>
      </c>
      <c r="AY284" s="20">
        <f ca="1">Master_List!$AW$37</f>
        <v>0</v>
      </c>
      <c r="AZ284" s="20">
        <f ca="1">Master_List!$AW$38</f>
        <v>0</v>
      </c>
      <c r="BA284" s="20">
        <f ca="1">Master_List!$AW$39</f>
        <v>0</v>
      </c>
      <c r="BB284" s="20" t="s">
        <v>2240</v>
      </c>
      <c r="BC284" s="20" t="s">
        <v>2241</v>
      </c>
      <c r="BD284" s="6" t="s">
        <v>1744</v>
      </c>
      <c r="BE284" s="6" t="s">
        <v>1892</v>
      </c>
      <c r="BF284" s="6" t="s">
        <v>1746</v>
      </c>
      <c r="BG284" s="6" t="str">
        <f t="shared" si="4"/>
        <v>C:\Users\aremi\Desktop\REPORT CBM\PO 42289580 - Pahang 11kV SECOND CYCLE AZZAD 2026\RAW MATERIAL\047. TNB BARU (IR+VI)\RAW DATA\IR</v>
      </c>
      <c r="BH284" s="24" t="s">
        <v>824</v>
      </c>
    </row>
    <row r="285" spans="1:60" ht="30" customHeight="1" x14ac:dyDescent="0.25">
      <c r="A285" s="6">
        <v>142</v>
      </c>
      <c r="B285" s="6" t="s">
        <v>1574</v>
      </c>
      <c r="C285" s="6">
        <v>1</v>
      </c>
      <c r="D285" s="6" t="s">
        <v>2251</v>
      </c>
      <c r="E285" s="6">
        <v>142</v>
      </c>
      <c r="F285" s="6" t="str">
        <f ca="1">Master_List!$AW$1</f>
        <v>PERPUSTAKAAN PUSAT</v>
      </c>
      <c r="G285" s="27" t="str">
        <f ca="1">Master_List!$AW$2</f>
        <v>09:30 PM</v>
      </c>
      <c r="H285" s="32" t="str">
        <f ca="1">Master_List!$AW$3</f>
        <v>20/07/2026</v>
      </c>
      <c r="I285" s="28" t="str">
        <f ca="1">Master_List!$AW$4</f>
        <v>28.5</v>
      </c>
      <c r="J285" s="6" t="str">
        <f ca="1">Master_List!$AW$5</f>
        <v>65</v>
      </c>
      <c r="K285" s="6" t="s">
        <v>1497</v>
      </c>
      <c r="L285" s="21">
        <v>2</v>
      </c>
      <c r="M285" s="21" t="s">
        <v>2246</v>
      </c>
      <c r="N285" s="21" t="s">
        <v>2246</v>
      </c>
      <c r="O285" s="21" t="s">
        <v>2246</v>
      </c>
      <c r="P285" s="21" t="s">
        <v>2246</v>
      </c>
      <c r="Q285" s="21" t="s">
        <v>2246</v>
      </c>
      <c r="R285" s="21" t="s">
        <v>2246</v>
      </c>
      <c r="S285" s="21" t="s">
        <v>2246</v>
      </c>
      <c r="T285" s="20" t="str">
        <f ca="1">Master_List!$AW$6</f>
        <v>TOSHIBA</v>
      </c>
      <c r="U285" s="20" t="str">
        <f ca="1">Master_List!$AW$7</f>
        <v>MRMU</v>
      </c>
      <c r="V285" s="20" t="str">
        <f ca="1">Master_List!$AW$8</f>
        <v>12kV</v>
      </c>
      <c r="W285" s="20" t="str">
        <f ca="1">Master_List!$AW$9</f>
        <v>2S1F</v>
      </c>
      <c r="X285" s="20" t="str">
        <f ca="1">Master_List!$AW$10</f>
        <v>MTM</v>
      </c>
      <c r="Y285" s="20" t="str">
        <f ca="1">Master_List!$AW$11</f>
        <v>HERMETICALLY SEAL</v>
      </c>
      <c r="Z285" s="20" t="str">
        <f ca="1">Master_List!$AW$12</f>
        <v>750kVA</v>
      </c>
      <c r="AA285" s="20" t="str">
        <f ca="1">Master_List!$AW$13</f>
        <v>1317</v>
      </c>
      <c r="AB285" s="20">
        <f ca="1">Master_List!$AW$14</f>
        <v>0</v>
      </c>
      <c r="AC285" s="20">
        <f ca="1">Master_List!$AW$15</f>
        <v>0</v>
      </c>
      <c r="AD285" s="20">
        <f ca="1">Master_List!$AW$16</f>
        <v>0</v>
      </c>
      <c r="AE285" s="20">
        <f ca="1">Master_List!$AW$17</f>
        <v>0</v>
      </c>
      <c r="AF285" s="20" t="str">
        <f ca="1">Master_List!$AW$18</f>
        <v>INDKOM</v>
      </c>
      <c r="AG285" s="20" t="str">
        <f ca="1">Master_List!$AW$19</f>
        <v>J-SLOTTED</v>
      </c>
      <c r="AH285" s="20" t="str">
        <f ca="1">Master_List!$AW$20</f>
        <v>1600A</v>
      </c>
      <c r="AI285" s="20" t="str">
        <f ca="1">Master_List!$AW$21</f>
        <v>LV5080090</v>
      </c>
      <c r="AJ285" s="20" t="str">
        <f ca="1">Master_List!$AW$22</f>
        <v>LVDB TX1</v>
      </c>
      <c r="AK285" s="20">
        <f ca="1">Master_List!$AW$23</f>
        <v>0</v>
      </c>
      <c r="AL285" s="20">
        <f ca="1">Master_List!$AW$24</f>
        <v>0</v>
      </c>
      <c r="AM285" s="20">
        <f ca="1">Master_List!$AW$25</f>
        <v>0</v>
      </c>
      <c r="AN285" s="20">
        <f ca="1">Master_List!$AW$26</f>
        <v>0</v>
      </c>
      <c r="AO285" s="20" t="str">
        <f ca="1">Master_List!$AW$27</f>
        <v>LVDB TX2</v>
      </c>
      <c r="AP285" s="20" t="str">
        <f ca="1">Master_List!$AW$28</f>
        <v>SUNPOWER TECHNOLOGIES</v>
      </c>
      <c r="AQ285" s="20" t="str">
        <f ca="1">Master_List!$AW$29</f>
        <v>SPS 30-10 L</v>
      </c>
      <c r="AR285" s="20" t="str">
        <f ca="1">Master_List!$AW$30</f>
        <v>11193-8527</v>
      </c>
      <c r="AS285" s="20">
        <f ca="1">Master_List!$AW$31</f>
        <v>0</v>
      </c>
      <c r="AT285" s="20">
        <f ca="1">Master_List!$AW$32</f>
        <v>0</v>
      </c>
      <c r="AU285" s="20">
        <f ca="1">Master_List!$AW$33</f>
        <v>0</v>
      </c>
      <c r="AV285" s="20">
        <f ca="1">Master_List!$AW$34</f>
        <v>0</v>
      </c>
      <c r="AW285" s="20">
        <f ca="1">Master_List!$AW$35</f>
        <v>0</v>
      </c>
      <c r="AX285" s="20">
        <f ca="1">Master_List!$AW$36</f>
        <v>0</v>
      </c>
      <c r="AY285" s="20">
        <f ca="1">Master_List!$AW$37</f>
        <v>0</v>
      </c>
      <c r="AZ285" s="20">
        <f ca="1">Master_List!$AW$38</f>
        <v>0</v>
      </c>
      <c r="BA285" s="20">
        <f ca="1">Master_List!$AW$39</f>
        <v>0</v>
      </c>
      <c r="BB285" s="20" t="s">
        <v>2240</v>
      </c>
      <c r="BC285" s="20" t="s">
        <v>2241</v>
      </c>
      <c r="BD285" s="6" t="s">
        <v>1744</v>
      </c>
      <c r="BE285" s="6" t="s">
        <v>1892</v>
      </c>
      <c r="BF285" s="6" t="s">
        <v>1748</v>
      </c>
      <c r="BG285" s="6" t="str">
        <f t="shared" si="4"/>
        <v>C:\Users\aremi\Desktop\REPORT CBM\PO 42289580 - Pahang 11kV SECOND CYCLE AZZAD 2026\RAW MATERIAL\047. TNB BARU (IR+VI)\RAW DATA\IR</v>
      </c>
      <c r="BH285" s="24" t="s">
        <v>825</v>
      </c>
    </row>
    <row r="286" spans="1:60" ht="30" customHeight="1" x14ac:dyDescent="0.25">
      <c r="A286" s="6">
        <v>143</v>
      </c>
      <c r="B286" s="6" t="s">
        <v>1574</v>
      </c>
      <c r="C286" s="6">
        <v>1</v>
      </c>
      <c r="D286" s="6" t="s">
        <v>2252</v>
      </c>
      <c r="E286" s="6">
        <v>143</v>
      </c>
      <c r="F286" s="6" t="str">
        <f ca="1">Master_List!$AW$1</f>
        <v>PERPUSTAKAAN PUSAT</v>
      </c>
      <c r="G286" s="27" t="str">
        <f ca="1">Master_List!$AW$2</f>
        <v>09:30 PM</v>
      </c>
      <c r="H286" s="32" t="str">
        <f ca="1">Master_List!$AW$3</f>
        <v>20/07/2026</v>
      </c>
      <c r="I286" s="28" t="str">
        <f ca="1">Master_List!$AW$4</f>
        <v>28.5</v>
      </c>
      <c r="J286" s="6" t="str">
        <f ca="1">Master_List!$AW$5</f>
        <v>65</v>
      </c>
      <c r="K286" s="6" t="s">
        <v>1571</v>
      </c>
      <c r="L286" s="21">
        <v>2</v>
      </c>
      <c r="M286" s="21" t="s">
        <v>2248</v>
      </c>
      <c r="N286" s="21" t="s">
        <v>2246</v>
      </c>
      <c r="O286" s="21" t="s">
        <v>2246</v>
      </c>
      <c r="P286" s="21" t="s">
        <v>2246</v>
      </c>
      <c r="Q286" s="21" t="s">
        <v>2246</v>
      </c>
      <c r="R286" s="21" t="s">
        <v>2246</v>
      </c>
      <c r="S286" s="21" t="s">
        <v>2246</v>
      </c>
      <c r="T286" s="20" t="str">
        <f ca="1">Master_List!$AW$6</f>
        <v>TOSHIBA</v>
      </c>
      <c r="U286" s="20" t="str">
        <f ca="1">Master_List!$AW$7</f>
        <v>MRMU</v>
      </c>
      <c r="V286" s="20" t="str">
        <f ca="1">Master_List!$AW$8</f>
        <v>12kV</v>
      </c>
      <c r="W286" s="20" t="str">
        <f ca="1">Master_List!$AW$9</f>
        <v>2S1F</v>
      </c>
      <c r="X286" s="20" t="str">
        <f ca="1">Master_List!$AW$10</f>
        <v>MTM</v>
      </c>
      <c r="Y286" s="20" t="str">
        <f ca="1">Master_List!$AW$11</f>
        <v>HERMETICALLY SEAL</v>
      </c>
      <c r="Z286" s="20" t="str">
        <f ca="1">Master_List!$AW$12</f>
        <v>750kVA</v>
      </c>
      <c r="AA286" s="20" t="str">
        <f ca="1">Master_List!$AW$13</f>
        <v>1317</v>
      </c>
      <c r="AB286" s="20">
        <f ca="1">Master_List!$AW$14</f>
        <v>0</v>
      </c>
      <c r="AC286" s="20">
        <f ca="1">Master_List!$AW$15</f>
        <v>0</v>
      </c>
      <c r="AD286" s="20">
        <f ca="1">Master_List!$AW$16</f>
        <v>0</v>
      </c>
      <c r="AE286" s="20">
        <f ca="1">Master_List!$AW$17</f>
        <v>0</v>
      </c>
      <c r="AF286" s="20" t="str">
        <f ca="1">Master_List!$AW$18</f>
        <v>INDKOM</v>
      </c>
      <c r="AG286" s="20" t="str">
        <f ca="1">Master_List!$AW$19</f>
        <v>J-SLOTTED</v>
      </c>
      <c r="AH286" s="20" t="str">
        <f ca="1">Master_List!$AW$20</f>
        <v>1600A</v>
      </c>
      <c r="AI286" s="20" t="str">
        <f ca="1">Master_List!$AW$21</f>
        <v>LV5080090</v>
      </c>
      <c r="AJ286" s="20" t="str">
        <f ca="1">Master_List!$AW$22</f>
        <v>LVDB TX1</v>
      </c>
      <c r="AK286" s="20">
        <f ca="1">Master_List!$AW$23</f>
        <v>0</v>
      </c>
      <c r="AL286" s="20">
        <f ca="1">Master_List!$AW$24</f>
        <v>0</v>
      </c>
      <c r="AM286" s="20">
        <f ca="1">Master_List!$AW$25</f>
        <v>0</v>
      </c>
      <c r="AN286" s="20">
        <f ca="1">Master_List!$AW$26</f>
        <v>0</v>
      </c>
      <c r="AO286" s="20" t="str">
        <f ca="1">Master_List!$AW$27</f>
        <v>LVDB TX2</v>
      </c>
      <c r="AP286" s="20" t="str">
        <f ca="1">Master_List!$AW$28</f>
        <v>SUNPOWER TECHNOLOGIES</v>
      </c>
      <c r="AQ286" s="20" t="str">
        <f ca="1">Master_List!$AW$29</f>
        <v>SPS 30-10 L</v>
      </c>
      <c r="AR286" s="20" t="str">
        <f ca="1">Master_List!$AW$30</f>
        <v>11193-8527</v>
      </c>
      <c r="AS286" s="20">
        <f ca="1">Master_List!$AW$31</f>
        <v>0</v>
      </c>
      <c r="AT286" s="20">
        <f ca="1">Master_List!$AW$32</f>
        <v>0</v>
      </c>
      <c r="AU286" s="20">
        <f ca="1">Master_List!$AW$33</f>
        <v>0</v>
      </c>
      <c r="AV286" s="20">
        <f ca="1">Master_List!$AW$34</f>
        <v>0</v>
      </c>
      <c r="AW286" s="20">
        <f ca="1">Master_List!$AW$35</f>
        <v>0</v>
      </c>
      <c r="AX286" s="20">
        <f ca="1">Master_List!$AW$36</f>
        <v>0</v>
      </c>
      <c r="AY286" s="20">
        <f ca="1">Master_List!$AW$37</f>
        <v>0</v>
      </c>
      <c r="AZ286" s="20">
        <f ca="1">Master_List!$AW$38</f>
        <v>0</v>
      </c>
      <c r="BA286" s="20">
        <f ca="1">Master_List!$AW$39</f>
        <v>0</v>
      </c>
      <c r="BB286" s="20" t="s">
        <v>2240</v>
      </c>
      <c r="BC286" s="20" t="s">
        <v>2241</v>
      </c>
      <c r="BD286" s="6" t="s">
        <v>1744</v>
      </c>
      <c r="BE286" s="6" t="s">
        <v>1893</v>
      </c>
      <c r="BF286" s="6" t="s">
        <v>1746</v>
      </c>
      <c r="BG286" s="6" t="str">
        <f t="shared" si="4"/>
        <v>C:\Users\aremi\Desktop\REPORT CBM\PO 42289580 - Pahang 11kV SECOND CYCLE AZZAD 2026\RAW MATERIAL\047. TNB BARU (IR+VI)\RAW DATA\IR</v>
      </c>
      <c r="BH286" s="24" t="s">
        <v>826</v>
      </c>
    </row>
    <row r="287" spans="1:60" ht="30" customHeight="1" x14ac:dyDescent="0.25">
      <c r="A287" s="6">
        <v>143</v>
      </c>
      <c r="B287" s="6" t="s">
        <v>1574</v>
      </c>
      <c r="C287" s="6">
        <v>1</v>
      </c>
      <c r="D287" s="6" t="s">
        <v>2252</v>
      </c>
      <c r="E287" s="6">
        <v>143</v>
      </c>
      <c r="F287" s="6" t="str">
        <f ca="1">Master_List!$AW$1</f>
        <v>PERPUSTAKAAN PUSAT</v>
      </c>
      <c r="G287" s="27" t="str">
        <f ca="1">Master_List!$AW$2</f>
        <v>09:30 PM</v>
      </c>
      <c r="H287" s="32" t="str">
        <f ca="1">Master_List!$AW$3</f>
        <v>20/07/2026</v>
      </c>
      <c r="I287" s="28" t="str">
        <f ca="1">Master_List!$AW$4</f>
        <v>28.5</v>
      </c>
      <c r="J287" s="6" t="str">
        <f ca="1">Master_List!$AW$5</f>
        <v>65</v>
      </c>
      <c r="K287" s="6" t="s">
        <v>1571</v>
      </c>
      <c r="L287" s="21">
        <v>2</v>
      </c>
      <c r="M287" s="21" t="s">
        <v>2248</v>
      </c>
      <c r="N287" s="21" t="s">
        <v>2246</v>
      </c>
      <c r="O287" s="21" t="s">
        <v>2246</v>
      </c>
      <c r="P287" s="21" t="s">
        <v>2246</v>
      </c>
      <c r="Q287" s="21" t="s">
        <v>2246</v>
      </c>
      <c r="R287" s="21" t="s">
        <v>2246</v>
      </c>
      <c r="S287" s="21" t="s">
        <v>2246</v>
      </c>
      <c r="T287" s="20" t="str">
        <f ca="1">Master_List!$AW$6</f>
        <v>TOSHIBA</v>
      </c>
      <c r="U287" s="20" t="str">
        <f ca="1">Master_List!$AW$7</f>
        <v>MRMU</v>
      </c>
      <c r="V287" s="20" t="str">
        <f ca="1">Master_List!$AW$8</f>
        <v>12kV</v>
      </c>
      <c r="W287" s="20" t="str">
        <f ca="1">Master_List!$AW$9</f>
        <v>2S1F</v>
      </c>
      <c r="X287" s="20" t="str">
        <f ca="1">Master_List!$AW$10</f>
        <v>MTM</v>
      </c>
      <c r="Y287" s="20" t="str">
        <f ca="1">Master_List!$AW$11</f>
        <v>HERMETICALLY SEAL</v>
      </c>
      <c r="Z287" s="20" t="str">
        <f ca="1">Master_List!$AW$12</f>
        <v>750kVA</v>
      </c>
      <c r="AA287" s="20" t="str">
        <f ca="1">Master_List!$AW$13</f>
        <v>1317</v>
      </c>
      <c r="AB287" s="20">
        <f ca="1">Master_List!$AW$14</f>
        <v>0</v>
      </c>
      <c r="AC287" s="20">
        <f ca="1">Master_List!$AW$15</f>
        <v>0</v>
      </c>
      <c r="AD287" s="20">
        <f ca="1">Master_List!$AW$16</f>
        <v>0</v>
      </c>
      <c r="AE287" s="20">
        <f ca="1">Master_List!$AW$17</f>
        <v>0</v>
      </c>
      <c r="AF287" s="20" t="str">
        <f ca="1">Master_List!$AW$18</f>
        <v>INDKOM</v>
      </c>
      <c r="AG287" s="20" t="str">
        <f ca="1">Master_List!$AW$19</f>
        <v>J-SLOTTED</v>
      </c>
      <c r="AH287" s="20" t="str">
        <f ca="1">Master_List!$AW$20</f>
        <v>1600A</v>
      </c>
      <c r="AI287" s="20" t="str">
        <f ca="1">Master_List!$AW$21</f>
        <v>LV5080090</v>
      </c>
      <c r="AJ287" s="20" t="str">
        <f ca="1">Master_List!$AW$22</f>
        <v>LVDB TX1</v>
      </c>
      <c r="AK287" s="20">
        <f ca="1">Master_List!$AW$23</f>
        <v>0</v>
      </c>
      <c r="AL287" s="20">
        <f ca="1">Master_List!$AW$24</f>
        <v>0</v>
      </c>
      <c r="AM287" s="20">
        <f ca="1">Master_List!$AW$25</f>
        <v>0</v>
      </c>
      <c r="AN287" s="20">
        <f ca="1">Master_List!$AW$26</f>
        <v>0</v>
      </c>
      <c r="AO287" s="20" t="str">
        <f ca="1">Master_List!$AW$27</f>
        <v>LVDB TX2</v>
      </c>
      <c r="AP287" s="20" t="str">
        <f ca="1">Master_List!$AW$28</f>
        <v>SUNPOWER TECHNOLOGIES</v>
      </c>
      <c r="AQ287" s="20" t="str">
        <f ca="1">Master_List!$AW$29</f>
        <v>SPS 30-10 L</v>
      </c>
      <c r="AR287" s="20" t="str">
        <f ca="1">Master_List!$AW$30</f>
        <v>11193-8527</v>
      </c>
      <c r="AS287" s="20">
        <f ca="1">Master_List!$AW$31</f>
        <v>0</v>
      </c>
      <c r="AT287" s="20">
        <f ca="1">Master_List!$AW$32</f>
        <v>0</v>
      </c>
      <c r="AU287" s="20">
        <f ca="1">Master_List!$AW$33</f>
        <v>0</v>
      </c>
      <c r="AV287" s="20">
        <f ca="1">Master_List!$AW$34</f>
        <v>0</v>
      </c>
      <c r="AW287" s="20">
        <f ca="1">Master_List!$AW$35</f>
        <v>0</v>
      </c>
      <c r="AX287" s="20">
        <f ca="1">Master_List!$AW$36</f>
        <v>0</v>
      </c>
      <c r="AY287" s="20">
        <f ca="1">Master_List!$AW$37</f>
        <v>0</v>
      </c>
      <c r="AZ287" s="20">
        <f ca="1">Master_List!$AW$38</f>
        <v>0</v>
      </c>
      <c r="BA287" s="20">
        <f ca="1">Master_List!$AW$39</f>
        <v>0</v>
      </c>
      <c r="BB287" s="20" t="s">
        <v>2240</v>
      </c>
      <c r="BC287" s="20" t="s">
        <v>2241</v>
      </c>
      <c r="BD287" s="6" t="s">
        <v>1744</v>
      </c>
      <c r="BE287" s="6" t="s">
        <v>1893</v>
      </c>
      <c r="BF287" s="6" t="s">
        <v>1748</v>
      </c>
      <c r="BG287" s="6" t="str">
        <f t="shared" si="4"/>
        <v>C:\Users\aremi\Desktop\REPORT CBM\PO 42289580 - Pahang 11kV SECOND CYCLE AZZAD 2026\RAW MATERIAL\047. TNB BARU (IR+VI)\RAW DATA\IR</v>
      </c>
      <c r="BH287" s="24" t="s">
        <v>827</v>
      </c>
    </row>
    <row r="288" spans="1:60" ht="30" customHeight="1" x14ac:dyDescent="0.25">
      <c r="A288" s="6">
        <v>144</v>
      </c>
      <c r="B288" s="6" t="s">
        <v>1574</v>
      </c>
      <c r="C288" s="6">
        <v>1</v>
      </c>
      <c r="D288" s="6" t="s">
        <v>2252</v>
      </c>
      <c r="E288" s="6">
        <v>144</v>
      </c>
      <c r="F288" s="6" t="str">
        <f ca="1">Master_List!$AW$1</f>
        <v>PERPUSTAKAAN PUSAT</v>
      </c>
      <c r="G288" s="27" t="str">
        <f ca="1">Master_List!$AW$2</f>
        <v>09:30 PM</v>
      </c>
      <c r="H288" s="32" t="str">
        <f ca="1">Master_List!$AW$3</f>
        <v>20/07/2026</v>
      </c>
      <c r="I288" s="28" t="str">
        <f ca="1">Master_List!$AW$4</f>
        <v>28.5</v>
      </c>
      <c r="J288" s="6" t="str">
        <f ca="1">Master_List!$AW$5</f>
        <v>65</v>
      </c>
      <c r="K288" s="6" t="s">
        <v>1572</v>
      </c>
      <c r="L288" s="21">
        <v>2</v>
      </c>
      <c r="M288" s="21" t="s">
        <v>2248</v>
      </c>
      <c r="N288" s="21" t="s">
        <v>2246</v>
      </c>
      <c r="O288" s="21" t="s">
        <v>2246</v>
      </c>
      <c r="P288" s="21" t="s">
        <v>2246</v>
      </c>
      <c r="Q288" s="21" t="s">
        <v>2246</v>
      </c>
      <c r="R288" s="21" t="s">
        <v>2246</v>
      </c>
      <c r="S288" s="21" t="s">
        <v>2246</v>
      </c>
      <c r="T288" s="20" t="str">
        <f ca="1">Master_List!$AW$6</f>
        <v>TOSHIBA</v>
      </c>
      <c r="U288" s="20" t="str">
        <f ca="1">Master_List!$AW$7</f>
        <v>MRMU</v>
      </c>
      <c r="V288" s="20" t="str">
        <f ca="1">Master_List!$AW$8</f>
        <v>12kV</v>
      </c>
      <c r="W288" s="20" t="str">
        <f ca="1">Master_List!$AW$9</f>
        <v>2S1F</v>
      </c>
      <c r="X288" s="20" t="str">
        <f ca="1">Master_List!$AW$10</f>
        <v>MTM</v>
      </c>
      <c r="Y288" s="20" t="str">
        <f ca="1">Master_List!$AW$11</f>
        <v>HERMETICALLY SEAL</v>
      </c>
      <c r="Z288" s="20" t="str">
        <f ca="1">Master_List!$AW$12</f>
        <v>750kVA</v>
      </c>
      <c r="AA288" s="20" t="str">
        <f ca="1">Master_List!$AW$13</f>
        <v>1317</v>
      </c>
      <c r="AB288" s="20">
        <f ca="1">Master_List!$AW$14</f>
        <v>0</v>
      </c>
      <c r="AC288" s="20">
        <f ca="1">Master_List!$AW$15</f>
        <v>0</v>
      </c>
      <c r="AD288" s="20">
        <f ca="1">Master_List!$AW$16</f>
        <v>0</v>
      </c>
      <c r="AE288" s="20">
        <f ca="1">Master_List!$AW$17</f>
        <v>0</v>
      </c>
      <c r="AF288" s="20" t="str">
        <f ca="1">Master_List!$AW$18</f>
        <v>INDKOM</v>
      </c>
      <c r="AG288" s="20" t="str">
        <f ca="1">Master_List!$AW$19</f>
        <v>J-SLOTTED</v>
      </c>
      <c r="AH288" s="20" t="str">
        <f ca="1">Master_List!$AW$20</f>
        <v>1600A</v>
      </c>
      <c r="AI288" s="20" t="str">
        <f ca="1">Master_List!$AW$21</f>
        <v>LV5080090</v>
      </c>
      <c r="AJ288" s="20" t="str">
        <f ca="1">Master_List!$AW$22</f>
        <v>LVDB TX1</v>
      </c>
      <c r="AK288" s="20">
        <f ca="1">Master_List!$AW$23</f>
        <v>0</v>
      </c>
      <c r="AL288" s="20">
        <f ca="1">Master_List!$AW$24</f>
        <v>0</v>
      </c>
      <c r="AM288" s="20">
        <f ca="1">Master_List!$AW$25</f>
        <v>0</v>
      </c>
      <c r="AN288" s="20">
        <f ca="1">Master_List!$AW$26</f>
        <v>0</v>
      </c>
      <c r="AO288" s="20" t="str">
        <f ca="1">Master_List!$AW$27</f>
        <v>LVDB TX2</v>
      </c>
      <c r="AP288" s="20" t="str">
        <f ca="1">Master_List!$AW$28</f>
        <v>SUNPOWER TECHNOLOGIES</v>
      </c>
      <c r="AQ288" s="20" t="str">
        <f ca="1">Master_List!$AW$29</f>
        <v>SPS 30-10 L</v>
      </c>
      <c r="AR288" s="20" t="str">
        <f ca="1">Master_List!$AW$30</f>
        <v>11193-8527</v>
      </c>
      <c r="AS288" s="20">
        <f ca="1">Master_List!$AW$31</f>
        <v>0</v>
      </c>
      <c r="AT288" s="20">
        <f ca="1">Master_List!$AW$32</f>
        <v>0</v>
      </c>
      <c r="AU288" s="20">
        <f ca="1">Master_List!$AW$33</f>
        <v>0</v>
      </c>
      <c r="AV288" s="20">
        <f ca="1">Master_List!$AW$34</f>
        <v>0</v>
      </c>
      <c r="AW288" s="20">
        <f ca="1">Master_List!$AW$35</f>
        <v>0</v>
      </c>
      <c r="AX288" s="20">
        <f ca="1">Master_List!$AW$36</f>
        <v>0</v>
      </c>
      <c r="AY288" s="20">
        <f ca="1">Master_List!$AW$37</f>
        <v>0</v>
      </c>
      <c r="AZ288" s="20">
        <f ca="1">Master_List!$AW$38</f>
        <v>0</v>
      </c>
      <c r="BA288" s="20">
        <f ca="1">Master_List!$AW$39</f>
        <v>0</v>
      </c>
      <c r="BB288" s="20" t="s">
        <v>2240</v>
      </c>
      <c r="BC288" s="20" t="s">
        <v>2241</v>
      </c>
      <c r="BD288" s="6" t="s">
        <v>1744</v>
      </c>
      <c r="BE288" s="6" t="s">
        <v>1894</v>
      </c>
      <c r="BF288" s="6" t="s">
        <v>1746</v>
      </c>
      <c r="BG288" s="6" t="str">
        <f t="shared" si="4"/>
        <v>C:\Users\aremi\Desktop\REPORT CBM\PO 42289580 - Pahang 11kV SECOND CYCLE AZZAD 2026\RAW MATERIAL\047. TNB BARU (IR+VI)\RAW DATA\IR</v>
      </c>
      <c r="BH288" s="24" t="s">
        <v>828</v>
      </c>
    </row>
    <row r="289" spans="1:60" ht="30" customHeight="1" x14ac:dyDescent="0.25">
      <c r="A289" s="6">
        <v>144</v>
      </c>
      <c r="B289" s="6" t="s">
        <v>1574</v>
      </c>
      <c r="C289" s="6">
        <v>1</v>
      </c>
      <c r="D289" s="6" t="s">
        <v>2252</v>
      </c>
      <c r="E289" s="6">
        <v>144</v>
      </c>
      <c r="F289" s="6" t="str">
        <f ca="1">Master_List!$AW$1</f>
        <v>PERPUSTAKAAN PUSAT</v>
      </c>
      <c r="G289" s="27" t="str">
        <f ca="1">Master_List!$AW$2</f>
        <v>09:30 PM</v>
      </c>
      <c r="H289" s="32" t="str">
        <f ca="1">Master_List!$AW$3</f>
        <v>20/07/2026</v>
      </c>
      <c r="I289" s="28" t="str">
        <f ca="1">Master_List!$AW$4</f>
        <v>28.5</v>
      </c>
      <c r="J289" s="6" t="str">
        <f ca="1">Master_List!$AW$5</f>
        <v>65</v>
      </c>
      <c r="K289" s="6" t="s">
        <v>1572</v>
      </c>
      <c r="L289" s="21">
        <v>2</v>
      </c>
      <c r="M289" s="21" t="s">
        <v>2248</v>
      </c>
      <c r="N289" s="21" t="s">
        <v>2246</v>
      </c>
      <c r="O289" s="21" t="s">
        <v>2246</v>
      </c>
      <c r="P289" s="21" t="s">
        <v>2246</v>
      </c>
      <c r="Q289" s="21" t="s">
        <v>2246</v>
      </c>
      <c r="R289" s="21" t="s">
        <v>2246</v>
      </c>
      <c r="S289" s="21" t="s">
        <v>2246</v>
      </c>
      <c r="T289" s="20" t="str">
        <f ca="1">Master_List!$AW$6</f>
        <v>TOSHIBA</v>
      </c>
      <c r="U289" s="20" t="str">
        <f ca="1">Master_List!$AW$7</f>
        <v>MRMU</v>
      </c>
      <c r="V289" s="20" t="str">
        <f ca="1">Master_List!$AW$8</f>
        <v>12kV</v>
      </c>
      <c r="W289" s="20" t="str">
        <f ca="1">Master_List!$AW$9</f>
        <v>2S1F</v>
      </c>
      <c r="X289" s="20" t="str">
        <f ca="1">Master_List!$AW$10</f>
        <v>MTM</v>
      </c>
      <c r="Y289" s="20" t="str">
        <f ca="1">Master_List!$AW$11</f>
        <v>HERMETICALLY SEAL</v>
      </c>
      <c r="Z289" s="20" t="str">
        <f ca="1">Master_List!$AW$12</f>
        <v>750kVA</v>
      </c>
      <c r="AA289" s="20" t="str">
        <f ca="1">Master_List!$AW$13</f>
        <v>1317</v>
      </c>
      <c r="AB289" s="20">
        <f ca="1">Master_List!$AW$14</f>
        <v>0</v>
      </c>
      <c r="AC289" s="20">
        <f ca="1">Master_List!$AW$15</f>
        <v>0</v>
      </c>
      <c r="AD289" s="20">
        <f ca="1">Master_List!$AW$16</f>
        <v>0</v>
      </c>
      <c r="AE289" s="20">
        <f ca="1">Master_List!$AW$17</f>
        <v>0</v>
      </c>
      <c r="AF289" s="20" t="str">
        <f ca="1">Master_List!$AW$18</f>
        <v>INDKOM</v>
      </c>
      <c r="AG289" s="20" t="str">
        <f ca="1">Master_List!$AW$19</f>
        <v>J-SLOTTED</v>
      </c>
      <c r="AH289" s="20" t="str">
        <f ca="1">Master_List!$AW$20</f>
        <v>1600A</v>
      </c>
      <c r="AI289" s="20" t="str">
        <f ca="1">Master_List!$AW$21</f>
        <v>LV5080090</v>
      </c>
      <c r="AJ289" s="20" t="str">
        <f ca="1">Master_List!$AW$22</f>
        <v>LVDB TX1</v>
      </c>
      <c r="AK289" s="20">
        <f ca="1">Master_List!$AW$23</f>
        <v>0</v>
      </c>
      <c r="AL289" s="20">
        <f ca="1">Master_List!$AW$24</f>
        <v>0</v>
      </c>
      <c r="AM289" s="20">
        <f ca="1">Master_List!$AW$25</f>
        <v>0</v>
      </c>
      <c r="AN289" s="20">
        <f ca="1">Master_List!$AW$26</f>
        <v>0</v>
      </c>
      <c r="AO289" s="20" t="str">
        <f ca="1">Master_List!$AW$27</f>
        <v>LVDB TX2</v>
      </c>
      <c r="AP289" s="20" t="str">
        <f ca="1">Master_List!$AW$28</f>
        <v>SUNPOWER TECHNOLOGIES</v>
      </c>
      <c r="AQ289" s="20" t="str">
        <f ca="1">Master_List!$AW$29</f>
        <v>SPS 30-10 L</v>
      </c>
      <c r="AR289" s="20" t="str">
        <f ca="1">Master_List!$AW$30</f>
        <v>11193-8527</v>
      </c>
      <c r="AS289" s="20">
        <f ca="1">Master_List!$AW$31</f>
        <v>0</v>
      </c>
      <c r="AT289" s="20">
        <f ca="1">Master_List!$AW$32</f>
        <v>0</v>
      </c>
      <c r="AU289" s="20">
        <f ca="1">Master_List!$AW$33</f>
        <v>0</v>
      </c>
      <c r="AV289" s="20">
        <f ca="1">Master_List!$AW$34</f>
        <v>0</v>
      </c>
      <c r="AW289" s="20">
        <f ca="1">Master_List!$AW$35</f>
        <v>0</v>
      </c>
      <c r="AX289" s="20">
        <f ca="1">Master_List!$AW$36</f>
        <v>0</v>
      </c>
      <c r="AY289" s="20">
        <f ca="1">Master_List!$AW$37</f>
        <v>0</v>
      </c>
      <c r="AZ289" s="20">
        <f ca="1">Master_List!$AW$38</f>
        <v>0</v>
      </c>
      <c r="BA289" s="20">
        <f ca="1">Master_List!$AW$39</f>
        <v>0</v>
      </c>
      <c r="BB289" s="20" t="s">
        <v>2240</v>
      </c>
      <c r="BC289" s="20" t="s">
        <v>2241</v>
      </c>
      <c r="BD289" s="6" t="s">
        <v>1744</v>
      </c>
      <c r="BE289" s="6" t="s">
        <v>1894</v>
      </c>
      <c r="BF289" s="6" t="s">
        <v>1748</v>
      </c>
      <c r="BG289" s="6" t="str">
        <f t="shared" si="4"/>
        <v>C:\Users\aremi\Desktop\REPORT CBM\PO 42289580 - Pahang 11kV SECOND CYCLE AZZAD 2026\RAW MATERIAL\047. TNB BARU (IR+VI)\RAW DATA\IR</v>
      </c>
      <c r="BH289" s="24" t="s">
        <v>829</v>
      </c>
    </row>
    <row r="290" spans="1:60" ht="30" customHeight="1" x14ac:dyDescent="0.25">
      <c r="A290" s="6">
        <v>145</v>
      </c>
      <c r="B290" s="6" t="s">
        <v>1574</v>
      </c>
      <c r="C290" s="6">
        <v>1</v>
      </c>
      <c r="D290" s="6" t="s">
        <v>2252</v>
      </c>
      <c r="E290" s="6">
        <v>145</v>
      </c>
      <c r="F290" s="6" t="str">
        <f ca="1">Master_List!$AW$1</f>
        <v>PERPUSTAKAAN PUSAT</v>
      </c>
      <c r="G290" s="27" t="str">
        <f ca="1">Master_List!$AW$2</f>
        <v>09:30 PM</v>
      </c>
      <c r="H290" s="32" t="str">
        <f ca="1">Master_List!$AW$3</f>
        <v>20/07/2026</v>
      </c>
      <c r="I290" s="28" t="str">
        <f ca="1">Master_List!$AW$4</f>
        <v>28.5</v>
      </c>
      <c r="J290" s="6" t="str">
        <f ca="1">Master_List!$AW$5</f>
        <v>65</v>
      </c>
      <c r="K290" s="6" t="s">
        <v>1573</v>
      </c>
      <c r="L290" s="21">
        <v>2</v>
      </c>
      <c r="M290" s="21" t="s">
        <v>2248</v>
      </c>
      <c r="N290" s="21" t="s">
        <v>2246</v>
      </c>
      <c r="O290" s="21" t="s">
        <v>2246</v>
      </c>
      <c r="P290" s="21" t="s">
        <v>2246</v>
      </c>
      <c r="Q290" s="21" t="s">
        <v>2246</v>
      </c>
      <c r="R290" s="21" t="s">
        <v>2246</v>
      </c>
      <c r="S290" s="21" t="s">
        <v>2246</v>
      </c>
      <c r="T290" s="20" t="str">
        <f ca="1">Master_List!$AW$6</f>
        <v>TOSHIBA</v>
      </c>
      <c r="U290" s="20" t="str">
        <f ca="1">Master_List!$AW$7</f>
        <v>MRMU</v>
      </c>
      <c r="V290" s="20" t="str">
        <f ca="1">Master_List!$AW$8</f>
        <v>12kV</v>
      </c>
      <c r="W290" s="20" t="str">
        <f ca="1">Master_List!$AW$9</f>
        <v>2S1F</v>
      </c>
      <c r="X290" s="20" t="str">
        <f ca="1">Master_List!$AW$10</f>
        <v>MTM</v>
      </c>
      <c r="Y290" s="20" t="str">
        <f ca="1">Master_List!$AW$11</f>
        <v>HERMETICALLY SEAL</v>
      </c>
      <c r="Z290" s="20" t="str">
        <f ca="1">Master_List!$AW$12</f>
        <v>750kVA</v>
      </c>
      <c r="AA290" s="20" t="str">
        <f ca="1">Master_List!$AW$13</f>
        <v>1317</v>
      </c>
      <c r="AB290" s="20">
        <f ca="1">Master_List!$AW$14</f>
        <v>0</v>
      </c>
      <c r="AC290" s="20">
        <f ca="1">Master_List!$AW$15</f>
        <v>0</v>
      </c>
      <c r="AD290" s="20">
        <f ca="1">Master_List!$AW$16</f>
        <v>0</v>
      </c>
      <c r="AE290" s="20">
        <f ca="1">Master_List!$AW$17</f>
        <v>0</v>
      </c>
      <c r="AF290" s="20" t="str">
        <f ca="1">Master_List!$AW$18</f>
        <v>INDKOM</v>
      </c>
      <c r="AG290" s="20" t="str">
        <f ca="1">Master_List!$AW$19</f>
        <v>J-SLOTTED</v>
      </c>
      <c r="AH290" s="20" t="str">
        <f ca="1">Master_List!$AW$20</f>
        <v>1600A</v>
      </c>
      <c r="AI290" s="20" t="str">
        <f ca="1">Master_List!$AW$21</f>
        <v>LV5080090</v>
      </c>
      <c r="AJ290" s="20" t="str">
        <f ca="1">Master_List!$AW$22</f>
        <v>LVDB TX1</v>
      </c>
      <c r="AK290" s="20">
        <f ca="1">Master_List!$AW$23</f>
        <v>0</v>
      </c>
      <c r="AL290" s="20">
        <f ca="1">Master_List!$AW$24</f>
        <v>0</v>
      </c>
      <c r="AM290" s="20">
        <f ca="1">Master_List!$AW$25</f>
        <v>0</v>
      </c>
      <c r="AN290" s="20">
        <f ca="1">Master_List!$AW$26</f>
        <v>0</v>
      </c>
      <c r="AO290" s="20" t="str">
        <f ca="1">Master_List!$AW$27</f>
        <v>LVDB TX2</v>
      </c>
      <c r="AP290" s="20" t="str">
        <f ca="1">Master_List!$AW$28</f>
        <v>SUNPOWER TECHNOLOGIES</v>
      </c>
      <c r="AQ290" s="20" t="str">
        <f ca="1">Master_List!$AW$29</f>
        <v>SPS 30-10 L</v>
      </c>
      <c r="AR290" s="20" t="str">
        <f ca="1">Master_List!$AW$30</f>
        <v>11193-8527</v>
      </c>
      <c r="AS290" s="20">
        <f ca="1">Master_List!$AW$31</f>
        <v>0</v>
      </c>
      <c r="AT290" s="20">
        <f ca="1">Master_List!$AW$32</f>
        <v>0</v>
      </c>
      <c r="AU290" s="20">
        <f ca="1">Master_List!$AW$33</f>
        <v>0</v>
      </c>
      <c r="AV290" s="20">
        <f ca="1">Master_List!$AW$34</f>
        <v>0</v>
      </c>
      <c r="AW290" s="20">
        <f ca="1">Master_List!$AW$35</f>
        <v>0</v>
      </c>
      <c r="AX290" s="20">
        <f ca="1">Master_List!$AW$36</f>
        <v>0</v>
      </c>
      <c r="AY290" s="20">
        <f ca="1">Master_List!$AW$37</f>
        <v>0</v>
      </c>
      <c r="AZ290" s="20">
        <f ca="1">Master_List!$AW$38</f>
        <v>0</v>
      </c>
      <c r="BA290" s="20">
        <f ca="1">Master_List!$AW$39</f>
        <v>0</v>
      </c>
      <c r="BB290" s="20" t="s">
        <v>2240</v>
      </c>
      <c r="BC290" s="20" t="s">
        <v>2241</v>
      </c>
      <c r="BD290" s="6" t="s">
        <v>1744</v>
      </c>
      <c r="BE290" s="6" t="s">
        <v>1895</v>
      </c>
      <c r="BF290" s="6" t="s">
        <v>1746</v>
      </c>
      <c r="BG290" s="6" t="str">
        <f t="shared" si="4"/>
        <v>C:\Users\aremi\Desktop\REPORT CBM\PO 42289580 - Pahang 11kV SECOND CYCLE AZZAD 2026\RAW MATERIAL\047. TNB BARU (IR+VI)\RAW DATA\IR</v>
      </c>
      <c r="BH290" s="24" t="s">
        <v>830</v>
      </c>
    </row>
    <row r="291" spans="1:60" ht="30" customHeight="1" x14ac:dyDescent="0.25">
      <c r="A291" s="6">
        <v>145</v>
      </c>
      <c r="B291" s="6" t="s">
        <v>1574</v>
      </c>
      <c r="C291" s="6">
        <v>1</v>
      </c>
      <c r="D291" s="6" t="s">
        <v>2253</v>
      </c>
      <c r="E291" s="6">
        <v>145</v>
      </c>
      <c r="F291" s="6" t="str">
        <f ca="1">Master_List!$AW$1</f>
        <v>PERPUSTAKAAN PUSAT</v>
      </c>
      <c r="G291" s="27" t="str">
        <f ca="1">Master_List!$AW$2</f>
        <v>09:30 PM</v>
      </c>
      <c r="H291" s="32" t="str">
        <f ca="1">Master_List!$AW$3</f>
        <v>20/07/2026</v>
      </c>
      <c r="I291" s="28" t="str">
        <f ca="1">Master_List!$AW$4</f>
        <v>28.5</v>
      </c>
      <c r="J291" s="6" t="str">
        <f ca="1">Master_List!$AW$5</f>
        <v>65</v>
      </c>
      <c r="K291" s="6" t="s">
        <v>1573</v>
      </c>
      <c r="L291" s="21">
        <v>2</v>
      </c>
      <c r="M291" s="21" t="s">
        <v>2248</v>
      </c>
      <c r="N291" s="21" t="s">
        <v>2246</v>
      </c>
      <c r="O291" s="21" t="s">
        <v>2246</v>
      </c>
      <c r="P291" s="21" t="s">
        <v>2246</v>
      </c>
      <c r="Q291" s="21" t="s">
        <v>2246</v>
      </c>
      <c r="R291" s="21" t="s">
        <v>2246</v>
      </c>
      <c r="S291" s="21" t="s">
        <v>2246</v>
      </c>
      <c r="T291" s="20" t="str">
        <f ca="1">Master_List!$AW$6</f>
        <v>TOSHIBA</v>
      </c>
      <c r="U291" s="20" t="str">
        <f ca="1">Master_List!$AW$7</f>
        <v>MRMU</v>
      </c>
      <c r="V291" s="20" t="str">
        <f ca="1">Master_List!$AW$8</f>
        <v>12kV</v>
      </c>
      <c r="W291" s="20" t="str">
        <f ca="1">Master_List!$AW$9</f>
        <v>2S1F</v>
      </c>
      <c r="X291" s="20" t="str">
        <f ca="1">Master_List!$AW$10</f>
        <v>MTM</v>
      </c>
      <c r="Y291" s="20" t="str">
        <f ca="1">Master_List!$AW$11</f>
        <v>HERMETICALLY SEAL</v>
      </c>
      <c r="Z291" s="20" t="str">
        <f ca="1">Master_List!$AW$12</f>
        <v>750kVA</v>
      </c>
      <c r="AA291" s="20" t="str">
        <f ca="1">Master_List!$AW$13</f>
        <v>1317</v>
      </c>
      <c r="AB291" s="20">
        <f ca="1">Master_List!$AW$14</f>
        <v>0</v>
      </c>
      <c r="AC291" s="20">
        <f ca="1">Master_List!$AW$15</f>
        <v>0</v>
      </c>
      <c r="AD291" s="20">
        <f ca="1">Master_List!$AW$16</f>
        <v>0</v>
      </c>
      <c r="AE291" s="20">
        <f ca="1">Master_List!$AW$17</f>
        <v>0</v>
      </c>
      <c r="AF291" s="20" t="str">
        <f ca="1">Master_List!$AW$18</f>
        <v>INDKOM</v>
      </c>
      <c r="AG291" s="20" t="str">
        <f ca="1">Master_List!$AW$19</f>
        <v>J-SLOTTED</v>
      </c>
      <c r="AH291" s="20" t="str">
        <f ca="1">Master_List!$AW$20</f>
        <v>1600A</v>
      </c>
      <c r="AI291" s="20" t="str">
        <f ca="1">Master_List!$AW$21</f>
        <v>LV5080090</v>
      </c>
      <c r="AJ291" s="20" t="str">
        <f ca="1">Master_List!$AW$22</f>
        <v>LVDB TX1</v>
      </c>
      <c r="AK291" s="20">
        <f ca="1">Master_List!$AW$23</f>
        <v>0</v>
      </c>
      <c r="AL291" s="20">
        <f ca="1">Master_List!$AW$24</f>
        <v>0</v>
      </c>
      <c r="AM291" s="20">
        <f ca="1">Master_List!$AW$25</f>
        <v>0</v>
      </c>
      <c r="AN291" s="20">
        <f ca="1">Master_List!$AW$26</f>
        <v>0</v>
      </c>
      <c r="AO291" s="20" t="str">
        <f ca="1">Master_List!$AW$27</f>
        <v>LVDB TX2</v>
      </c>
      <c r="AP291" s="20" t="str">
        <f ca="1">Master_List!$AW$28</f>
        <v>SUNPOWER TECHNOLOGIES</v>
      </c>
      <c r="AQ291" s="20" t="str">
        <f ca="1">Master_List!$AW$29</f>
        <v>SPS 30-10 L</v>
      </c>
      <c r="AR291" s="20" t="str">
        <f ca="1">Master_List!$AW$30</f>
        <v>11193-8527</v>
      </c>
      <c r="AS291" s="20">
        <f ca="1">Master_List!$AW$31</f>
        <v>0</v>
      </c>
      <c r="AT291" s="20">
        <f ca="1">Master_List!$AW$32</f>
        <v>0</v>
      </c>
      <c r="AU291" s="20">
        <f ca="1">Master_List!$AW$33</f>
        <v>0</v>
      </c>
      <c r="AV291" s="20">
        <f ca="1">Master_List!$AW$34</f>
        <v>0</v>
      </c>
      <c r="AW291" s="20">
        <f ca="1">Master_List!$AW$35</f>
        <v>0</v>
      </c>
      <c r="AX291" s="20">
        <f ca="1">Master_List!$AW$36</f>
        <v>0</v>
      </c>
      <c r="AY291" s="20">
        <f ca="1">Master_List!$AW$37</f>
        <v>0</v>
      </c>
      <c r="AZ291" s="20">
        <f ca="1">Master_List!$AW$38</f>
        <v>0</v>
      </c>
      <c r="BA291" s="20">
        <f ca="1">Master_List!$AW$39</f>
        <v>0</v>
      </c>
      <c r="BB291" s="20" t="s">
        <v>2240</v>
      </c>
      <c r="BC291" s="20" t="s">
        <v>2241</v>
      </c>
      <c r="BD291" s="6" t="s">
        <v>1744</v>
      </c>
      <c r="BE291" s="6" t="s">
        <v>1895</v>
      </c>
      <c r="BF291" s="6" t="s">
        <v>1748</v>
      </c>
      <c r="BG291" s="6" t="str">
        <f t="shared" si="4"/>
        <v>C:\Users\aremi\Desktop\REPORT CBM\PO 42289580 - Pahang 11kV SECOND CYCLE AZZAD 2026\RAW MATERIAL\047. TNB BARU (IR+VI)\RAW DATA\IR</v>
      </c>
      <c r="BH291" s="24" t="s">
        <v>831</v>
      </c>
    </row>
    <row r="292" spans="1:60" ht="30" customHeight="1" x14ac:dyDescent="0.25">
      <c r="A292" s="6">
        <v>146</v>
      </c>
      <c r="B292" s="6" t="s">
        <v>1574</v>
      </c>
      <c r="C292" s="6">
        <v>1</v>
      </c>
      <c r="D292" s="6" t="s">
        <v>2253</v>
      </c>
      <c r="E292" s="6">
        <v>146</v>
      </c>
      <c r="F292" s="6" t="str">
        <f ca="1">Master_List!$AW$1</f>
        <v>PERPUSTAKAAN PUSAT</v>
      </c>
      <c r="G292" s="27" t="str">
        <f ca="1">Master_List!$AW$2</f>
        <v>09:30 PM</v>
      </c>
      <c r="H292" s="32" t="str">
        <f ca="1">Master_List!$AW$3</f>
        <v>20/07/2026</v>
      </c>
      <c r="I292" s="28" t="str">
        <f ca="1">Master_List!$AW$4</f>
        <v>28.5</v>
      </c>
      <c r="J292" s="6" t="str">
        <f ca="1">Master_List!$AW$5</f>
        <v>65</v>
      </c>
      <c r="K292" s="6" t="s">
        <v>1571</v>
      </c>
      <c r="L292" s="21">
        <v>2</v>
      </c>
      <c r="M292" s="21" t="s">
        <v>2250</v>
      </c>
      <c r="N292" s="21" t="s">
        <v>2246</v>
      </c>
      <c r="O292" s="21" t="s">
        <v>2246</v>
      </c>
      <c r="P292" s="21" t="s">
        <v>2246</v>
      </c>
      <c r="Q292" s="21" t="s">
        <v>2246</v>
      </c>
      <c r="R292" s="21" t="s">
        <v>2246</v>
      </c>
      <c r="S292" s="21" t="s">
        <v>2246</v>
      </c>
      <c r="T292" s="20" t="str">
        <f ca="1">Master_List!$AW$6</f>
        <v>TOSHIBA</v>
      </c>
      <c r="U292" s="20" t="str">
        <f ca="1">Master_List!$AW$7</f>
        <v>MRMU</v>
      </c>
      <c r="V292" s="20" t="str">
        <f ca="1">Master_List!$AW$8</f>
        <v>12kV</v>
      </c>
      <c r="W292" s="20" t="str">
        <f ca="1">Master_List!$AW$9</f>
        <v>2S1F</v>
      </c>
      <c r="X292" s="20" t="str">
        <f ca="1">Master_List!$AW$10</f>
        <v>MTM</v>
      </c>
      <c r="Y292" s="20" t="str">
        <f ca="1">Master_List!$AW$11</f>
        <v>HERMETICALLY SEAL</v>
      </c>
      <c r="Z292" s="20" t="str">
        <f ca="1">Master_List!$AW$12</f>
        <v>750kVA</v>
      </c>
      <c r="AA292" s="20" t="str">
        <f ca="1">Master_List!$AW$13</f>
        <v>1317</v>
      </c>
      <c r="AB292" s="20">
        <f ca="1">Master_List!$AW$14</f>
        <v>0</v>
      </c>
      <c r="AC292" s="20">
        <f ca="1">Master_List!$AW$15</f>
        <v>0</v>
      </c>
      <c r="AD292" s="20">
        <f ca="1">Master_List!$AW$16</f>
        <v>0</v>
      </c>
      <c r="AE292" s="20">
        <f ca="1">Master_List!$AW$17</f>
        <v>0</v>
      </c>
      <c r="AF292" s="20" t="str">
        <f ca="1">Master_List!$AW$18</f>
        <v>INDKOM</v>
      </c>
      <c r="AG292" s="20" t="str">
        <f ca="1">Master_List!$AW$19</f>
        <v>J-SLOTTED</v>
      </c>
      <c r="AH292" s="20" t="str">
        <f ca="1">Master_List!$AW$20</f>
        <v>1600A</v>
      </c>
      <c r="AI292" s="20" t="str">
        <f ca="1">Master_List!$AW$21</f>
        <v>LV5080090</v>
      </c>
      <c r="AJ292" s="20" t="str">
        <f ca="1">Master_List!$AW$22</f>
        <v>LVDB TX1</v>
      </c>
      <c r="AK292" s="20">
        <f ca="1">Master_List!$AW$23</f>
        <v>0</v>
      </c>
      <c r="AL292" s="20">
        <f ca="1">Master_List!$AW$24</f>
        <v>0</v>
      </c>
      <c r="AM292" s="20">
        <f ca="1">Master_List!$AW$25</f>
        <v>0</v>
      </c>
      <c r="AN292" s="20">
        <f ca="1">Master_List!$AW$26</f>
        <v>0</v>
      </c>
      <c r="AO292" s="20" t="str">
        <f ca="1">Master_List!$AW$27</f>
        <v>LVDB TX2</v>
      </c>
      <c r="AP292" s="20" t="str">
        <f ca="1">Master_List!$AW$28</f>
        <v>SUNPOWER TECHNOLOGIES</v>
      </c>
      <c r="AQ292" s="20" t="str">
        <f ca="1">Master_List!$AW$29</f>
        <v>SPS 30-10 L</v>
      </c>
      <c r="AR292" s="20" t="str">
        <f ca="1">Master_List!$AW$30</f>
        <v>11193-8527</v>
      </c>
      <c r="AS292" s="20">
        <f ca="1">Master_List!$AW$31</f>
        <v>0</v>
      </c>
      <c r="AT292" s="20">
        <f ca="1">Master_List!$AW$32</f>
        <v>0</v>
      </c>
      <c r="AU292" s="20">
        <f ca="1">Master_List!$AW$33</f>
        <v>0</v>
      </c>
      <c r="AV292" s="20">
        <f ca="1">Master_List!$AW$34</f>
        <v>0</v>
      </c>
      <c r="AW292" s="20">
        <f ca="1">Master_List!$AW$35</f>
        <v>0</v>
      </c>
      <c r="AX292" s="20">
        <f ca="1">Master_List!$AW$36</f>
        <v>0</v>
      </c>
      <c r="AY292" s="20">
        <f ca="1">Master_List!$AW$37</f>
        <v>0</v>
      </c>
      <c r="AZ292" s="20">
        <f ca="1">Master_List!$AW$38</f>
        <v>0</v>
      </c>
      <c r="BA292" s="20">
        <f ca="1">Master_List!$AW$39</f>
        <v>0</v>
      </c>
      <c r="BB292" s="20" t="s">
        <v>2240</v>
      </c>
      <c r="BC292" s="20" t="s">
        <v>2241</v>
      </c>
      <c r="BD292" s="6" t="s">
        <v>1744</v>
      </c>
      <c r="BE292" s="6" t="s">
        <v>1896</v>
      </c>
      <c r="BF292" s="6" t="s">
        <v>1746</v>
      </c>
      <c r="BG292" s="6" t="str">
        <f t="shared" si="4"/>
        <v>C:\Users\aremi\Desktop\REPORT CBM\PO 42289580 - Pahang 11kV SECOND CYCLE AZZAD 2026\RAW MATERIAL\047. TNB BARU (IR+VI)\RAW DATA\IR</v>
      </c>
      <c r="BH292" s="24" t="s">
        <v>833</v>
      </c>
    </row>
    <row r="293" spans="1:60" ht="30" customHeight="1" x14ac:dyDescent="0.25">
      <c r="A293" s="6">
        <v>146</v>
      </c>
      <c r="B293" s="6" t="s">
        <v>1574</v>
      </c>
      <c r="C293" s="6">
        <v>1</v>
      </c>
      <c r="D293" s="6" t="s">
        <v>2253</v>
      </c>
      <c r="E293" s="6">
        <v>146</v>
      </c>
      <c r="F293" s="6" t="str">
        <f ca="1">Master_List!$AW$1</f>
        <v>PERPUSTAKAAN PUSAT</v>
      </c>
      <c r="G293" s="27" t="str">
        <f ca="1">Master_List!$AW$2</f>
        <v>09:30 PM</v>
      </c>
      <c r="H293" s="32" t="str">
        <f ca="1">Master_List!$AW$3</f>
        <v>20/07/2026</v>
      </c>
      <c r="I293" s="28" t="str">
        <f ca="1">Master_List!$AW$4</f>
        <v>28.5</v>
      </c>
      <c r="J293" s="6" t="str">
        <f ca="1">Master_List!$AW$5</f>
        <v>65</v>
      </c>
      <c r="K293" s="6" t="s">
        <v>1571</v>
      </c>
      <c r="L293" s="21">
        <v>2</v>
      </c>
      <c r="M293" s="21" t="s">
        <v>2250</v>
      </c>
      <c r="N293" s="21" t="s">
        <v>2246</v>
      </c>
      <c r="O293" s="21" t="s">
        <v>2246</v>
      </c>
      <c r="P293" s="21" t="s">
        <v>2246</v>
      </c>
      <c r="Q293" s="21" t="s">
        <v>2246</v>
      </c>
      <c r="R293" s="21" t="s">
        <v>2246</v>
      </c>
      <c r="S293" s="21" t="s">
        <v>2246</v>
      </c>
      <c r="T293" s="20" t="str">
        <f ca="1">Master_List!$AW$6</f>
        <v>TOSHIBA</v>
      </c>
      <c r="U293" s="20" t="str">
        <f ca="1">Master_List!$AW$7</f>
        <v>MRMU</v>
      </c>
      <c r="V293" s="20" t="str">
        <f ca="1">Master_List!$AW$8</f>
        <v>12kV</v>
      </c>
      <c r="W293" s="20" t="str">
        <f ca="1">Master_List!$AW$9</f>
        <v>2S1F</v>
      </c>
      <c r="X293" s="20" t="str">
        <f ca="1">Master_List!$AW$10</f>
        <v>MTM</v>
      </c>
      <c r="Y293" s="20" t="str">
        <f ca="1">Master_List!$AW$11</f>
        <v>HERMETICALLY SEAL</v>
      </c>
      <c r="Z293" s="20" t="str">
        <f ca="1">Master_List!$AW$12</f>
        <v>750kVA</v>
      </c>
      <c r="AA293" s="20" t="str">
        <f ca="1">Master_List!$AW$13</f>
        <v>1317</v>
      </c>
      <c r="AB293" s="20">
        <f ca="1">Master_List!$AW$14</f>
        <v>0</v>
      </c>
      <c r="AC293" s="20">
        <f ca="1">Master_List!$AW$15</f>
        <v>0</v>
      </c>
      <c r="AD293" s="20">
        <f ca="1">Master_List!$AW$16</f>
        <v>0</v>
      </c>
      <c r="AE293" s="20">
        <f ca="1">Master_List!$AW$17</f>
        <v>0</v>
      </c>
      <c r="AF293" s="20" t="str">
        <f ca="1">Master_List!$AW$18</f>
        <v>INDKOM</v>
      </c>
      <c r="AG293" s="20" t="str">
        <f ca="1">Master_List!$AW$19</f>
        <v>J-SLOTTED</v>
      </c>
      <c r="AH293" s="20" t="str">
        <f ca="1">Master_List!$AW$20</f>
        <v>1600A</v>
      </c>
      <c r="AI293" s="20" t="str">
        <f ca="1">Master_List!$AW$21</f>
        <v>LV5080090</v>
      </c>
      <c r="AJ293" s="20" t="str">
        <f ca="1">Master_List!$AW$22</f>
        <v>LVDB TX1</v>
      </c>
      <c r="AK293" s="20">
        <f ca="1">Master_List!$AW$23</f>
        <v>0</v>
      </c>
      <c r="AL293" s="20">
        <f ca="1">Master_List!$AW$24</f>
        <v>0</v>
      </c>
      <c r="AM293" s="20">
        <f ca="1">Master_List!$AW$25</f>
        <v>0</v>
      </c>
      <c r="AN293" s="20">
        <f ca="1">Master_List!$AW$26</f>
        <v>0</v>
      </c>
      <c r="AO293" s="20" t="str">
        <f ca="1">Master_List!$AW$27</f>
        <v>LVDB TX2</v>
      </c>
      <c r="AP293" s="20" t="str">
        <f ca="1">Master_List!$AW$28</f>
        <v>SUNPOWER TECHNOLOGIES</v>
      </c>
      <c r="AQ293" s="20" t="str">
        <f ca="1">Master_List!$AW$29</f>
        <v>SPS 30-10 L</v>
      </c>
      <c r="AR293" s="20" t="str">
        <f ca="1">Master_List!$AW$30</f>
        <v>11193-8527</v>
      </c>
      <c r="AS293" s="20">
        <f ca="1">Master_List!$AW$31</f>
        <v>0</v>
      </c>
      <c r="AT293" s="20">
        <f ca="1">Master_List!$AW$32</f>
        <v>0</v>
      </c>
      <c r="AU293" s="20">
        <f ca="1">Master_List!$AW$33</f>
        <v>0</v>
      </c>
      <c r="AV293" s="20">
        <f ca="1">Master_List!$AW$34</f>
        <v>0</v>
      </c>
      <c r="AW293" s="20">
        <f ca="1">Master_List!$AW$35</f>
        <v>0</v>
      </c>
      <c r="AX293" s="20">
        <f ca="1">Master_List!$AW$36</f>
        <v>0</v>
      </c>
      <c r="AY293" s="20">
        <f ca="1">Master_List!$AW$37</f>
        <v>0</v>
      </c>
      <c r="AZ293" s="20">
        <f ca="1">Master_List!$AW$38</f>
        <v>0</v>
      </c>
      <c r="BA293" s="20">
        <f ca="1">Master_List!$AW$39</f>
        <v>0</v>
      </c>
      <c r="BB293" s="20" t="s">
        <v>2240</v>
      </c>
      <c r="BC293" s="20" t="s">
        <v>2241</v>
      </c>
      <c r="BD293" s="6" t="s">
        <v>1744</v>
      </c>
      <c r="BE293" s="6" t="s">
        <v>1896</v>
      </c>
      <c r="BF293" s="6" t="s">
        <v>1748</v>
      </c>
      <c r="BG293" s="6" t="str">
        <f t="shared" si="4"/>
        <v>C:\Users\aremi\Desktop\REPORT CBM\PO 42289580 - Pahang 11kV SECOND CYCLE AZZAD 2026\RAW MATERIAL\047. TNB BARU (IR+VI)\RAW DATA\IR</v>
      </c>
      <c r="BH293" s="24" t="s">
        <v>834</v>
      </c>
    </row>
    <row r="294" spans="1:60" ht="30" customHeight="1" x14ac:dyDescent="0.25">
      <c r="A294" s="6">
        <v>147</v>
      </c>
      <c r="B294" s="6" t="s">
        <v>1574</v>
      </c>
      <c r="C294" s="6">
        <v>1</v>
      </c>
      <c r="D294" s="6" t="s">
        <v>2253</v>
      </c>
      <c r="E294" s="6">
        <v>147</v>
      </c>
      <c r="F294" s="6" t="str">
        <f ca="1">Master_List!$AW$1</f>
        <v>PERPUSTAKAAN PUSAT</v>
      </c>
      <c r="G294" s="27" t="str">
        <f ca="1">Master_List!$AW$2</f>
        <v>09:30 PM</v>
      </c>
      <c r="H294" s="32" t="str">
        <f ca="1">Master_List!$AW$3</f>
        <v>20/07/2026</v>
      </c>
      <c r="I294" s="28" t="str">
        <f ca="1">Master_List!$AW$4</f>
        <v>28.5</v>
      </c>
      <c r="J294" s="6" t="str">
        <f ca="1">Master_List!$AW$5</f>
        <v>65</v>
      </c>
      <c r="K294" s="6" t="s">
        <v>1572</v>
      </c>
      <c r="L294" s="21">
        <v>2</v>
      </c>
      <c r="M294" s="21" t="s">
        <v>2250</v>
      </c>
      <c r="N294" s="21" t="s">
        <v>2246</v>
      </c>
      <c r="O294" s="21" t="s">
        <v>2246</v>
      </c>
      <c r="P294" s="21" t="s">
        <v>2246</v>
      </c>
      <c r="Q294" s="21" t="s">
        <v>2246</v>
      </c>
      <c r="R294" s="21" t="s">
        <v>2246</v>
      </c>
      <c r="S294" s="21" t="s">
        <v>2246</v>
      </c>
      <c r="T294" s="20" t="str">
        <f ca="1">Master_List!$AW$6</f>
        <v>TOSHIBA</v>
      </c>
      <c r="U294" s="20" t="str">
        <f ca="1">Master_List!$AW$7</f>
        <v>MRMU</v>
      </c>
      <c r="V294" s="20" t="str">
        <f ca="1">Master_List!$AW$8</f>
        <v>12kV</v>
      </c>
      <c r="W294" s="20" t="str">
        <f ca="1">Master_List!$AW$9</f>
        <v>2S1F</v>
      </c>
      <c r="X294" s="20" t="str">
        <f ca="1">Master_List!$AW$10</f>
        <v>MTM</v>
      </c>
      <c r="Y294" s="20" t="str">
        <f ca="1">Master_List!$AW$11</f>
        <v>HERMETICALLY SEAL</v>
      </c>
      <c r="Z294" s="20" t="str">
        <f ca="1">Master_List!$AW$12</f>
        <v>750kVA</v>
      </c>
      <c r="AA294" s="20" t="str">
        <f ca="1">Master_List!$AW$13</f>
        <v>1317</v>
      </c>
      <c r="AB294" s="20">
        <f ca="1">Master_List!$AW$14</f>
        <v>0</v>
      </c>
      <c r="AC294" s="20">
        <f ca="1">Master_List!$AW$15</f>
        <v>0</v>
      </c>
      <c r="AD294" s="20">
        <f ca="1">Master_List!$AW$16</f>
        <v>0</v>
      </c>
      <c r="AE294" s="20">
        <f ca="1">Master_List!$AW$17</f>
        <v>0</v>
      </c>
      <c r="AF294" s="20" t="str">
        <f ca="1">Master_List!$AW$18</f>
        <v>INDKOM</v>
      </c>
      <c r="AG294" s="20" t="str">
        <f ca="1">Master_List!$AW$19</f>
        <v>J-SLOTTED</v>
      </c>
      <c r="AH294" s="20" t="str">
        <f ca="1">Master_List!$AW$20</f>
        <v>1600A</v>
      </c>
      <c r="AI294" s="20" t="str">
        <f ca="1">Master_List!$AW$21</f>
        <v>LV5080090</v>
      </c>
      <c r="AJ294" s="20" t="str">
        <f ca="1">Master_List!$AW$22</f>
        <v>LVDB TX1</v>
      </c>
      <c r="AK294" s="20">
        <f ca="1">Master_List!$AW$23</f>
        <v>0</v>
      </c>
      <c r="AL294" s="20">
        <f ca="1">Master_List!$AW$24</f>
        <v>0</v>
      </c>
      <c r="AM294" s="20">
        <f ca="1">Master_List!$AW$25</f>
        <v>0</v>
      </c>
      <c r="AN294" s="20">
        <f ca="1">Master_List!$AW$26</f>
        <v>0</v>
      </c>
      <c r="AO294" s="20" t="str">
        <f ca="1">Master_List!$AW$27</f>
        <v>LVDB TX2</v>
      </c>
      <c r="AP294" s="20" t="str">
        <f ca="1">Master_List!$AW$28</f>
        <v>SUNPOWER TECHNOLOGIES</v>
      </c>
      <c r="AQ294" s="20" t="str">
        <f ca="1">Master_List!$AW$29</f>
        <v>SPS 30-10 L</v>
      </c>
      <c r="AR294" s="20" t="str">
        <f ca="1">Master_List!$AW$30</f>
        <v>11193-8527</v>
      </c>
      <c r="AS294" s="20">
        <f ca="1">Master_List!$AW$31</f>
        <v>0</v>
      </c>
      <c r="AT294" s="20">
        <f ca="1">Master_List!$AW$32</f>
        <v>0</v>
      </c>
      <c r="AU294" s="20">
        <f ca="1">Master_List!$AW$33</f>
        <v>0</v>
      </c>
      <c r="AV294" s="20">
        <f ca="1">Master_List!$AW$34</f>
        <v>0</v>
      </c>
      <c r="AW294" s="20">
        <f ca="1">Master_List!$AW$35</f>
        <v>0</v>
      </c>
      <c r="AX294" s="20">
        <f ca="1">Master_List!$AW$36</f>
        <v>0</v>
      </c>
      <c r="AY294" s="20">
        <f ca="1">Master_List!$AW$37</f>
        <v>0</v>
      </c>
      <c r="AZ294" s="20">
        <f ca="1">Master_List!$AW$38</f>
        <v>0</v>
      </c>
      <c r="BA294" s="20">
        <f ca="1">Master_List!$AW$39</f>
        <v>0</v>
      </c>
      <c r="BB294" s="20" t="s">
        <v>2240</v>
      </c>
      <c r="BC294" s="20" t="s">
        <v>2241</v>
      </c>
      <c r="BD294" s="6" t="s">
        <v>1744</v>
      </c>
      <c r="BE294" s="6" t="s">
        <v>1897</v>
      </c>
      <c r="BF294" s="6" t="s">
        <v>1746</v>
      </c>
      <c r="BG294" s="6" t="str">
        <f t="shared" si="4"/>
        <v>C:\Users\aremi\Desktop\REPORT CBM\PO 42289580 - Pahang 11kV SECOND CYCLE AZZAD 2026\RAW MATERIAL\047. TNB BARU (IR+VI)\RAW DATA\IR</v>
      </c>
      <c r="BH294" s="24" t="s">
        <v>835</v>
      </c>
    </row>
    <row r="295" spans="1:60" ht="30" customHeight="1" x14ac:dyDescent="0.25">
      <c r="A295" s="6">
        <v>147</v>
      </c>
      <c r="B295" s="6" t="s">
        <v>1574</v>
      </c>
      <c r="C295" s="6">
        <v>1</v>
      </c>
      <c r="D295" s="6" t="s">
        <v>2253</v>
      </c>
      <c r="E295" s="6">
        <v>147</v>
      </c>
      <c r="F295" s="6" t="str">
        <f ca="1">Master_List!$AW$1</f>
        <v>PERPUSTAKAAN PUSAT</v>
      </c>
      <c r="G295" s="27" t="str">
        <f ca="1">Master_List!$AW$2</f>
        <v>09:30 PM</v>
      </c>
      <c r="H295" s="32" t="str">
        <f ca="1">Master_List!$AW$3</f>
        <v>20/07/2026</v>
      </c>
      <c r="I295" s="28" t="str">
        <f ca="1">Master_List!$AW$4</f>
        <v>28.5</v>
      </c>
      <c r="J295" s="6" t="str">
        <f ca="1">Master_List!$AW$5</f>
        <v>65</v>
      </c>
      <c r="K295" s="6" t="s">
        <v>1572</v>
      </c>
      <c r="L295" s="21">
        <v>2</v>
      </c>
      <c r="M295" s="21" t="s">
        <v>2250</v>
      </c>
      <c r="N295" s="21" t="s">
        <v>2246</v>
      </c>
      <c r="O295" s="21" t="s">
        <v>2246</v>
      </c>
      <c r="P295" s="21" t="s">
        <v>2246</v>
      </c>
      <c r="Q295" s="21" t="s">
        <v>2246</v>
      </c>
      <c r="R295" s="21" t="s">
        <v>2246</v>
      </c>
      <c r="S295" s="21" t="s">
        <v>2246</v>
      </c>
      <c r="T295" s="20" t="str">
        <f ca="1">Master_List!$AW$6</f>
        <v>TOSHIBA</v>
      </c>
      <c r="U295" s="20" t="str">
        <f ca="1">Master_List!$AW$7</f>
        <v>MRMU</v>
      </c>
      <c r="V295" s="20" t="str">
        <f ca="1">Master_List!$AW$8</f>
        <v>12kV</v>
      </c>
      <c r="W295" s="20" t="str">
        <f ca="1">Master_List!$AW$9</f>
        <v>2S1F</v>
      </c>
      <c r="X295" s="20" t="str">
        <f ca="1">Master_List!$AW$10</f>
        <v>MTM</v>
      </c>
      <c r="Y295" s="20" t="str">
        <f ca="1">Master_List!$AW$11</f>
        <v>HERMETICALLY SEAL</v>
      </c>
      <c r="Z295" s="20" t="str">
        <f ca="1">Master_List!$AW$12</f>
        <v>750kVA</v>
      </c>
      <c r="AA295" s="20" t="str">
        <f ca="1">Master_List!$AW$13</f>
        <v>1317</v>
      </c>
      <c r="AB295" s="20">
        <f ca="1">Master_List!$AW$14</f>
        <v>0</v>
      </c>
      <c r="AC295" s="20">
        <f ca="1">Master_List!$AW$15</f>
        <v>0</v>
      </c>
      <c r="AD295" s="20">
        <f ca="1">Master_List!$AW$16</f>
        <v>0</v>
      </c>
      <c r="AE295" s="20">
        <f ca="1">Master_List!$AW$17</f>
        <v>0</v>
      </c>
      <c r="AF295" s="20" t="str">
        <f ca="1">Master_List!$AW$18</f>
        <v>INDKOM</v>
      </c>
      <c r="AG295" s="20" t="str">
        <f ca="1">Master_List!$AW$19</f>
        <v>J-SLOTTED</v>
      </c>
      <c r="AH295" s="20" t="str">
        <f ca="1">Master_List!$AW$20</f>
        <v>1600A</v>
      </c>
      <c r="AI295" s="20" t="str">
        <f ca="1">Master_List!$AW$21</f>
        <v>LV5080090</v>
      </c>
      <c r="AJ295" s="20" t="str">
        <f ca="1">Master_List!$AW$22</f>
        <v>LVDB TX1</v>
      </c>
      <c r="AK295" s="20">
        <f ca="1">Master_List!$AW$23</f>
        <v>0</v>
      </c>
      <c r="AL295" s="20">
        <f ca="1">Master_List!$AW$24</f>
        <v>0</v>
      </c>
      <c r="AM295" s="20">
        <f ca="1">Master_List!$AW$25</f>
        <v>0</v>
      </c>
      <c r="AN295" s="20">
        <f ca="1">Master_List!$AW$26</f>
        <v>0</v>
      </c>
      <c r="AO295" s="20" t="str">
        <f ca="1">Master_List!$AW$27</f>
        <v>LVDB TX2</v>
      </c>
      <c r="AP295" s="20" t="str">
        <f ca="1">Master_List!$AW$28</f>
        <v>SUNPOWER TECHNOLOGIES</v>
      </c>
      <c r="AQ295" s="20" t="str">
        <f ca="1">Master_List!$AW$29</f>
        <v>SPS 30-10 L</v>
      </c>
      <c r="AR295" s="20" t="str">
        <f ca="1">Master_List!$AW$30</f>
        <v>11193-8527</v>
      </c>
      <c r="AS295" s="20">
        <f ca="1">Master_List!$AW$31</f>
        <v>0</v>
      </c>
      <c r="AT295" s="20">
        <f ca="1">Master_List!$AW$32</f>
        <v>0</v>
      </c>
      <c r="AU295" s="20">
        <f ca="1">Master_List!$AW$33</f>
        <v>0</v>
      </c>
      <c r="AV295" s="20">
        <f ca="1">Master_List!$AW$34</f>
        <v>0</v>
      </c>
      <c r="AW295" s="20">
        <f ca="1">Master_List!$AW$35</f>
        <v>0</v>
      </c>
      <c r="AX295" s="20">
        <f ca="1">Master_List!$AW$36</f>
        <v>0</v>
      </c>
      <c r="AY295" s="20">
        <f ca="1">Master_List!$AW$37</f>
        <v>0</v>
      </c>
      <c r="AZ295" s="20">
        <f ca="1">Master_List!$AW$38</f>
        <v>0</v>
      </c>
      <c r="BA295" s="20">
        <f ca="1">Master_List!$AW$39</f>
        <v>0</v>
      </c>
      <c r="BB295" s="20" t="s">
        <v>2240</v>
      </c>
      <c r="BC295" s="20" t="s">
        <v>2241</v>
      </c>
      <c r="BD295" s="6" t="s">
        <v>1744</v>
      </c>
      <c r="BE295" s="6" t="s">
        <v>1897</v>
      </c>
      <c r="BF295" s="6" t="s">
        <v>1748</v>
      </c>
      <c r="BG295" s="6" t="str">
        <f t="shared" si="4"/>
        <v>C:\Users\aremi\Desktop\REPORT CBM\PO 42289580 - Pahang 11kV SECOND CYCLE AZZAD 2026\RAW MATERIAL\047. TNB BARU (IR+VI)\RAW DATA\IR</v>
      </c>
      <c r="BH295" s="24" t="s">
        <v>836</v>
      </c>
    </row>
    <row r="296" spans="1:60" ht="30" customHeight="1" x14ac:dyDescent="0.25">
      <c r="A296" s="6">
        <v>148</v>
      </c>
      <c r="B296" s="6" t="s">
        <v>1574</v>
      </c>
      <c r="C296" s="6">
        <v>1</v>
      </c>
      <c r="D296" s="6" t="s">
        <v>2253</v>
      </c>
      <c r="E296" s="6">
        <v>148</v>
      </c>
      <c r="F296" s="6" t="str">
        <f ca="1">Master_List!$AW$1</f>
        <v>PERPUSTAKAAN PUSAT</v>
      </c>
      <c r="G296" s="27" t="str">
        <f ca="1">Master_List!$AW$2</f>
        <v>09:30 PM</v>
      </c>
      <c r="H296" s="32" t="str">
        <f ca="1">Master_List!$AW$3</f>
        <v>20/07/2026</v>
      </c>
      <c r="I296" s="28" t="str">
        <f ca="1">Master_List!$AW$4</f>
        <v>28.5</v>
      </c>
      <c r="J296" s="6" t="str">
        <f ca="1">Master_List!$AW$5</f>
        <v>65</v>
      </c>
      <c r="K296" s="6" t="s">
        <v>1573</v>
      </c>
      <c r="L296" s="21">
        <v>2</v>
      </c>
      <c r="M296" s="21" t="s">
        <v>2250</v>
      </c>
      <c r="N296" s="21" t="s">
        <v>2246</v>
      </c>
      <c r="O296" s="21" t="s">
        <v>2246</v>
      </c>
      <c r="P296" s="21" t="s">
        <v>2246</v>
      </c>
      <c r="Q296" s="21" t="s">
        <v>2246</v>
      </c>
      <c r="R296" s="21" t="s">
        <v>2246</v>
      </c>
      <c r="S296" s="21" t="s">
        <v>2246</v>
      </c>
      <c r="T296" s="20" t="str">
        <f ca="1">Master_List!$AW$6</f>
        <v>TOSHIBA</v>
      </c>
      <c r="U296" s="20" t="str">
        <f ca="1">Master_List!$AW$7</f>
        <v>MRMU</v>
      </c>
      <c r="V296" s="20" t="str">
        <f ca="1">Master_List!$AW$8</f>
        <v>12kV</v>
      </c>
      <c r="W296" s="20" t="str">
        <f ca="1">Master_List!$AW$9</f>
        <v>2S1F</v>
      </c>
      <c r="X296" s="20" t="str">
        <f ca="1">Master_List!$AW$10</f>
        <v>MTM</v>
      </c>
      <c r="Y296" s="20" t="str">
        <f ca="1">Master_List!$AW$11</f>
        <v>HERMETICALLY SEAL</v>
      </c>
      <c r="Z296" s="20" t="str">
        <f ca="1">Master_List!$AW$12</f>
        <v>750kVA</v>
      </c>
      <c r="AA296" s="20" t="str">
        <f ca="1">Master_List!$AW$13</f>
        <v>1317</v>
      </c>
      <c r="AB296" s="20">
        <f ca="1">Master_List!$AW$14</f>
        <v>0</v>
      </c>
      <c r="AC296" s="20">
        <f ca="1">Master_List!$AW$15</f>
        <v>0</v>
      </c>
      <c r="AD296" s="20">
        <f ca="1">Master_List!$AW$16</f>
        <v>0</v>
      </c>
      <c r="AE296" s="20">
        <f ca="1">Master_List!$AW$17</f>
        <v>0</v>
      </c>
      <c r="AF296" s="20" t="str">
        <f ca="1">Master_List!$AW$18</f>
        <v>INDKOM</v>
      </c>
      <c r="AG296" s="20" t="str">
        <f ca="1">Master_List!$AW$19</f>
        <v>J-SLOTTED</v>
      </c>
      <c r="AH296" s="20" t="str">
        <f ca="1">Master_List!$AW$20</f>
        <v>1600A</v>
      </c>
      <c r="AI296" s="20" t="str">
        <f ca="1">Master_List!$AW$21</f>
        <v>LV5080090</v>
      </c>
      <c r="AJ296" s="20" t="str">
        <f ca="1">Master_List!$AW$22</f>
        <v>LVDB TX1</v>
      </c>
      <c r="AK296" s="20">
        <f ca="1">Master_List!$AW$23</f>
        <v>0</v>
      </c>
      <c r="AL296" s="20">
        <f ca="1">Master_List!$AW$24</f>
        <v>0</v>
      </c>
      <c r="AM296" s="20">
        <f ca="1">Master_List!$AW$25</f>
        <v>0</v>
      </c>
      <c r="AN296" s="20">
        <f ca="1">Master_List!$AW$26</f>
        <v>0</v>
      </c>
      <c r="AO296" s="20" t="str">
        <f ca="1">Master_List!$AW$27</f>
        <v>LVDB TX2</v>
      </c>
      <c r="AP296" s="20" t="str">
        <f ca="1">Master_List!$AW$28</f>
        <v>SUNPOWER TECHNOLOGIES</v>
      </c>
      <c r="AQ296" s="20" t="str">
        <f ca="1">Master_List!$AW$29</f>
        <v>SPS 30-10 L</v>
      </c>
      <c r="AR296" s="20" t="str">
        <f ca="1">Master_List!$AW$30</f>
        <v>11193-8527</v>
      </c>
      <c r="AS296" s="20">
        <f ca="1">Master_List!$AW$31</f>
        <v>0</v>
      </c>
      <c r="AT296" s="20">
        <f ca="1">Master_List!$AW$32</f>
        <v>0</v>
      </c>
      <c r="AU296" s="20">
        <f ca="1">Master_List!$AW$33</f>
        <v>0</v>
      </c>
      <c r="AV296" s="20">
        <f ca="1">Master_List!$AW$34</f>
        <v>0</v>
      </c>
      <c r="AW296" s="20">
        <f ca="1">Master_List!$AW$35</f>
        <v>0</v>
      </c>
      <c r="AX296" s="20">
        <f ca="1">Master_List!$AW$36</f>
        <v>0</v>
      </c>
      <c r="AY296" s="20">
        <f ca="1">Master_List!$AW$37</f>
        <v>0</v>
      </c>
      <c r="AZ296" s="20">
        <f ca="1">Master_List!$AW$38</f>
        <v>0</v>
      </c>
      <c r="BA296" s="20">
        <f ca="1">Master_List!$AW$39</f>
        <v>0</v>
      </c>
      <c r="BB296" s="20" t="s">
        <v>2240</v>
      </c>
      <c r="BC296" s="20" t="s">
        <v>2241</v>
      </c>
      <c r="BD296" s="6" t="s">
        <v>1744</v>
      </c>
      <c r="BE296" s="6" t="s">
        <v>1898</v>
      </c>
      <c r="BF296" s="6" t="s">
        <v>1746</v>
      </c>
      <c r="BG296" s="6" t="str">
        <f t="shared" si="4"/>
        <v>C:\Users\aremi\Desktop\REPORT CBM\PO 42289580 - Pahang 11kV SECOND CYCLE AZZAD 2026\RAW MATERIAL\047. TNB BARU (IR+VI)\RAW DATA\IR</v>
      </c>
      <c r="BH296" s="24" t="s">
        <v>837</v>
      </c>
    </row>
    <row r="297" spans="1:60" ht="30" customHeight="1" x14ac:dyDescent="0.25">
      <c r="A297" s="6">
        <v>148</v>
      </c>
      <c r="B297" s="6" t="s">
        <v>1574</v>
      </c>
      <c r="C297" s="6">
        <v>1</v>
      </c>
      <c r="D297" s="6" t="s">
        <v>2253</v>
      </c>
      <c r="E297" s="6">
        <v>148</v>
      </c>
      <c r="F297" s="6" t="str">
        <f ca="1">Master_List!$AW$1</f>
        <v>PERPUSTAKAAN PUSAT</v>
      </c>
      <c r="G297" s="27" t="str">
        <f ca="1">Master_List!$AW$2</f>
        <v>09:30 PM</v>
      </c>
      <c r="H297" s="32" t="str">
        <f ca="1">Master_List!$AW$3</f>
        <v>20/07/2026</v>
      </c>
      <c r="I297" s="28" t="str">
        <f ca="1">Master_List!$AW$4</f>
        <v>28.5</v>
      </c>
      <c r="J297" s="6" t="str">
        <f ca="1">Master_List!$AW$5</f>
        <v>65</v>
      </c>
      <c r="K297" s="6" t="s">
        <v>1573</v>
      </c>
      <c r="L297" s="21">
        <v>2</v>
      </c>
      <c r="M297" s="21" t="s">
        <v>2250</v>
      </c>
      <c r="N297" s="21" t="s">
        <v>2246</v>
      </c>
      <c r="O297" s="21" t="s">
        <v>2246</v>
      </c>
      <c r="P297" s="21" t="s">
        <v>2246</v>
      </c>
      <c r="Q297" s="21" t="s">
        <v>2246</v>
      </c>
      <c r="R297" s="21" t="s">
        <v>2246</v>
      </c>
      <c r="S297" s="21" t="s">
        <v>2246</v>
      </c>
      <c r="T297" s="20" t="str">
        <f ca="1">Master_List!$AW$6</f>
        <v>TOSHIBA</v>
      </c>
      <c r="U297" s="20" t="str">
        <f ca="1">Master_List!$AW$7</f>
        <v>MRMU</v>
      </c>
      <c r="V297" s="20" t="str">
        <f ca="1">Master_List!$AW$8</f>
        <v>12kV</v>
      </c>
      <c r="W297" s="20" t="str">
        <f ca="1">Master_List!$AW$9</f>
        <v>2S1F</v>
      </c>
      <c r="X297" s="20" t="str">
        <f ca="1">Master_List!$AW$10</f>
        <v>MTM</v>
      </c>
      <c r="Y297" s="20" t="str">
        <f ca="1">Master_List!$AW$11</f>
        <v>HERMETICALLY SEAL</v>
      </c>
      <c r="Z297" s="20" t="str">
        <f ca="1">Master_List!$AW$12</f>
        <v>750kVA</v>
      </c>
      <c r="AA297" s="20" t="str">
        <f ca="1">Master_List!$AW$13</f>
        <v>1317</v>
      </c>
      <c r="AB297" s="20">
        <f ca="1">Master_List!$AW$14</f>
        <v>0</v>
      </c>
      <c r="AC297" s="20">
        <f ca="1">Master_List!$AW$15</f>
        <v>0</v>
      </c>
      <c r="AD297" s="20">
        <f ca="1">Master_List!$AW$16</f>
        <v>0</v>
      </c>
      <c r="AE297" s="20">
        <f ca="1">Master_List!$AW$17</f>
        <v>0</v>
      </c>
      <c r="AF297" s="20" t="str">
        <f ca="1">Master_List!$AW$18</f>
        <v>INDKOM</v>
      </c>
      <c r="AG297" s="20" t="str">
        <f ca="1">Master_List!$AW$19</f>
        <v>J-SLOTTED</v>
      </c>
      <c r="AH297" s="20" t="str">
        <f ca="1">Master_List!$AW$20</f>
        <v>1600A</v>
      </c>
      <c r="AI297" s="20" t="str">
        <f ca="1">Master_List!$AW$21</f>
        <v>LV5080090</v>
      </c>
      <c r="AJ297" s="20" t="str">
        <f ca="1">Master_List!$AW$22</f>
        <v>LVDB TX1</v>
      </c>
      <c r="AK297" s="20">
        <f ca="1">Master_List!$AW$23</f>
        <v>0</v>
      </c>
      <c r="AL297" s="20">
        <f ca="1">Master_List!$AW$24</f>
        <v>0</v>
      </c>
      <c r="AM297" s="20">
        <f ca="1">Master_List!$AW$25</f>
        <v>0</v>
      </c>
      <c r="AN297" s="20">
        <f ca="1">Master_List!$AW$26</f>
        <v>0</v>
      </c>
      <c r="AO297" s="20" t="str">
        <f ca="1">Master_List!$AW$27</f>
        <v>LVDB TX2</v>
      </c>
      <c r="AP297" s="20" t="str">
        <f ca="1">Master_List!$AW$28</f>
        <v>SUNPOWER TECHNOLOGIES</v>
      </c>
      <c r="AQ297" s="20" t="str">
        <f ca="1">Master_List!$AW$29</f>
        <v>SPS 30-10 L</v>
      </c>
      <c r="AR297" s="20" t="str">
        <f ca="1">Master_List!$AW$30</f>
        <v>11193-8527</v>
      </c>
      <c r="AS297" s="20">
        <f ca="1">Master_List!$AW$31</f>
        <v>0</v>
      </c>
      <c r="AT297" s="20">
        <f ca="1">Master_List!$AW$32</f>
        <v>0</v>
      </c>
      <c r="AU297" s="20">
        <f ca="1">Master_List!$AW$33</f>
        <v>0</v>
      </c>
      <c r="AV297" s="20">
        <f ca="1">Master_List!$AW$34</f>
        <v>0</v>
      </c>
      <c r="AW297" s="20">
        <f ca="1">Master_List!$AW$35</f>
        <v>0</v>
      </c>
      <c r="AX297" s="20">
        <f ca="1">Master_List!$AW$36</f>
        <v>0</v>
      </c>
      <c r="AY297" s="20">
        <f ca="1">Master_List!$AW$37</f>
        <v>0</v>
      </c>
      <c r="AZ297" s="20">
        <f ca="1">Master_List!$AW$38</f>
        <v>0</v>
      </c>
      <c r="BA297" s="20">
        <f ca="1">Master_List!$AW$39</f>
        <v>0</v>
      </c>
      <c r="BB297" s="20" t="s">
        <v>2240</v>
      </c>
      <c r="BC297" s="20" t="s">
        <v>2241</v>
      </c>
      <c r="BD297" s="6" t="s">
        <v>1744</v>
      </c>
      <c r="BE297" s="6" t="s">
        <v>1898</v>
      </c>
      <c r="BF297" s="6" t="s">
        <v>1748</v>
      </c>
      <c r="BG297" s="6" t="str">
        <f t="shared" si="4"/>
        <v>C:\Users\aremi\Desktop\REPORT CBM\PO 42289580 - Pahang 11kV SECOND CYCLE AZZAD 2026\RAW MATERIAL\047. TNB BARU (IR+VI)\RAW DATA\IR</v>
      </c>
      <c r="BH297" s="24" t="s">
        <v>838</v>
      </c>
    </row>
    <row r="298" spans="1:60" ht="30" customHeight="1" x14ac:dyDescent="0.25">
      <c r="A298" s="6">
        <v>149</v>
      </c>
      <c r="B298" s="6" t="s">
        <v>1575</v>
      </c>
      <c r="C298" s="6">
        <v>1</v>
      </c>
      <c r="D298" s="6" t="s">
        <v>2254</v>
      </c>
      <c r="E298" s="6">
        <v>149</v>
      </c>
      <c r="F298" s="6" t="str">
        <f ca="1">Master_List!$AW$1</f>
        <v>PERPUSTAKAAN PUSAT</v>
      </c>
      <c r="G298" s="27" t="str">
        <f ca="1">Master_List!$AW$2</f>
        <v>09:30 PM</v>
      </c>
      <c r="H298" s="32" t="str">
        <f ca="1">Master_List!$AW$3</f>
        <v>20/07/2026</v>
      </c>
      <c r="I298" s="28" t="str">
        <f ca="1">Master_List!$AW$4</f>
        <v>28.5</v>
      </c>
      <c r="J298" s="6" t="str">
        <f ca="1">Master_List!$AW$5</f>
        <v>65</v>
      </c>
      <c r="K298" s="6" t="s">
        <v>1453</v>
      </c>
      <c r="L298" s="21" t="s">
        <v>2246</v>
      </c>
      <c r="M298" s="21" t="s">
        <v>2246</v>
      </c>
      <c r="N298" s="21" t="s">
        <v>2246</v>
      </c>
      <c r="O298" s="21" t="s">
        <v>2246</v>
      </c>
      <c r="P298" s="21" t="s">
        <v>2246</v>
      </c>
      <c r="Q298" s="21" t="s">
        <v>2246</v>
      </c>
      <c r="R298" s="21" t="s">
        <v>2246</v>
      </c>
      <c r="S298" s="21" t="s">
        <v>2246</v>
      </c>
      <c r="T298" s="20" t="str">
        <f ca="1">Master_List!$AW$6</f>
        <v>TOSHIBA</v>
      </c>
      <c r="U298" s="20" t="str">
        <f ca="1">Master_List!$AW$7</f>
        <v>MRMU</v>
      </c>
      <c r="V298" s="20" t="str">
        <f ca="1">Master_List!$AW$8</f>
        <v>12kV</v>
      </c>
      <c r="W298" s="20" t="str">
        <f ca="1">Master_List!$AW$9</f>
        <v>2S1F</v>
      </c>
      <c r="X298" s="20" t="str">
        <f ca="1">Master_List!$AW$10</f>
        <v>MTM</v>
      </c>
      <c r="Y298" s="20" t="str">
        <f ca="1">Master_List!$AW$11</f>
        <v>HERMETICALLY SEAL</v>
      </c>
      <c r="Z298" s="20" t="str">
        <f ca="1">Master_List!$AW$12</f>
        <v>750kVA</v>
      </c>
      <c r="AA298" s="20" t="str">
        <f ca="1">Master_List!$AW$13</f>
        <v>1317</v>
      </c>
      <c r="AB298" s="20">
        <f ca="1">Master_List!$AW$14</f>
        <v>0</v>
      </c>
      <c r="AC298" s="20">
        <f ca="1">Master_List!$AW$15</f>
        <v>0</v>
      </c>
      <c r="AD298" s="20">
        <f ca="1">Master_List!$AW$16</f>
        <v>0</v>
      </c>
      <c r="AE298" s="20">
        <f ca="1">Master_List!$AW$17</f>
        <v>0</v>
      </c>
      <c r="AF298" s="20" t="str">
        <f ca="1">Master_List!$AW$18</f>
        <v>INDKOM</v>
      </c>
      <c r="AG298" s="20" t="str">
        <f ca="1">Master_List!$AW$19</f>
        <v>J-SLOTTED</v>
      </c>
      <c r="AH298" s="20" t="str">
        <f ca="1">Master_List!$AW$20</f>
        <v>1600A</v>
      </c>
      <c r="AI298" s="20" t="str">
        <f ca="1">Master_List!$AW$21</f>
        <v>LV5080090</v>
      </c>
      <c r="AJ298" s="20" t="str">
        <f ca="1">Master_List!$AW$22</f>
        <v>LVDB TX1</v>
      </c>
      <c r="AK298" s="20">
        <f ca="1">Master_List!$AW$23</f>
        <v>0</v>
      </c>
      <c r="AL298" s="20">
        <f ca="1">Master_List!$AW$24</f>
        <v>0</v>
      </c>
      <c r="AM298" s="20">
        <f ca="1">Master_List!$AW$25</f>
        <v>0</v>
      </c>
      <c r="AN298" s="20">
        <f ca="1">Master_List!$AW$26</f>
        <v>0</v>
      </c>
      <c r="AO298" s="20" t="str">
        <f ca="1">Master_List!$AW$27</f>
        <v>LVDB TX2</v>
      </c>
      <c r="AP298" s="20" t="str">
        <f ca="1">Master_List!$AW$28</f>
        <v>SUNPOWER TECHNOLOGIES</v>
      </c>
      <c r="AQ298" s="20" t="str">
        <f ca="1">Master_List!$AW$29</f>
        <v>SPS 30-10 L</v>
      </c>
      <c r="AR298" s="20" t="str">
        <f ca="1">Master_List!$AW$30</f>
        <v>11193-8527</v>
      </c>
      <c r="AS298" s="20">
        <f ca="1">Master_List!$AW$31</f>
        <v>0</v>
      </c>
      <c r="AT298" s="20">
        <f ca="1">Master_List!$AW$32</f>
        <v>0</v>
      </c>
      <c r="AU298" s="20">
        <f ca="1">Master_List!$AW$33</f>
        <v>0</v>
      </c>
      <c r="AV298" s="20">
        <f ca="1">Master_List!$AW$34</f>
        <v>0</v>
      </c>
      <c r="AW298" s="20">
        <f ca="1">Master_List!$AW$35</f>
        <v>0</v>
      </c>
      <c r="AX298" s="20">
        <f ca="1">Master_List!$AW$36</f>
        <v>0</v>
      </c>
      <c r="AY298" s="20">
        <f ca="1">Master_List!$AW$37</f>
        <v>0</v>
      </c>
      <c r="AZ298" s="20">
        <f ca="1">Master_List!$AW$38</f>
        <v>0</v>
      </c>
      <c r="BA298" s="20">
        <f ca="1">Master_List!$AW$39</f>
        <v>0</v>
      </c>
      <c r="BB298" s="20" t="s">
        <v>2240</v>
      </c>
      <c r="BC298" s="20" t="s">
        <v>2241</v>
      </c>
      <c r="BD298" s="6" t="s">
        <v>1744</v>
      </c>
      <c r="BE298" s="6" t="s">
        <v>1899</v>
      </c>
      <c r="BF298" s="6" t="s">
        <v>1746</v>
      </c>
      <c r="BG298" s="6" t="str">
        <f t="shared" si="4"/>
        <v>C:\Users\aremi\Desktop\REPORT CBM\PO 42289580 - Pahang 11kV SECOND CYCLE AZZAD 2026\RAW MATERIAL\047. TNB BARU (IR+VI)\RAW DATA\IR</v>
      </c>
      <c r="BH298" s="24" t="s">
        <v>839</v>
      </c>
    </row>
    <row r="299" spans="1:60" ht="30" customHeight="1" x14ac:dyDescent="0.25">
      <c r="A299" s="6">
        <v>149</v>
      </c>
      <c r="B299" s="6" t="s">
        <v>1575</v>
      </c>
      <c r="C299" s="6">
        <v>1</v>
      </c>
      <c r="D299" s="6" t="s">
        <v>2254</v>
      </c>
      <c r="E299" s="6">
        <v>149</v>
      </c>
      <c r="F299" s="6" t="str">
        <f ca="1">Master_List!$AW$1</f>
        <v>PERPUSTAKAAN PUSAT</v>
      </c>
      <c r="G299" s="27" t="str">
        <f ca="1">Master_List!$AW$2</f>
        <v>09:30 PM</v>
      </c>
      <c r="H299" s="32" t="str">
        <f ca="1">Master_List!$AW$3</f>
        <v>20/07/2026</v>
      </c>
      <c r="I299" s="28" t="str">
        <f ca="1">Master_List!$AW$4</f>
        <v>28.5</v>
      </c>
      <c r="J299" s="6" t="str">
        <f ca="1">Master_List!$AW$5</f>
        <v>65</v>
      </c>
      <c r="K299" s="6" t="s">
        <v>1453</v>
      </c>
      <c r="L299" s="21" t="s">
        <v>2246</v>
      </c>
      <c r="M299" s="21" t="s">
        <v>2246</v>
      </c>
      <c r="N299" s="21" t="s">
        <v>2246</v>
      </c>
      <c r="O299" s="21" t="s">
        <v>2246</v>
      </c>
      <c r="P299" s="21" t="s">
        <v>2246</v>
      </c>
      <c r="Q299" s="21" t="s">
        <v>2246</v>
      </c>
      <c r="R299" s="21" t="s">
        <v>2246</v>
      </c>
      <c r="S299" s="21" t="s">
        <v>2246</v>
      </c>
      <c r="T299" s="20" t="str">
        <f ca="1">Master_List!$AW$6</f>
        <v>TOSHIBA</v>
      </c>
      <c r="U299" s="20" t="str">
        <f ca="1">Master_List!$AW$7</f>
        <v>MRMU</v>
      </c>
      <c r="V299" s="20" t="str">
        <f ca="1">Master_List!$AW$8</f>
        <v>12kV</v>
      </c>
      <c r="W299" s="20" t="str">
        <f ca="1">Master_List!$AW$9</f>
        <v>2S1F</v>
      </c>
      <c r="X299" s="20" t="str">
        <f ca="1">Master_List!$AW$10</f>
        <v>MTM</v>
      </c>
      <c r="Y299" s="20" t="str">
        <f ca="1">Master_List!$AW$11</f>
        <v>HERMETICALLY SEAL</v>
      </c>
      <c r="Z299" s="20" t="str">
        <f ca="1">Master_List!$AW$12</f>
        <v>750kVA</v>
      </c>
      <c r="AA299" s="20" t="str">
        <f ca="1">Master_List!$AW$13</f>
        <v>1317</v>
      </c>
      <c r="AB299" s="20">
        <f ca="1">Master_List!$AW$14</f>
        <v>0</v>
      </c>
      <c r="AC299" s="20">
        <f ca="1">Master_List!$AW$15</f>
        <v>0</v>
      </c>
      <c r="AD299" s="20">
        <f ca="1">Master_List!$AW$16</f>
        <v>0</v>
      </c>
      <c r="AE299" s="20">
        <f ca="1">Master_List!$AW$17</f>
        <v>0</v>
      </c>
      <c r="AF299" s="20" t="str">
        <f ca="1">Master_List!$AW$18</f>
        <v>INDKOM</v>
      </c>
      <c r="AG299" s="20" t="str">
        <f ca="1">Master_List!$AW$19</f>
        <v>J-SLOTTED</v>
      </c>
      <c r="AH299" s="20" t="str">
        <f ca="1">Master_List!$AW$20</f>
        <v>1600A</v>
      </c>
      <c r="AI299" s="20" t="str">
        <f ca="1">Master_List!$AW$21</f>
        <v>LV5080090</v>
      </c>
      <c r="AJ299" s="20" t="str">
        <f ca="1">Master_List!$AW$22</f>
        <v>LVDB TX1</v>
      </c>
      <c r="AK299" s="20">
        <f ca="1">Master_List!$AW$23</f>
        <v>0</v>
      </c>
      <c r="AL299" s="20">
        <f ca="1">Master_List!$AW$24</f>
        <v>0</v>
      </c>
      <c r="AM299" s="20">
        <f ca="1">Master_List!$AW$25</f>
        <v>0</v>
      </c>
      <c r="AN299" s="20">
        <f ca="1">Master_List!$AW$26</f>
        <v>0</v>
      </c>
      <c r="AO299" s="20" t="str">
        <f ca="1">Master_List!$AW$27</f>
        <v>LVDB TX2</v>
      </c>
      <c r="AP299" s="20" t="str">
        <f ca="1">Master_List!$AW$28</f>
        <v>SUNPOWER TECHNOLOGIES</v>
      </c>
      <c r="AQ299" s="20" t="str">
        <f ca="1">Master_List!$AW$29</f>
        <v>SPS 30-10 L</v>
      </c>
      <c r="AR299" s="20" t="str">
        <f ca="1">Master_List!$AW$30</f>
        <v>11193-8527</v>
      </c>
      <c r="AS299" s="20">
        <f ca="1">Master_List!$AW$31</f>
        <v>0</v>
      </c>
      <c r="AT299" s="20">
        <f ca="1">Master_List!$AW$32</f>
        <v>0</v>
      </c>
      <c r="AU299" s="20">
        <f ca="1">Master_List!$AW$33</f>
        <v>0</v>
      </c>
      <c r="AV299" s="20">
        <f ca="1">Master_List!$AW$34</f>
        <v>0</v>
      </c>
      <c r="AW299" s="20">
        <f ca="1">Master_List!$AW$35</f>
        <v>0</v>
      </c>
      <c r="AX299" s="20">
        <f ca="1">Master_List!$AW$36</f>
        <v>0</v>
      </c>
      <c r="AY299" s="20">
        <f ca="1">Master_List!$AW$37</f>
        <v>0</v>
      </c>
      <c r="AZ299" s="20">
        <f ca="1">Master_List!$AW$38</f>
        <v>0</v>
      </c>
      <c r="BA299" s="20">
        <f ca="1">Master_List!$AW$39</f>
        <v>0</v>
      </c>
      <c r="BB299" s="20" t="s">
        <v>2240</v>
      </c>
      <c r="BC299" s="20" t="s">
        <v>2241</v>
      </c>
      <c r="BD299" s="6" t="s">
        <v>1744</v>
      </c>
      <c r="BE299" s="6" t="s">
        <v>1899</v>
      </c>
      <c r="BF299" s="6" t="s">
        <v>1748</v>
      </c>
      <c r="BG299" s="6" t="str">
        <f t="shared" si="4"/>
        <v>C:\Users\aremi\Desktop\REPORT CBM\PO 42289580 - Pahang 11kV SECOND CYCLE AZZAD 2026\RAW MATERIAL\047. TNB BARU (IR+VI)\RAW DATA\IR</v>
      </c>
      <c r="BH299" s="24" t="s">
        <v>840</v>
      </c>
    </row>
    <row r="300" spans="1:60" ht="30" customHeight="1" x14ac:dyDescent="0.25">
      <c r="A300" s="6">
        <v>150</v>
      </c>
      <c r="B300" s="6" t="s">
        <v>1576</v>
      </c>
      <c r="C300" s="6">
        <v>1</v>
      </c>
      <c r="D300" s="6" t="s">
        <v>2255</v>
      </c>
      <c r="E300" s="6">
        <v>150</v>
      </c>
      <c r="F300" s="6" t="str">
        <f ca="1">Master_List!$AW$1</f>
        <v>PERPUSTAKAAN PUSAT</v>
      </c>
      <c r="G300" s="27" t="str">
        <f ca="1">Master_List!$AW$2</f>
        <v>09:30 PM</v>
      </c>
      <c r="H300" s="32" t="str">
        <f ca="1">Master_List!$AW$3</f>
        <v>20/07/2026</v>
      </c>
      <c r="I300" s="28" t="str">
        <f ca="1">Master_List!$AW$4</f>
        <v>28.5</v>
      </c>
      <c r="J300" s="6" t="str">
        <f ca="1">Master_List!$AW$5</f>
        <v>65</v>
      </c>
      <c r="K300" s="6" t="s">
        <v>1453</v>
      </c>
      <c r="L300" s="21" t="s">
        <v>2246</v>
      </c>
      <c r="M300" s="21" t="s">
        <v>2246</v>
      </c>
      <c r="N300" s="21" t="s">
        <v>2246</v>
      </c>
      <c r="O300" s="21" t="s">
        <v>2246</v>
      </c>
      <c r="P300" s="21" t="s">
        <v>2246</v>
      </c>
      <c r="Q300" s="21" t="s">
        <v>2246</v>
      </c>
      <c r="R300" s="21" t="s">
        <v>2246</v>
      </c>
      <c r="S300" s="21" t="s">
        <v>2246</v>
      </c>
      <c r="T300" s="20" t="str">
        <f ca="1">Master_List!$AW$6</f>
        <v>TOSHIBA</v>
      </c>
      <c r="U300" s="20" t="str">
        <f ca="1">Master_List!$AW$7</f>
        <v>MRMU</v>
      </c>
      <c r="V300" s="20" t="str">
        <f ca="1">Master_List!$AW$8</f>
        <v>12kV</v>
      </c>
      <c r="W300" s="20" t="str">
        <f ca="1">Master_List!$AW$9</f>
        <v>2S1F</v>
      </c>
      <c r="X300" s="20" t="str">
        <f ca="1">Master_List!$AW$10</f>
        <v>MTM</v>
      </c>
      <c r="Y300" s="20" t="str">
        <f ca="1">Master_List!$AW$11</f>
        <v>HERMETICALLY SEAL</v>
      </c>
      <c r="Z300" s="20" t="str">
        <f ca="1">Master_List!$AW$12</f>
        <v>750kVA</v>
      </c>
      <c r="AA300" s="20" t="str">
        <f ca="1">Master_List!$AW$13</f>
        <v>1317</v>
      </c>
      <c r="AB300" s="20">
        <f ca="1">Master_List!$AW$14</f>
        <v>0</v>
      </c>
      <c r="AC300" s="20">
        <f ca="1">Master_List!$AW$15</f>
        <v>0</v>
      </c>
      <c r="AD300" s="20">
        <f ca="1">Master_List!$AW$16</f>
        <v>0</v>
      </c>
      <c r="AE300" s="20">
        <f ca="1">Master_List!$AW$17</f>
        <v>0</v>
      </c>
      <c r="AF300" s="20" t="str">
        <f ca="1">Master_List!$AW$18</f>
        <v>INDKOM</v>
      </c>
      <c r="AG300" s="20" t="str">
        <f ca="1">Master_List!$AW$19</f>
        <v>J-SLOTTED</v>
      </c>
      <c r="AH300" s="20" t="str">
        <f ca="1">Master_List!$AW$20</f>
        <v>1600A</v>
      </c>
      <c r="AI300" s="20" t="str">
        <f ca="1">Master_List!$AW$21</f>
        <v>LV5080090</v>
      </c>
      <c r="AJ300" s="20" t="str">
        <f ca="1">Master_List!$AW$22</f>
        <v>LVDB TX1</v>
      </c>
      <c r="AK300" s="20">
        <f ca="1">Master_List!$AW$23</f>
        <v>0</v>
      </c>
      <c r="AL300" s="20">
        <f ca="1">Master_List!$AW$24</f>
        <v>0</v>
      </c>
      <c r="AM300" s="20">
        <f ca="1">Master_List!$AW$25</f>
        <v>0</v>
      </c>
      <c r="AN300" s="20">
        <f ca="1">Master_List!$AW$26</f>
        <v>0</v>
      </c>
      <c r="AO300" s="20" t="str">
        <f ca="1">Master_List!$AW$27</f>
        <v>LVDB TX2</v>
      </c>
      <c r="AP300" s="20" t="str">
        <f ca="1">Master_List!$AW$28</f>
        <v>SUNPOWER TECHNOLOGIES</v>
      </c>
      <c r="AQ300" s="20" t="str">
        <f ca="1">Master_List!$AW$29</f>
        <v>SPS 30-10 L</v>
      </c>
      <c r="AR300" s="20" t="str">
        <f ca="1">Master_List!$AW$30</f>
        <v>11193-8527</v>
      </c>
      <c r="AS300" s="20">
        <f ca="1">Master_List!$AW$31</f>
        <v>0</v>
      </c>
      <c r="AT300" s="20">
        <f ca="1">Master_List!$AW$32</f>
        <v>0</v>
      </c>
      <c r="AU300" s="20">
        <f ca="1">Master_List!$AW$33</f>
        <v>0</v>
      </c>
      <c r="AV300" s="20">
        <f ca="1">Master_List!$AW$34</f>
        <v>0</v>
      </c>
      <c r="AW300" s="20">
        <f ca="1">Master_List!$AW$35</f>
        <v>0</v>
      </c>
      <c r="AX300" s="20">
        <f ca="1">Master_List!$AW$36</f>
        <v>0</v>
      </c>
      <c r="AY300" s="20">
        <f ca="1">Master_List!$AW$37</f>
        <v>0</v>
      </c>
      <c r="AZ300" s="20">
        <f ca="1">Master_List!$AW$38</f>
        <v>0</v>
      </c>
      <c r="BA300" s="20">
        <f ca="1">Master_List!$AW$39</f>
        <v>0</v>
      </c>
      <c r="BB300" s="20" t="s">
        <v>2240</v>
      </c>
      <c r="BC300" s="20" t="s">
        <v>2241</v>
      </c>
      <c r="BD300" s="6" t="s">
        <v>1744</v>
      </c>
      <c r="BE300" s="6" t="s">
        <v>1900</v>
      </c>
      <c r="BF300" s="6" t="s">
        <v>1746</v>
      </c>
      <c r="BG300" s="6" t="str">
        <f t="shared" si="4"/>
        <v>C:\Users\aremi\Desktop\REPORT CBM\PO 42289580 - Pahang 11kV SECOND CYCLE AZZAD 2026\RAW MATERIAL\047. TNB BARU (IR+VI)\RAW DATA\IR</v>
      </c>
      <c r="BH300" s="24" t="s">
        <v>841</v>
      </c>
    </row>
    <row r="301" spans="1:60" ht="30" customHeight="1" x14ac:dyDescent="0.25">
      <c r="A301" s="6">
        <v>150</v>
      </c>
      <c r="B301" s="6" t="s">
        <v>1576</v>
      </c>
      <c r="C301" s="6">
        <v>1</v>
      </c>
      <c r="D301" s="6" t="s">
        <v>2255</v>
      </c>
      <c r="E301" s="6">
        <v>150</v>
      </c>
      <c r="F301" s="6" t="str">
        <f ca="1">Master_List!$AW$1</f>
        <v>PERPUSTAKAAN PUSAT</v>
      </c>
      <c r="G301" s="27" t="str">
        <f ca="1">Master_List!$AW$2</f>
        <v>09:30 PM</v>
      </c>
      <c r="H301" s="32" t="str">
        <f ca="1">Master_List!$AW$3</f>
        <v>20/07/2026</v>
      </c>
      <c r="I301" s="28" t="str">
        <f ca="1">Master_List!$AW$4</f>
        <v>28.5</v>
      </c>
      <c r="J301" s="6" t="str">
        <f ca="1">Master_List!$AW$5</f>
        <v>65</v>
      </c>
      <c r="K301" s="6" t="s">
        <v>1453</v>
      </c>
      <c r="L301" s="21" t="s">
        <v>2246</v>
      </c>
      <c r="M301" s="21" t="s">
        <v>2246</v>
      </c>
      <c r="N301" s="21" t="s">
        <v>2246</v>
      </c>
      <c r="O301" s="21" t="s">
        <v>2246</v>
      </c>
      <c r="P301" s="21" t="s">
        <v>2246</v>
      </c>
      <c r="Q301" s="21" t="s">
        <v>2246</v>
      </c>
      <c r="R301" s="21" t="s">
        <v>2246</v>
      </c>
      <c r="S301" s="21" t="s">
        <v>2246</v>
      </c>
      <c r="T301" s="20" t="str">
        <f ca="1">Master_List!$AW$6</f>
        <v>TOSHIBA</v>
      </c>
      <c r="U301" s="20" t="str">
        <f ca="1">Master_List!$AW$7</f>
        <v>MRMU</v>
      </c>
      <c r="V301" s="20" t="str">
        <f ca="1">Master_List!$AW$8</f>
        <v>12kV</v>
      </c>
      <c r="W301" s="20" t="str">
        <f ca="1">Master_List!$AW$9</f>
        <v>2S1F</v>
      </c>
      <c r="X301" s="20" t="str">
        <f ca="1">Master_List!$AW$10</f>
        <v>MTM</v>
      </c>
      <c r="Y301" s="20" t="str">
        <f ca="1">Master_List!$AW$11</f>
        <v>HERMETICALLY SEAL</v>
      </c>
      <c r="Z301" s="20" t="str">
        <f ca="1">Master_List!$AW$12</f>
        <v>750kVA</v>
      </c>
      <c r="AA301" s="20" t="str">
        <f ca="1">Master_List!$AW$13</f>
        <v>1317</v>
      </c>
      <c r="AB301" s="20">
        <f ca="1">Master_List!$AW$14</f>
        <v>0</v>
      </c>
      <c r="AC301" s="20">
        <f ca="1">Master_List!$AW$15</f>
        <v>0</v>
      </c>
      <c r="AD301" s="20">
        <f ca="1">Master_List!$AW$16</f>
        <v>0</v>
      </c>
      <c r="AE301" s="20">
        <f ca="1">Master_List!$AW$17</f>
        <v>0</v>
      </c>
      <c r="AF301" s="20" t="str">
        <f ca="1">Master_List!$AW$18</f>
        <v>INDKOM</v>
      </c>
      <c r="AG301" s="20" t="str">
        <f ca="1">Master_List!$AW$19</f>
        <v>J-SLOTTED</v>
      </c>
      <c r="AH301" s="20" t="str">
        <f ca="1">Master_List!$AW$20</f>
        <v>1600A</v>
      </c>
      <c r="AI301" s="20" t="str">
        <f ca="1">Master_List!$AW$21</f>
        <v>LV5080090</v>
      </c>
      <c r="AJ301" s="20" t="str">
        <f ca="1">Master_List!$AW$22</f>
        <v>LVDB TX1</v>
      </c>
      <c r="AK301" s="20">
        <f ca="1">Master_List!$AW$23</f>
        <v>0</v>
      </c>
      <c r="AL301" s="20">
        <f ca="1">Master_List!$AW$24</f>
        <v>0</v>
      </c>
      <c r="AM301" s="20">
        <f ca="1">Master_List!$AW$25</f>
        <v>0</v>
      </c>
      <c r="AN301" s="20">
        <f ca="1">Master_List!$AW$26</f>
        <v>0</v>
      </c>
      <c r="AO301" s="20" t="str">
        <f ca="1">Master_List!$AW$27</f>
        <v>LVDB TX2</v>
      </c>
      <c r="AP301" s="20" t="str">
        <f ca="1">Master_List!$AW$28</f>
        <v>SUNPOWER TECHNOLOGIES</v>
      </c>
      <c r="AQ301" s="20" t="str">
        <f ca="1">Master_List!$AW$29</f>
        <v>SPS 30-10 L</v>
      </c>
      <c r="AR301" s="20" t="str">
        <f ca="1">Master_List!$AW$30</f>
        <v>11193-8527</v>
      </c>
      <c r="AS301" s="20">
        <f ca="1">Master_List!$AW$31</f>
        <v>0</v>
      </c>
      <c r="AT301" s="20">
        <f ca="1">Master_List!$AW$32</f>
        <v>0</v>
      </c>
      <c r="AU301" s="20">
        <f ca="1">Master_List!$AW$33</f>
        <v>0</v>
      </c>
      <c r="AV301" s="20">
        <f ca="1">Master_List!$AW$34</f>
        <v>0</v>
      </c>
      <c r="AW301" s="20">
        <f ca="1">Master_List!$AW$35</f>
        <v>0</v>
      </c>
      <c r="AX301" s="20">
        <f ca="1">Master_List!$AW$36</f>
        <v>0</v>
      </c>
      <c r="AY301" s="20">
        <f ca="1">Master_List!$AW$37</f>
        <v>0</v>
      </c>
      <c r="AZ301" s="20">
        <f ca="1">Master_List!$AW$38</f>
        <v>0</v>
      </c>
      <c r="BA301" s="20">
        <f ca="1">Master_List!$AW$39</f>
        <v>0</v>
      </c>
      <c r="BB301" s="20" t="s">
        <v>2240</v>
      </c>
      <c r="BC301" s="20" t="s">
        <v>2241</v>
      </c>
      <c r="BD301" s="6" t="s">
        <v>1744</v>
      </c>
      <c r="BE301" s="6" t="s">
        <v>1900</v>
      </c>
      <c r="BF301" s="6" t="s">
        <v>1748</v>
      </c>
      <c r="BG301" s="6" t="str">
        <f t="shared" si="4"/>
        <v>C:\Users\aremi\Desktop\REPORT CBM\PO 42289580 - Pahang 11kV SECOND CYCLE AZZAD 2026\RAW MATERIAL\047. TNB BARU (IR+VI)\RAW DATA\IR</v>
      </c>
      <c r="BH301" s="24" t="s">
        <v>842</v>
      </c>
    </row>
    <row r="302" spans="1:60" ht="30" customHeight="1" x14ac:dyDescent="0.25">
      <c r="A302" s="6">
        <v>151</v>
      </c>
      <c r="B302" s="6" t="s">
        <v>1577</v>
      </c>
      <c r="C302" s="6">
        <v>1</v>
      </c>
      <c r="D302" s="21" t="s">
        <v>2256</v>
      </c>
      <c r="E302" s="6">
        <v>151</v>
      </c>
      <c r="F302" s="6" t="str">
        <f ca="1">Master_List!$AW$1</f>
        <v>PERPUSTAKAAN PUSAT</v>
      </c>
      <c r="G302" s="27" t="str">
        <f ca="1">Master_List!$AW$2</f>
        <v>09:30 PM</v>
      </c>
      <c r="H302" s="32" t="str">
        <f ca="1">Master_List!$AW$3</f>
        <v>20/07/2026</v>
      </c>
      <c r="I302" s="28" t="str">
        <f ca="1">Master_List!$AW$4</f>
        <v>28.5</v>
      </c>
      <c r="J302" s="6" t="str">
        <f ca="1">Master_List!$AW$5</f>
        <v>65</v>
      </c>
      <c r="K302" s="6" t="s">
        <v>1453</v>
      </c>
      <c r="L302" s="21" t="s">
        <v>2246</v>
      </c>
      <c r="M302" s="21" t="s">
        <v>2246</v>
      </c>
      <c r="N302" s="21" t="s">
        <v>2246</v>
      </c>
      <c r="O302" s="21" t="s">
        <v>2246</v>
      </c>
      <c r="P302" s="21" t="s">
        <v>2246</v>
      </c>
      <c r="Q302" s="21" t="s">
        <v>2246</v>
      </c>
      <c r="R302" s="21" t="s">
        <v>2246</v>
      </c>
      <c r="S302" s="21" t="s">
        <v>2246</v>
      </c>
      <c r="T302" s="20" t="str">
        <f ca="1">Master_List!$AW$6</f>
        <v>TOSHIBA</v>
      </c>
      <c r="U302" s="20" t="str">
        <f ca="1">Master_List!$AW$7</f>
        <v>MRMU</v>
      </c>
      <c r="V302" s="20" t="str">
        <f ca="1">Master_List!$AW$8</f>
        <v>12kV</v>
      </c>
      <c r="W302" s="20" t="str">
        <f ca="1">Master_List!$AW$9</f>
        <v>2S1F</v>
      </c>
      <c r="X302" s="20" t="str">
        <f ca="1">Master_List!$AW$10</f>
        <v>MTM</v>
      </c>
      <c r="Y302" s="20" t="str">
        <f ca="1">Master_List!$AW$11</f>
        <v>HERMETICALLY SEAL</v>
      </c>
      <c r="Z302" s="20" t="str">
        <f ca="1">Master_List!$AW$12</f>
        <v>750kVA</v>
      </c>
      <c r="AA302" s="20" t="str">
        <f ca="1">Master_List!$AW$13</f>
        <v>1317</v>
      </c>
      <c r="AB302" s="20">
        <f ca="1">Master_List!$AW$14</f>
        <v>0</v>
      </c>
      <c r="AC302" s="20">
        <f ca="1">Master_List!$AW$15</f>
        <v>0</v>
      </c>
      <c r="AD302" s="20">
        <f ca="1">Master_List!$AW$16</f>
        <v>0</v>
      </c>
      <c r="AE302" s="20">
        <f ca="1">Master_List!$AW$17</f>
        <v>0</v>
      </c>
      <c r="AF302" s="20" t="str">
        <f ca="1">Master_List!$AW$18</f>
        <v>INDKOM</v>
      </c>
      <c r="AG302" s="20" t="str">
        <f ca="1">Master_List!$AW$19</f>
        <v>J-SLOTTED</v>
      </c>
      <c r="AH302" s="20" t="str">
        <f ca="1">Master_List!$AW$20</f>
        <v>1600A</v>
      </c>
      <c r="AI302" s="20" t="str">
        <f ca="1">Master_List!$AW$21</f>
        <v>LV5080090</v>
      </c>
      <c r="AJ302" s="20" t="str">
        <f ca="1">Master_List!$AW$22</f>
        <v>LVDB TX1</v>
      </c>
      <c r="AK302" s="20">
        <f ca="1">Master_List!$AW$23</f>
        <v>0</v>
      </c>
      <c r="AL302" s="20">
        <f ca="1">Master_List!$AW$24</f>
        <v>0</v>
      </c>
      <c r="AM302" s="20">
        <f ca="1">Master_List!$AW$25</f>
        <v>0</v>
      </c>
      <c r="AN302" s="20">
        <f ca="1">Master_List!$AW$26</f>
        <v>0</v>
      </c>
      <c r="AO302" s="20" t="str">
        <f ca="1">Master_List!$AW$27</f>
        <v>LVDB TX2</v>
      </c>
      <c r="AP302" s="20" t="str">
        <f ca="1">Master_List!$AW$28</f>
        <v>SUNPOWER TECHNOLOGIES</v>
      </c>
      <c r="AQ302" s="20" t="str">
        <f ca="1">Master_List!$AW$29</f>
        <v>SPS 30-10 L</v>
      </c>
      <c r="AR302" s="20" t="str">
        <f ca="1">Master_List!$AW$30</f>
        <v>11193-8527</v>
      </c>
      <c r="AS302" s="20">
        <f ca="1">Master_List!$AW$31</f>
        <v>0</v>
      </c>
      <c r="AT302" s="20">
        <f ca="1">Master_List!$AW$32</f>
        <v>0</v>
      </c>
      <c r="AU302" s="20">
        <f ca="1">Master_List!$AW$33</f>
        <v>0</v>
      </c>
      <c r="AV302" s="20">
        <f ca="1">Master_List!$AW$34</f>
        <v>0</v>
      </c>
      <c r="AW302" s="20">
        <f ca="1">Master_List!$AW$35</f>
        <v>0</v>
      </c>
      <c r="AX302" s="20">
        <f ca="1">Master_List!$AW$36</f>
        <v>0</v>
      </c>
      <c r="AY302" s="20">
        <f ca="1">Master_List!$AW$37</f>
        <v>0</v>
      </c>
      <c r="AZ302" s="20">
        <f ca="1">Master_List!$AW$38</f>
        <v>0</v>
      </c>
      <c r="BA302" s="20">
        <f ca="1">Master_List!$AW$39</f>
        <v>0</v>
      </c>
      <c r="BB302" s="20" t="s">
        <v>2240</v>
      </c>
      <c r="BC302" s="20" t="s">
        <v>2241</v>
      </c>
      <c r="BD302" s="6" t="s">
        <v>1744</v>
      </c>
      <c r="BE302" s="6" t="s">
        <v>1901</v>
      </c>
      <c r="BF302" s="6" t="s">
        <v>1746</v>
      </c>
      <c r="BG302" s="6" t="str">
        <f t="shared" si="4"/>
        <v>C:\Users\aremi\Desktop\REPORT CBM\PO 42289580 - Pahang 11kV SECOND CYCLE AZZAD 2026\RAW MATERIAL\047. TNB BARU (IR+VI)\RAW DATA\IR</v>
      </c>
      <c r="BH302" s="24" t="s">
        <v>843</v>
      </c>
    </row>
    <row r="303" spans="1:60" ht="30" customHeight="1" x14ac:dyDescent="0.25">
      <c r="A303" s="6">
        <v>151</v>
      </c>
      <c r="B303" s="6" t="s">
        <v>1577</v>
      </c>
      <c r="C303" s="6">
        <v>1</v>
      </c>
      <c r="D303" s="21" t="s">
        <v>2256</v>
      </c>
      <c r="E303" s="6">
        <v>151</v>
      </c>
      <c r="F303" s="6" t="str">
        <f ca="1">Master_List!$AW$1</f>
        <v>PERPUSTAKAAN PUSAT</v>
      </c>
      <c r="G303" s="27" t="str">
        <f ca="1">Master_List!$AW$2</f>
        <v>09:30 PM</v>
      </c>
      <c r="H303" s="32" t="str">
        <f ca="1">Master_List!$AW$3</f>
        <v>20/07/2026</v>
      </c>
      <c r="I303" s="28" t="str">
        <f ca="1">Master_List!$AW$4</f>
        <v>28.5</v>
      </c>
      <c r="J303" s="6" t="str">
        <f ca="1">Master_List!$AW$5</f>
        <v>65</v>
      </c>
      <c r="K303" s="6" t="s">
        <v>1453</v>
      </c>
      <c r="L303" s="21" t="s">
        <v>2246</v>
      </c>
      <c r="M303" s="21" t="s">
        <v>2246</v>
      </c>
      <c r="N303" s="21" t="s">
        <v>2246</v>
      </c>
      <c r="O303" s="21" t="s">
        <v>2246</v>
      </c>
      <c r="P303" s="21" t="s">
        <v>2246</v>
      </c>
      <c r="Q303" s="21" t="s">
        <v>2246</v>
      </c>
      <c r="R303" s="21" t="s">
        <v>2246</v>
      </c>
      <c r="S303" s="21" t="s">
        <v>2246</v>
      </c>
      <c r="T303" s="20" t="str">
        <f ca="1">Master_List!$AW$6</f>
        <v>TOSHIBA</v>
      </c>
      <c r="U303" s="20" t="str">
        <f ca="1">Master_List!$AW$7</f>
        <v>MRMU</v>
      </c>
      <c r="V303" s="20" t="str">
        <f ca="1">Master_List!$AW$8</f>
        <v>12kV</v>
      </c>
      <c r="W303" s="20" t="str">
        <f ca="1">Master_List!$AW$9</f>
        <v>2S1F</v>
      </c>
      <c r="X303" s="20" t="str">
        <f ca="1">Master_List!$AW$10</f>
        <v>MTM</v>
      </c>
      <c r="Y303" s="20" t="str">
        <f ca="1">Master_List!$AW$11</f>
        <v>HERMETICALLY SEAL</v>
      </c>
      <c r="Z303" s="20" t="str">
        <f ca="1">Master_List!$AW$12</f>
        <v>750kVA</v>
      </c>
      <c r="AA303" s="20" t="str">
        <f ca="1">Master_List!$AW$13</f>
        <v>1317</v>
      </c>
      <c r="AB303" s="20">
        <f ca="1">Master_List!$AW$14</f>
        <v>0</v>
      </c>
      <c r="AC303" s="20">
        <f ca="1">Master_List!$AW$15</f>
        <v>0</v>
      </c>
      <c r="AD303" s="20">
        <f ca="1">Master_List!$AW$16</f>
        <v>0</v>
      </c>
      <c r="AE303" s="20">
        <f ca="1">Master_List!$AW$17</f>
        <v>0</v>
      </c>
      <c r="AF303" s="20" t="str">
        <f ca="1">Master_List!$AW$18</f>
        <v>INDKOM</v>
      </c>
      <c r="AG303" s="20" t="str">
        <f ca="1">Master_List!$AW$19</f>
        <v>J-SLOTTED</v>
      </c>
      <c r="AH303" s="20" t="str">
        <f ca="1">Master_List!$AW$20</f>
        <v>1600A</v>
      </c>
      <c r="AI303" s="20" t="str">
        <f ca="1">Master_List!$AW$21</f>
        <v>LV5080090</v>
      </c>
      <c r="AJ303" s="20" t="str">
        <f ca="1">Master_List!$AW$22</f>
        <v>LVDB TX1</v>
      </c>
      <c r="AK303" s="20">
        <f ca="1">Master_List!$AW$23</f>
        <v>0</v>
      </c>
      <c r="AL303" s="20">
        <f ca="1">Master_List!$AW$24</f>
        <v>0</v>
      </c>
      <c r="AM303" s="20">
        <f ca="1">Master_List!$AW$25</f>
        <v>0</v>
      </c>
      <c r="AN303" s="20">
        <f ca="1">Master_List!$AW$26</f>
        <v>0</v>
      </c>
      <c r="AO303" s="20" t="str">
        <f ca="1">Master_List!$AW$27</f>
        <v>LVDB TX2</v>
      </c>
      <c r="AP303" s="20" t="str">
        <f ca="1">Master_List!$AW$28</f>
        <v>SUNPOWER TECHNOLOGIES</v>
      </c>
      <c r="AQ303" s="20" t="str">
        <f ca="1">Master_List!$AW$29</f>
        <v>SPS 30-10 L</v>
      </c>
      <c r="AR303" s="20" t="str">
        <f ca="1">Master_List!$AW$30</f>
        <v>11193-8527</v>
      </c>
      <c r="AS303" s="20">
        <f ca="1">Master_List!$AW$31</f>
        <v>0</v>
      </c>
      <c r="AT303" s="20">
        <f ca="1">Master_List!$AW$32</f>
        <v>0</v>
      </c>
      <c r="AU303" s="20">
        <f ca="1">Master_List!$AW$33</f>
        <v>0</v>
      </c>
      <c r="AV303" s="20">
        <f ca="1">Master_List!$AW$34</f>
        <v>0</v>
      </c>
      <c r="AW303" s="20">
        <f ca="1">Master_List!$AW$35</f>
        <v>0</v>
      </c>
      <c r="AX303" s="20">
        <f ca="1">Master_List!$AW$36</f>
        <v>0</v>
      </c>
      <c r="AY303" s="20">
        <f ca="1">Master_List!$AW$37</f>
        <v>0</v>
      </c>
      <c r="AZ303" s="20">
        <f ca="1">Master_List!$AW$38</f>
        <v>0</v>
      </c>
      <c r="BA303" s="20">
        <f ca="1">Master_List!$AW$39</f>
        <v>0</v>
      </c>
      <c r="BB303" s="20" t="s">
        <v>2240</v>
      </c>
      <c r="BC303" s="20" t="s">
        <v>2241</v>
      </c>
      <c r="BD303" s="6" t="s">
        <v>1744</v>
      </c>
      <c r="BE303" s="6" t="s">
        <v>1901</v>
      </c>
      <c r="BF303" s="6" t="s">
        <v>1748</v>
      </c>
      <c r="BG303" s="6" t="str">
        <f t="shared" si="4"/>
        <v>C:\Users\aremi\Desktop\REPORT CBM\PO 42289580 - Pahang 11kV SECOND CYCLE AZZAD 2026\RAW MATERIAL\047. TNB BARU (IR+VI)\RAW DATA\IR</v>
      </c>
      <c r="BH303" s="24" t="s">
        <v>844</v>
      </c>
    </row>
    <row r="304" spans="1:60" ht="30" customHeight="1" x14ac:dyDescent="0.25">
      <c r="A304" s="6">
        <v>152</v>
      </c>
      <c r="B304" s="6" t="s">
        <v>1578</v>
      </c>
      <c r="C304" s="6">
        <v>1</v>
      </c>
      <c r="D304" s="6" t="s">
        <v>2257</v>
      </c>
      <c r="E304" s="6">
        <v>152</v>
      </c>
      <c r="F304" s="6" t="str">
        <f ca="1">Master_List!$AW$1</f>
        <v>PERPUSTAKAAN PUSAT</v>
      </c>
      <c r="G304" s="27" t="str">
        <f ca="1">Master_List!$AW$2</f>
        <v>09:30 PM</v>
      </c>
      <c r="H304" s="32" t="str">
        <f ca="1">Master_List!$AW$3</f>
        <v>20/07/2026</v>
      </c>
      <c r="I304" s="28" t="str">
        <f ca="1">Master_List!$AW$4</f>
        <v>28.5</v>
      </c>
      <c r="J304" s="6" t="str">
        <f ca="1">Master_List!$AW$5</f>
        <v>65</v>
      </c>
      <c r="K304" s="6" t="s">
        <v>1453</v>
      </c>
      <c r="L304" s="21" t="s">
        <v>2246</v>
      </c>
      <c r="M304" s="21" t="s">
        <v>2246</v>
      </c>
      <c r="N304" s="21" t="s">
        <v>2246</v>
      </c>
      <c r="O304" s="21" t="s">
        <v>2246</v>
      </c>
      <c r="P304" s="21" t="s">
        <v>2246</v>
      </c>
      <c r="Q304" s="21" t="s">
        <v>2246</v>
      </c>
      <c r="R304" s="21" t="s">
        <v>2246</v>
      </c>
      <c r="S304" s="21" t="s">
        <v>2246</v>
      </c>
      <c r="T304" s="20" t="str">
        <f ca="1">Master_List!$AW$6</f>
        <v>TOSHIBA</v>
      </c>
      <c r="U304" s="20" t="str">
        <f ca="1">Master_List!$AW$7</f>
        <v>MRMU</v>
      </c>
      <c r="V304" s="20" t="str">
        <f ca="1">Master_List!$AW$8</f>
        <v>12kV</v>
      </c>
      <c r="W304" s="20" t="str">
        <f ca="1">Master_List!$AW$9</f>
        <v>2S1F</v>
      </c>
      <c r="X304" s="20" t="str">
        <f ca="1">Master_List!$AW$10</f>
        <v>MTM</v>
      </c>
      <c r="Y304" s="20" t="str">
        <f ca="1">Master_List!$AW$11</f>
        <v>HERMETICALLY SEAL</v>
      </c>
      <c r="Z304" s="20" t="str">
        <f ca="1">Master_List!$AW$12</f>
        <v>750kVA</v>
      </c>
      <c r="AA304" s="20" t="str">
        <f ca="1">Master_List!$AW$13</f>
        <v>1317</v>
      </c>
      <c r="AB304" s="20">
        <f ca="1">Master_List!$AW$14</f>
        <v>0</v>
      </c>
      <c r="AC304" s="20">
        <f ca="1">Master_List!$AW$15</f>
        <v>0</v>
      </c>
      <c r="AD304" s="20">
        <f ca="1">Master_List!$AW$16</f>
        <v>0</v>
      </c>
      <c r="AE304" s="20">
        <f ca="1">Master_List!$AW$17</f>
        <v>0</v>
      </c>
      <c r="AF304" s="20" t="str">
        <f ca="1">Master_List!$AW$18</f>
        <v>INDKOM</v>
      </c>
      <c r="AG304" s="20" t="str">
        <f ca="1">Master_List!$AW$19</f>
        <v>J-SLOTTED</v>
      </c>
      <c r="AH304" s="20" t="str">
        <f ca="1">Master_List!$AW$20</f>
        <v>1600A</v>
      </c>
      <c r="AI304" s="20" t="str">
        <f ca="1">Master_List!$AW$21</f>
        <v>LV5080090</v>
      </c>
      <c r="AJ304" s="20" t="str">
        <f ca="1">Master_List!$AW$22</f>
        <v>LVDB TX1</v>
      </c>
      <c r="AK304" s="20">
        <f ca="1">Master_List!$AW$23</f>
        <v>0</v>
      </c>
      <c r="AL304" s="20">
        <f ca="1">Master_List!$AW$24</f>
        <v>0</v>
      </c>
      <c r="AM304" s="20">
        <f ca="1">Master_List!$AW$25</f>
        <v>0</v>
      </c>
      <c r="AN304" s="20">
        <f ca="1">Master_List!$AW$26</f>
        <v>0</v>
      </c>
      <c r="AO304" s="20" t="str">
        <f ca="1">Master_List!$AW$27</f>
        <v>LVDB TX2</v>
      </c>
      <c r="AP304" s="20" t="str">
        <f ca="1">Master_List!$AW$28</f>
        <v>SUNPOWER TECHNOLOGIES</v>
      </c>
      <c r="AQ304" s="20" t="str">
        <f ca="1">Master_List!$AW$29</f>
        <v>SPS 30-10 L</v>
      </c>
      <c r="AR304" s="20" t="str">
        <f ca="1">Master_List!$AW$30</f>
        <v>11193-8527</v>
      </c>
      <c r="AS304" s="20">
        <f ca="1">Master_List!$AW$31</f>
        <v>0</v>
      </c>
      <c r="AT304" s="20">
        <f ca="1">Master_List!$AW$32</f>
        <v>0</v>
      </c>
      <c r="AU304" s="20">
        <f ca="1">Master_List!$AW$33</f>
        <v>0</v>
      </c>
      <c r="AV304" s="20">
        <f ca="1">Master_List!$AW$34</f>
        <v>0</v>
      </c>
      <c r="AW304" s="20">
        <f ca="1">Master_List!$AW$35</f>
        <v>0</v>
      </c>
      <c r="AX304" s="20">
        <f ca="1">Master_List!$AW$36</f>
        <v>0</v>
      </c>
      <c r="AY304" s="20">
        <f ca="1">Master_List!$AW$37</f>
        <v>0</v>
      </c>
      <c r="AZ304" s="20">
        <f ca="1">Master_List!$AW$38</f>
        <v>0</v>
      </c>
      <c r="BA304" s="20">
        <f ca="1">Master_List!$AW$39</f>
        <v>0</v>
      </c>
      <c r="BB304" s="20" t="s">
        <v>2240</v>
      </c>
      <c r="BC304" s="20" t="s">
        <v>2241</v>
      </c>
      <c r="BD304" s="6" t="s">
        <v>1744</v>
      </c>
      <c r="BE304" s="6" t="s">
        <v>1902</v>
      </c>
      <c r="BF304" s="6" t="s">
        <v>1746</v>
      </c>
      <c r="BG304" s="6" t="str">
        <f t="shared" si="4"/>
        <v>C:\Users\aremi\Desktop\REPORT CBM\PO 42289580 - Pahang 11kV SECOND CYCLE AZZAD 2026\RAW MATERIAL\047. TNB BARU (IR+VI)\RAW DATA\IR</v>
      </c>
      <c r="BH304" s="24" t="s">
        <v>845</v>
      </c>
    </row>
    <row r="305" spans="1:60" ht="30" customHeight="1" x14ac:dyDescent="0.25">
      <c r="A305" s="6">
        <v>152</v>
      </c>
      <c r="B305" s="6" t="s">
        <v>1578</v>
      </c>
      <c r="C305" s="6">
        <v>1</v>
      </c>
      <c r="D305" s="6" t="s">
        <v>2257</v>
      </c>
      <c r="E305" s="6">
        <v>152</v>
      </c>
      <c r="F305" s="6" t="str">
        <f ca="1">Master_List!$AW$1</f>
        <v>PERPUSTAKAAN PUSAT</v>
      </c>
      <c r="G305" s="27" t="str">
        <f ca="1">Master_List!$AW$2</f>
        <v>09:30 PM</v>
      </c>
      <c r="H305" s="32" t="str">
        <f ca="1">Master_List!$AW$3</f>
        <v>20/07/2026</v>
      </c>
      <c r="I305" s="28" t="str">
        <f ca="1">Master_List!$AW$4</f>
        <v>28.5</v>
      </c>
      <c r="J305" s="6" t="str">
        <f ca="1">Master_List!$AW$5</f>
        <v>65</v>
      </c>
      <c r="K305" s="6" t="s">
        <v>1453</v>
      </c>
      <c r="L305" s="21" t="s">
        <v>2246</v>
      </c>
      <c r="M305" s="21" t="s">
        <v>2246</v>
      </c>
      <c r="N305" s="21" t="s">
        <v>2246</v>
      </c>
      <c r="O305" s="21" t="s">
        <v>2246</v>
      </c>
      <c r="P305" s="21" t="s">
        <v>2246</v>
      </c>
      <c r="Q305" s="21" t="s">
        <v>2246</v>
      </c>
      <c r="R305" s="21" t="s">
        <v>2246</v>
      </c>
      <c r="S305" s="21" t="s">
        <v>2246</v>
      </c>
      <c r="T305" s="20" t="str">
        <f ca="1">Master_List!$AW$6</f>
        <v>TOSHIBA</v>
      </c>
      <c r="U305" s="20" t="str">
        <f ca="1">Master_List!$AW$7</f>
        <v>MRMU</v>
      </c>
      <c r="V305" s="20" t="str">
        <f ca="1">Master_List!$AW$8</f>
        <v>12kV</v>
      </c>
      <c r="W305" s="20" t="str">
        <f ca="1">Master_List!$AW$9</f>
        <v>2S1F</v>
      </c>
      <c r="X305" s="20" t="str">
        <f ca="1">Master_List!$AW$10</f>
        <v>MTM</v>
      </c>
      <c r="Y305" s="20" t="str">
        <f ca="1">Master_List!$AW$11</f>
        <v>HERMETICALLY SEAL</v>
      </c>
      <c r="Z305" s="20" t="str">
        <f ca="1">Master_List!$AW$12</f>
        <v>750kVA</v>
      </c>
      <c r="AA305" s="20" t="str">
        <f ca="1">Master_List!$AW$13</f>
        <v>1317</v>
      </c>
      <c r="AB305" s="20">
        <f ca="1">Master_List!$AW$14</f>
        <v>0</v>
      </c>
      <c r="AC305" s="20">
        <f ca="1">Master_List!$AW$15</f>
        <v>0</v>
      </c>
      <c r="AD305" s="20">
        <f ca="1">Master_List!$AW$16</f>
        <v>0</v>
      </c>
      <c r="AE305" s="20">
        <f ca="1">Master_List!$AW$17</f>
        <v>0</v>
      </c>
      <c r="AF305" s="20" t="str">
        <f ca="1">Master_List!$AW$18</f>
        <v>INDKOM</v>
      </c>
      <c r="AG305" s="20" t="str">
        <f ca="1">Master_List!$AW$19</f>
        <v>J-SLOTTED</v>
      </c>
      <c r="AH305" s="20" t="str">
        <f ca="1">Master_List!$AW$20</f>
        <v>1600A</v>
      </c>
      <c r="AI305" s="20" t="str">
        <f ca="1">Master_List!$AW$21</f>
        <v>LV5080090</v>
      </c>
      <c r="AJ305" s="20" t="str">
        <f ca="1">Master_List!$AW$22</f>
        <v>LVDB TX1</v>
      </c>
      <c r="AK305" s="20">
        <f ca="1">Master_List!$AW$23</f>
        <v>0</v>
      </c>
      <c r="AL305" s="20">
        <f ca="1">Master_List!$AW$24</f>
        <v>0</v>
      </c>
      <c r="AM305" s="20">
        <f ca="1">Master_List!$AW$25</f>
        <v>0</v>
      </c>
      <c r="AN305" s="20">
        <f ca="1">Master_List!$AW$26</f>
        <v>0</v>
      </c>
      <c r="AO305" s="20" t="str">
        <f ca="1">Master_List!$AW$27</f>
        <v>LVDB TX2</v>
      </c>
      <c r="AP305" s="20" t="str">
        <f ca="1">Master_List!$AW$28</f>
        <v>SUNPOWER TECHNOLOGIES</v>
      </c>
      <c r="AQ305" s="20" t="str">
        <f ca="1">Master_List!$AW$29</f>
        <v>SPS 30-10 L</v>
      </c>
      <c r="AR305" s="20" t="str">
        <f ca="1">Master_List!$AW$30</f>
        <v>11193-8527</v>
      </c>
      <c r="AS305" s="20">
        <f ca="1">Master_List!$AW$31</f>
        <v>0</v>
      </c>
      <c r="AT305" s="20">
        <f ca="1">Master_List!$AW$32</f>
        <v>0</v>
      </c>
      <c r="AU305" s="20">
        <f ca="1">Master_List!$AW$33</f>
        <v>0</v>
      </c>
      <c r="AV305" s="20">
        <f ca="1">Master_List!$AW$34</f>
        <v>0</v>
      </c>
      <c r="AW305" s="20">
        <f ca="1">Master_List!$AW$35</f>
        <v>0</v>
      </c>
      <c r="AX305" s="20">
        <f ca="1">Master_List!$AW$36</f>
        <v>0</v>
      </c>
      <c r="AY305" s="20">
        <f ca="1">Master_List!$AW$37</f>
        <v>0</v>
      </c>
      <c r="AZ305" s="20">
        <f ca="1">Master_List!$AW$38</f>
        <v>0</v>
      </c>
      <c r="BA305" s="20">
        <f ca="1">Master_List!$AW$39</f>
        <v>0</v>
      </c>
      <c r="BB305" s="20" t="s">
        <v>2240</v>
      </c>
      <c r="BC305" s="20" t="s">
        <v>2241</v>
      </c>
      <c r="BD305" s="6" t="s">
        <v>1744</v>
      </c>
      <c r="BE305" s="6" t="s">
        <v>1902</v>
      </c>
      <c r="BF305" s="6" t="s">
        <v>1748</v>
      </c>
      <c r="BG305" s="6" t="str">
        <f t="shared" si="4"/>
        <v>C:\Users\aremi\Desktop\REPORT CBM\PO 42289580 - Pahang 11kV SECOND CYCLE AZZAD 2026\RAW MATERIAL\047. TNB BARU (IR+VI)\RAW DATA\IR</v>
      </c>
      <c r="BH305" s="24" t="s">
        <v>846</v>
      </c>
    </row>
    <row r="306" spans="1:60" ht="30" customHeight="1" x14ac:dyDescent="0.25">
      <c r="A306" s="6">
        <v>153</v>
      </c>
      <c r="B306" s="6" t="s">
        <v>1519</v>
      </c>
      <c r="C306" s="6">
        <v>1</v>
      </c>
      <c r="D306" s="6" t="s">
        <v>2258</v>
      </c>
      <c r="E306" s="6">
        <v>153</v>
      </c>
      <c r="F306" s="6" t="str">
        <f ca="1">Master_List!$AW$1</f>
        <v>PERPUSTAKAAN PUSAT</v>
      </c>
      <c r="G306" s="27" t="str">
        <f ca="1">Master_List!$AW$2</f>
        <v>09:30 PM</v>
      </c>
      <c r="H306" s="32" t="str">
        <f ca="1">Master_List!$AW$3</f>
        <v>20/07/2026</v>
      </c>
      <c r="I306" s="28" t="str">
        <f ca="1">Master_List!$AW$4</f>
        <v>28.5</v>
      </c>
      <c r="J306" s="6" t="str">
        <f ca="1">Master_List!$AW$5</f>
        <v>65</v>
      </c>
      <c r="K306" s="6" t="s">
        <v>1453</v>
      </c>
      <c r="L306" s="21">
        <v>1</v>
      </c>
      <c r="M306" s="21" t="s">
        <v>2246</v>
      </c>
      <c r="N306" s="21" t="s">
        <v>2246</v>
      </c>
      <c r="O306" s="21" t="s">
        <v>2246</v>
      </c>
      <c r="P306" s="21" t="s">
        <v>2246</v>
      </c>
      <c r="Q306" s="21" t="s">
        <v>2246</v>
      </c>
      <c r="R306" s="21" t="s">
        <v>2246</v>
      </c>
      <c r="S306" s="21" t="s">
        <v>2246</v>
      </c>
      <c r="T306" s="20" t="str">
        <f ca="1">Master_List!$AW$6</f>
        <v>TOSHIBA</v>
      </c>
      <c r="U306" s="20" t="str">
        <f ca="1">Master_List!$AW$7</f>
        <v>MRMU</v>
      </c>
      <c r="V306" s="20" t="str">
        <f ca="1">Master_List!$AW$8</f>
        <v>12kV</v>
      </c>
      <c r="W306" s="20" t="str">
        <f ca="1">Master_List!$AW$9</f>
        <v>2S1F</v>
      </c>
      <c r="X306" s="20" t="str">
        <f ca="1">Master_List!$AW$10</f>
        <v>MTM</v>
      </c>
      <c r="Y306" s="20" t="str">
        <f ca="1">Master_List!$AW$11</f>
        <v>HERMETICALLY SEAL</v>
      </c>
      <c r="Z306" s="20" t="str">
        <f ca="1">Master_List!$AW$12</f>
        <v>750kVA</v>
      </c>
      <c r="AA306" s="20" t="str">
        <f ca="1">Master_List!$AW$13</f>
        <v>1317</v>
      </c>
      <c r="AB306" s="20">
        <f ca="1">Master_List!$AW$14</f>
        <v>0</v>
      </c>
      <c r="AC306" s="20">
        <f ca="1">Master_List!$AW$15</f>
        <v>0</v>
      </c>
      <c r="AD306" s="20">
        <f ca="1">Master_List!$AW$16</f>
        <v>0</v>
      </c>
      <c r="AE306" s="20">
        <f ca="1">Master_List!$AW$17</f>
        <v>0</v>
      </c>
      <c r="AF306" s="20" t="str">
        <f ca="1">Master_List!$AW$18</f>
        <v>INDKOM</v>
      </c>
      <c r="AG306" s="20" t="str">
        <f ca="1">Master_List!$AW$19</f>
        <v>J-SLOTTED</v>
      </c>
      <c r="AH306" s="20" t="str">
        <f ca="1">Master_List!$AW$20</f>
        <v>1600A</v>
      </c>
      <c r="AI306" s="20" t="str">
        <f ca="1">Master_List!$AW$21</f>
        <v>LV5080090</v>
      </c>
      <c r="AJ306" s="20" t="str">
        <f ca="1">Master_List!$AW$22</f>
        <v>LVDB TX1</v>
      </c>
      <c r="AK306" s="20">
        <f ca="1">Master_List!$AW$23</f>
        <v>0</v>
      </c>
      <c r="AL306" s="20">
        <f ca="1">Master_List!$AW$24</f>
        <v>0</v>
      </c>
      <c r="AM306" s="20">
        <f ca="1">Master_List!$AW$25</f>
        <v>0</v>
      </c>
      <c r="AN306" s="20">
        <f ca="1">Master_List!$AW$26</f>
        <v>0</v>
      </c>
      <c r="AO306" s="20" t="str">
        <f ca="1">Master_List!$AW$27</f>
        <v>LVDB TX2</v>
      </c>
      <c r="AP306" s="20" t="str">
        <f ca="1">Master_List!$AW$28</f>
        <v>SUNPOWER TECHNOLOGIES</v>
      </c>
      <c r="AQ306" s="20" t="str">
        <f ca="1">Master_List!$AW$29</f>
        <v>SPS 30-10 L</v>
      </c>
      <c r="AR306" s="20" t="str">
        <f ca="1">Master_List!$AW$30</f>
        <v>11193-8527</v>
      </c>
      <c r="AS306" s="20">
        <f ca="1">Master_List!$AW$31</f>
        <v>0</v>
      </c>
      <c r="AT306" s="20">
        <f ca="1">Master_List!$AW$32</f>
        <v>0</v>
      </c>
      <c r="AU306" s="20">
        <f ca="1">Master_List!$AW$33</f>
        <v>0</v>
      </c>
      <c r="AV306" s="20">
        <f ca="1">Master_List!$AW$34</f>
        <v>0</v>
      </c>
      <c r="AW306" s="20">
        <f ca="1">Master_List!$AW$35</f>
        <v>0</v>
      </c>
      <c r="AX306" s="20">
        <f ca="1">Master_List!$AW$36</f>
        <v>0</v>
      </c>
      <c r="AY306" s="20">
        <f ca="1">Master_List!$AW$37</f>
        <v>0</v>
      </c>
      <c r="AZ306" s="20">
        <f ca="1">Master_List!$AW$38</f>
        <v>0</v>
      </c>
      <c r="BA306" s="20">
        <f ca="1">Master_List!$AW$39</f>
        <v>0</v>
      </c>
      <c r="BB306" s="20" t="s">
        <v>2240</v>
      </c>
      <c r="BC306" s="20" t="s">
        <v>2241</v>
      </c>
      <c r="BD306" s="6" t="s">
        <v>1744</v>
      </c>
      <c r="BE306" s="6" t="s">
        <v>1903</v>
      </c>
      <c r="BF306" s="6" t="s">
        <v>1746</v>
      </c>
      <c r="BG306" s="6" t="str">
        <f t="shared" si="4"/>
        <v>C:\Users\aremi\Desktop\REPORT CBM\PO 42289580 - Pahang 11kV SECOND CYCLE AZZAD 2026\RAW MATERIAL\047. TNB BARU (IR+VI)\RAW DATA\IR</v>
      </c>
      <c r="BH306" s="24" t="s">
        <v>847</v>
      </c>
    </row>
    <row r="307" spans="1:60" ht="30" customHeight="1" x14ac:dyDescent="0.25">
      <c r="A307" s="6">
        <v>153</v>
      </c>
      <c r="B307" s="6" t="s">
        <v>1519</v>
      </c>
      <c r="C307" s="6">
        <v>1</v>
      </c>
      <c r="D307" s="6" t="s">
        <v>2258</v>
      </c>
      <c r="E307" s="6">
        <v>153</v>
      </c>
      <c r="F307" s="6" t="str">
        <f ca="1">Master_List!$AW$1</f>
        <v>PERPUSTAKAAN PUSAT</v>
      </c>
      <c r="G307" s="27" t="str">
        <f ca="1">Master_List!$AW$2</f>
        <v>09:30 PM</v>
      </c>
      <c r="H307" s="32" t="str">
        <f ca="1">Master_List!$AW$3</f>
        <v>20/07/2026</v>
      </c>
      <c r="I307" s="28" t="str">
        <f ca="1">Master_List!$AW$4</f>
        <v>28.5</v>
      </c>
      <c r="J307" s="6" t="str">
        <f ca="1">Master_List!$AW$5</f>
        <v>65</v>
      </c>
      <c r="K307" s="6" t="s">
        <v>1453</v>
      </c>
      <c r="L307" s="21">
        <v>1</v>
      </c>
      <c r="M307" s="21" t="s">
        <v>2246</v>
      </c>
      <c r="N307" s="21" t="s">
        <v>2246</v>
      </c>
      <c r="O307" s="21" t="s">
        <v>2246</v>
      </c>
      <c r="P307" s="21" t="s">
        <v>2246</v>
      </c>
      <c r="Q307" s="21" t="s">
        <v>2246</v>
      </c>
      <c r="R307" s="21" t="s">
        <v>2246</v>
      </c>
      <c r="S307" s="21" t="s">
        <v>2246</v>
      </c>
      <c r="T307" s="20" t="str">
        <f ca="1">Master_List!$AW$6</f>
        <v>TOSHIBA</v>
      </c>
      <c r="U307" s="20" t="str">
        <f ca="1">Master_List!$AW$7</f>
        <v>MRMU</v>
      </c>
      <c r="V307" s="20" t="str">
        <f ca="1">Master_List!$AW$8</f>
        <v>12kV</v>
      </c>
      <c r="W307" s="20" t="str">
        <f ca="1">Master_List!$AW$9</f>
        <v>2S1F</v>
      </c>
      <c r="X307" s="20" t="str">
        <f ca="1">Master_List!$AW$10</f>
        <v>MTM</v>
      </c>
      <c r="Y307" s="20" t="str">
        <f ca="1">Master_List!$AW$11</f>
        <v>HERMETICALLY SEAL</v>
      </c>
      <c r="Z307" s="20" t="str">
        <f ca="1">Master_List!$AW$12</f>
        <v>750kVA</v>
      </c>
      <c r="AA307" s="20" t="str">
        <f ca="1">Master_List!$AW$13</f>
        <v>1317</v>
      </c>
      <c r="AB307" s="20">
        <f ca="1">Master_List!$AW$14</f>
        <v>0</v>
      </c>
      <c r="AC307" s="20">
        <f ca="1">Master_List!$AW$15</f>
        <v>0</v>
      </c>
      <c r="AD307" s="20">
        <f ca="1">Master_List!$AW$16</f>
        <v>0</v>
      </c>
      <c r="AE307" s="20">
        <f ca="1">Master_List!$AW$17</f>
        <v>0</v>
      </c>
      <c r="AF307" s="20" t="str">
        <f ca="1">Master_List!$AW$18</f>
        <v>INDKOM</v>
      </c>
      <c r="AG307" s="20" t="str">
        <f ca="1">Master_List!$AW$19</f>
        <v>J-SLOTTED</v>
      </c>
      <c r="AH307" s="20" t="str">
        <f ca="1">Master_List!$AW$20</f>
        <v>1600A</v>
      </c>
      <c r="AI307" s="20" t="str">
        <f ca="1">Master_List!$AW$21</f>
        <v>LV5080090</v>
      </c>
      <c r="AJ307" s="20" t="str">
        <f ca="1">Master_List!$AW$22</f>
        <v>LVDB TX1</v>
      </c>
      <c r="AK307" s="20">
        <f ca="1">Master_List!$AW$23</f>
        <v>0</v>
      </c>
      <c r="AL307" s="20">
        <f ca="1">Master_List!$AW$24</f>
        <v>0</v>
      </c>
      <c r="AM307" s="20">
        <f ca="1">Master_List!$AW$25</f>
        <v>0</v>
      </c>
      <c r="AN307" s="20">
        <f ca="1">Master_List!$AW$26</f>
        <v>0</v>
      </c>
      <c r="AO307" s="20" t="str">
        <f ca="1">Master_List!$AW$27</f>
        <v>LVDB TX2</v>
      </c>
      <c r="AP307" s="20" t="str">
        <f ca="1">Master_List!$AW$28</f>
        <v>SUNPOWER TECHNOLOGIES</v>
      </c>
      <c r="AQ307" s="20" t="str">
        <f ca="1">Master_List!$AW$29</f>
        <v>SPS 30-10 L</v>
      </c>
      <c r="AR307" s="20" t="str">
        <f ca="1">Master_List!$AW$30</f>
        <v>11193-8527</v>
      </c>
      <c r="AS307" s="20">
        <f ca="1">Master_List!$AW$31</f>
        <v>0</v>
      </c>
      <c r="AT307" s="20">
        <f ca="1">Master_List!$AW$32</f>
        <v>0</v>
      </c>
      <c r="AU307" s="20">
        <f ca="1">Master_List!$AW$33</f>
        <v>0</v>
      </c>
      <c r="AV307" s="20">
        <f ca="1">Master_List!$AW$34</f>
        <v>0</v>
      </c>
      <c r="AW307" s="20">
        <f ca="1">Master_List!$AW$35</f>
        <v>0</v>
      </c>
      <c r="AX307" s="20">
        <f ca="1">Master_List!$AW$36</f>
        <v>0</v>
      </c>
      <c r="AY307" s="20">
        <f ca="1">Master_List!$AW$37</f>
        <v>0</v>
      </c>
      <c r="AZ307" s="20">
        <f ca="1">Master_List!$AW$38</f>
        <v>0</v>
      </c>
      <c r="BA307" s="20">
        <f ca="1">Master_List!$AW$39</f>
        <v>0</v>
      </c>
      <c r="BB307" s="20" t="s">
        <v>2240</v>
      </c>
      <c r="BC307" s="20" t="s">
        <v>2241</v>
      </c>
      <c r="BD307" s="6" t="s">
        <v>1744</v>
      </c>
      <c r="BE307" s="6" t="s">
        <v>1903</v>
      </c>
      <c r="BF307" s="6" t="s">
        <v>1748</v>
      </c>
      <c r="BG307" s="6" t="str">
        <f t="shared" si="4"/>
        <v>C:\Users\aremi\Desktop\REPORT CBM\PO 42289580 - Pahang 11kV SECOND CYCLE AZZAD 2026\RAW MATERIAL\047. TNB BARU (IR+VI)\RAW DATA\IR</v>
      </c>
      <c r="BH307" s="24" t="s">
        <v>848</v>
      </c>
    </row>
    <row r="308" spans="1:60" ht="30" customHeight="1" x14ac:dyDescent="0.25">
      <c r="A308" s="6">
        <v>154</v>
      </c>
      <c r="B308" s="6" t="s">
        <v>1522</v>
      </c>
      <c r="C308" s="6">
        <v>1</v>
      </c>
      <c r="D308" s="6" t="s">
        <v>2259</v>
      </c>
      <c r="E308" s="6">
        <v>154</v>
      </c>
      <c r="F308" s="6" t="str">
        <f ca="1">Master_List!$AW$1</f>
        <v>PERPUSTAKAAN PUSAT</v>
      </c>
      <c r="G308" s="27" t="str">
        <f ca="1">Master_List!$AW$2</f>
        <v>09:30 PM</v>
      </c>
      <c r="H308" s="32" t="str">
        <f ca="1">Master_List!$AW$3</f>
        <v>20/07/2026</v>
      </c>
      <c r="I308" s="28" t="str">
        <f ca="1">Master_List!$AW$4</f>
        <v>28.5</v>
      </c>
      <c r="J308" s="6" t="str">
        <f ca="1">Master_List!$AW$5</f>
        <v>65</v>
      </c>
      <c r="K308" s="6" t="s">
        <v>1453</v>
      </c>
      <c r="L308" s="21">
        <v>2</v>
      </c>
      <c r="M308" s="21" t="s">
        <v>2246</v>
      </c>
      <c r="N308" s="21" t="s">
        <v>2246</v>
      </c>
      <c r="O308" s="21" t="s">
        <v>2246</v>
      </c>
      <c r="P308" s="21" t="s">
        <v>2246</v>
      </c>
      <c r="Q308" s="21" t="s">
        <v>2246</v>
      </c>
      <c r="R308" s="21" t="s">
        <v>2246</v>
      </c>
      <c r="S308" s="21" t="s">
        <v>2246</v>
      </c>
      <c r="T308" s="20" t="str">
        <f ca="1">Master_List!$AW$6</f>
        <v>TOSHIBA</v>
      </c>
      <c r="U308" s="20" t="str">
        <f ca="1">Master_List!$AW$7</f>
        <v>MRMU</v>
      </c>
      <c r="V308" s="20" t="str">
        <f ca="1">Master_List!$AW$8</f>
        <v>12kV</v>
      </c>
      <c r="W308" s="20" t="str">
        <f ca="1">Master_List!$AW$9</f>
        <v>2S1F</v>
      </c>
      <c r="X308" s="20" t="str">
        <f ca="1">Master_List!$AW$10</f>
        <v>MTM</v>
      </c>
      <c r="Y308" s="20" t="str">
        <f ca="1">Master_List!$AW$11</f>
        <v>HERMETICALLY SEAL</v>
      </c>
      <c r="Z308" s="20" t="str">
        <f ca="1">Master_List!$AW$12</f>
        <v>750kVA</v>
      </c>
      <c r="AA308" s="20" t="str">
        <f ca="1">Master_List!$AW$13</f>
        <v>1317</v>
      </c>
      <c r="AB308" s="20">
        <f ca="1">Master_List!$AW$14</f>
        <v>0</v>
      </c>
      <c r="AC308" s="20">
        <f ca="1">Master_List!$AW$15</f>
        <v>0</v>
      </c>
      <c r="AD308" s="20">
        <f ca="1">Master_List!$AW$16</f>
        <v>0</v>
      </c>
      <c r="AE308" s="20">
        <f ca="1">Master_List!$AW$17</f>
        <v>0</v>
      </c>
      <c r="AF308" s="20" t="str">
        <f ca="1">Master_List!$AW$18</f>
        <v>INDKOM</v>
      </c>
      <c r="AG308" s="20" t="str">
        <f ca="1">Master_List!$AW$19</f>
        <v>J-SLOTTED</v>
      </c>
      <c r="AH308" s="20" t="str">
        <f ca="1">Master_List!$AW$20</f>
        <v>1600A</v>
      </c>
      <c r="AI308" s="20" t="str">
        <f ca="1">Master_List!$AW$21</f>
        <v>LV5080090</v>
      </c>
      <c r="AJ308" s="20" t="str">
        <f ca="1">Master_List!$AW$22</f>
        <v>LVDB TX1</v>
      </c>
      <c r="AK308" s="20">
        <f ca="1">Master_List!$AW$23</f>
        <v>0</v>
      </c>
      <c r="AL308" s="20">
        <f ca="1">Master_List!$AW$24</f>
        <v>0</v>
      </c>
      <c r="AM308" s="20">
        <f ca="1">Master_List!$AW$25</f>
        <v>0</v>
      </c>
      <c r="AN308" s="20">
        <f ca="1">Master_List!$AW$26</f>
        <v>0</v>
      </c>
      <c r="AO308" s="20" t="str">
        <f ca="1">Master_List!$AW$27</f>
        <v>LVDB TX2</v>
      </c>
      <c r="AP308" s="20" t="str">
        <f ca="1">Master_List!$AW$28</f>
        <v>SUNPOWER TECHNOLOGIES</v>
      </c>
      <c r="AQ308" s="20" t="str">
        <f ca="1">Master_List!$AW$29</f>
        <v>SPS 30-10 L</v>
      </c>
      <c r="AR308" s="20" t="str">
        <f ca="1">Master_List!$AW$30</f>
        <v>11193-8527</v>
      </c>
      <c r="AS308" s="20">
        <f ca="1">Master_List!$AW$31</f>
        <v>0</v>
      </c>
      <c r="AT308" s="20">
        <f ca="1">Master_List!$AW$32</f>
        <v>0</v>
      </c>
      <c r="AU308" s="20">
        <f ca="1">Master_List!$AW$33</f>
        <v>0</v>
      </c>
      <c r="AV308" s="20">
        <f ca="1">Master_List!$AW$34</f>
        <v>0</v>
      </c>
      <c r="AW308" s="20">
        <f ca="1">Master_List!$AW$35</f>
        <v>0</v>
      </c>
      <c r="AX308" s="20">
        <f ca="1">Master_List!$AW$36</f>
        <v>0</v>
      </c>
      <c r="AY308" s="20">
        <f ca="1">Master_List!$AW$37</f>
        <v>0</v>
      </c>
      <c r="AZ308" s="20">
        <f ca="1">Master_List!$AW$38</f>
        <v>0</v>
      </c>
      <c r="BA308" s="20">
        <f ca="1">Master_List!$AW$39</f>
        <v>0</v>
      </c>
      <c r="BB308" s="20" t="s">
        <v>2240</v>
      </c>
      <c r="BC308" s="20" t="s">
        <v>2241</v>
      </c>
      <c r="BD308" s="6" t="s">
        <v>1744</v>
      </c>
      <c r="BE308" s="6" t="s">
        <v>1904</v>
      </c>
      <c r="BF308" s="6" t="s">
        <v>1746</v>
      </c>
      <c r="BG308" s="6" t="str">
        <f t="shared" si="4"/>
        <v>C:\Users\aremi\Desktop\REPORT CBM\PO 42289580 - Pahang 11kV SECOND CYCLE AZZAD 2026\RAW MATERIAL\047. TNB BARU (IR+VI)\RAW DATA\IR</v>
      </c>
      <c r="BH308" s="24" t="s">
        <v>850</v>
      </c>
    </row>
    <row r="309" spans="1:60" ht="30" customHeight="1" x14ac:dyDescent="0.25">
      <c r="A309" s="6">
        <v>154</v>
      </c>
      <c r="B309" s="6" t="s">
        <v>1522</v>
      </c>
      <c r="C309" s="6">
        <v>1</v>
      </c>
      <c r="D309" s="6" t="s">
        <v>2259</v>
      </c>
      <c r="E309" s="6">
        <v>154</v>
      </c>
      <c r="F309" s="6" t="str">
        <f ca="1">Master_List!$AW$1</f>
        <v>PERPUSTAKAAN PUSAT</v>
      </c>
      <c r="G309" s="27" t="str">
        <f ca="1">Master_List!$AW$2</f>
        <v>09:30 PM</v>
      </c>
      <c r="H309" s="32" t="str">
        <f ca="1">Master_List!$AW$3</f>
        <v>20/07/2026</v>
      </c>
      <c r="I309" s="28" t="str">
        <f ca="1">Master_List!$AW$4</f>
        <v>28.5</v>
      </c>
      <c r="J309" s="6" t="str">
        <f ca="1">Master_List!$AW$5</f>
        <v>65</v>
      </c>
      <c r="K309" s="6" t="s">
        <v>1453</v>
      </c>
      <c r="L309" s="21">
        <v>2</v>
      </c>
      <c r="M309" s="21" t="s">
        <v>2246</v>
      </c>
      <c r="N309" s="21" t="s">
        <v>2246</v>
      </c>
      <c r="O309" s="21" t="s">
        <v>2246</v>
      </c>
      <c r="P309" s="21" t="s">
        <v>2246</v>
      </c>
      <c r="Q309" s="21" t="s">
        <v>2246</v>
      </c>
      <c r="R309" s="21" t="s">
        <v>2246</v>
      </c>
      <c r="S309" s="21" t="s">
        <v>2246</v>
      </c>
      <c r="T309" s="20" t="str">
        <f ca="1">Master_List!$AW$6</f>
        <v>TOSHIBA</v>
      </c>
      <c r="U309" s="20" t="str">
        <f ca="1">Master_List!$AW$7</f>
        <v>MRMU</v>
      </c>
      <c r="V309" s="20" t="str">
        <f ca="1">Master_List!$AW$8</f>
        <v>12kV</v>
      </c>
      <c r="W309" s="20" t="str">
        <f ca="1">Master_List!$AW$9</f>
        <v>2S1F</v>
      </c>
      <c r="X309" s="20" t="str">
        <f ca="1">Master_List!$AW$10</f>
        <v>MTM</v>
      </c>
      <c r="Y309" s="20" t="str">
        <f ca="1">Master_List!$AW$11</f>
        <v>HERMETICALLY SEAL</v>
      </c>
      <c r="Z309" s="20" t="str">
        <f ca="1">Master_List!$AW$12</f>
        <v>750kVA</v>
      </c>
      <c r="AA309" s="20" t="str">
        <f ca="1">Master_List!$AW$13</f>
        <v>1317</v>
      </c>
      <c r="AB309" s="20">
        <f ca="1">Master_List!$AW$14</f>
        <v>0</v>
      </c>
      <c r="AC309" s="20">
        <f ca="1">Master_List!$AW$15</f>
        <v>0</v>
      </c>
      <c r="AD309" s="20">
        <f ca="1">Master_List!$AW$16</f>
        <v>0</v>
      </c>
      <c r="AE309" s="20">
        <f ca="1">Master_List!$AW$17</f>
        <v>0</v>
      </c>
      <c r="AF309" s="20" t="str">
        <f ca="1">Master_List!$AW$18</f>
        <v>INDKOM</v>
      </c>
      <c r="AG309" s="20" t="str">
        <f ca="1">Master_List!$AW$19</f>
        <v>J-SLOTTED</v>
      </c>
      <c r="AH309" s="20" t="str">
        <f ca="1">Master_List!$AW$20</f>
        <v>1600A</v>
      </c>
      <c r="AI309" s="20" t="str">
        <f ca="1">Master_List!$AW$21</f>
        <v>LV5080090</v>
      </c>
      <c r="AJ309" s="20" t="str">
        <f ca="1">Master_List!$AW$22</f>
        <v>LVDB TX1</v>
      </c>
      <c r="AK309" s="20">
        <f ca="1">Master_List!$AW$23</f>
        <v>0</v>
      </c>
      <c r="AL309" s="20">
        <f ca="1">Master_List!$AW$24</f>
        <v>0</v>
      </c>
      <c r="AM309" s="20">
        <f ca="1">Master_List!$AW$25</f>
        <v>0</v>
      </c>
      <c r="AN309" s="20">
        <f ca="1">Master_List!$AW$26</f>
        <v>0</v>
      </c>
      <c r="AO309" s="20" t="str">
        <f ca="1">Master_List!$AW$27</f>
        <v>LVDB TX2</v>
      </c>
      <c r="AP309" s="20" t="str">
        <f ca="1">Master_List!$AW$28</f>
        <v>SUNPOWER TECHNOLOGIES</v>
      </c>
      <c r="AQ309" s="20" t="str">
        <f ca="1">Master_List!$AW$29</f>
        <v>SPS 30-10 L</v>
      </c>
      <c r="AR309" s="20" t="str">
        <f ca="1">Master_List!$AW$30</f>
        <v>11193-8527</v>
      </c>
      <c r="AS309" s="20">
        <f ca="1">Master_List!$AW$31</f>
        <v>0</v>
      </c>
      <c r="AT309" s="20">
        <f ca="1">Master_List!$AW$32</f>
        <v>0</v>
      </c>
      <c r="AU309" s="20">
        <f ca="1">Master_List!$AW$33</f>
        <v>0</v>
      </c>
      <c r="AV309" s="20">
        <f ca="1">Master_List!$AW$34</f>
        <v>0</v>
      </c>
      <c r="AW309" s="20">
        <f ca="1">Master_List!$AW$35</f>
        <v>0</v>
      </c>
      <c r="AX309" s="20">
        <f ca="1">Master_List!$AW$36</f>
        <v>0</v>
      </c>
      <c r="AY309" s="20">
        <f ca="1">Master_List!$AW$37</f>
        <v>0</v>
      </c>
      <c r="AZ309" s="20">
        <f ca="1">Master_List!$AW$38</f>
        <v>0</v>
      </c>
      <c r="BA309" s="20">
        <f ca="1">Master_List!$AW$39</f>
        <v>0</v>
      </c>
      <c r="BB309" s="20" t="s">
        <v>2240</v>
      </c>
      <c r="BC309" s="20" t="s">
        <v>2241</v>
      </c>
      <c r="BD309" s="6" t="s">
        <v>1744</v>
      </c>
      <c r="BE309" s="6" t="s">
        <v>1904</v>
      </c>
      <c r="BF309" s="6" t="s">
        <v>1748</v>
      </c>
      <c r="BG309" s="6" t="str">
        <f t="shared" si="4"/>
        <v>C:\Users\aremi\Desktop\REPORT CBM\PO 42289580 - Pahang 11kV SECOND CYCLE AZZAD 2026\RAW MATERIAL\047. TNB BARU (IR+VI)\RAW DATA\IR</v>
      </c>
      <c r="BH309" s="24" t="s">
        <v>851</v>
      </c>
    </row>
    <row r="310" spans="1:60" ht="30" customHeight="1" x14ac:dyDescent="0.25">
      <c r="A310" s="6">
        <v>155</v>
      </c>
      <c r="B310" s="6" t="s">
        <v>1579</v>
      </c>
      <c r="C310" s="6">
        <v>1</v>
      </c>
      <c r="D310" s="6" t="s">
        <v>2260</v>
      </c>
      <c r="E310" s="6">
        <v>155</v>
      </c>
      <c r="F310" s="6" t="str">
        <f ca="1">Master_List!$AW$1</f>
        <v>PERPUSTAKAAN PUSAT</v>
      </c>
      <c r="G310" s="27" t="str">
        <f ca="1">Master_List!$AW$2</f>
        <v>09:30 PM</v>
      </c>
      <c r="H310" s="32" t="str">
        <f ca="1">Master_List!$AW$3</f>
        <v>20/07/2026</v>
      </c>
      <c r="I310" s="28" t="str">
        <f ca="1">Master_List!$AW$4</f>
        <v>28.5</v>
      </c>
      <c r="J310" s="6" t="str">
        <f ca="1">Master_List!$AW$5</f>
        <v>65</v>
      </c>
      <c r="K310" s="6" t="s">
        <v>1453</v>
      </c>
      <c r="L310" s="21">
        <v>3</v>
      </c>
      <c r="M310" s="21" t="s">
        <v>2246</v>
      </c>
      <c r="N310" s="21" t="s">
        <v>2246</v>
      </c>
      <c r="O310" s="21" t="s">
        <v>2246</v>
      </c>
      <c r="P310" s="21" t="s">
        <v>2246</v>
      </c>
      <c r="Q310" s="21" t="s">
        <v>2246</v>
      </c>
      <c r="R310" s="21" t="s">
        <v>2246</v>
      </c>
      <c r="S310" s="21" t="s">
        <v>2246</v>
      </c>
      <c r="T310" s="20" t="str">
        <f ca="1">Master_List!$AW$6</f>
        <v>TOSHIBA</v>
      </c>
      <c r="U310" s="20" t="str">
        <f ca="1">Master_List!$AW$7</f>
        <v>MRMU</v>
      </c>
      <c r="V310" s="20" t="str">
        <f ca="1">Master_List!$AW$8</f>
        <v>12kV</v>
      </c>
      <c r="W310" s="20" t="str">
        <f ca="1">Master_List!$AW$9</f>
        <v>2S1F</v>
      </c>
      <c r="X310" s="20" t="str">
        <f ca="1">Master_List!$AW$10</f>
        <v>MTM</v>
      </c>
      <c r="Y310" s="20" t="str">
        <f ca="1">Master_List!$AW$11</f>
        <v>HERMETICALLY SEAL</v>
      </c>
      <c r="Z310" s="20" t="str">
        <f ca="1">Master_List!$AW$12</f>
        <v>750kVA</v>
      </c>
      <c r="AA310" s="20" t="str">
        <f ca="1">Master_List!$AW$13</f>
        <v>1317</v>
      </c>
      <c r="AB310" s="20">
        <f ca="1">Master_List!$AW$14</f>
        <v>0</v>
      </c>
      <c r="AC310" s="20">
        <f ca="1">Master_List!$AW$15</f>
        <v>0</v>
      </c>
      <c r="AD310" s="20">
        <f ca="1">Master_List!$AW$16</f>
        <v>0</v>
      </c>
      <c r="AE310" s="20">
        <f ca="1">Master_List!$AW$17</f>
        <v>0</v>
      </c>
      <c r="AF310" s="20" t="str">
        <f ca="1">Master_List!$AW$18</f>
        <v>INDKOM</v>
      </c>
      <c r="AG310" s="20" t="str">
        <f ca="1">Master_List!$AW$19</f>
        <v>J-SLOTTED</v>
      </c>
      <c r="AH310" s="20" t="str">
        <f ca="1">Master_List!$AW$20</f>
        <v>1600A</v>
      </c>
      <c r="AI310" s="20" t="str">
        <f ca="1">Master_List!$AW$21</f>
        <v>LV5080090</v>
      </c>
      <c r="AJ310" s="20" t="str">
        <f ca="1">Master_List!$AW$22</f>
        <v>LVDB TX1</v>
      </c>
      <c r="AK310" s="20">
        <f ca="1">Master_List!$AW$23</f>
        <v>0</v>
      </c>
      <c r="AL310" s="20">
        <f ca="1">Master_List!$AW$24</f>
        <v>0</v>
      </c>
      <c r="AM310" s="20">
        <f ca="1">Master_List!$AW$25</f>
        <v>0</v>
      </c>
      <c r="AN310" s="20">
        <f ca="1">Master_List!$AW$26</f>
        <v>0</v>
      </c>
      <c r="AO310" s="20" t="str">
        <f ca="1">Master_List!$AW$27</f>
        <v>LVDB TX2</v>
      </c>
      <c r="AP310" s="20" t="str">
        <f ca="1">Master_List!$AW$28</f>
        <v>SUNPOWER TECHNOLOGIES</v>
      </c>
      <c r="AQ310" s="20" t="str">
        <f ca="1">Master_List!$AW$29</f>
        <v>SPS 30-10 L</v>
      </c>
      <c r="AR310" s="20" t="str">
        <f ca="1">Master_List!$AW$30</f>
        <v>11193-8527</v>
      </c>
      <c r="AS310" s="20">
        <f ca="1">Master_List!$AW$31</f>
        <v>0</v>
      </c>
      <c r="AT310" s="20">
        <f ca="1">Master_List!$AW$32</f>
        <v>0</v>
      </c>
      <c r="AU310" s="20">
        <f ca="1">Master_List!$AW$33</f>
        <v>0</v>
      </c>
      <c r="AV310" s="20">
        <f ca="1">Master_List!$AW$34</f>
        <v>0</v>
      </c>
      <c r="AW310" s="20">
        <f ca="1">Master_List!$AW$35</f>
        <v>0</v>
      </c>
      <c r="AX310" s="20">
        <f ca="1">Master_List!$AW$36</f>
        <v>0</v>
      </c>
      <c r="AY310" s="20">
        <f ca="1">Master_List!$AW$37</f>
        <v>0</v>
      </c>
      <c r="AZ310" s="20">
        <f ca="1">Master_List!$AW$38</f>
        <v>0</v>
      </c>
      <c r="BA310" s="20">
        <f ca="1">Master_List!$AW$39</f>
        <v>0</v>
      </c>
      <c r="BB310" s="20" t="s">
        <v>2240</v>
      </c>
      <c r="BC310" s="20" t="s">
        <v>2241</v>
      </c>
      <c r="BD310" s="6" t="s">
        <v>1744</v>
      </c>
      <c r="BE310" s="6" t="s">
        <v>1905</v>
      </c>
      <c r="BF310" s="6" t="s">
        <v>1746</v>
      </c>
      <c r="BG310" s="6" t="str">
        <f t="shared" si="4"/>
        <v>C:\Users\aremi\Desktop\REPORT CBM\PO 42289580 - Pahang 11kV SECOND CYCLE AZZAD 2026\RAW MATERIAL\047. TNB BARU (IR+VI)\RAW DATA\IR</v>
      </c>
      <c r="BH310" s="24" t="s">
        <v>852</v>
      </c>
    </row>
    <row r="311" spans="1:60" ht="30" customHeight="1" x14ac:dyDescent="0.25">
      <c r="A311" s="6">
        <v>155</v>
      </c>
      <c r="B311" s="6" t="s">
        <v>1579</v>
      </c>
      <c r="C311" s="6">
        <v>1</v>
      </c>
      <c r="D311" s="6" t="s">
        <v>2260</v>
      </c>
      <c r="E311" s="6">
        <v>155</v>
      </c>
      <c r="F311" s="6" t="str">
        <f ca="1">Master_List!$AW$1</f>
        <v>PERPUSTAKAAN PUSAT</v>
      </c>
      <c r="G311" s="27" t="str">
        <f ca="1">Master_List!$AW$2</f>
        <v>09:30 PM</v>
      </c>
      <c r="H311" s="32" t="str">
        <f ca="1">Master_List!$AW$3</f>
        <v>20/07/2026</v>
      </c>
      <c r="I311" s="28" t="str">
        <f ca="1">Master_List!$AW$4</f>
        <v>28.5</v>
      </c>
      <c r="J311" s="6" t="str">
        <f ca="1">Master_List!$AW$5</f>
        <v>65</v>
      </c>
      <c r="K311" s="6" t="s">
        <v>1453</v>
      </c>
      <c r="L311" s="21">
        <v>3</v>
      </c>
      <c r="M311" s="21" t="s">
        <v>2246</v>
      </c>
      <c r="N311" s="21" t="s">
        <v>2246</v>
      </c>
      <c r="O311" s="21" t="s">
        <v>2246</v>
      </c>
      <c r="P311" s="21" t="s">
        <v>2246</v>
      </c>
      <c r="Q311" s="21" t="s">
        <v>2246</v>
      </c>
      <c r="R311" s="21" t="s">
        <v>2246</v>
      </c>
      <c r="S311" s="21" t="s">
        <v>2246</v>
      </c>
      <c r="T311" s="20" t="str">
        <f ca="1">Master_List!$AW$6</f>
        <v>TOSHIBA</v>
      </c>
      <c r="U311" s="20" t="str">
        <f ca="1">Master_List!$AW$7</f>
        <v>MRMU</v>
      </c>
      <c r="V311" s="20" t="str">
        <f ca="1">Master_List!$AW$8</f>
        <v>12kV</v>
      </c>
      <c r="W311" s="20" t="str">
        <f ca="1">Master_List!$AW$9</f>
        <v>2S1F</v>
      </c>
      <c r="X311" s="20" t="str">
        <f ca="1">Master_List!$AW$10</f>
        <v>MTM</v>
      </c>
      <c r="Y311" s="20" t="str">
        <f ca="1">Master_List!$AW$11</f>
        <v>HERMETICALLY SEAL</v>
      </c>
      <c r="Z311" s="20" t="str">
        <f ca="1">Master_List!$AW$12</f>
        <v>750kVA</v>
      </c>
      <c r="AA311" s="20" t="str">
        <f ca="1">Master_List!$AW$13</f>
        <v>1317</v>
      </c>
      <c r="AB311" s="20">
        <f ca="1">Master_List!$AW$14</f>
        <v>0</v>
      </c>
      <c r="AC311" s="20">
        <f ca="1">Master_List!$AW$15</f>
        <v>0</v>
      </c>
      <c r="AD311" s="20">
        <f ca="1">Master_List!$AW$16</f>
        <v>0</v>
      </c>
      <c r="AE311" s="20">
        <f ca="1">Master_List!$AW$17</f>
        <v>0</v>
      </c>
      <c r="AF311" s="20" t="str">
        <f ca="1">Master_List!$AW$18</f>
        <v>INDKOM</v>
      </c>
      <c r="AG311" s="20" t="str">
        <f ca="1">Master_List!$AW$19</f>
        <v>J-SLOTTED</v>
      </c>
      <c r="AH311" s="20" t="str">
        <f ca="1">Master_List!$AW$20</f>
        <v>1600A</v>
      </c>
      <c r="AI311" s="20" t="str">
        <f ca="1">Master_List!$AW$21</f>
        <v>LV5080090</v>
      </c>
      <c r="AJ311" s="20" t="str">
        <f ca="1">Master_List!$AW$22</f>
        <v>LVDB TX1</v>
      </c>
      <c r="AK311" s="20">
        <f ca="1">Master_List!$AW$23</f>
        <v>0</v>
      </c>
      <c r="AL311" s="20">
        <f ca="1">Master_List!$AW$24</f>
        <v>0</v>
      </c>
      <c r="AM311" s="20">
        <f ca="1">Master_List!$AW$25</f>
        <v>0</v>
      </c>
      <c r="AN311" s="20">
        <f ca="1">Master_List!$AW$26</f>
        <v>0</v>
      </c>
      <c r="AO311" s="20" t="str">
        <f ca="1">Master_List!$AW$27</f>
        <v>LVDB TX2</v>
      </c>
      <c r="AP311" s="20" t="str">
        <f ca="1">Master_List!$AW$28</f>
        <v>SUNPOWER TECHNOLOGIES</v>
      </c>
      <c r="AQ311" s="20" t="str">
        <f ca="1">Master_List!$AW$29</f>
        <v>SPS 30-10 L</v>
      </c>
      <c r="AR311" s="20" t="str">
        <f ca="1">Master_List!$AW$30</f>
        <v>11193-8527</v>
      </c>
      <c r="AS311" s="20">
        <f ca="1">Master_List!$AW$31</f>
        <v>0</v>
      </c>
      <c r="AT311" s="20">
        <f ca="1">Master_List!$AW$32</f>
        <v>0</v>
      </c>
      <c r="AU311" s="20">
        <f ca="1">Master_List!$AW$33</f>
        <v>0</v>
      </c>
      <c r="AV311" s="20">
        <f ca="1">Master_List!$AW$34</f>
        <v>0</v>
      </c>
      <c r="AW311" s="20">
        <f ca="1">Master_List!$AW$35</f>
        <v>0</v>
      </c>
      <c r="AX311" s="20">
        <f ca="1">Master_List!$AW$36</f>
        <v>0</v>
      </c>
      <c r="AY311" s="20">
        <f ca="1">Master_List!$AW$37</f>
        <v>0</v>
      </c>
      <c r="AZ311" s="20">
        <f ca="1">Master_List!$AW$38</f>
        <v>0</v>
      </c>
      <c r="BA311" s="20">
        <f ca="1">Master_List!$AW$39</f>
        <v>0</v>
      </c>
      <c r="BB311" s="20" t="s">
        <v>2240</v>
      </c>
      <c r="BC311" s="20" t="s">
        <v>2241</v>
      </c>
      <c r="BD311" s="6" t="s">
        <v>1744</v>
      </c>
      <c r="BE311" s="6" t="s">
        <v>1905</v>
      </c>
      <c r="BF311" s="6" t="s">
        <v>1748</v>
      </c>
      <c r="BG311" s="6" t="str">
        <f t="shared" si="4"/>
        <v>C:\Users\aremi\Desktop\REPORT CBM\PO 42289580 - Pahang 11kV SECOND CYCLE AZZAD 2026\RAW MATERIAL\047. TNB BARU (IR+VI)\RAW DATA\IR</v>
      </c>
      <c r="BH311" s="24" t="s">
        <v>853</v>
      </c>
    </row>
    <row r="312" spans="1:60" ht="30" customHeight="1" x14ac:dyDescent="0.25">
      <c r="A312" s="6">
        <v>156</v>
      </c>
      <c r="B312" s="6" t="s">
        <v>1580</v>
      </c>
      <c r="C312" s="6">
        <v>1</v>
      </c>
      <c r="D312" s="6" t="s">
        <v>2261</v>
      </c>
      <c r="E312" s="6">
        <v>156</v>
      </c>
      <c r="F312" s="6" t="str">
        <f ca="1">Master_List!$AW$1</f>
        <v>PERPUSTAKAAN PUSAT</v>
      </c>
      <c r="G312" s="27" t="str">
        <f ca="1">Master_List!$AW$2</f>
        <v>09:30 PM</v>
      </c>
      <c r="H312" s="32" t="str">
        <f ca="1">Master_List!$AW$3</f>
        <v>20/07/2026</v>
      </c>
      <c r="I312" s="28" t="str">
        <f ca="1">Master_List!$AW$4</f>
        <v>28.5</v>
      </c>
      <c r="J312" s="6" t="str">
        <f ca="1">Master_List!$AW$5</f>
        <v>65</v>
      </c>
      <c r="K312" s="6" t="s">
        <v>1453</v>
      </c>
      <c r="L312" s="21">
        <v>4</v>
      </c>
      <c r="M312" s="21" t="s">
        <v>2246</v>
      </c>
      <c r="N312" s="21" t="s">
        <v>2246</v>
      </c>
      <c r="O312" s="21" t="s">
        <v>2246</v>
      </c>
      <c r="P312" s="21" t="s">
        <v>2246</v>
      </c>
      <c r="Q312" s="21" t="s">
        <v>2246</v>
      </c>
      <c r="R312" s="21" t="s">
        <v>2246</v>
      </c>
      <c r="S312" s="21" t="s">
        <v>2246</v>
      </c>
      <c r="T312" s="20" t="str">
        <f ca="1">Master_List!$AW$6</f>
        <v>TOSHIBA</v>
      </c>
      <c r="U312" s="20" t="str">
        <f ca="1">Master_List!$AW$7</f>
        <v>MRMU</v>
      </c>
      <c r="V312" s="20" t="str">
        <f ca="1">Master_List!$AW$8</f>
        <v>12kV</v>
      </c>
      <c r="W312" s="20" t="str">
        <f ca="1">Master_List!$AW$9</f>
        <v>2S1F</v>
      </c>
      <c r="X312" s="20" t="str">
        <f ca="1">Master_List!$AW$10</f>
        <v>MTM</v>
      </c>
      <c r="Y312" s="20" t="str">
        <f ca="1">Master_List!$AW$11</f>
        <v>HERMETICALLY SEAL</v>
      </c>
      <c r="Z312" s="20" t="str">
        <f ca="1">Master_List!$AW$12</f>
        <v>750kVA</v>
      </c>
      <c r="AA312" s="20" t="str">
        <f ca="1">Master_List!$AW$13</f>
        <v>1317</v>
      </c>
      <c r="AB312" s="20">
        <f ca="1">Master_List!$AW$14</f>
        <v>0</v>
      </c>
      <c r="AC312" s="20">
        <f ca="1">Master_List!$AW$15</f>
        <v>0</v>
      </c>
      <c r="AD312" s="20">
        <f ca="1">Master_List!$AW$16</f>
        <v>0</v>
      </c>
      <c r="AE312" s="20">
        <f ca="1">Master_List!$AW$17</f>
        <v>0</v>
      </c>
      <c r="AF312" s="20" t="str">
        <f ca="1">Master_List!$AW$18</f>
        <v>INDKOM</v>
      </c>
      <c r="AG312" s="20" t="str">
        <f ca="1">Master_List!$AW$19</f>
        <v>J-SLOTTED</v>
      </c>
      <c r="AH312" s="20" t="str">
        <f ca="1">Master_List!$AW$20</f>
        <v>1600A</v>
      </c>
      <c r="AI312" s="20" t="str">
        <f ca="1">Master_List!$AW$21</f>
        <v>LV5080090</v>
      </c>
      <c r="AJ312" s="20" t="str">
        <f ca="1">Master_List!$AW$22</f>
        <v>LVDB TX1</v>
      </c>
      <c r="AK312" s="20">
        <f ca="1">Master_List!$AW$23</f>
        <v>0</v>
      </c>
      <c r="AL312" s="20">
        <f ca="1">Master_List!$AW$24</f>
        <v>0</v>
      </c>
      <c r="AM312" s="20">
        <f ca="1">Master_List!$AW$25</f>
        <v>0</v>
      </c>
      <c r="AN312" s="20">
        <f ca="1">Master_List!$AW$26</f>
        <v>0</v>
      </c>
      <c r="AO312" s="20" t="str">
        <f ca="1">Master_List!$AW$27</f>
        <v>LVDB TX2</v>
      </c>
      <c r="AP312" s="20" t="str">
        <f ca="1">Master_List!$AW$28</f>
        <v>SUNPOWER TECHNOLOGIES</v>
      </c>
      <c r="AQ312" s="20" t="str">
        <f ca="1">Master_List!$AW$29</f>
        <v>SPS 30-10 L</v>
      </c>
      <c r="AR312" s="20" t="str">
        <f ca="1">Master_List!$AW$30</f>
        <v>11193-8527</v>
      </c>
      <c r="AS312" s="20">
        <f ca="1">Master_List!$AW$31</f>
        <v>0</v>
      </c>
      <c r="AT312" s="20">
        <f ca="1">Master_List!$AW$32</f>
        <v>0</v>
      </c>
      <c r="AU312" s="20">
        <f ca="1">Master_List!$AW$33</f>
        <v>0</v>
      </c>
      <c r="AV312" s="20">
        <f ca="1">Master_List!$AW$34</f>
        <v>0</v>
      </c>
      <c r="AW312" s="20">
        <f ca="1">Master_List!$AW$35</f>
        <v>0</v>
      </c>
      <c r="AX312" s="20">
        <f ca="1">Master_List!$AW$36</f>
        <v>0</v>
      </c>
      <c r="AY312" s="20">
        <f ca="1">Master_List!$AW$37</f>
        <v>0</v>
      </c>
      <c r="AZ312" s="20">
        <f ca="1">Master_List!$AW$38</f>
        <v>0</v>
      </c>
      <c r="BA312" s="20">
        <f ca="1">Master_List!$AW$39</f>
        <v>0</v>
      </c>
      <c r="BB312" s="20" t="s">
        <v>2240</v>
      </c>
      <c r="BC312" s="20" t="s">
        <v>2241</v>
      </c>
      <c r="BD312" s="6" t="s">
        <v>1744</v>
      </c>
      <c r="BE312" s="6" t="s">
        <v>1906</v>
      </c>
      <c r="BF312" s="6" t="s">
        <v>1746</v>
      </c>
      <c r="BG312" s="6" t="str">
        <f t="shared" si="4"/>
        <v>C:\Users\aremi\Desktop\REPORT CBM\PO 42289580 - Pahang 11kV SECOND CYCLE AZZAD 2026\RAW MATERIAL\047. TNB BARU (IR+VI)\RAW DATA\IR</v>
      </c>
      <c r="BH312" s="24" t="s">
        <v>854</v>
      </c>
    </row>
    <row r="313" spans="1:60" ht="30" customHeight="1" x14ac:dyDescent="0.25">
      <c r="A313" s="6">
        <v>156</v>
      </c>
      <c r="B313" s="6" t="s">
        <v>1580</v>
      </c>
      <c r="C313" s="6">
        <v>1</v>
      </c>
      <c r="D313" s="6" t="s">
        <v>2261</v>
      </c>
      <c r="E313" s="6">
        <v>156</v>
      </c>
      <c r="F313" s="6" t="str">
        <f ca="1">Master_List!$AW$1</f>
        <v>PERPUSTAKAAN PUSAT</v>
      </c>
      <c r="G313" s="27" t="str">
        <f ca="1">Master_List!$AW$2</f>
        <v>09:30 PM</v>
      </c>
      <c r="H313" s="32" t="str">
        <f ca="1">Master_List!$AW$3</f>
        <v>20/07/2026</v>
      </c>
      <c r="I313" s="28" t="str">
        <f ca="1">Master_List!$AW$4</f>
        <v>28.5</v>
      </c>
      <c r="J313" s="6" t="str">
        <f ca="1">Master_List!$AW$5</f>
        <v>65</v>
      </c>
      <c r="K313" s="6" t="s">
        <v>1453</v>
      </c>
      <c r="L313" s="21">
        <v>4</v>
      </c>
      <c r="M313" s="21" t="s">
        <v>2246</v>
      </c>
      <c r="N313" s="21" t="s">
        <v>2246</v>
      </c>
      <c r="O313" s="21" t="s">
        <v>2246</v>
      </c>
      <c r="P313" s="21" t="s">
        <v>2246</v>
      </c>
      <c r="Q313" s="21" t="s">
        <v>2246</v>
      </c>
      <c r="R313" s="21" t="s">
        <v>2246</v>
      </c>
      <c r="S313" s="21" t="s">
        <v>2246</v>
      </c>
      <c r="T313" s="20" t="str">
        <f ca="1">Master_List!$AW$6</f>
        <v>TOSHIBA</v>
      </c>
      <c r="U313" s="20" t="str">
        <f ca="1">Master_List!$AW$7</f>
        <v>MRMU</v>
      </c>
      <c r="V313" s="20" t="str">
        <f ca="1">Master_List!$AW$8</f>
        <v>12kV</v>
      </c>
      <c r="W313" s="20" t="str">
        <f ca="1">Master_List!$AW$9</f>
        <v>2S1F</v>
      </c>
      <c r="X313" s="20" t="str">
        <f ca="1">Master_List!$AW$10</f>
        <v>MTM</v>
      </c>
      <c r="Y313" s="20" t="str">
        <f ca="1">Master_List!$AW$11</f>
        <v>HERMETICALLY SEAL</v>
      </c>
      <c r="Z313" s="20" t="str">
        <f ca="1">Master_List!$AW$12</f>
        <v>750kVA</v>
      </c>
      <c r="AA313" s="20" t="str">
        <f ca="1">Master_List!$AW$13</f>
        <v>1317</v>
      </c>
      <c r="AB313" s="20">
        <f ca="1">Master_List!$AW$14</f>
        <v>0</v>
      </c>
      <c r="AC313" s="20">
        <f ca="1">Master_List!$AW$15</f>
        <v>0</v>
      </c>
      <c r="AD313" s="20">
        <f ca="1">Master_List!$AW$16</f>
        <v>0</v>
      </c>
      <c r="AE313" s="20">
        <f ca="1">Master_List!$AW$17</f>
        <v>0</v>
      </c>
      <c r="AF313" s="20" t="str">
        <f ca="1">Master_List!$AW$18</f>
        <v>INDKOM</v>
      </c>
      <c r="AG313" s="20" t="str">
        <f ca="1">Master_List!$AW$19</f>
        <v>J-SLOTTED</v>
      </c>
      <c r="AH313" s="20" t="str">
        <f ca="1">Master_List!$AW$20</f>
        <v>1600A</v>
      </c>
      <c r="AI313" s="20" t="str">
        <f ca="1">Master_List!$AW$21</f>
        <v>LV5080090</v>
      </c>
      <c r="AJ313" s="20" t="str">
        <f ca="1">Master_List!$AW$22</f>
        <v>LVDB TX1</v>
      </c>
      <c r="AK313" s="20">
        <f ca="1">Master_List!$AW$23</f>
        <v>0</v>
      </c>
      <c r="AL313" s="20">
        <f ca="1">Master_List!$AW$24</f>
        <v>0</v>
      </c>
      <c r="AM313" s="20">
        <f ca="1">Master_List!$AW$25</f>
        <v>0</v>
      </c>
      <c r="AN313" s="20">
        <f ca="1">Master_List!$AW$26</f>
        <v>0</v>
      </c>
      <c r="AO313" s="20" t="str">
        <f ca="1">Master_List!$AW$27</f>
        <v>LVDB TX2</v>
      </c>
      <c r="AP313" s="20" t="str">
        <f ca="1">Master_List!$AW$28</f>
        <v>SUNPOWER TECHNOLOGIES</v>
      </c>
      <c r="AQ313" s="20" t="str">
        <f ca="1">Master_List!$AW$29</f>
        <v>SPS 30-10 L</v>
      </c>
      <c r="AR313" s="20" t="str">
        <f ca="1">Master_List!$AW$30</f>
        <v>11193-8527</v>
      </c>
      <c r="AS313" s="20">
        <f ca="1">Master_List!$AW$31</f>
        <v>0</v>
      </c>
      <c r="AT313" s="20">
        <f ca="1">Master_List!$AW$32</f>
        <v>0</v>
      </c>
      <c r="AU313" s="20">
        <f ca="1">Master_List!$AW$33</f>
        <v>0</v>
      </c>
      <c r="AV313" s="20">
        <f ca="1">Master_List!$AW$34</f>
        <v>0</v>
      </c>
      <c r="AW313" s="20">
        <f ca="1">Master_List!$AW$35</f>
        <v>0</v>
      </c>
      <c r="AX313" s="20">
        <f ca="1">Master_List!$AW$36</f>
        <v>0</v>
      </c>
      <c r="AY313" s="20">
        <f ca="1">Master_List!$AW$37</f>
        <v>0</v>
      </c>
      <c r="AZ313" s="20">
        <f ca="1">Master_List!$AW$38</f>
        <v>0</v>
      </c>
      <c r="BA313" s="20">
        <f ca="1">Master_List!$AW$39</f>
        <v>0</v>
      </c>
      <c r="BB313" s="20" t="s">
        <v>2240</v>
      </c>
      <c r="BC313" s="20" t="s">
        <v>2241</v>
      </c>
      <c r="BD313" s="6" t="s">
        <v>1744</v>
      </c>
      <c r="BE313" s="6" t="s">
        <v>1906</v>
      </c>
      <c r="BF313" s="6" t="s">
        <v>1748</v>
      </c>
      <c r="BG313" s="6" t="str">
        <f t="shared" si="4"/>
        <v>C:\Users\aremi\Desktop\REPORT CBM\PO 42289580 - Pahang 11kV SECOND CYCLE AZZAD 2026\RAW MATERIAL\047. TNB BARU (IR+VI)\RAW DATA\IR</v>
      </c>
      <c r="BH313" s="24" t="s">
        <v>855</v>
      </c>
    </row>
    <row r="314" spans="1:60" ht="15.75" customHeight="1" thickBot="1" x14ac:dyDescent="0.3">
      <c r="L314" s="44"/>
      <c r="M314" s="34"/>
      <c r="N314" s="34"/>
      <c r="O314" s="34"/>
      <c r="P314" s="34"/>
      <c r="Q314" s="34"/>
      <c r="R314" s="34"/>
      <c r="S314" s="34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</row>
    <row r="315" spans="1:60" ht="15.75" customHeight="1" thickBot="1" x14ac:dyDescent="0.3"/>
  </sheetData>
  <autoFilter ref="A1:BP31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01"/>
  <sheetViews>
    <sheetView topLeftCell="A31" zoomScale="85" zoomScaleNormal="85" workbookViewId="0">
      <selection activeCell="C86" sqref="C86"/>
    </sheetView>
  </sheetViews>
  <sheetFormatPr defaultColWidth="9.140625" defaultRowHeight="15.75" thickBottom="1" x14ac:dyDescent="0.3"/>
  <cols>
    <col min="1" max="1" width="4" style="4" bestFit="1" customWidth="1"/>
    <col min="2" max="2" width="15.5703125" style="4" bestFit="1" customWidth="1"/>
    <col min="3" max="3" width="6.42578125" style="4" bestFit="1" customWidth="1"/>
    <col min="4" max="4" width="27.7109375" style="4" bestFit="1" customWidth="1"/>
    <col min="5" max="5" width="17.42578125" style="4" customWidth="1"/>
    <col min="6" max="6" width="22.5703125" style="4" bestFit="1" customWidth="1"/>
    <col min="7" max="10" width="22.5703125" style="4" customWidth="1"/>
    <col min="11" max="11" width="29" style="4" bestFit="1" customWidth="1"/>
    <col min="12" max="12" width="15.140625" style="17" bestFit="1" customWidth="1"/>
    <col min="13" max="13" width="18" style="14" bestFit="1" customWidth="1"/>
    <col min="14" max="14" width="21.28515625" style="14" bestFit="1" customWidth="1"/>
    <col min="15" max="15" width="24.7109375" style="14" bestFit="1" customWidth="1"/>
    <col min="16" max="16" width="26.140625" style="14" bestFit="1" customWidth="1"/>
    <col min="17" max="17" width="20.7109375" style="14" bestFit="1" customWidth="1"/>
    <col min="18" max="18" width="22.28515625" style="14" bestFit="1" customWidth="1"/>
    <col min="19" max="19" width="23" style="14" bestFit="1" customWidth="1"/>
    <col min="20" max="21" width="18.85546875" style="15" bestFit="1" customWidth="1"/>
    <col min="22" max="22" width="12.5703125" style="15" bestFit="1" customWidth="1"/>
    <col min="23" max="23" width="12.7109375" style="15" bestFit="1" customWidth="1"/>
    <col min="24" max="24" width="18.85546875" style="15" bestFit="1" customWidth="1"/>
    <col min="25" max="25" width="18.7109375" style="15" bestFit="1" customWidth="1"/>
    <col min="26" max="26" width="12.5703125" style="15" bestFit="1" customWidth="1"/>
    <col min="27" max="27" width="12.7109375" style="15" bestFit="1" customWidth="1"/>
    <col min="28" max="28" width="18.5703125" style="15" customWidth="1"/>
    <col min="29" max="29" width="12.42578125" style="15" bestFit="1" customWidth="1"/>
    <col min="30" max="30" width="12.28515625" style="15" bestFit="1" customWidth="1"/>
    <col min="31" max="31" width="17.42578125" style="15" bestFit="1" customWidth="1"/>
    <col min="32" max="32" width="18.5703125" style="15" customWidth="1"/>
    <col min="33" max="33" width="12.42578125" style="15" bestFit="1" customWidth="1"/>
    <col min="34" max="34" width="12.28515625" style="15" bestFit="1" customWidth="1"/>
    <col min="35" max="35" width="17.42578125" style="15" bestFit="1" customWidth="1"/>
    <col min="36" max="36" width="17" style="15" bestFit="1" customWidth="1"/>
    <col min="37" max="37" width="16.42578125" style="15" bestFit="1" customWidth="1"/>
    <col min="38" max="38" width="10.85546875" style="15" bestFit="1" customWidth="1"/>
    <col min="39" max="39" width="16.85546875" style="15" bestFit="1" customWidth="1"/>
    <col min="40" max="41" width="16.85546875" style="15" customWidth="1"/>
    <col min="42" max="42" width="11.7109375" style="15" bestFit="1" customWidth="1"/>
    <col min="43" max="43" width="18" style="15" bestFit="1" customWidth="1"/>
    <col min="44" max="44" width="26" style="15" customWidth="1"/>
    <col min="45" max="53" width="18" style="15" customWidth="1"/>
    <col min="54" max="55" width="18" style="19" customWidth="1"/>
    <col min="56" max="56" width="14.7109375" style="4" bestFit="1" customWidth="1"/>
    <col min="57" max="58" width="16.85546875" style="4" bestFit="1" customWidth="1"/>
    <col min="59" max="59" width="118.42578125" style="4" bestFit="1" customWidth="1"/>
    <col min="60" max="68" width="18" style="4" customWidth="1"/>
    <col min="69" max="69" width="14.7109375" style="4" bestFit="1" customWidth="1"/>
    <col min="70" max="71" width="16.85546875" style="4" bestFit="1" customWidth="1"/>
    <col min="72" max="72" width="89.85546875" style="4" bestFit="1" customWidth="1"/>
    <col min="73" max="74" width="13.5703125" style="4" customWidth="1"/>
    <col min="75" max="76" width="9.140625" style="4" customWidth="1"/>
    <col min="77" max="77" width="17" style="4" bestFit="1" customWidth="1"/>
    <col min="78" max="92" width="9.140625" style="4" customWidth="1"/>
    <col min="93" max="16384" width="9.140625" style="4"/>
  </cols>
  <sheetData>
    <row r="1" spans="1:60" ht="45" customHeight="1" x14ac:dyDescent="0.2">
      <c r="A1" s="6" t="s">
        <v>1686</v>
      </c>
      <c r="B1" s="6" t="s">
        <v>1687</v>
      </c>
      <c r="C1" s="6" t="s">
        <v>1688</v>
      </c>
      <c r="D1" s="6" t="s">
        <v>1689</v>
      </c>
      <c r="E1" s="6" t="s">
        <v>1690</v>
      </c>
      <c r="F1" s="6" t="s">
        <v>1691</v>
      </c>
      <c r="G1" s="6" t="s">
        <v>1692</v>
      </c>
      <c r="H1" s="21" t="s">
        <v>1693</v>
      </c>
      <c r="I1" s="21" t="s">
        <v>1694</v>
      </c>
      <c r="J1" s="21" t="s">
        <v>1695</v>
      </c>
      <c r="K1" s="21" t="s">
        <v>1696</v>
      </c>
      <c r="L1" s="22" t="s">
        <v>1697</v>
      </c>
      <c r="M1" s="22" t="s">
        <v>1698</v>
      </c>
      <c r="N1" s="22" t="s">
        <v>1699</v>
      </c>
      <c r="O1" s="22" t="s">
        <v>1700</v>
      </c>
      <c r="P1" s="22" t="s">
        <v>1701</v>
      </c>
      <c r="Q1" s="22" t="s">
        <v>1702</v>
      </c>
      <c r="R1" s="22" t="s">
        <v>1703</v>
      </c>
      <c r="S1" s="22" t="s">
        <v>1704</v>
      </c>
      <c r="T1" s="20" t="s">
        <v>1705</v>
      </c>
      <c r="U1" s="20" t="s">
        <v>1706</v>
      </c>
      <c r="V1" s="20" t="s">
        <v>1707</v>
      </c>
      <c r="W1" s="20" t="s">
        <v>1708</v>
      </c>
      <c r="X1" s="20" t="s">
        <v>1709</v>
      </c>
      <c r="Y1" s="20" t="s">
        <v>1710</v>
      </c>
      <c r="Z1" s="20" t="s">
        <v>1711</v>
      </c>
      <c r="AA1" s="20" t="s">
        <v>1712</v>
      </c>
      <c r="AB1" s="20" t="s">
        <v>1713</v>
      </c>
      <c r="AC1" s="20" t="s">
        <v>1714</v>
      </c>
      <c r="AD1" s="20" t="s">
        <v>1715</v>
      </c>
      <c r="AE1" s="20" t="s">
        <v>1716</v>
      </c>
      <c r="AF1" s="20" t="s">
        <v>1717</v>
      </c>
      <c r="AG1" s="20" t="s">
        <v>1718</v>
      </c>
      <c r="AH1" s="20" t="s">
        <v>1719</v>
      </c>
      <c r="AI1" s="20" t="s">
        <v>1720</v>
      </c>
      <c r="AJ1" s="20" t="s">
        <v>1721</v>
      </c>
      <c r="AK1" s="20" t="s">
        <v>1722</v>
      </c>
      <c r="AL1" s="20" t="s">
        <v>1723</v>
      </c>
      <c r="AM1" s="20" t="s">
        <v>1724</v>
      </c>
      <c r="AN1" s="20" t="s">
        <v>1725</v>
      </c>
      <c r="AO1" s="20" t="s">
        <v>1726</v>
      </c>
      <c r="AP1" s="20" t="s">
        <v>1727</v>
      </c>
      <c r="AQ1" s="20" t="s">
        <v>1728</v>
      </c>
      <c r="AR1" s="20" t="s">
        <v>1729</v>
      </c>
      <c r="AS1" s="20" t="s">
        <v>1730</v>
      </c>
      <c r="AT1" s="20" t="s">
        <v>1731</v>
      </c>
      <c r="AU1" s="20" t="s">
        <v>1732</v>
      </c>
      <c r="AV1" s="20" t="s">
        <v>1733</v>
      </c>
      <c r="AW1" s="20" t="s">
        <v>1734</v>
      </c>
      <c r="AX1" s="20" t="s">
        <v>1735</v>
      </c>
      <c r="AY1" s="20" t="s">
        <v>1736</v>
      </c>
      <c r="AZ1" s="20" t="s">
        <v>1737</v>
      </c>
      <c r="BA1" s="20" t="s">
        <v>1738</v>
      </c>
      <c r="BB1" s="20" t="s">
        <v>2236</v>
      </c>
      <c r="BC1" s="20" t="s">
        <v>2237</v>
      </c>
      <c r="BD1" s="6" t="s">
        <v>1739</v>
      </c>
      <c r="BE1" s="6" t="s">
        <v>1740</v>
      </c>
      <c r="BF1" s="6" t="s">
        <v>527</v>
      </c>
      <c r="BG1" s="6" t="s">
        <v>1741</v>
      </c>
      <c r="BH1" s="23" t="s">
        <v>2238</v>
      </c>
    </row>
    <row r="2" spans="1:60" ht="15" customHeight="1" x14ac:dyDescent="0.25">
      <c r="A2" s="6">
        <v>1</v>
      </c>
      <c r="B2" s="6" t="s">
        <v>1529</v>
      </c>
      <c r="C2" s="6">
        <v>1</v>
      </c>
      <c r="D2" s="6" t="s">
        <v>2262</v>
      </c>
      <c r="E2" s="6">
        <v>1</v>
      </c>
      <c r="F2" s="6" t="str">
        <f ca="1">Master_List!$AW$1</f>
        <v>PERPUSTAKAAN PUSAT</v>
      </c>
      <c r="G2" s="27" t="str">
        <f ca="1">Master_List!$AW$2</f>
        <v>09:30 PM</v>
      </c>
      <c r="H2" s="32" t="str">
        <f ca="1">Master_List!$AW$3</f>
        <v>20/07/2026</v>
      </c>
      <c r="I2" s="28" t="str">
        <f ca="1">Master_List!$AW$4</f>
        <v>28.5</v>
      </c>
      <c r="J2" s="6" t="str">
        <f ca="1">Master_List!$AW$5</f>
        <v>65</v>
      </c>
      <c r="K2" s="6" t="s">
        <v>1453</v>
      </c>
      <c r="L2" s="22" t="s">
        <v>2246</v>
      </c>
      <c r="M2" s="22" t="s">
        <v>2246</v>
      </c>
      <c r="N2" s="22" t="s">
        <v>2246</v>
      </c>
      <c r="O2" s="22" t="s">
        <v>2246</v>
      </c>
      <c r="P2" s="22" t="s">
        <v>2246</v>
      </c>
      <c r="Q2" s="22" t="s">
        <v>2246</v>
      </c>
      <c r="R2" s="22" t="s">
        <v>2246</v>
      </c>
      <c r="S2" s="22" t="str">
        <f ca="1">S14</f>
        <v>24DU738_1015</v>
      </c>
      <c r="T2" s="20" t="str">
        <f ca="1">Master_List!$AW$6</f>
        <v>TOSHIBA</v>
      </c>
      <c r="U2" s="20" t="str">
        <f ca="1">Master_List!$AW$7</f>
        <v>MRMU</v>
      </c>
      <c r="V2" s="20" t="str">
        <f ca="1">Master_List!$AW$8</f>
        <v>12kV</v>
      </c>
      <c r="W2" s="20" t="str">
        <f ca="1">Master_List!$AW$9</f>
        <v>2S1F</v>
      </c>
      <c r="X2" s="20" t="str">
        <f ca="1">Master_List!$AW$10</f>
        <v>MTM</v>
      </c>
      <c r="Y2" s="20" t="str">
        <f ca="1">Master_List!$AW$11</f>
        <v>HERMETICALLY SEAL</v>
      </c>
      <c r="Z2" s="20" t="str">
        <f ca="1">Master_List!$AW$12</f>
        <v>750kVA</v>
      </c>
      <c r="AA2" s="20" t="str">
        <f ca="1">Master_List!$AW$13</f>
        <v>1317</v>
      </c>
      <c r="AB2" s="20">
        <f ca="1">Master_List!$AW$14</f>
        <v>0</v>
      </c>
      <c r="AC2" s="20">
        <f ca="1">Master_List!$AW$15</f>
        <v>0</v>
      </c>
      <c r="AD2" s="20">
        <f ca="1">Master_List!$AW$16</f>
        <v>0</v>
      </c>
      <c r="AE2" s="20">
        <f ca="1">Master_List!$AW$17</f>
        <v>0</v>
      </c>
      <c r="AF2" s="20" t="str">
        <f ca="1">Master_List!$AW$18</f>
        <v>INDKOM</v>
      </c>
      <c r="AG2" s="20" t="str">
        <f ca="1">Master_List!$AW$19</f>
        <v>J-SLOTTED</v>
      </c>
      <c r="AH2" s="20" t="str">
        <f ca="1">Master_List!$AW$20</f>
        <v>1600A</v>
      </c>
      <c r="AI2" s="20" t="str">
        <f ca="1">Master_List!$AW$21</f>
        <v>LV5080090</v>
      </c>
      <c r="AJ2" s="20" t="str">
        <f ca="1">Master_List!$AW$22</f>
        <v>LVDB TX1</v>
      </c>
      <c r="AK2" s="20">
        <f ca="1">Master_List!$AW$23</f>
        <v>0</v>
      </c>
      <c r="AL2" s="20">
        <f ca="1">Master_List!$AW$24</f>
        <v>0</v>
      </c>
      <c r="AM2" s="20">
        <f ca="1">Master_List!$AW$25</f>
        <v>0</v>
      </c>
      <c r="AN2" s="20">
        <f ca="1">Master_List!$AW$26</f>
        <v>0</v>
      </c>
      <c r="AO2" s="20" t="str">
        <f ca="1">Master_List!$AW$27</f>
        <v>LVDB TX2</v>
      </c>
      <c r="AP2" s="20" t="str">
        <f ca="1">Master_List!$AW$28</f>
        <v>SUNPOWER TECHNOLOGIES</v>
      </c>
      <c r="AQ2" s="20" t="str">
        <f ca="1">Master_List!$AW$29</f>
        <v>SPS 30-10 L</v>
      </c>
      <c r="AR2" s="20" t="str">
        <f ca="1">Master_List!$AW$30</f>
        <v>11193-8527</v>
      </c>
      <c r="AS2" s="20">
        <f ca="1">Master_List!$AW$31</f>
        <v>0</v>
      </c>
      <c r="AT2" s="20">
        <f ca="1">Master_List!$AW$32</f>
        <v>0</v>
      </c>
      <c r="AU2" s="20">
        <f ca="1">Master_List!$AW$33</f>
        <v>0</v>
      </c>
      <c r="AV2" s="20">
        <f ca="1">Master_List!$AW$34</f>
        <v>0</v>
      </c>
      <c r="AW2" s="20">
        <f ca="1">Master_List!$AW$35</f>
        <v>0</v>
      </c>
      <c r="AX2" s="20">
        <f ca="1">Master_List!$AW$36</f>
        <v>0</v>
      </c>
      <c r="AY2" s="20">
        <f ca="1">Master_List!$AW$37</f>
        <v>0</v>
      </c>
      <c r="AZ2" s="20">
        <f ca="1">Master_List!$AW$38</f>
        <v>0</v>
      </c>
      <c r="BA2" s="20">
        <f ca="1">Master_List!$AW$39</f>
        <v>0</v>
      </c>
      <c r="BB2" s="20" t="s">
        <v>2240</v>
      </c>
      <c r="BC2" s="20" t="s">
        <v>2241</v>
      </c>
      <c r="BD2" s="6" t="s">
        <v>1744</v>
      </c>
      <c r="BE2" s="6" t="s">
        <v>1745</v>
      </c>
      <c r="BF2" s="6" t="s">
        <v>1746</v>
      </c>
      <c r="BG2" s="6" t="str">
        <f>Master_List!AZ1</f>
        <v>C:\Users\aremi\Desktop\REPORT CBM\PO 42289580 - Pahang 11kV SECOND CYCLE AZZAD 2026\RAW MATERIAL\047. TNB BARU (IR+VI)\RAW DATA\IR</v>
      </c>
      <c r="BH2" s="24" t="s">
        <v>535</v>
      </c>
    </row>
    <row r="3" spans="1:60" ht="15" customHeight="1" x14ac:dyDescent="0.25">
      <c r="A3" s="6">
        <v>1</v>
      </c>
      <c r="B3" s="6" t="s">
        <v>1529</v>
      </c>
      <c r="C3" s="6">
        <v>1</v>
      </c>
      <c r="D3" s="6" t="s">
        <v>2262</v>
      </c>
      <c r="E3" s="6">
        <v>1</v>
      </c>
      <c r="F3" s="6" t="str">
        <f ca="1">Master_List!$AW$1</f>
        <v>PERPUSTAKAAN PUSAT</v>
      </c>
      <c r="G3" s="27" t="str">
        <f ca="1">Master_List!$AW$2</f>
        <v>09:30 PM</v>
      </c>
      <c r="H3" s="32" t="str">
        <f ca="1">Master_List!$AW$3</f>
        <v>20/07/2026</v>
      </c>
      <c r="I3" s="28" t="str">
        <f ca="1">Master_List!$AW$4</f>
        <v>28.5</v>
      </c>
      <c r="J3" s="6" t="str">
        <f ca="1">Master_List!$AW$5</f>
        <v>65</v>
      </c>
      <c r="K3" s="6" t="s">
        <v>1453</v>
      </c>
      <c r="L3" s="22" t="s">
        <v>2246</v>
      </c>
      <c r="M3" s="22" t="s">
        <v>2246</v>
      </c>
      <c r="N3" s="22" t="s">
        <v>2246</v>
      </c>
      <c r="O3" s="22" t="s">
        <v>2246</v>
      </c>
      <c r="P3" s="22" t="s">
        <v>2246</v>
      </c>
      <c r="Q3" s="22" t="s">
        <v>2246</v>
      </c>
      <c r="R3" s="22" t="s">
        <v>2246</v>
      </c>
      <c r="S3" s="22" t="str">
        <f t="shared" ref="S3:S13" ca="1" si="0">S2</f>
        <v>24DU738_1015</v>
      </c>
      <c r="T3" s="20" t="str">
        <f ca="1">Master_List!$AW$6</f>
        <v>TOSHIBA</v>
      </c>
      <c r="U3" s="20" t="str">
        <f ca="1">Master_List!$AW$7</f>
        <v>MRMU</v>
      </c>
      <c r="V3" s="20" t="str">
        <f ca="1">Master_List!$AW$8</f>
        <v>12kV</v>
      </c>
      <c r="W3" s="20" t="str">
        <f ca="1">Master_List!$AW$9</f>
        <v>2S1F</v>
      </c>
      <c r="X3" s="20" t="str">
        <f ca="1">Master_List!$AW$10</f>
        <v>MTM</v>
      </c>
      <c r="Y3" s="20" t="str">
        <f ca="1">Master_List!$AW$11</f>
        <v>HERMETICALLY SEAL</v>
      </c>
      <c r="Z3" s="20" t="str">
        <f ca="1">Master_List!$AW$12</f>
        <v>750kVA</v>
      </c>
      <c r="AA3" s="20" t="str">
        <f ca="1">Master_List!$AW$13</f>
        <v>1317</v>
      </c>
      <c r="AB3" s="20">
        <f ca="1">Master_List!$AW$14</f>
        <v>0</v>
      </c>
      <c r="AC3" s="20">
        <f ca="1">Master_List!$AW$15</f>
        <v>0</v>
      </c>
      <c r="AD3" s="20">
        <f ca="1">Master_List!$AW$16</f>
        <v>0</v>
      </c>
      <c r="AE3" s="20">
        <f ca="1">Master_List!$AW$17</f>
        <v>0</v>
      </c>
      <c r="AF3" s="20" t="str">
        <f ca="1">Master_List!$AW$18</f>
        <v>INDKOM</v>
      </c>
      <c r="AG3" s="20" t="str">
        <f ca="1">Master_List!$AW$19</f>
        <v>J-SLOTTED</v>
      </c>
      <c r="AH3" s="20" t="str">
        <f ca="1">Master_List!$AW$20</f>
        <v>1600A</v>
      </c>
      <c r="AI3" s="20" t="str">
        <f ca="1">Master_List!$AW$21</f>
        <v>LV5080090</v>
      </c>
      <c r="AJ3" s="20" t="str">
        <f ca="1">Master_List!$AW$22</f>
        <v>LVDB TX1</v>
      </c>
      <c r="AK3" s="20">
        <f ca="1">Master_List!$AW$23</f>
        <v>0</v>
      </c>
      <c r="AL3" s="20">
        <f ca="1">Master_List!$AW$24</f>
        <v>0</v>
      </c>
      <c r="AM3" s="20">
        <f ca="1">Master_List!$AW$25</f>
        <v>0</v>
      </c>
      <c r="AN3" s="20">
        <f ca="1">Master_List!$AW$26</f>
        <v>0</v>
      </c>
      <c r="AO3" s="20" t="str">
        <f ca="1">Master_List!$AW$27</f>
        <v>LVDB TX2</v>
      </c>
      <c r="AP3" s="20" t="str">
        <f ca="1">Master_List!$AW$28</f>
        <v>SUNPOWER TECHNOLOGIES</v>
      </c>
      <c r="AQ3" s="20" t="str">
        <f ca="1">Master_List!$AW$29</f>
        <v>SPS 30-10 L</v>
      </c>
      <c r="AR3" s="20" t="str">
        <f ca="1">Master_List!$AW$30</f>
        <v>11193-8527</v>
      </c>
      <c r="AS3" s="20">
        <f ca="1">Master_List!$AW$31</f>
        <v>0</v>
      </c>
      <c r="AT3" s="20">
        <f ca="1">Master_List!$AW$32</f>
        <v>0</v>
      </c>
      <c r="AU3" s="20">
        <f ca="1">Master_List!$AW$33</f>
        <v>0</v>
      </c>
      <c r="AV3" s="20">
        <f ca="1">Master_List!$AW$34</f>
        <v>0</v>
      </c>
      <c r="AW3" s="20">
        <f ca="1">Master_List!$AW$35</f>
        <v>0</v>
      </c>
      <c r="AX3" s="20">
        <f ca="1">Master_List!$AW$36</f>
        <v>0</v>
      </c>
      <c r="AY3" s="20">
        <f ca="1">Master_List!$AW$37</f>
        <v>0</v>
      </c>
      <c r="AZ3" s="20">
        <f ca="1">Master_List!$AW$38</f>
        <v>0</v>
      </c>
      <c r="BA3" s="20">
        <f ca="1">Master_List!$AW$39</f>
        <v>0</v>
      </c>
      <c r="BB3" s="20" t="s">
        <v>2240</v>
      </c>
      <c r="BC3" s="20" t="s">
        <v>2241</v>
      </c>
      <c r="BD3" s="6" t="s">
        <v>1744</v>
      </c>
      <c r="BE3" s="6" t="s">
        <v>1745</v>
      </c>
      <c r="BF3" s="6" t="s">
        <v>1748</v>
      </c>
      <c r="BG3" s="6" t="str">
        <f t="shared" ref="BG3:BG34" si="1">BG2</f>
        <v>C:\Users\aremi\Desktop\REPORT CBM\PO 42289580 - Pahang 11kV SECOND CYCLE AZZAD 2026\RAW MATERIAL\047. TNB BARU (IR+VI)\RAW DATA\IR</v>
      </c>
      <c r="BH3" s="24" t="s">
        <v>537</v>
      </c>
    </row>
    <row r="4" spans="1:60" ht="15" customHeight="1" x14ac:dyDescent="0.25">
      <c r="A4" s="6">
        <v>2</v>
      </c>
      <c r="B4" s="6" t="s">
        <v>1529</v>
      </c>
      <c r="C4" s="6">
        <v>1</v>
      </c>
      <c r="D4" s="6" t="s">
        <v>2262</v>
      </c>
      <c r="E4" s="6">
        <v>2</v>
      </c>
      <c r="F4" s="6" t="str">
        <f ca="1">Master_List!$AW$1</f>
        <v>PERPUSTAKAAN PUSAT</v>
      </c>
      <c r="G4" s="27" t="str">
        <f ca="1">Master_List!$AW$2</f>
        <v>09:30 PM</v>
      </c>
      <c r="H4" s="32" t="str">
        <f ca="1">Master_List!$AW$3</f>
        <v>20/07/2026</v>
      </c>
      <c r="I4" s="28" t="str">
        <f ca="1">Master_List!$AW$4</f>
        <v>28.5</v>
      </c>
      <c r="J4" s="6" t="str">
        <f ca="1">Master_List!$AW$5</f>
        <v>65</v>
      </c>
      <c r="K4" s="6" t="s">
        <v>1497</v>
      </c>
      <c r="L4" s="22" t="s">
        <v>2246</v>
      </c>
      <c r="M4" s="22" t="s">
        <v>2246</v>
      </c>
      <c r="N4" s="22" t="s">
        <v>2246</v>
      </c>
      <c r="O4" s="22" t="s">
        <v>2246</v>
      </c>
      <c r="P4" s="22" t="s">
        <v>2246</v>
      </c>
      <c r="Q4" s="22" t="s">
        <v>2246</v>
      </c>
      <c r="R4" s="22" t="s">
        <v>2246</v>
      </c>
      <c r="S4" s="22" t="str">
        <f t="shared" ca="1" si="0"/>
        <v>24DU738_1015</v>
      </c>
      <c r="T4" s="20" t="str">
        <f ca="1">Master_List!$AW$6</f>
        <v>TOSHIBA</v>
      </c>
      <c r="U4" s="20" t="str">
        <f ca="1">Master_List!$AW$7</f>
        <v>MRMU</v>
      </c>
      <c r="V4" s="20" t="str">
        <f ca="1">Master_List!$AW$8</f>
        <v>12kV</v>
      </c>
      <c r="W4" s="20" t="str">
        <f ca="1">Master_List!$AW$9</f>
        <v>2S1F</v>
      </c>
      <c r="X4" s="20" t="str">
        <f ca="1">Master_List!$AW$10</f>
        <v>MTM</v>
      </c>
      <c r="Y4" s="20" t="str">
        <f ca="1">Master_List!$AW$11</f>
        <v>HERMETICALLY SEAL</v>
      </c>
      <c r="Z4" s="20" t="str">
        <f ca="1">Master_List!$AW$12</f>
        <v>750kVA</v>
      </c>
      <c r="AA4" s="20" t="str">
        <f ca="1">Master_List!$AW$13</f>
        <v>1317</v>
      </c>
      <c r="AB4" s="20">
        <f ca="1">Master_List!$AW$14</f>
        <v>0</v>
      </c>
      <c r="AC4" s="20">
        <f ca="1">Master_List!$AW$15</f>
        <v>0</v>
      </c>
      <c r="AD4" s="20">
        <f ca="1">Master_List!$AW$16</f>
        <v>0</v>
      </c>
      <c r="AE4" s="20">
        <f ca="1">Master_List!$AW$17</f>
        <v>0</v>
      </c>
      <c r="AF4" s="20" t="str">
        <f ca="1">Master_List!$AW$18</f>
        <v>INDKOM</v>
      </c>
      <c r="AG4" s="20" t="str">
        <f ca="1">Master_List!$AW$19</f>
        <v>J-SLOTTED</v>
      </c>
      <c r="AH4" s="20" t="str">
        <f ca="1">Master_List!$AW$20</f>
        <v>1600A</v>
      </c>
      <c r="AI4" s="20" t="str">
        <f ca="1">Master_List!$AW$21</f>
        <v>LV5080090</v>
      </c>
      <c r="AJ4" s="20" t="str">
        <f ca="1">Master_List!$AW$22</f>
        <v>LVDB TX1</v>
      </c>
      <c r="AK4" s="20">
        <f ca="1">Master_List!$AW$23</f>
        <v>0</v>
      </c>
      <c r="AL4" s="20">
        <f ca="1">Master_List!$AW$24</f>
        <v>0</v>
      </c>
      <c r="AM4" s="20">
        <f ca="1">Master_List!$AW$25</f>
        <v>0</v>
      </c>
      <c r="AN4" s="20">
        <f ca="1">Master_List!$AW$26</f>
        <v>0</v>
      </c>
      <c r="AO4" s="20" t="str">
        <f ca="1">Master_List!$AW$27</f>
        <v>LVDB TX2</v>
      </c>
      <c r="AP4" s="20" t="str">
        <f ca="1">Master_List!$AW$28</f>
        <v>SUNPOWER TECHNOLOGIES</v>
      </c>
      <c r="AQ4" s="20" t="str">
        <f ca="1">Master_List!$AW$29</f>
        <v>SPS 30-10 L</v>
      </c>
      <c r="AR4" s="20" t="str">
        <f ca="1">Master_List!$AW$30</f>
        <v>11193-8527</v>
      </c>
      <c r="AS4" s="20">
        <f ca="1">Master_List!$AW$31</f>
        <v>0</v>
      </c>
      <c r="AT4" s="20">
        <f ca="1">Master_List!$AW$32</f>
        <v>0</v>
      </c>
      <c r="AU4" s="20">
        <f ca="1">Master_List!$AW$33</f>
        <v>0</v>
      </c>
      <c r="AV4" s="20">
        <f ca="1">Master_List!$AW$34</f>
        <v>0</v>
      </c>
      <c r="AW4" s="20">
        <f ca="1">Master_List!$AW$35</f>
        <v>0</v>
      </c>
      <c r="AX4" s="20">
        <f ca="1">Master_List!$AW$36</f>
        <v>0</v>
      </c>
      <c r="AY4" s="20">
        <f ca="1">Master_List!$AW$37</f>
        <v>0</v>
      </c>
      <c r="AZ4" s="20">
        <f ca="1">Master_List!$AW$38</f>
        <v>0</v>
      </c>
      <c r="BA4" s="20">
        <f ca="1">Master_List!$AW$39</f>
        <v>0</v>
      </c>
      <c r="BB4" s="20" t="s">
        <v>2240</v>
      </c>
      <c r="BC4" s="20" t="s">
        <v>2241</v>
      </c>
      <c r="BD4" s="6" t="s">
        <v>1744</v>
      </c>
      <c r="BE4" s="6" t="s">
        <v>1749</v>
      </c>
      <c r="BF4" s="6" t="s">
        <v>1746</v>
      </c>
      <c r="BG4" s="6" t="str">
        <f t="shared" si="1"/>
        <v>C:\Users\aremi\Desktop\REPORT CBM\PO 42289580 - Pahang 11kV SECOND CYCLE AZZAD 2026\RAW MATERIAL\047. TNB BARU (IR+VI)\RAW DATA\IR</v>
      </c>
      <c r="BH4" s="24" t="s">
        <v>539</v>
      </c>
    </row>
    <row r="5" spans="1:60" ht="15" customHeight="1" x14ac:dyDescent="0.25">
      <c r="A5" s="6">
        <v>2</v>
      </c>
      <c r="B5" s="6" t="s">
        <v>1529</v>
      </c>
      <c r="C5" s="6">
        <v>1</v>
      </c>
      <c r="D5" s="6" t="s">
        <v>2262</v>
      </c>
      <c r="E5" s="6">
        <v>2</v>
      </c>
      <c r="F5" s="6" t="str">
        <f ca="1">Master_List!$AW$1</f>
        <v>PERPUSTAKAAN PUSAT</v>
      </c>
      <c r="G5" s="27" t="str">
        <f ca="1">Master_List!$AW$2</f>
        <v>09:30 PM</v>
      </c>
      <c r="H5" s="32" t="str">
        <f ca="1">Master_List!$AW$3</f>
        <v>20/07/2026</v>
      </c>
      <c r="I5" s="28" t="str">
        <f ca="1">Master_List!$AW$4</f>
        <v>28.5</v>
      </c>
      <c r="J5" s="6" t="str">
        <f ca="1">Master_List!$AW$5</f>
        <v>65</v>
      </c>
      <c r="K5" s="6" t="s">
        <v>1497</v>
      </c>
      <c r="L5" s="22" t="s">
        <v>2246</v>
      </c>
      <c r="M5" s="22" t="s">
        <v>2246</v>
      </c>
      <c r="N5" s="22" t="s">
        <v>2246</v>
      </c>
      <c r="O5" s="22" t="s">
        <v>2246</v>
      </c>
      <c r="P5" s="22" t="s">
        <v>2246</v>
      </c>
      <c r="Q5" s="22" t="s">
        <v>2246</v>
      </c>
      <c r="R5" s="22" t="s">
        <v>2246</v>
      </c>
      <c r="S5" s="22" t="str">
        <f t="shared" ca="1" si="0"/>
        <v>24DU738_1015</v>
      </c>
      <c r="T5" s="20" t="str">
        <f ca="1">Master_List!$AW$6</f>
        <v>TOSHIBA</v>
      </c>
      <c r="U5" s="20" t="str">
        <f ca="1">Master_List!$AW$7</f>
        <v>MRMU</v>
      </c>
      <c r="V5" s="20" t="str">
        <f ca="1">Master_List!$AW$8</f>
        <v>12kV</v>
      </c>
      <c r="W5" s="20" t="str">
        <f ca="1">Master_List!$AW$9</f>
        <v>2S1F</v>
      </c>
      <c r="X5" s="20" t="str">
        <f ca="1">Master_List!$AW$10</f>
        <v>MTM</v>
      </c>
      <c r="Y5" s="20" t="str">
        <f ca="1">Master_List!$AW$11</f>
        <v>HERMETICALLY SEAL</v>
      </c>
      <c r="Z5" s="20" t="str">
        <f ca="1">Master_List!$AW$12</f>
        <v>750kVA</v>
      </c>
      <c r="AA5" s="20" t="str">
        <f ca="1">Master_List!$AW$13</f>
        <v>1317</v>
      </c>
      <c r="AB5" s="20">
        <f ca="1">Master_List!$AW$14</f>
        <v>0</v>
      </c>
      <c r="AC5" s="20">
        <f ca="1">Master_List!$AW$15</f>
        <v>0</v>
      </c>
      <c r="AD5" s="20">
        <f ca="1">Master_List!$AW$16</f>
        <v>0</v>
      </c>
      <c r="AE5" s="20">
        <f ca="1">Master_List!$AW$17</f>
        <v>0</v>
      </c>
      <c r="AF5" s="20" t="str">
        <f ca="1">Master_List!$AW$18</f>
        <v>INDKOM</v>
      </c>
      <c r="AG5" s="20" t="str">
        <f ca="1">Master_List!$AW$19</f>
        <v>J-SLOTTED</v>
      </c>
      <c r="AH5" s="20" t="str">
        <f ca="1">Master_List!$AW$20</f>
        <v>1600A</v>
      </c>
      <c r="AI5" s="20" t="str">
        <f ca="1">Master_List!$AW$21</f>
        <v>LV5080090</v>
      </c>
      <c r="AJ5" s="20" t="str">
        <f ca="1">Master_List!$AW$22</f>
        <v>LVDB TX1</v>
      </c>
      <c r="AK5" s="20">
        <f ca="1">Master_List!$AW$23</f>
        <v>0</v>
      </c>
      <c r="AL5" s="20">
        <f ca="1">Master_List!$AW$24</f>
        <v>0</v>
      </c>
      <c r="AM5" s="20">
        <f ca="1">Master_List!$AW$25</f>
        <v>0</v>
      </c>
      <c r="AN5" s="20">
        <f ca="1">Master_List!$AW$26</f>
        <v>0</v>
      </c>
      <c r="AO5" s="20" t="str">
        <f ca="1">Master_List!$AW$27</f>
        <v>LVDB TX2</v>
      </c>
      <c r="AP5" s="20" t="str">
        <f ca="1">Master_List!$AW$28</f>
        <v>SUNPOWER TECHNOLOGIES</v>
      </c>
      <c r="AQ5" s="20" t="str">
        <f ca="1">Master_List!$AW$29</f>
        <v>SPS 30-10 L</v>
      </c>
      <c r="AR5" s="20" t="str">
        <f ca="1">Master_List!$AW$30</f>
        <v>11193-8527</v>
      </c>
      <c r="AS5" s="20">
        <f ca="1">Master_List!$AW$31</f>
        <v>0</v>
      </c>
      <c r="AT5" s="20">
        <f ca="1">Master_List!$AW$32</f>
        <v>0</v>
      </c>
      <c r="AU5" s="20">
        <f ca="1">Master_List!$AW$33</f>
        <v>0</v>
      </c>
      <c r="AV5" s="20">
        <f ca="1">Master_List!$AW$34</f>
        <v>0</v>
      </c>
      <c r="AW5" s="20">
        <f ca="1">Master_List!$AW$35</f>
        <v>0</v>
      </c>
      <c r="AX5" s="20">
        <f ca="1">Master_List!$AW$36</f>
        <v>0</v>
      </c>
      <c r="AY5" s="20">
        <f ca="1">Master_List!$AW$37</f>
        <v>0</v>
      </c>
      <c r="AZ5" s="20">
        <f ca="1">Master_List!$AW$38</f>
        <v>0</v>
      </c>
      <c r="BA5" s="20">
        <f ca="1">Master_List!$AW$39</f>
        <v>0</v>
      </c>
      <c r="BB5" s="20" t="s">
        <v>2240</v>
      </c>
      <c r="BC5" s="20" t="s">
        <v>2241</v>
      </c>
      <c r="BD5" s="6" t="s">
        <v>1744</v>
      </c>
      <c r="BE5" s="6" t="s">
        <v>1749</v>
      </c>
      <c r="BF5" s="6" t="s">
        <v>1748</v>
      </c>
      <c r="BG5" s="6" t="str">
        <f t="shared" si="1"/>
        <v>C:\Users\aremi\Desktop\REPORT CBM\PO 42289580 - Pahang 11kV SECOND CYCLE AZZAD 2026\RAW MATERIAL\047. TNB BARU (IR+VI)\RAW DATA\IR</v>
      </c>
      <c r="BH5" s="24" t="s">
        <v>540</v>
      </c>
    </row>
    <row r="6" spans="1:60" ht="15" customHeight="1" x14ac:dyDescent="0.25">
      <c r="A6" s="6">
        <v>3</v>
      </c>
      <c r="B6" s="6" t="s">
        <v>1529</v>
      </c>
      <c r="C6" s="6">
        <v>1</v>
      </c>
      <c r="D6" s="6" t="s">
        <v>2262</v>
      </c>
      <c r="E6" s="6">
        <v>3</v>
      </c>
      <c r="F6" s="6" t="str">
        <f ca="1">Master_List!$AW$1</f>
        <v>PERPUSTAKAAN PUSAT</v>
      </c>
      <c r="G6" s="27" t="str">
        <f ca="1">Master_List!$AW$2</f>
        <v>09:30 PM</v>
      </c>
      <c r="H6" s="32" t="str">
        <f ca="1">Master_List!$AW$3</f>
        <v>20/07/2026</v>
      </c>
      <c r="I6" s="28" t="str">
        <f ca="1">Master_List!$AW$4</f>
        <v>28.5</v>
      </c>
      <c r="J6" s="6" t="str">
        <f ca="1">Master_List!$AW$5</f>
        <v>65</v>
      </c>
      <c r="K6" s="6" t="s">
        <v>1530</v>
      </c>
      <c r="L6" s="22" t="s">
        <v>2246</v>
      </c>
      <c r="M6" s="22" t="s">
        <v>2246</v>
      </c>
      <c r="N6" s="22" t="s">
        <v>2246</v>
      </c>
      <c r="O6" s="22" t="s">
        <v>2246</v>
      </c>
      <c r="P6" s="22" t="s">
        <v>2246</v>
      </c>
      <c r="Q6" s="22" t="s">
        <v>2246</v>
      </c>
      <c r="R6" s="22" t="s">
        <v>2246</v>
      </c>
      <c r="S6" s="22" t="str">
        <f t="shared" ca="1" si="0"/>
        <v>24DU738_1015</v>
      </c>
      <c r="T6" s="20" t="str">
        <f ca="1">Master_List!$AW$6</f>
        <v>TOSHIBA</v>
      </c>
      <c r="U6" s="20" t="str">
        <f ca="1">Master_List!$AW$7</f>
        <v>MRMU</v>
      </c>
      <c r="V6" s="20" t="str">
        <f ca="1">Master_List!$AW$8</f>
        <v>12kV</v>
      </c>
      <c r="W6" s="20" t="str">
        <f ca="1">Master_List!$AW$9</f>
        <v>2S1F</v>
      </c>
      <c r="X6" s="20" t="str">
        <f ca="1">Master_List!$AW$10</f>
        <v>MTM</v>
      </c>
      <c r="Y6" s="20" t="str">
        <f ca="1">Master_List!$AW$11</f>
        <v>HERMETICALLY SEAL</v>
      </c>
      <c r="Z6" s="20" t="str">
        <f ca="1">Master_List!$AW$12</f>
        <v>750kVA</v>
      </c>
      <c r="AA6" s="20" t="str">
        <f ca="1">Master_List!$AW$13</f>
        <v>1317</v>
      </c>
      <c r="AB6" s="20">
        <f ca="1">Master_List!$AW$14</f>
        <v>0</v>
      </c>
      <c r="AC6" s="20">
        <f ca="1">Master_List!$AW$15</f>
        <v>0</v>
      </c>
      <c r="AD6" s="20">
        <f ca="1">Master_List!$AW$16</f>
        <v>0</v>
      </c>
      <c r="AE6" s="20">
        <f ca="1">Master_List!$AW$17</f>
        <v>0</v>
      </c>
      <c r="AF6" s="20" t="str">
        <f ca="1">Master_List!$AW$18</f>
        <v>INDKOM</v>
      </c>
      <c r="AG6" s="20" t="str">
        <f ca="1">Master_List!$AW$19</f>
        <v>J-SLOTTED</v>
      </c>
      <c r="AH6" s="20" t="str">
        <f ca="1">Master_List!$AW$20</f>
        <v>1600A</v>
      </c>
      <c r="AI6" s="20" t="str">
        <f ca="1">Master_List!$AW$21</f>
        <v>LV5080090</v>
      </c>
      <c r="AJ6" s="20" t="str">
        <f ca="1">Master_List!$AW$22</f>
        <v>LVDB TX1</v>
      </c>
      <c r="AK6" s="20">
        <f ca="1">Master_List!$AW$23</f>
        <v>0</v>
      </c>
      <c r="AL6" s="20">
        <f ca="1">Master_List!$AW$24</f>
        <v>0</v>
      </c>
      <c r="AM6" s="20">
        <f ca="1">Master_List!$AW$25</f>
        <v>0</v>
      </c>
      <c r="AN6" s="20">
        <f ca="1">Master_List!$AW$26</f>
        <v>0</v>
      </c>
      <c r="AO6" s="20" t="str">
        <f ca="1">Master_List!$AW$27</f>
        <v>LVDB TX2</v>
      </c>
      <c r="AP6" s="20" t="str">
        <f ca="1">Master_List!$AW$28</f>
        <v>SUNPOWER TECHNOLOGIES</v>
      </c>
      <c r="AQ6" s="20" t="str">
        <f ca="1">Master_List!$AW$29</f>
        <v>SPS 30-10 L</v>
      </c>
      <c r="AR6" s="20" t="str">
        <f ca="1">Master_List!$AW$30</f>
        <v>11193-8527</v>
      </c>
      <c r="AS6" s="20">
        <f ca="1">Master_List!$AW$31</f>
        <v>0</v>
      </c>
      <c r="AT6" s="20">
        <f ca="1">Master_List!$AW$32</f>
        <v>0</v>
      </c>
      <c r="AU6" s="20">
        <f ca="1">Master_List!$AW$33</f>
        <v>0</v>
      </c>
      <c r="AV6" s="20">
        <f ca="1">Master_List!$AW$34</f>
        <v>0</v>
      </c>
      <c r="AW6" s="20">
        <f ca="1">Master_List!$AW$35</f>
        <v>0</v>
      </c>
      <c r="AX6" s="20">
        <f ca="1">Master_List!$AW$36</f>
        <v>0</v>
      </c>
      <c r="AY6" s="20">
        <f ca="1">Master_List!$AW$37</f>
        <v>0</v>
      </c>
      <c r="AZ6" s="20">
        <f ca="1">Master_List!$AW$38</f>
        <v>0</v>
      </c>
      <c r="BA6" s="20">
        <f ca="1">Master_List!$AW$39</f>
        <v>0</v>
      </c>
      <c r="BB6" s="20" t="s">
        <v>2240</v>
      </c>
      <c r="BC6" s="20" t="s">
        <v>2241</v>
      </c>
      <c r="BD6" s="6" t="s">
        <v>1744</v>
      </c>
      <c r="BE6" s="6" t="s">
        <v>1750</v>
      </c>
      <c r="BF6" s="6" t="s">
        <v>1746</v>
      </c>
      <c r="BG6" s="6" t="str">
        <f t="shared" si="1"/>
        <v>C:\Users\aremi\Desktop\REPORT CBM\PO 42289580 - Pahang 11kV SECOND CYCLE AZZAD 2026\RAW MATERIAL\047. TNB BARU (IR+VI)\RAW DATA\IR</v>
      </c>
      <c r="BH6" s="24" t="s">
        <v>542</v>
      </c>
    </row>
    <row r="7" spans="1:60" ht="15" customHeight="1" x14ac:dyDescent="0.25">
      <c r="A7" s="6">
        <v>3</v>
      </c>
      <c r="B7" s="6" t="s">
        <v>1529</v>
      </c>
      <c r="C7" s="6">
        <v>1</v>
      </c>
      <c r="D7" s="6" t="s">
        <v>2262</v>
      </c>
      <c r="E7" s="6">
        <v>3</v>
      </c>
      <c r="F7" s="6" t="str">
        <f ca="1">Master_List!$AW$1</f>
        <v>PERPUSTAKAAN PUSAT</v>
      </c>
      <c r="G7" s="27" t="str">
        <f ca="1">Master_List!$AW$2</f>
        <v>09:30 PM</v>
      </c>
      <c r="H7" s="32" t="str">
        <f ca="1">Master_List!$AW$3</f>
        <v>20/07/2026</v>
      </c>
      <c r="I7" s="28" t="str">
        <f ca="1">Master_List!$AW$4</f>
        <v>28.5</v>
      </c>
      <c r="J7" s="6" t="str">
        <f ca="1">Master_List!$AW$5</f>
        <v>65</v>
      </c>
      <c r="K7" s="6" t="s">
        <v>1530</v>
      </c>
      <c r="L7" s="22" t="s">
        <v>2246</v>
      </c>
      <c r="M7" s="22" t="s">
        <v>2246</v>
      </c>
      <c r="N7" s="22" t="s">
        <v>2246</v>
      </c>
      <c r="O7" s="22" t="s">
        <v>2246</v>
      </c>
      <c r="P7" s="22" t="s">
        <v>2246</v>
      </c>
      <c r="Q7" s="22" t="s">
        <v>2246</v>
      </c>
      <c r="R7" s="22" t="s">
        <v>2246</v>
      </c>
      <c r="S7" s="22" t="str">
        <f t="shared" ca="1" si="0"/>
        <v>24DU738_1015</v>
      </c>
      <c r="T7" s="20" t="str">
        <f ca="1">Master_List!$AW$6</f>
        <v>TOSHIBA</v>
      </c>
      <c r="U7" s="20" t="str">
        <f ca="1">Master_List!$AW$7</f>
        <v>MRMU</v>
      </c>
      <c r="V7" s="20" t="str">
        <f ca="1">Master_List!$AW$8</f>
        <v>12kV</v>
      </c>
      <c r="W7" s="20" t="str">
        <f ca="1">Master_List!$AW$9</f>
        <v>2S1F</v>
      </c>
      <c r="X7" s="20" t="str">
        <f ca="1">Master_List!$AW$10</f>
        <v>MTM</v>
      </c>
      <c r="Y7" s="20" t="str">
        <f ca="1">Master_List!$AW$11</f>
        <v>HERMETICALLY SEAL</v>
      </c>
      <c r="Z7" s="20" t="str">
        <f ca="1">Master_List!$AW$12</f>
        <v>750kVA</v>
      </c>
      <c r="AA7" s="20" t="str">
        <f ca="1">Master_List!$AW$13</f>
        <v>1317</v>
      </c>
      <c r="AB7" s="20">
        <f ca="1">Master_List!$AW$14</f>
        <v>0</v>
      </c>
      <c r="AC7" s="20">
        <f ca="1">Master_List!$AW$15</f>
        <v>0</v>
      </c>
      <c r="AD7" s="20">
        <f ca="1">Master_List!$AW$16</f>
        <v>0</v>
      </c>
      <c r="AE7" s="20">
        <f ca="1">Master_List!$AW$17</f>
        <v>0</v>
      </c>
      <c r="AF7" s="20" t="str">
        <f ca="1">Master_List!$AW$18</f>
        <v>INDKOM</v>
      </c>
      <c r="AG7" s="20" t="str">
        <f ca="1">Master_List!$AW$19</f>
        <v>J-SLOTTED</v>
      </c>
      <c r="AH7" s="20" t="str">
        <f ca="1">Master_List!$AW$20</f>
        <v>1600A</v>
      </c>
      <c r="AI7" s="20" t="str">
        <f ca="1">Master_List!$AW$21</f>
        <v>LV5080090</v>
      </c>
      <c r="AJ7" s="20" t="str">
        <f ca="1">Master_List!$AW$22</f>
        <v>LVDB TX1</v>
      </c>
      <c r="AK7" s="20">
        <f ca="1">Master_List!$AW$23</f>
        <v>0</v>
      </c>
      <c r="AL7" s="20">
        <f ca="1">Master_List!$AW$24</f>
        <v>0</v>
      </c>
      <c r="AM7" s="20">
        <f ca="1">Master_List!$AW$25</f>
        <v>0</v>
      </c>
      <c r="AN7" s="20">
        <f ca="1">Master_List!$AW$26</f>
        <v>0</v>
      </c>
      <c r="AO7" s="20" t="str">
        <f ca="1">Master_List!$AW$27</f>
        <v>LVDB TX2</v>
      </c>
      <c r="AP7" s="20" t="str">
        <f ca="1">Master_List!$AW$28</f>
        <v>SUNPOWER TECHNOLOGIES</v>
      </c>
      <c r="AQ7" s="20" t="str">
        <f ca="1">Master_List!$AW$29</f>
        <v>SPS 30-10 L</v>
      </c>
      <c r="AR7" s="20" t="str">
        <f ca="1">Master_List!$AW$30</f>
        <v>11193-8527</v>
      </c>
      <c r="AS7" s="20">
        <f ca="1">Master_List!$AW$31</f>
        <v>0</v>
      </c>
      <c r="AT7" s="20">
        <f ca="1">Master_List!$AW$32</f>
        <v>0</v>
      </c>
      <c r="AU7" s="20">
        <f ca="1">Master_List!$AW$33</f>
        <v>0</v>
      </c>
      <c r="AV7" s="20">
        <f ca="1">Master_List!$AW$34</f>
        <v>0</v>
      </c>
      <c r="AW7" s="20">
        <f ca="1">Master_List!$AW$35</f>
        <v>0</v>
      </c>
      <c r="AX7" s="20">
        <f ca="1">Master_List!$AW$36</f>
        <v>0</v>
      </c>
      <c r="AY7" s="20">
        <f ca="1">Master_List!$AW$37</f>
        <v>0</v>
      </c>
      <c r="AZ7" s="20">
        <f ca="1">Master_List!$AW$38</f>
        <v>0</v>
      </c>
      <c r="BA7" s="20">
        <f ca="1">Master_List!$AW$39</f>
        <v>0</v>
      </c>
      <c r="BB7" s="20" t="s">
        <v>2240</v>
      </c>
      <c r="BC7" s="20" t="s">
        <v>2241</v>
      </c>
      <c r="BD7" s="6" t="s">
        <v>1744</v>
      </c>
      <c r="BE7" s="6" t="s">
        <v>1750</v>
      </c>
      <c r="BF7" s="6" t="s">
        <v>1748</v>
      </c>
      <c r="BG7" s="6" t="str">
        <f t="shared" si="1"/>
        <v>C:\Users\aremi\Desktop\REPORT CBM\PO 42289580 - Pahang 11kV SECOND CYCLE AZZAD 2026\RAW MATERIAL\047. TNB BARU (IR+VI)\RAW DATA\IR</v>
      </c>
      <c r="BH7" s="24" t="s">
        <v>543</v>
      </c>
    </row>
    <row r="8" spans="1:60" ht="15" customHeight="1" x14ac:dyDescent="0.25">
      <c r="A8" s="6">
        <v>4</v>
      </c>
      <c r="B8" s="6" t="s">
        <v>1529</v>
      </c>
      <c r="C8" s="6">
        <v>1</v>
      </c>
      <c r="D8" s="6" t="s">
        <v>2262</v>
      </c>
      <c r="E8" s="6">
        <v>4</v>
      </c>
      <c r="F8" s="6" t="str">
        <f ca="1">Master_List!$AW$1</f>
        <v>PERPUSTAKAAN PUSAT</v>
      </c>
      <c r="G8" s="27" t="str">
        <f ca="1">Master_List!$AW$2</f>
        <v>09:30 PM</v>
      </c>
      <c r="H8" s="32" t="str">
        <f ca="1">Master_List!$AW$3</f>
        <v>20/07/2026</v>
      </c>
      <c r="I8" s="28" t="str">
        <f ca="1">Master_List!$AW$4</f>
        <v>28.5</v>
      </c>
      <c r="J8" s="6" t="str">
        <f ca="1">Master_List!$AW$5</f>
        <v>65</v>
      </c>
      <c r="K8" s="6" t="s">
        <v>1531</v>
      </c>
      <c r="L8" s="22" t="s">
        <v>2246</v>
      </c>
      <c r="M8" s="22" t="s">
        <v>2246</v>
      </c>
      <c r="N8" s="22" t="s">
        <v>2246</v>
      </c>
      <c r="O8" s="22" t="s">
        <v>2246</v>
      </c>
      <c r="P8" s="22" t="s">
        <v>2246</v>
      </c>
      <c r="Q8" s="22" t="s">
        <v>2246</v>
      </c>
      <c r="R8" s="22" t="s">
        <v>2246</v>
      </c>
      <c r="S8" s="22" t="str">
        <f t="shared" ca="1" si="0"/>
        <v>24DU738_1015</v>
      </c>
      <c r="T8" s="20" t="str">
        <f ca="1">Master_List!$AW$6</f>
        <v>TOSHIBA</v>
      </c>
      <c r="U8" s="20" t="str">
        <f ca="1">Master_List!$AW$7</f>
        <v>MRMU</v>
      </c>
      <c r="V8" s="20" t="str">
        <f ca="1">Master_List!$AW$8</f>
        <v>12kV</v>
      </c>
      <c r="W8" s="20" t="str">
        <f ca="1">Master_List!$AW$9</f>
        <v>2S1F</v>
      </c>
      <c r="X8" s="20" t="str">
        <f ca="1">Master_List!$AW$10</f>
        <v>MTM</v>
      </c>
      <c r="Y8" s="20" t="str">
        <f ca="1">Master_List!$AW$11</f>
        <v>HERMETICALLY SEAL</v>
      </c>
      <c r="Z8" s="20" t="str">
        <f ca="1">Master_List!$AW$12</f>
        <v>750kVA</v>
      </c>
      <c r="AA8" s="20" t="str">
        <f ca="1">Master_List!$AW$13</f>
        <v>1317</v>
      </c>
      <c r="AB8" s="20">
        <f ca="1">Master_List!$AW$14</f>
        <v>0</v>
      </c>
      <c r="AC8" s="20">
        <f ca="1">Master_List!$AW$15</f>
        <v>0</v>
      </c>
      <c r="AD8" s="20">
        <f ca="1">Master_List!$AW$16</f>
        <v>0</v>
      </c>
      <c r="AE8" s="20">
        <f ca="1">Master_List!$AW$17</f>
        <v>0</v>
      </c>
      <c r="AF8" s="20" t="str">
        <f ca="1">Master_List!$AW$18</f>
        <v>INDKOM</v>
      </c>
      <c r="AG8" s="20" t="str">
        <f ca="1">Master_List!$AW$19</f>
        <v>J-SLOTTED</v>
      </c>
      <c r="AH8" s="20" t="str">
        <f ca="1">Master_List!$AW$20</f>
        <v>1600A</v>
      </c>
      <c r="AI8" s="20" t="str">
        <f ca="1">Master_List!$AW$21</f>
        <v>LV5080090</v>
      </c>
      <c r="AJ8" s="20" t="str">
        <f ca="1">Master_List!$AW$22</f>
        <v>LVDB TX1</v>
      </c>
      <c r="AK8" s="20">
        <f ca="1">Master_List!$AW$23</f>
        <v>0</v>
      </c>
      <c r="AL8" s="20">
        <f ca="1">Master_List!$AW$24</f>
        <v>0</v>
      </c>
      <c r="AM8" s="20">
        <f ca="1">Master_List!$AW$25</f>
        <v>0</v>
      </c>
      <c r="AN8" s="20">
        <f ca="1">Master_List!$AW$26</f>
        <v>0</v>
      </c>
      <c r="AO8" s="20" t="str">
        <f ca="1">Master_List!$AW$27</f>
        <v>LVDB TX2</v>
      </c>
      <c r="AP8" s="20" t="str">
        <f ca="1">Master_List!$AW$28</f>
        <v>SUNPOWER TECHNOLOGIES</v>
      </c>
      <c r="AQ8" s="20" t="str">
        <f ca="1">Master_List!$AW$29</f>
        <v>SPS 30-10 L</v>
      </c>
      <c r="AR8" s="20" t="str">
        <f ca="1">Master_List!$AW$30</f>
        <v>11193-8527</v>
      </c>
      <c r="AS8" s="20">
        <f ca="1">Master_List!$AW$31</f>
        <v>0</v>
      </c>
      <c r="AT8" s="20">
        <f ca="1">Master_List!$AW$32</f>
        <v>0</v>
      </c>
      <c r="AU8" s="20">
        <f ca="1">Master_List!$AW$33</f>
        <v>0</v>
      </c>
      <c r="AV8" s="20">
        <f ca="1">Master_List!$AW$34</f>
        <v>0</v>
      </c>
      <c r="AW8" s="20">
        <f ca="1">Master_List!$AW$35</f>
        <v>0</v>
      </c>
      <c r="AX8" s="20">
        <f ca="1">Master_List!$AW$36</f>
        <v>0</v>
      </c>
      <c r="AY8" s="20">
        <f ca="1">Master_List!$AW$37</f>
        <v>0</v>
      </c>
      <c r="AZ8" s="20">
        <f ca="1">Master_List!$AW$38</f>
        <v>0</v>
      </c>
      <c r="BA8" s="20">
        <f ca="1">Master_List!$AW$39</f>
        <v>0</v>
      </c>
      <c r="BB8" s="20" t="s">
        <v>2240</v>
      </c>
      <c r="BC8" s="20" t="s">
        <v>2241</v>
      </c>
      <c r="BD8" s="6" t="s">
        <v>1744</v>
      </c>
      <c r="BE8" s="6" t="s">
        <v>1751</v>
      </c>
      <c r="BF8" s="6" t="s">
        <v>1746</v>
      </c>
      <c r="BG8" s="6" t="str">
        <f t="shared" si="1"/>
        <v>C:\Users\aremi\Desktop\REPORT CBM\PO 42289580 - Pahang 11kV SECOND CYCLE AZZAD 2026\RAW MATERIAL\047. TNB BARU (IR+VI)\RAW DATA\IR</v>
      </c>
      <c r="BH8" s="24" t="s">
        <v>545</v>
      </c>
    </row>
    <row r="9" spans="1:60" ht="15" customHeight="1" x14ac:dyDescent="0.25">
      <c r="A9" s="6">
        <v>4</v>
      </c>
      <c r="B9" s="6" t="s">
        <v>1529</v>
      </c>
      <c r="C9" s="6">
        <v>1</v>
      </c>
      <c r="D9" s="6" t="s">
        <v>2262</v>
      </c>
      <c r="E9" s="6">
        <v>4</v>
      </c>
      <c r="F9" s="6" t="str">
        <f ca="1">Master_List!$AW$1</f>
        <v>PERPUSTAKAAN PUSAT</v>
      </c>
      <c r="G9" s="27" t="str">
        <f ca="1">Master_List!$AW$2</f>
        <v>09:30 PM</v>
      </c>
      <c r="H9" s="32" t="str">
        <f ca="1">Master_List!$AW$3</f>
        <v>20/07/2026</v>
      </c>
      <c r="I9" s="28" t="str">
        <f ca="1">Master_List!$AW$4</f>
        <v>28.5</v>
      </c>
      <c r="J9" s="6" t="str">
        <f ca="1">Master_List!$AW$5</f>
        <v>65</v>
      </c>
      <c r="K9" s="6" t="s">
        <v>1531</v>
      </c>
      <c r="L9" s="22" t="s">
        <v>2246</v>
      </c>
      <c r="M9" s="22" t="s">
        <v>2246</v>
      </c>
      <c r="N9" s="22" t="s">
        <v>2246</v>
      </c>
      <c r="O9" s="22" t="s">
        <v>2246</v>
      </c>
      <c r="P9" s="22" t="s">
        <v>2246</v>
      </c>
      <c r="Q9" s="22" t="s">
        <v>2246</v>
      </c>
      <c r="R9" s="22" t="s">
        <v>2246</v>
      </c>
      <c r="S9" s="22" t="str">
        <f t="shared" ca="1" si="0"/>
        <v>24DU738_1015</v>
      </c>
      <c r="T9" s="20" t="str">
        <f ca="1">Master_List!$AW$6</f>
        <v>TOSHIBA</v>
      </c>
      <c r="U9" s="20" t="str">
        <f ca="1">Master_List!$AW$7</f>
        <v>MRMU</v>
      </c>
      <c r="V9" s="20" t="str">
        <f ca="1">Master_List!$AW$8</f>
        <v>12kV</v>
      </c>
      <c r="W9" s="20" t="str">
        <f ca="1">Master_List!$AW$9</f>
        <v>2S1F</v>
      </c>
      <c r="X9" s="20" t="str">
        <f ca="1">Master_List!$AW$10</f>
        <v>MTM</v>
      </c>
      <c r="Y9" s="20" t="str">
        <f ca="1">Master_List!$AW$11</f>
        <v>HERMETICALLY SEAL</v>
      </c>
      <c r="Z9" s="20" t="str">
        <f ca="1">Master_List!$AW$12</f>
        <v>750kVA</v>
      </c>
      <c r="AA9" s="20" t="str">
        <f ca="1">Master_List!$AW$13</f>
        <v>1317</v>
      </c>
      <c r="AB9" s="20">
        <f ca="1">Master_List!$AW$14</f>
        <v>0</v>
      </c>
      <c r="AC9" s="20">
        <f ca="1">Master_List!$AW$15</f>
        <v>0</v>
      </c>
      <c r="AD9" s="20">
        <f ca="1">Master_List!$AW$16</f>
        <v>0</v>
      </c>
      <c r="AE9" s="20">
        <f ca="1">Master_List!$AW$17</f>
        <v>0</v>
      </c>
      <c r="AF9" s="20" t="str">
        <f ca="1">Master_List!$AW$18</f>
        <v>INDKOM</v>
      </c>
      <c r="AG9" s="20" t="str">
        <f ca="1">Master_List!$AW$19</f>
        <v>J-SLOTTED</v>
      </c>
      <c r="AH9" s="20" t="str">
        <f ca="1">Master_List!$AW$20</f>
        <v>1600A</v>
      </c>
      <c r="AI9" s="20" t="str">
        <f ca="1">Master_List!$AW$21</f>
        <v>LV5080090</v>
      </c>
      <c r="AJ9" s="20" t="str">
        <f ca="1">Master_List!$AW$22</f>
        <v>LVDB TX1</v>
      </c>
      <c r="AK9" s="20">
        <f ca="1">Master_List!$AW$23</f>
        <v>0</v>
      </c>
      <c r="AL9" s="20">
        <f ca="1">Master_List!$AW$24</f>
        <v>0</v>
      </c>
      <c r="AM9" s="20">
        <f ca="1">Master_List!$AW$25</f>
        <v>0</v>
      </c>
      <c r="AN9" s="20">
        <f ca="1">Master_List!$AW$26</f>
        <v>0</v>
      </c>
      <c r="AO9" s="20" t="str">
        <f ca="1">Master_List!$AW$27</f>
        <v>LVDB TX2</v>
      </c>
      <c r="AP9" s="20" t="str">
        <f ca="1">Master_List!$AW$28</f>
        <v>SUNPOWER TECHNOLOGIES</v>
      </c>
      <c r="AQ9" s="20" t="str">
        <f ca="1">Master_List!$AW$29</f>
        <v>SPS 30-10 L</v>
      </c>
      <c r="AR9" s="20" t="str">
        <f ca="1">Master_List!$AW$30</f>
        <v>11193-8527</v>
      </c>
      <c r="AS9" s="20">
        <f ca="1">Master_List!$AW$31</f>
        <v>0</v>
      </c>
      <c r="AT9" s="20">
        <f ca="1">Master_List!$AW$32</f>
        <v>0</v>
      </c>
      <c r="AU9" s="20">
        <f ca="1">Master_List!$AW$33</f>
        <v>0</v>
      </c>
      <c r="AV9" s="20">
        <f ca="1">Master_List!$AW$34</f>
        <v>0</v>
      </c>
      <c r="AW9" s="20">
        <f ca="1">Master_List!$AW$35</f>
        <v>0</v>
      </c>
      <c r="AX9" s="20">
        <f ca="1">Master_List!$AW$36</f>
        <v>0</v>
      </c>
      <c r="AY9" s="20">
        <f ca="1">Master_List!$AW$37</f>
        <v>0</v>
      </c>
      <c r="AZ9" s="20">
        <f ca="1">Master_List!$AW$38</f>
        <v>0</v>
      </c>
      <c r="BA9" s="20">
        <f ca="1">Master_List!$AW$39</f>
        <v>0</v>
      </c>
      <c r="BB9" s="20" t="s">
        <v>2240</v>
      </c>
      <c r="BC9" s="20" t="s">
        <v>2241</v>
      </c>
      <c r="BD9" s="6" t="s">
        <v>1744</v>
      </c>
      <c r="BE9" s="6" t="s">
        <v>1751</v>
      </c>
      <c r="BF9" s="6" t="s">
        <v>1748</v>
      </c>
      <c r="BG9" s="6" t="str">
        <f t="shared" si="1"/>
        <v>C:\Users\aremi\Desktop\REPORT CBM\PO 42289580 - Pahang 11kV SECOND CYCLE AZZAD 2026\RAW MATERIAL\047. TNB BARU (IR+VI)\RAW DATA\IR</v>
      </c>
      <c r="BH9" s="24" t="s">
        <v>546</v>
      </c>
    </row>
    <row r="10" spans="1:60" ht="15" customHeight="1" x14ac:dyDescent="0.25">
      <c r="A10" s="6">
        <v>5</v>
      </c>
      <c r="B10" s="6" t="s">
        <v>1529</v>
      </c>
      <c r="C10" s="6">
        <v>1</v>
      </c>
      <c r="D10" s="6" t="s">
        <v>2262</v>
      </c>
      <c r="E10" s="6">
        <v>5</v>
      </c>
      <c r="F10" s="6" t="str">
        <f ca="1">Master_List!$AW$1</f>
        <v>PERPUSTAKAAN PUSAT</v>
      </c>
      <c r="G10" s="27" t="str">
        <f ca="1">Master_List!$AW$2</f>
        <v>09:30 PM</v>
      </c>
      <c r="H10" s="32" t="str">
        <f ca="1">Master_List!$AW$3</f>
        <v>20/07/2026</v>
      </c>
      <c r="I10" s="28" t="str">
        <f ca="1">Master_List!$AW$4</f>
        <v>28.5</v>
      </c>
      <c r="J10" s="6" t="str">
        <f ca="1">Master_List!$AW$5</f>
        <v>65</v>
      </c>
      <c r="K10" s="6" t="s">
        <v>1532</v>
      </c>
      <c r="L10" s="22" t="s">
        <v>2246</v>
      </c>
      <c r="M10" s="22" t="s">
        <v>2246</v>
      </c>
      <c r="N10" s="22" t="s">
        <v>2246</v>
      </c>
      <c r="O10" s="22" t="s">
        <v>2246</v>
      </c>
      <c r="P10" s="22" t="s">
        <v>2246</v>
      </c>
      <c r="Q10" s="22" t="s">
        <v>2246</v>
      </c>
      <c r="R10" s="22" t="s">
        <v>2246</v>
      </c>
      <c r="S10" s="22" t="str">
        <f t="shared" ca="1" si="0"/>
        <v>24DU738_1015</v>
      </c>
      <c r="T10" s="20" t="str">
        <f ca="1">Master_List!$AW$6</f>
        <v>TOSHIBA</v>
      </c>
      <c r="U10" s="20" t="str">
        <f ca="1">Master_List!$AW$7</f>
        <v>MRMU</v>
      </c>
      <c r="V10" s="20" t="str">
        <f ca="1">Master_List!$AW$8</f>
        <v>12kV</v>
      </c>
      <c r="W10" s="20" t="str">
        <f ca="1">Master_List!$AW$9</f>
        <v>2S1F</v>
      </c>
      <c r="X10" s="20" t="str">
        <f ca="1">Master_List!$AW$10</f>
        <v>MTM</v>
      </c>
      <c r="Y10" s="20" t="str">
        <f ca="1">Master_List!$AW$11</f>
        <v>HERMETICALLY SEAL</v>
      </c>
      <c r="Z10" s="20" t="str">
        <f ca="1">Master_List!$AW$12</f>
        <v>750kVA</v>
      </c>
      <c r="AA10" s="20" t="str">
        <f ca="1">Master_List!$AW$13</f>
        <v>1317</v>
      </c>
      <c r="AB10" s="20">
        <f ca="1">Master_List!$AW$14</f>
        <v>0</v>
      </c>
      <c r="AC10" s="20">
        <f ca="1">Master_List!$AW$15</f>
        <v>0</v>
      </c>
      <c r="AD10" s="20">
        <f ca="1">Master_List!$AW$16</f>
        <v>0</v>
      </c>
      <c r="AE10" s="20">
        <f ca="1">Master_List!$AW$17</f>
        <v>0</v>
      </c>
      <c r="AF10" s="20" t="str">
        <f ca="1">Master_List!$AW$18</f>
        <v>INDKOM</v>
      </c>
      <c r="AG10" s="20" t="str">
        <f ca="1">Master_List!$AW$19</f>
        <v>J-SLOTTED</v>
      </c>
      <c r="AH10" s="20" t="str">
        <f ca="1">Master_List!$AW$20</f>
        <v>1600A</v>
      </c>
      <c r="AI10" s="20" t="str">
        <f ca="1">Master_List!$AW$21</f>
        <v>LV5080090</v>
      </c>
      <c r="AJ10" s="20" t="str">
        <f ca="1">Master_List!$AW$22</f>
        <v>LVDB TX1</v>
      </c>
      <c r="AK10" s="20">
        <f ca="1">Master_List!$AW$23</f>
        <v>0</v>
      </c>
      <c r="AL10" s="20">
        <f ca="1">Master_List!$AW$24</f>
        <v>0</v>
      </c>
      <c r="AM10" s="20">
        <f ca="1">Master_List!$AW$25</f>
        <v>0</v>
      </c>
      <c r="AN10" s="20">
        <f ca="1">Master_List!$AW$26</f>
        <v>0</v>
      </c>
      <c r="AO10" s="20" t="str">
        <f ca="1">Master_List!$AW$27</f>
        <v>LVDB TX2</v>
      </c>
      <c r="AP10" s="20" t="str">
        <f ca="1">Master_List!$AW$28</f>
        <v>SUNPOWER TECHNOLOGIES</v>
      </c>
      <c r="AQ10" s="20" t="str">
        <f ca="1">Master_List!$AW$29</f>
        <v>SPS 30-10 L</v>
      </c>
      <c r="AR10" s="20" t="str">
        <f ca="1">Master_List!$AW$30</f>
        <v>11193-8527</v>
      </c>
      <c r="AS10" s="20">
        <f ca="1">Master_List!$AW$31</f>
        <v>0</v>
      </c>
      <c r="AT10" s="20">
        <f ca="1">Master_List!$AW$32</f>
        <v>0</v>
      </c>
      <c r="AU10" s="20">
        <f ca="1">Master_List!$AW$33</f>
        <v>0</v>
      </c>
      <c r="AV10" s="20">
        <f ca="1">Master_List!$AW$34</f>
        <v>0</v>
      </c>
      <c r="AW10" s="20">
        <f ca="1">Master_List!$AW$35</f>
        <v>0</v>
      </c>
      <c r="AX10" s="20">
        <f ca="1">Master_List!$AW$36</f>
        <v>0</v>
      </c>
      <c r="AY10" s="20">
        <f ca="1">Master_List!$AW$37</f>
        <v>0</v>
      </c>
      <c r="AZ10" s="20">
        <f ca="1">Master_List!$AW$38</f>
        <v>0</v>
      </c>
      <c r="BA10" s="20">
        <f ca="1">Master_List!$AW$39</f>
        <v>0</v>
      </c>
      <c r="BB10" s="20" t="s">
        <v>2240</v>
      </c>
      <c r="BC10" s="20" t="s">
        <v>2241</v>
      </c>
      <c r="BD10" s="6" t="s">
        <v>1744</v>
      </c>
      <c r="BE10" s="6" t="s">
        <v>1752</v>
      </c>
      <c r="BF10" s="6" t="s">
        <v>1746</v>
      </c>
      <c r="BG10" s="6" t="str">
        <f t="shared" si="1"/>
        <v>C:\Users\aremi\Desktop\REPORT CBM\PO 42289580 - Pahang 11kV SECOND CYCLE AZZAD 2026\RAW MATERIAL\047. TNB BARU (IR+VI)\RAW DATA\IR</v>
      </c>
      <c r="BH10" s="24" t="s">
        <v>548</v>
      </c>
    </row>
    <row r="11" spans="1:60" ht="15" customHeight="1" x14ac:dyDescent="0.25">
      <c r="A11" s="6">
        <v>5</v>
      </c>
      <c r="B11" s="6" t="s">
        <v>1529</v>
      </c>
      <c r="C11" s="6">
        <v>1</v>
      </c>
      <c r="D11" s="6" t="s">
        <v>2262</v>
      </c>
      <c r="E11" s="6">
        <v>5</v>
      </c>
      <c r="F11" s="6" t="str">
        <f ca="1">Master_List!$AW$1</f>
        <v>PERPUSTAKAAN PUSAT</v>
      </c>
      <c r="G11" s="27" t="str">
        <f ca="1">Master_List!$AW$2</f>
        <v>09:30 PM</v>
      </c>
      <c r="H11" s="32" t="str">
        <f ca="1">Master_List!$AW$3</f>
        <v>20/07/2026</v>
      </c>
      <c r="I11" s="28" t="str">
        <f ca="1">Master_List!$AW$4</f>
        <v>28.5</v>
      </c>
      <c r="J11" s="6" t="str">
        <f ca="1">Master_List!$AW$5</f>
        <v>65</v>
      </c>
      <c r="K11" s="6" t="s">
        <v>1532</v>
      </c>
      <c r="L11" s="22" t="s">
        <v>2246</v>
      </c>
      <c r="M11" s="22" t="s">
        <v>2246</v>
      </c>
      <c r="N11" s="22" t="s">
        <v>2246</v>
      </c>
      <c r="O11" s="22" t="s">
        <v>2246</v>
      </c>
      <c r="P11" s="22" t="s">
        <v>2246</v>
      </c>
      <c r="Q11" s="22" t="s">
        <v>2246</v>
      </c>
      <c r="R11" s="22" t="s">
        <v>2246</v>
      </c>
      <c r="S11" s="22" t="str">
        <f t="shared" ca="1" si="0"/>
        <v>24DU738_1015</v>
      </c>
      <c r="T11" s="20" t="str">
        <f ca="1">Master_List!$AW$6</f>
        <v>TOSHIBA</v>
      </c>
      <c r="U11" s="20" t="str">
        <f ca="1">Master_List!$AW$7</f>
        <v>MRMU</v>
      </c>
      <c r="V11" s="20" t="str">
        <f ca="1">Master_List!$AW$8</f>
        <v>12kV</v>
      </c>
      <c r="W11" s="20" t="str">
        <f ca="1">Master_List!$AW$9</f>
        <v>2S1F</v>
      </c>
      <c r="X11" s="20" t="str">
        <f ca="1">Master_List!$AW$10</f>
        <v>MTM</v>
      </c>
      <c r="Y11" s="20" t="str">
        <f ca="1">Master_List!$AW$11</f>
        <v>HERMETICALLY SEAL</v>
      </c>
      <c r="Z11" s="20" t="str">
        <f ca="1">Master_List!$AW$12</f>
        <v>750kVA</v>
      </c>
      <c r="AA11" s="20" t="str">
        <f ca="1">Master_List!$AW$13</f>
        <v>1317</v>
      </c>
      <c r="AB11" s="20">
        <f ca="1">Master_List!$AW$14</f>
        <v>0</v>
      </c>
      <c r="AC11" s="20">
        <f ca="1">Master_List!$AW$15</f>
        <v>0</v>
      </c>
      <c r="AD11" s="20">
        <f ca="1">Master_List!$AW$16</f>
        <v>0</v>
      </c>
      <c r="AE11" s="20">
        <f ca="1">Master_List!$AW$17</f>
        <v>0</v>
      </c>
      <c r="AF11" s="20" t="str">
        <f ca="1">Master_List!$AW$18</f>
        <v>INDKOM</v>
      </c>
      <c r="AG11" s="20" t="str">
        <f ca="1">Master_List!$AW$19</f>
        <v>J-SLOTTED</v>
      </c>
      <c r="AH11" s="20" t="str">
        <f ca="1">Master_List!$AW$20</f>
        <v>1600A</v>
      </c>
      <c r="AI11" s="20" t="str">
        <f ca="1">Master_List!$AW$21</f>
        <v>LV5080090</v>
      </c>
      <c r="AJ11" s="20" t="str">
        <f ca="1">Master_List!$AW$22</f>
        <v>LVDB TX1</v>
      </c>
      <c r="AK11" s="20">
        <f ca="1">Master_List!$AW$23</f>
        <v>0</v>
      </c>
      <c r="AL11" s="20">
        <f ca="1">Master_List!$AW$24</f>
        <v>0</v>
      </c>
      <c r="AM11" s="20">
        <f ca="1">Master_List!$AW$25</f>
        <v>0</v>
      </c>
      <c r="AN11" s="20">
        <f ca="1">Master_List!$AW$26</f>
        <v>0</v>
      </c>
      <c r="AO11" s="20" t="str">
        <f ca="1">Master_List!$AW$27</f>
        <v>LVDB TX2</v>
      </c>
      <c r="AP11" s="20" t="str">
        <f ca="1">Master_List!$AW$28</f>
        <v>SUNPOWER TECHNOLOGIES</v>
      </c>
      <c r="AQ11" s="20" t="str">
        <f ca="1">Master_List!$AW$29</f>
        <v>SPS 30-10 L</v>
      </c>
      <c r="AR11" s="20" t="str">
        <f ca="1">Master_List!$AW$30</f>
        <v>11193-8527</v>
      </c>
      <c r="AS11" s="20">
        <f ca="1">Master_List!$AW$31</f>
        <v>0</v>
      </c>
      <c r="AT11" s="20">
        <f ca="1">Master_List!$AW$32</f>
        <v>0</v>
      </c>
      <c r="AU11" s="20">
        <f ca="1">Master_List!$AW$33</f>
        <v>0</v>
      </c>
      <c r="AV11" s="20">
        <f ca="1">Master_List!$AW$34</f>
        <v>0</v>
      </c>
      <c r="AW11" s="20">
        <f ca="1">Master_List!$AW$35</f>
        <v>0</v>
      </c>
      <c r="AX11" s="20">
        <f ca="1">Master_List!$AW$36</f>
        <v>0</v>
      </c>
      <c r="AY11" s="20">
        <f ca="1">Master_List!$AW$37</f>
        <v>0</v>
      </c>
      <c r="AZ11" s="20">
        <f ca="1">Master_List!$AW$38</f>
        <v>0</v>
      </c>
      <c r="BA11" s="20">
        <f ca="1">Master_List!$AW$39</f>
        <v>0</v>
      </c>
      <c r="BB11" s="20" t="s">
        <v>2240</v>
      </c>
      <c r="BC11" s="20" t="s">
        <v>2241</v>
      </c>
      <c r="BD11" s="6" t="s">
        <v>1744</v>
      </c>
      <c r="BE11" s="6" t="s">
        <v>1752</v>
      </c>
      <c r="BF11" s="6" t="s">
        <v>1748</v>
      </c>
      <c r="BG11" s="6" t="str">
        <f t="shared" si="1"/>
        <v>C:\Users\aremi\Desktop\REPORT CBM\PO 42289580 - Pahang 11kV SECOND CYCLE AZZAD 2026\RAW MATERIAL\047. TNB BARU (IR+VI)\RAW DATA\IR</v>
      </c>
      <c r="BH11" s="24" t="s">
        <v>549</v>
      </c>
    </row>
    <row r="12" spans="1:60" ht="15" customHeight="1" x14ac:dyDescent="0.25">
      <c r="A12" s="6">
        <v>6</v>
      </c>
      <c r="B12" s="6" t="s">
        <v>1529</v>
      </c>
      <c r="C12" s="6">
        <v>1</v>
      </c>
      <c r="D12" s="6" t="s">
        <v>2262</v>
      </c>
      <c r="E12" s="6">
        <v>6</v>
      </c>
      <c r="F12" s="6" t="str">
        <f ca="1">Master_List!$AW$1</f>
        <v>PERPUSTAKAAN PUSAT</v>
      </c>
      <c r="G12" s="27" t="str">
        <f ca="1">Master_List!$AW$2</f>
        <v>09:30 PM</v>
      </c>
      <c r="H12" s="32" t="str">
        <f ca="1">Master_List!$AW$3</f>
        <v>20/07/2026</v>
      </c>
      <c r="I12" s="28" t="str">
        <f ca="1">Master_List!$AW$4</f>
        <v>28.5</v>
      </c>
      <c r="J12" s="6" t="str">
        <f ca="1">Master_List!$AW$5</f>
        <v>65</v>
      </c>
      <c r="K12" s="6" t="s">
        <v>1533</v>
      </c>
      <c r="L12" s="22" t="s">
        <v>2246</v>
      </c>
      <c r="M12" s="22" t="s">
        <v>2246</v>
      </c>
      <c r="N12" s="22" t="s">
        <v>2246</v>
      </c>
      <c r="O12" s="22" t="s">
        <v>2246</v>
      </c>
      <c r="P12" s="22" t="s">
        <v>2246</v>
      </c>
      <c r="Q12" s="22" t="s">
        <v>2246</v>
      </c>
      <c r="R12" s="22" t="s">
        <v>2246</v>
      </c>
      <c r="S12" s="22" t="str">
        <f t="shared" ca="1" si="0"/>
        <v>24DU738_1015</v>
      </c>
      <c r="T12" s="20" t="str">
        <f ca="1">Master_List!$AW$6</f>
        <v>TOSHIBA</v>
      </c>
      <c r="U12" s="20" t="str">
        <f ca="1">Master_List!$AW$7</f>
        <v>MRMU</v>
      </c>
      <c r="V12" s="20" t="str">
        <f ca="1">Master_List!$AW$8</f>
        <v>12kV</v>
      </c>
      <c r="W12" s="20" t="str">
        <f ca="1">Master_List!$AW$9</f>
        <v>2S1F</v>
      </c>
      <c r="X12" s="20" t="str">
        <f ca="1">Master_List!$AW$10</f>
        <v>MTM</v>
      </c>
      <c r="Y12" s="20" t="str">
        <f ca="1">Master_List!$AW$11</f>
        <v>HERMETICALLY SEAL</v>
      </c>
      <c r="Z12" s="20" t="str">
        <f ca="1">Master_List!$AW$12</f>
        <v>750kVA</v>
      </c>
      <c r="AA12" s="20" t="str">
        <f ca="1">Master_List!$AW$13</f>
        <v>1317</v>
      </c>
      <c r="AB12" s="20">
        <f ca="1">Master_List!$AW$14</f>
        <v>0</v>
      </c>
      <c r="AC12" s="20">
        <f ca="1">Master_List!$AW$15</f>
        <v>0</v>
      </c>
      <c r="AD12" s="20">
        <f ca="1">Master_List!$AW$16</f>
        <v>0</v>
      </c>
      <c r="AE12" s="20">
        <f ca="1">Master_List!$AW$17</f>
        <v>0</v>
      </c>
      <c r="AF12" s="20" t="str">
        <f ca="1">Master_List!$AW$18</f>
        <v>INDKOM</v>
      </c>
      <c r="AG12" s="20" t="str">
        <f ca="1">Master_List!$AW$19</f>
        <v>J-SLOTTED</v>
      </c>
      <c r="AH12" s="20" t="str">
        <f ca="1">Master_List!$AW$20</f>
        <v>1600A</v>
      </c>
      <c r="AI12" s="20" t="str">
        <f ca="1">Master_List!$AW$21</f>
        <v>LV5080090</v>
      </c>
      <c r="AJ12" s="20" t="str">
        <f ca="1">Master_List!$AW$22</f>
        <v>LVDB TX1</v>
      </c>
      <c r="AK12" s="20">
        <f ca="1">Master_List!$AW$23</f>
        <v>0</v>
      </c>
      <c r="AL12" s="20">
        <f ca="1">Master_List!$AW$24</f>
        <v>0</v>
      </c>
      <c r="AM12" s="20">
        <f ca="1">Master_List!$AW$25</f>
        <v>0</v>
      </c>
      <c r="AN12" s="20">
        <f ca="1">Master_List!$AW$26</f>
        <v>0</v>
      </c>
      <c r="AO12" s="20" t="str">
        <f ca="1">Master_List!$AW$27</f>
        <v>LVDB TX2</v>
      </c>
      <c r="AP12" s="20" t="str">
        <f ca="1">Master_List!$AW$28</f>
        <v>SUNPOWER TECHNOLOGIES</v>
      </c>
      <c r="AQ12" s="20" t="str">
        <f ca="1">Master_List!$AW$29</f>
        <v>SPS 30-10 L</v>
      </c>
      <c r="AR12" s="20" t="str">
        <f ca="1">Master_List!$AW$30</f>
        <v>11193-8527</v>
      </c>
      <c r="AS12" s="20">
        <f ca="1">Master_List!$AW$31</f>
        <v>0</v>
      </c>
      <c r="AT12" s="20">
        <f ca="1">Master_List!$AW$32</f>
        <v>0</v>
      </c>
      <c r="AU12" s="20">
        <f ca="1">Master_List!$AW$33</f>
        <v>0</v>
      </c>
      <c r="AV12" s="20">
        <f ca="1">Master_List!$AW$34</f>
        <v>0</v>
      </c>
      <c r="AW12" s="20">
        <f ca="1">Master_List!$AW$35</f>
        <v>0</v>
      </c>
      <c r="AX12" s="20">
        <f ca="1">Master_List!$AW$36</f>
        <v>0</v>
      </c>
      <c r="AY12" s="20">
        <f ca="1">Master_List!$AW$37</f>
        <v>0</v>
      </c>
      <c r="AZ12" s="20">
        <f ca="1">Master_List!$AW$38</f>
        <v>0</v>
      </c>
      <c r="BA12" s="20">
        <f ca="1">Master_List!$AW$39</f>
        <v>0</v>
      </c>
      <c r="BB12" s="20" t="s">
        <v>2240</v>
      </c>
      <c r="BC12" s="20" t="s">
        <v>2241</v>
      </c>
      <c r="BD12" s="6" t="s">
        <v>1744</v>
      </c>
      <c r="BE12" s="6" t="s">
        <v>1753</v>
      </c>
      <c r="BF12" s="6" t="s">
        <v>1746</v>
      </c>
      <c r="BG12" s="6" t="str">
        <f t="shared" si="1"/>
        <v>C:\Users\aremi\Desktop\REPORT CBM\PO 42289580 - Pahang 11kV SECOND CYCLE AZZAD 2026\RAW MATERIAL\047. TNB BARU (IR+VI)\RAW DATA\IR</v>
      </c>
      <c r="BH12" s="24" t="s">
        <v>551</v>
      </c>
    </row>
    <row r="13" spans="1:60" ht="15" customHeight="1" x14ac:dyDescent="0.25">
      <c r="A13" s="6">
        <v>6</v>
      </c>
      <c r="B13" s="6" t="s">
        <v>1529</v>
      </c>
      <c r="C13" s="6">
        <v>1</v>
      </c>
      <c r="D13" s="6" t="s">
        <v>2262</v>
      </c>
      <c r="E13" s="6">
        <v>6</v>
      </c>
      <c r="F13" s="6" t="str">
        <f ca="1">Master_List!$AW$1</f>
        <v>PERPUSTAKAAN PUSAT</v>
      </c>
      <c r="G13" s="27" t="str">
        <f ca="1">Master_List!$AW$2</f>
        <v>09:30 PM</v>
      </c>
      <c r="H13" s="32" t="str">
        <f ca="1">Master_List!$AW$3</f>
        <v>20/07/2026</v>
      </c>
      <c r="I13" s="28" t="str">
        <f ca="1">Master_List!$AW$4</f>
        <v>28.5</v>
      </c>
      <c r="J13" s="6" t="str">
        <f ca="1">Master_List!$AW$5</f>
        <v>65</v>
      </c>
      <c r="K13" s="6" t="s">
        <v>1533</v>
      </c>
      <c r="L13" s="22" t="s">
        <v>2246</v>
      </c>
      <c r="M13" s="22" t="s">
        <v>2246</v>
      </c>
      <c r="N13" s="22" t="s">
        <v>2246</v>
      </c>
      <c r="O13" s="22" t="s">
        <v>2246</v>
      </c>
      <c r="P13" s="22" t="s">
        <v>2246</v>
      </c>
      <c r="Q13" s="22" t="s">
        <v>2246</v>
      </c>
      <c r="R13" s="22" t="s">
        <v>2246</v>
      </c>
      <c r="S13" s="22" t="str">
        <f t="shared" ca="1" si="0"/>
        <v>24DU738_1015</v>
      </c>
      <c r="T13" s="20" t="str">
        <f ca="1">Master_List!$AW$6</f>
        <v>TOSHIBA</v>
      </c>
      <c r="U13" s="20" t="str">
        <f ca="1">Master_List!$AW$7</f>
        <v>MRMU</v>
      </c>
      <c r="V13" s="20" t="str">
        <f ca="1">Master_List!$AW$8</f>
        <v>12kV</v>
      </c>
      <c r="W13" s="20" t="str">
        <f ca="1">Master_List!$AW$9</f>
        <v>2S1F</v>
      </c>
      <c r="X13" s="20" t="str">
        <f ca="1">Master_List!$AW$10</f>
        <v>MTM</v>
      </c>
      <c r="Y13" s="20" t="str">
        <f ca="1">Master_List!$AW$11</f>
        <v>HERMETICALLY SEAL</v>
      </c>
      <c r="Z13" s="20" t="str">
        <f ca="1">Master_List!$AW$12</f>
        <v>750kVA</v>
      </c>
      <c r="AA13" s="20" t="str">
        <f ca="1">Master_List!$AW$13</f>
        <v>1317</v>
      </c>
      <c r="AB13" s="20">
        <f ca="1">Master_List!$AW$14</f>
        <v>0</v>
      </c>
      <c r="AC13" s="20">
        <f ca="1">Master_List!$AW$15</f>
        <v>0</v>
      </c>
      <c r="AD13" s="20">
        <f ca="1">Master_List!$AW$16</f>
        <v>0</v>
      </c>
      <c r="AE13" s="20">
        <f ca="1">Master_List!$AW$17</f>
        <v>0</v>
      </c>
      <c r="AF13" s="20" t="str">
        <f ca="1">Master_List!$AW$18</f>
        <v>INDKOM</v>
      </c>
      <c r="AG13" s="20" t="str">
        <f ca="1">Master_List!$AW$19</f>
        <v>J-SLOTTED</v>
      </c>
      <c r="AH13" s="20" t="str">
        <f ca="1">Master_List!$AW$20</f>
        <v>1600A</v>
      </c>
      <c r="AI13" s="20" t="str">
        <f ca="1">Master_List!$AW$21</f>
        <v>LV5080090</v>
      </c>
      <c r="AJ13" s="20" t="str">
        <f ca="1">Master_List!$AW$22</f>
        <v>LVDB TX1</v>
      </c>
      <c r="AK13" s="20">
        <f ca="1">Master_List!$AW$23</f>
        <v>0</v>
      </c>
      <c r="AL13" s="20">
        <f ca="1">Master_List!$AW$24</f>
        <v>0</v>
      </c>
      <c r="AM13" s="20">
        <f ca="1">Master_List!$AW$25</f>
        <v>0</v>
      </c>
      <c r="AN13" s="20">
        <f ca="1">Master_List!$AW$26</f>
        <v>0</v>
      </c>
      <c r="AO13" s="20" t="str">
        <f ca="1">Master_List!$AW$27</f>
        <v>LVDB TX2</v>
      </c>
      <c r="AP13" s="20" t="str">
        <f ca="1">Master_List!$AW$28</f>
        <v>SUNPOWER TECHNOLOGIES</v>
      </c>
      <c r="AQ13" s="20" t="str">
        <f ca="1">Master_List!$AW$29</f>
        <v>SPS 30-10 L</v>
      </c>
      <c r="AR13" s="20" t="str">
        <f ca="1">Master_List!$AW$30</f>
        <v>11193-8527</v>
      </c>
      <c r="AS13" s="20">
        <f ca="1">Master_List!$AW$31</f>
        <v>0</v>
      </c>
      <c r="AT13" s="20">
        <f ca="1">Master_List!$AW$32</f>
        <v>0</v>
      </c>
      <c r="AU13" s="20">
        <f ca="1">Master_List!$AW$33</f>
        <v>0</v>
      </c>
      <c r="AV13" s="20">
        <f ca="1">Master_List!$AW$34</f>
        <v>0</v>
      </c>
      <c r="AW13" s="20">
        <f ca="1">Master_List!$AW$35</f>
        <v>0</v>
      </c>
      <c r="AX13" s="20">
        <f ca="1">Master_List!$AW$36</f>
        <v>0</v>
      </c>
      <c r="AY13" s="20">
        <f ca="1">Master_List!$AW$37</f>
        <v>0</v>
      </c>
      <c r="AZ13" s="20">
        <f ca="1">Master_List!$AW$38</f>
        <v>0</v>
      </c>
      <c r="BA13" s="20">
        <f ca="1">Master_List!$AW$39</f>
        <v>0</v>
      </c>
      <c r="BB13" s="20" t="s">
        <v>2240</v>
      </c>
      <c r="BC13" s="20" t="s">
        <v>2241</v>
      </c>
      <c r="BD13" s="6" t="s">
        <v>1744</v>
      </c>
      <c r="BE13" s="6" t="s">
        <v>1753</v>
      </c>
      <c r="BF13" s="6" t="s">
        <v>1748</v>
      </c>
      <c r="BG13" s="6" t="str">
        <f t="shared" si="1"/>
        <v>C:\Users\aremi\Desktop\REPORT CBM\PO 42289580 - Pahang 11kV SECOND CYCLE AZZAD 2026\RAW MATERIAL\047. TNB BARU (IR+VI)\RAW DATA\IR</v>
      </c>
      <c r="BH13" s="24" t="s">
        <v>552</v>
      </c>
    </row>
    <row r="14" spans="1:60" ht="15" customHeight="1" x14ac:dyDescent="0.25">
      <c r="A14" s="6">
        <v>7</v>
      </c>
      <c r="B14" s="6" t="s">
        <v>1534</v>
      </c>
      <c r="C14" s="6">
        <v>1</v>
      </c>
      <c r="D14" s="6" t="s">
        <v>2263</v>
      </c>
      <c r="E14" s="6">
        <v>7</v>
      </c>
      <c r="F14" s="6" t="str">
        <f ca="1">Master_List!$AW$1</f>
        <v>PERPUSTAKAAN PUSAT</v>
      </c>
      <c r="G14" s="27" t="str">
        <f ca="1">Master_List!$AW$2</f>
        <v>09:30 PM</v>
      </c>
      <c r="H14" s="32" t="str">
        <f ca="1">Master_List!$AW$3</f>
        <v>20/07/2026</v>
      </c>
      <c r="I14" s="28" t="str">
        <f ca="1">Master_List!$AW$4</f>
        <v>28.5</v>
      </c>
      <c r="J14" s="6" t="str">
        <f ca="1">Master_List!$AW$5</f>
        <v>65</v>
      </c>
      <c r="K14" s="6" t="s">
        <v>576</v>
      </c>
      <c r="L14" s="22" t="str">
        <f ca="1">IFERROR(VLOOKUP(B14, Master_List!$A:$I, 2, FALSE), "-")</f>
        <v>JJB 87616</v>
      </c>
      <c r="M14" s="22" t="str">
        <f ca="1">IFERROR(VLOOKUP(B14, Master_List!$A:$I, 3, FALSE), "-")</f>
        <v>PDT QRTS AGAMA</v>
      </c>
      <c r="N14" s="22" t="str">
        <f ca="1">IFERROR(VLOOKUP(B14, Master_List!$A:$I, 4, FALSE), "-")</f>
        <v>NOT ACCESSIBLE</v>
      </c>
      <c r="O14" s="22" t="str">
        <f ca="1">IFERROR(VLOOKUP(B14, Master_List!$A:$I, 5, FALSE), "-")</f>
        <v>CLOSE</v>
      </c>
      <c r="P14" s="22" t="str">
        <f ca="1">IFERROR(VLOOKUP(B14, Master_List!$A:$I, 6, FALSE), "-")</f>
        <v/>
      </c>
      <c r="Q14" s="22" t="str">
        <f ca="1">IFERROR(VLOOKUP(B14, Master_List!$A:$I, 7, FALSE), "-")</f>
        <v/>
      </c>
      <c r="R14" s="22" t="str">
        <f ca="1">IFERROR(VLOOKUP(B14, Master_List!$A:$I, 8, FALSE), "-")</f>
        <v/>
      </c>
      <c r="S14" s="22" t="str">
        <f ca="1">IFERROR(VLOOKUP(B14, Master_List!$A:$I, 9, FALSE), "-")</f>
        <v>24DU738_1015</v>
      </c>
      <c r="T14" s="20" t="str">
        <f ca="1">Master_List!$AW$6</f>
        <v>TOSHIBA</v>
      </c>
      <c r="U14" s="20" t="str">
        <f ca="1">Master_List!$AW$7</f>
        <v>MRMU</v>
      </c>
      <c r="V14" s="20" t="str">
        <f ca="1">Master_List!$AW$8</f>
        <v>12kV</v>
      </c>
      <c r="W14" s="20" t="str">
        <f ca="1">Master_List!$AW$9</f>
        <v>2S1F</v>
      </c>
      <c r="X14" s="20" t="str">
        <f ca="1">Master_List!$AW$10</f>
        <v>MTM</v>
      </c>
      <c r="Y14" s="20" t="str">
        <f ca="1">Master_List!$AW$11</f>
        <v>HERMETICALLY SEAL</v>
      </c>
      <c r="Z14" s="20" t="str">
        <f ca="1">Master_List!$AW$12</f>
        <v>750kVA</v>
      </c>
      <c r="AA14" s="20" t="str">
        <f ca="1">Master_List!$AW$13</f>
        <v>1317</v>
      </c>
      <c r="AB14" s="20">
        <f ca="1">Master_List!$AW$14</f>
        <v>0</v>
      </c>
      <c r="AC14" s="20">
        <f ca="1">Master_List!$AW$15</f>
        <v>0</v>
      </c>
      <c r="AD14" s="20">
        <f ca="1">Master_List!$AW$16</f>
        <v>0</v>
      </c>
      <c r="AE14" s="20">
        <f ca="1">Master_List!$AW$17</f>
        <v>0</v>
      </c>
      <c r="AF14" s="20" t="str">
        <f ca="1">Master_List!$AW$18</f>
        <v>INDKOM</v>
      </c>
      <c r="AG14" s="20" t="str">
        <f ca="1">Master_List!$AW$19</f>
        <v>J-SLOTTED</v>
      </c>
      <c r="AH14" s="20" t="str">
        <f ca="1">Master_List!$AW$20</f>
        <v>1600A</v>
      </c>
      <c r="AI14" s="20" t="str">
        <f ca="1">Master_List!$AW$21</f>
        <v>LV5080090</v>
      </c>
      <c r="AJ14" s="20" t="str">
        <f ca="1">Master_List!$AW$22</f>
        <v>LVDB TX1</v>
      </c>
      <c r="AK14" s="20">
        <f ca="1">Master_List!$AW$23</f>
        <v>0</v>
      </c>
      <c r="AL14" s="20">
        <f ca="1">Master_List!$AW$24</f>
        <v>0</v>
      </c>
      <c r="AM14" s="20">
        <f ca="1">Master_List!$AW$25</f>
        <v>0</v>
      </c>
      <c r="AN14" s="20">
        <f ca="1">Master_List!$AW$26</f>
        <v>0</v>
      </c>
      <c r="AO14" s="20" t="str">
        <f ca="1">Master_List!$AW$27</f>
        <v>LVDB TX2</v>
      </c>
      <c r="AP14" s="20" t="str">
        <f ca="1">Master_List!$AW$28</f>
        <v>SUNPOWER TECHNOLOGIES</v>
      </c>
      <c r="AQ14" s="20" t="str">
        <f ca="1">Master_List!$AW$29</f>
        <v>SPS 30-10 L</v>
      </c>
      <c r="AR14" s="20" t="str">
        <f ca="1">Master_List!$AW$30</f>
        <v>11193-8527</v>
      </c>
      <c r="AS14" s="20">
        <f ca="1">Master_List!$AW$31</f>
        <v>0</v>
      </c>
      <c r="AT14" s="20">
        <f ca="1">Master_List!$AW$32</f>
        <v>0</v>
      </c>
      <c r="AU14" s="20">
        <f ca="1">Master_List!$AW$33</f>
        <v>0</v>
      </c>
      <c r="AV14" s="20">
        <f ca="1">Master_List!$AW$34</f>
        <v>0</v>
      </c>
      <c r="AW14" s="20">
        <f ca="1">Master_List!$AW$35</f>
        <v>0</v>
      </c>
      <c r="AX14" s="20">
        <f ca="1">Master_List!$AW$36</f>
        <v>0</v>
      </c>
      <c r="AY14" s="20">
        <f ca="1">Master_List!$AW$37</f>
        <v>0</v>
      </c>
      <c r="AZ14" s="20">
        <f ca="1">Master_List!$AW$38</f>
        <v>0</v>
      </c>
      <c r="BA14" s="20">
        <f ca="1">Master_List!$AW$39</f>
        <v>0</v>
      </c>
      <c r="BB14" s="20" t="s">
        <v>2240</v>
      </c>
      <c r="BC14" s="20" t="s">
        <v>2241</v>
      </c>
      <c r="BD14" s="6" t="s">
        <v>1744</v>
      </c>
      <c r="BE14" s="6" t="s">
        <v>1754</v>
      </c>
      <c r="BF14" s="6" t="s">
        <v>1746</v>
      </c>
      <c r="BG14" s="6" t="str">
        <f t="shared" si="1"/>
        <v>C:\Users\aremi\Desktop\REPORT CBM\PO 42289580 - Pahang 11kV SECOND CYCLE AZZAD 2026\RAW MATERIAL\047. TNB BARU (IR+VI)\RAW DATA\IR</v>
      </c>
      <c r="BH14" s="24" t="s">
        <v>554</v>
      </c>
    </row>
    <row r="15" spans="1:60" ht="15" customHeight="1" x14ac:dyDescent="0.25">
      <c r="A15" s="6">
        <v>7</v>
      </c>
      <c r="B15" s="6" t="s">
        <v>1534</v>
      </c>
      <c r="C15" s="6">
        <v>1</v>
      </c>
      <c r="D15" s="6" t="s">
        <v>2263</v>
      </c>
      <c r="E15" s="6">
        <v>7</v>
      </c>
      <c r="F15" s="6" t="str">
        <f ca="1">Master_List!$AW$1</f>
        <v>PERPUSTAKAAN PUSAT</v>
      </c>
      <c r="G15" s="27" t="str">
        <f ca="1">Master_List!$AW$2</f>
        <v>09:30 PM</v>
      </c>
      <c r="H15" s="32" t="str">
        <f ca="1">Master_List!$AW$3</f>
        <v>20/07/2026</v>
      </c>
      <c r="I15" s="28" t="str">
        <f ca="1">Master_List!$AW$4</f>
        <v>28.5</v>
      </c>
      <c r="J15" s="6" t="str">
        <f ca="1">Master_List!$AW$5</f>
        <v>65</v>
      </c>
      <c r="K15" s="6" t="s">
        <v>576</v>
      </c>
      <c r="L15" s="22" t="str">
        <f ca="1">IFERROR(VLOOKUP(B15, Master_List!$A:$I, 2, FALSE), "-")</f>
        <v>JJB 87616</v>
      </c>
      <c r="M15" s="22" t="str">
        <f ca="1">IFERROR(VLOOKUP(B15, Master_List!$A:$I, 3, FALSE), "-")</f>
        <v>PDT QRTS AGAMA</v>
      </c>
      <c r="N15" s="22" t="str">
        <f ca="1">IFERROR(VLOOKUP(B15, Master_List!$A:$I, 4, FALSE), "-")</f>
        <v>NOT ACCESSIBLE</v>
      </c>
      <c r="O15" s="22" t="str">
        <f ca="1">IFERROR(VLOOKUP(B15, Master_List!$A:$I, 5, FALSE), "-")</f>
        <v>CLOSE</v>
      </c>
      <c r="P15" s="22" t="str">
        <f ca="1">IFERROR(VLOOKUP(B15, Master_List!$A:$I, 6, FALSE), "-")</f>
        <v/>
      </c>
      <c r="Q15" s="22" t="str">
        <f ca="1">IFERROR(VLOOKUP(B15, Master_List!$A:$I, 7, FALSE), "-")</f>
        <v/>
      </c>
      <c r="R15" s="22" t="str">
        <f ca="1">IFERROR(VLOOKUP(B15, Master_List!$A:$I, 8, FALSE), "-")</f>
        <v/>
      </c>
      <c r="S15" s="22" t="str">
        <f ca="1">IFERROR(VLOOKUP(B15, Master_List!$A:$I, 9, FALSE), "-")</f>
        <v>24DU738_1015</v>
      </c>
      <c r="T15" s="20" t="str">
        <f ca="1">Master_List!$AW$6</f>
        <v>TOSHIBA</v>
      </c>
      <c r="U15" s="20" t="str">
        <f ca="1">Master_List!$AW$7</f>
        <v>MRMU</v>
      </c>
      <c r="V15" s="20" t="str">
        <f ca="1">Master_List!$AW$8</f>
        <v>12kV</v>
      </c>
      <c r="W15" s="20" t="str">
        <f ca="1">Master_List!$AW$9</f>
        <v>2S1F</v>
      </c>
      <c r="X15" s="20" t="str">
        <f ca="1">Master_List!$AW$10</f>
        <v>MTM</v>
      </c>
      <c r="Y15" s="20" t="str">
        <f ca="1">Master_List!$AW$11</f>
        <v>HERMETICALLY SEAL</v>
      </c>
      <c r="Z15" s="20" t="str">
        <f ca="1">Master_List!$AW$12</f>
        <v>750kVA</v>
      </c>
      <c r="AA15" s="20" t="str">
        <f ca="1">Master_List!$AW$13</f>
        <v>1317</v>
      </c>
      <c r="AB15" s="20">
        <f ca="1">Master_List!$AW$14</f>
        <v>0</v>
      </c>
      <c r="AC15" s="20">
        <f ca="1">Master_List!$AW$15</f>
        <v>0</v>
      </c>
      <c r="AD15" s="20">
        <f ca="1">Master_List!$AW$16</f>
        <v>0</v>
      </c>
      <c r="AE15" s="20">
        <f ca="1">Master_List!$AW$17</f>
        <v>0</v>
      </c>
      <c r="AF15" s="20" t="str">
        <f ca="1">Master_List!$AW$18</f>
        <v>INDKOM</v>
      </c>
      <c r="AG15" s="20" t="str">
        <f ca="1">Master_List!$AW$19</f>
        <v>J-SLOTTED</v>
      </c>
      <c r="AH15" s="20" t="str">
        <f ca="1">Master_List!$AW$20</f>
        <v>1600A</v>
      </c>
      <c r="AI15" s="20" t="str">
        <f ca="1">Master_List!$AW$21</f>
        <v>LV5080090</v>
      </c>
      <c r="AJ15" s="20" t="str">
        <f ca="1">Master_List!$AW$22</f>
        <v>LVDB TX1</v>
      </c>
      <c r="AK15" s="20">
        <f ca="1">Master_List!$AW$23</f>
        <v>0</v>
      </c>
      <c r="AL15" s="20">
        <f ca="1">Master_List!$AW$24</f>
        <v>0</v>
      </c>
      <c r="AM15" s="20">
        <f ca="1">Master_List!$AW$25</f>
        <v>0</v>
      </c>
      <c r="AN15" s="20">
        <f ca="1">Master_List!$AW$26</f>
        <v>0</v>
      </c>
      <c r="AO15" s="20" t="str">
        <f ca="1">Master_List!$AW$27</f>
        <v>LVDB TX2</v>
      </c>
      <c r="AP15" s="20" t="str">
        <f ca="1">Master_List!$AW$28</f>
        <v>SUNPOWER TECHNOLOGIES</v>
      </c>
      <c r="AQ15" s="20" t="str">
        <f ca="1">Master_List!$AW$29</f>
        <v>SPS 30-10 L</v>
      </c>
      <c r="AR15" s="20" t="str">
        <f ca="1">Master_List!$AW$30</f>
        <v>11193-8527</v>
      </c>
      <c r="AS15" s="20">
        <f ca="1">Master_List!$AW$31</f>
        <v>0</v>
      </c>
      <c r="AT15" s="20">
        <f ca="1">Master_List!$AW$32</f>
        <v>0</v>
      </c>
      <c r="AU15" s="20">
        <f ca="1">Master_List!$AW$33</f>
        <v>0</v>
      </c>
      <c r="AV15" s="20">
        <f ca="1">Master_List!$AW$34</f>
        <v>0</v>
      </c>
      <c r="AW15" s="20">
        <f ca="1">Master_List!$AW$35</f>
        <v>0</v>
      </c>
      <c r="AX15" s="20">
        <f ca="1">Master_List!$AW$36</f>
        <v>0</v>
      </c>
      <c r="AY15" s="20">
        <f ca="1">Master_List!$AW$37</f>
        <v>0</v>
      </c>
      <c r="AZ15" s="20">
        <f ca="1">Master_List!$AW$38</f>
        <v>0</v>
      </c>
      <c r="BA15" s="20">
        <f ca="1">Master_List!$AW$39</f>
        <v>0</v>
      </c>
      <c r="BB15" s="20" t="s">
        <v>2240</v>
      </c>
      <c r="BC15" s="20" t="s">
        <v>2241</v>
      </c>
      <c r="BD15" s="6" t="s">
        <v>1744</v>
      </c>
      <c r="BE15" s="6" t="s">
        <v>1754</v>
      </c>
      <c r="BF15" s="6" t="s">
        <v>1748</v>
      </c>
      <c r="BG15" s="6" t="str">
        <f t="shared" si="1"/>
        <v>C:\Users\aremi\Desktop\REPORT CBM\PO 42289580 - Pahang 11kV SECOND CYCLE AZZAD 2026\RAW MATERIAL\047. TNB BARU (IR+VI)\RAW DATA\IR</v>
      </c>
      <c r="BH15" s="24" t="s">
        <v>555</v>
      </c>
    </row>
    <row r="16" spans="1:60" ht="15" customHeight="1" x14ac:dyDescent="0.25">
      <c r="A16" s="6">
        <v>8</v>
      </c>
      <c r="B16" s="6" t="s">
        <v>1534</v>
      </c>
      <c r="C16" s="6">
        <v>1</v>
      </c>
      <c r="D16" s="6" t="s">
        <v>2263</v>
      </c>
      <c r="E16" s="6">
        <v>8</v>
      </c>
      <c r="F16" s="6" t="str">
        <f ca="1">Master_List!$AW$1</f>
        <v>PERPUSTAKAAN PUSAT</v>
      </c>
      <c r="G16" s="27" t="str">
        <f ca="1">Master_List!$AW$2</f>
        <v>09:30 PM</v>
      </c>
      <c r="H16" s="32" t="str">
        <f ca="1">Master_List!$AW$3</f>
        <v>20/07/2026</v>
      </c>
      <c r="I16" s="28" t="str">
        <f ca="1">Master_List!$AW$4</f>
        <v>28.5</v>
      </c>
      <c r="J16" s="6" t="str">
        <f ca="1">Master_List!$AW$5</f>
        <v>65</v>
      </c>
      <c r="K16" s="6" t="s">
        <v>585</v>
      </c>
      <c r="L16" s="22" t="str">
        <f ca="1">IFERROR(VLOOKUP(B16, Master_List!$A:$I, 2, FALSE), "-")</f>
        <v>JJB 87616</v>
      </c>
      <c r="M16" s="22" t="str">
        <f ca="1">IFERROR(VLOOKUP(B16, Master_List!$A:$I, 3, FALSE), "-")</f>
        <v>PDT QRTS AGAMA</v>
      </c>
      <c r="N16" s="22" t="str">
        <f ca="1">IFERROR(VLOOKUP(B16, Master_List!$A:$I, 4, FALSE), "-")</f>
        <v>NOT ACCESSIBLE</v>
      </c>
      <c r="O16" s="22" t="str">
        <f ca="1">IFERROR(VLOOKUP(B16, Master_List!$A:$I, 5, FALSE), "-")</f>
        <v>CLOSE</v>
      </c>
      <c r="P16" s="22" t="str">
        <f ca="1">IFERROR(VLOOKUP(B16, Master_List!$A:$I, 6, FALSE), "-")</f>
        <v/>
      </c>
      <c r="Q16" s="22" t="str">
        <f ca="1">IFERROR(VLOOKUP(B16, Master_List!$A:$I, 7, FALSE), "-")</f>
        <v/>
      </c>
      <c r="R16" s="22" t="str">
        <f ca="1">IFERROR(VLOOKUP(B16, Master_List!$A:$I, 8, FALSE), "-")</f>
        <v/>
      </c>
      <c r="S16" s="22" t="str">
        <f ca="1">IFERROR(VLOOKUP(B16, Master_List!$A:$I, 9, FALSE), "-")</f>
        <v>24DU738_1015</v>
      </c>
      <c r="T16" s="20" t="str">
        <f ca="1">Master_List!$AW$6</f>
        <v>TOSHIBA</v>
      </c>
      <c r="U16" s="20" t="str">
        <f ca="1">Master_List!$AW$7</f>
        <v>MRMU</v>
      </c>
      <c r="V16" s="20" t="str">
        <f ca="1">Master_List!$AW$8</f>
        <v>12kV</v>
      </c>
      <c r="W16" s="20" t="str">
        <f ca="1">Master_List!$AW$9</f>
        <v>2S1F</v>
      </c>
      <c r="X16" s="20" t="str">
        <f ca="1">Master_List!$AW$10</f>
        <v>MTM</v>
      </c>
      <c r="Y16" s="20" t="str">
        <f ca="1">Master_List!$AW$11</f>
        <v>HERMETICALLY SEAL</v>
      </c>
      <c r="Z16" s="20" t="str">
        <f ca="1">Master_List!$AW$12</f>
        <v>750kVA</v>
      </c>
      <c r="AA16" s="20" t="str">
        <f ca="1">Master_List!$AW$13</f>
        <v>1317</v>
      </c>
      <c r="AB16" s="20">
        <f ca="1">Master_List!$AW$14</f>
        <v>0</v>
      </c>
      <c r="AC16" s="20">
        <f ca="1">Master_List!$AW$15</f>
        <v>0</v>
      </c>
      <c r="AD16" s="20">
        <f ca="1">Master_List!$AW$16</f>
        <v>0</v>
      </c>
      <c r="AE16" s="20">
        <f ca="1">Master_List!$AW$17</f>
        <v>0</v>
      </c>
      <c r="AF16" s="20" t="str">
        <f ca="1">Master_List!$AW$18</f>
        <v>INDKOM</v>
      </c>
      <c r="AG16" s="20" t="str">
        <f ca="1">Master_List!$AW$19</f>
        <v>J-SLOTTED</v>
      </c>
      <c r="AH16" s="20" t="str">
        <f ca="1">Master_List!$AW$20</f>
        <v>1600A</v>
      </c>
      <c r="AI16" s="20" t="str">
        <f ca="1">Master_List!$AW$21</f>
        <v>LV5080090</v>
      </c>
      <c r="AJ16" s="20" t="str">
        <f ca="1">Master_List!$AW$22</f>
        <v>LVDB TX1</v>
      </c>
      <c r="AK16" s="20">
        <f ca="1">Master_List!$AW$23</f>
        <v>0</v>
      </c>
      <c r="AL16" s="20">
        <f ca="1">Master_List!$AW$24</f>
        <v>0</v>
      </c>
      <c r="AM16" s="20">
        <f ca="1">Master_List!$AW$25</f>
        <v>0</v>
      </c>
      <c r="AN16" s="20">
        <f ca="1">Master_List!$AW$26</f>
        <v>0</v>
      </c>
      <c r="AO16" s="20" t="str">
        <f ca="1">Master_List!$AW$27</f>
        <v>LVDB TX2</v>
      </c>
      <c r="AP16" s="20" t="str">
        <f ca="1">Master_List!$AW$28</f>
        <v>SUNPOWER TECHNOLOGIES</v>
      </c>
      <c r="AQ16" s="20" t="str">
        <f ca="1">Master_List!$AW$29</f>
        <v>SPS 30-10 L</v>
      </c>
      <c r="AR16" s="20" t="str">
        <f ca="1">Master_List!$AW$30</f>
        <v>11193-8527</v>
      </c>
      <c r="AS16" s="20">
        <f ca="1">Master_List!$AW$31</f>
        <v>0</v>
      </c>
      <c r="AT16" s="20">
        <f ca="1">Master_List!$AW$32</f>
        <v>0</v>
      </c>
      <c r="AU16" s="20">
        <f ca="1">Master_List!$AW$33</f>
        <v>0</v>
      </c>
      <c r="AV16" s="20">
        <f ca="1">Master_List!$AW$34</f>
        <v>0</v>
      </c>
      <c r="AW16" s="20">
        <f ca="1">Master_List!$AW$35</f>
        <v>0</v>
      </c>
      <c r="AX16" s="20">
        <f ca="1">Master_List!$AW$36</f>
        <v>0</v>
      </c>
      <c r="AY16" s="20">
        <f ca="1">Master_List!$AW$37</f>
        <v>0</v>
      </c>
      <c r="AZ16" s="20">
        <f ca="1">Master_List!$AW$38</f>
        <v>0</v>
      </c>
      <c r="BA16" s="20">
        <f ca="1">Master_List!$AW$39</f>
        <v>0</v>
      </c>
      <c r="BB16" s="20" t="s">
        <v>2240</v>
      </c>
      <c r="BC16" s="20" t="s">
        <v>2241</v>
      </c>
      <c r="BD16" s="6" t="s">
        <v>1744</v>
      </c>
      <c r="BE16" s="6" t="s">
        <v>1755</v>
      </c>
      <c r="BF16" s="6" t="s">
        <v>1746</v>
      </c>
      <c r="BG16" s="6" t="str">
        <f t="shared" si="1"/>
        <v>C:\Users\aremi\Desktop\REPORT CBM\PO 42289580 - Pahang 11kV SECOND CYCLE AZZAD 2026\RAW MATERIAL\047. TNB BARU (IR+VI)\RAW DATA\IR</v>
      </c>
      <c r="BH16" s="24" t="s">
        <v>557</v>
      </c>
    </row>
    <row r="17" spans="1:60" ht="15" customHeight="1" x14ac:dyDescent="0.25">
      <c r="A17" s="6">
        <v>8</v>
      </c>
      <c r="B17" s="6" t="s">
        <v>1534</v>
      </c>
      <c r="C17" s="6">
        <v>1</v>
      </c>
      <c r="D17" s="6" t="s">
        <v>2263</v>
      </c>
      <c r="E17" s="6">
        <v>8</v>
      </c>
      <c r="F17" s="6" t="str">
        <f ca="1">Master_List!$AW$1</f>
        <v>PERPUSTAKAAN PUSAT</v>
      </c>
      <c r="G17" s="27" t="str">
        <f ca="1">Master_List!$AW$2</f>
        <v>09:30 PM</v>
      </c>
      <c r="H17" s="32" t="str">
        <f ca="1">Master_List!$AW$3</f>
        <v>20/07/2026</v>
      </c>
      <c r="I17" s="28" t="str">
        <f ca="1">Master_List!$AW$4</f>
        <v>28.5</v>
      </c>
      <c r="J17" s="6" t="str">
        <f ca="1">Master_List!$AW$5</f>
        <v>65</v>
      </c>
      <c r="K17" s="6" t="s">
        <v>585</v>
      </c>
      <c r="L17" s="22" t="str">
        <f ca="1">IFERROR(VLOOKUP(B17, Master_List!$A:$I, 2, FALSE), "-")</f>
        <v>JJB 87616</v>
      </c>
      <c r="M17" s="22" t="str">
        <f ca="1">IFERROR(VLOOKUP(B17, Master_List!$A:$I, 3, FALSE), "-")</f>
        <v>PDT QRTS AGAMA</v>
      </c>
      <c r="N17" s="22" t="str">
        <f ca="1">IFERROR(VLOOKUP(B17, Master_List!$A:$I, 4, FALSE), "-")</f>
        <v>NOT ACCESSIBLE</v>
      </c>
      <c r="O17" s="22" t="str">
        <f ca="1">IFERROR(VLOOKUP(B17, Master_List!$A:$I, 5, FALSE), "-")</f>
        <v>CLOSE</v>
      </c>
      <c r="P17" s="22" t="str">
        <f ca="1">IFERROR(VLOOKUP(B17, Master_List!$A:$I, 6, FALSE), "-")</f>
        <v/>
      </c>
      <c r="Q17" s="22" t="str">
        <f ca="1">IFERROR(VLOOKUP(B17, Master_List!$A:$I, 7, FALSE), "-")</f>
        <v/>
      </c>
      <c r="R17" s="22" t="str">
        <f ca="1">IFERROR(VLOOKUP(B17, Master_List!$A:$I, 8, FALSE), "-")</f>
        <v/>
      </c>
      <c r="S17" s="22" t="str">
        <f ca="1">IFERROR(VLOOKUP(B17, Master_List!$A:$I, 9, FALSE), "-")</f>
        <v>24DU738_1015</v>
      </c>
      <c r="T17" s="20" t="str">
        <f ca="1">Master_List!$AW$6</f>
        <v>TOSHIBA</v>
      </c>
      <c r="U17" s="20" t="str">
        <f ca="1">Master_List!$AW$7</f>
        <v>MRMU</v>
      </c>
      <c r="V17" s="20" t="str">
        <f ca="1">Master_List!$AW$8</f>
        <v>12kV</v>
      </c>
      <c r="W17" s="20" t="str">
        <f ca="1">Master_List!$AW$9</f>
        <v>2S1F</v>
      </c>
      <c r="X17" s="20" t="str">
        <f ca="1">Master_List!$AW$10</f>
        <v>MTM</v>
      </c>
      <c r="Y17" s="20" t="str">
        <f ca="1">Master_List!$AW$11</f>
        <v>HERMETICALLY SEAL</v>
      </c>
      <c r="Z17" s="20" t="str">
        <f ca="1">Master_List!$AW$12</f>
        <v>750kVA</v>
      </c>
      <c r="AA17" s="20" t="str">
        <f ca="1">Master_List!$AW$13</f>
        <v>1317</v>
      </c>
      <c r="AB17" s="20">
        <f ca="1">Master_List!$AW$14</f>
        <v>0</v>
      </c>
      <c r="AC17" s="20">
        <f ca="1">Master_List!$AW$15</f>
        <v>0</v>
      </c>
      <c r="AD17" s="20">
        <f ca="1">Master_List!$AW$16</f>
        <v>0</v>
      </c>
      <c r="AE17" s="20">
        <f ca="1">Master_List!$AW$17</f>
        <v>0</v>
      </c>
      <c r="AF17" s="20" t="str">
        <f ca="1">Master_List!$AW$18</f>
        <v>INDKOM</v>
      </c>
      <c r="AG17" s="20" t="str">
        <f ca="1">Master_List!$AW$19</f>
        <v>J-SLOTTED</v>
      </c>
      <c r="AH17" s="20" t="str">
        <f ca="1">Master_List!$AW$20</f>
        <v>1600A</v>
      </c>
      <c r="AI17" s="20" t="str">
        <f ca="1">Master_List!$AW$21</f>
        <v>LV5080090</v>
      </c>
      <c r="AJ17" s="20" t="str">
        <f ca="1">Master_List!$AW$22</f>
        <v>LVDB TX1</v>
      </c>
      <c r="AK17" s="20">
        <f ca="1">Master_List!$AW$23</f>
        <v>0</v>
      </c>
      <c r="AL17" s="20">
        <f ca="1">Master_List!$AW$24</f>
        <v>0</v>
      </c>
      <c r="AM17" s="20">
        <f ca="1">Master_List!$AW$25</f>
        <v>0</v>
      </c>
      <c r="AN17" s="20">
        <f ca="1">Master_List!$AW$26</f>
        <v>0</v>
      </c>
      <c r="AO17" s="20" t="str">
        <f ca="1">Master_List!$AW$27</f>
        <v>LVDB TX2</v>
      </c>
      <c r="AP17" s="20" t="str">
        <f ca="1">Master_List!$AW$28</f>
        <v>SUNPOWER TECHNOLOGIES</v>
      </c>
      <c r="AQ17" s="20" t="str">
        <f ca="1">Master_List!$AW$29</f>
        <v>SPS 30-10 L</v>
      </c>
      <c r="AR17" s="20" t="str">
        <f ca="1">Master_List!$AW$30</f>
        <v>11193-8527</v>
      </c>
      <c r="AS17" s="20">
        <f ca="1">Master_List!$AW$31</f>
        <v>0</v>
      </c>
      <c r="AT17" s="20">
        <f ca="1">Master_List!$AW$32</f>
        <v>0</v>
      </c>
      <c r="AU17" s="20">
        <f ca="1">Master_List!$AW$33</f>
        <v>0</v>
      </c>
      <c r="AV17" s="20">
        <f ca="1">Master_List!$AW$34</f>
        <v>0</v>
      </c>
      <c r="AW17" s="20">
        <f ca="1">Master_List!$AW$35</f>
        <v>0</v>
      </c>
      <c r="AX17" s="20">
        <f ca="1">Master_List!$AW$36</f>
        <v>0</v>
      </c>
      <c r="AY17" s="20">
        <f ca="1">Master_List!$AW$37</f>
        <v>0</v>
      </c>
      <c r="AZ17" s="20">
        <f ca="1">Master_List!$AW$38</f>
        <v>0</v>
      </c>
      <c r="BA17" s="20">
        <f ca="1">Master_List!$AW$39</f>
        <v>0</v>
      </c>
      <c r="BB17" s="20" t="s">
        <v>2240</v>
      </c>
      <c r="BC17" s="20" t="s">
        <v>2241</v>
      </c>
      <c r="BD17" s="6" t="s">
        <v>1744</v>
      </c>
      <c r="BE17" s="6" t="s">
        <v>1755</v>
      </c>
      <c r="BF17" s="6" t="s">
        <v>1748</v>
      </c>
      <c r="BG17" s="6" t="str">
        <f t="shared" si="1"/>
        <v>C:\Users\aremi\Desktop\REPORT CBM\PO 42289580 - Pahang 11kV SECOND CYCLE AZZAD 2026\RAW MATERIAL\047. TNB BARU (IR+VI)\RAW DATA\IR</v>
      </c>
      <c r="BH17" s="24" t="s">
        <v>558</v>
      </c>
    </row>
    <row r="18" spans="1:60" ht="15" customHeight="1" x14ac:dyDescent="0.25">
      <c r="A18" s="6">
        <v>9</v>
      </c>
      <c r="B18" s="6" t="s">
        <v>1535</v>
      </c>
      <c r="C18" s="6">
        <v>1</v>
      </c>
      <c r="D18" s="6" t="s">
        <v>2263</v>
      </c>
      <c r="E18" s="6">
        <v>9</v>
      </c>
      <c r="F18" s="6" t="str">
        <f ca="1">Master_List!$AW$1</f>
        <v>PERPUSTAKAAN PUSAT</v>
      </c>
      <c r="G18" s="27" t="str">
        <f ca="1">Master_List!$AW$2</f>
        <v>09:30 PM</v>
      </c>
      <c r="H18" s="32" t="str">
        <f ca="1">Master_List!$AW$3</f>
        <v>20/07/2026</v>
      </c>
      <c r="I18" s="28" t="str">
        <f ca="1">Master_List!$AW$4</f>
        <v>28.5</v>
      </c>
      <c r="J18" s="6" t="str">
        <f ca="1">Master_List!$AW$5</f>
        <v>65</v>
      </c>
      <c r="K18" s="6" t="s">
        <v>576</v>
      </c>
      <c r="L18" s="22" t="str">
        <f ca="1">IFERROR(VLOOKUP(B18, Master_List!$A:$I, 2, FALSE), "-")</f>
        <v>JJB 87617</v>
      </c>
      <c r="M18" s="22" t="str">
        <f ca="1">IFERROR(VLOOKUP(B18, Master_List!$A:$I, 3, FALSE), "-")</f>
        <v>WISMA TNB</v>
      </c>
      <c r="N18" s="22" t="str">
        <f ca="1">IFERROR(VLOOKUP(B18, Master_List!$A:$I, 4, FALSE), "-")</f>
        <v>NOT ACCESSIBLE</v>
      </c>
      <c r="O18" s="22" t="str">
        <f ca="1">IFERROR(VLOOKUP(B18, Master_List!$A:$I, 5, FALSE), "-")</f>
        <v>OPEN</v>
      </c>
      <c r="P18" s="22" t="str">
        <f ca="1">IFERROR(VLOOKUP(B18, Master_List!$A:$I, 6, FALSE), "-")</f>
        <v/>
      </c>
      <c r="Q18" s="22" t="str">
        <f ca="1">IFERROR(VLOOKUP(B18, Master_List!$A:$I, 7, FALSE), "-")</f>
        <v/>
      </c>
      <c r="R18" s="22" t="str">
        <f ca="1">IFERROR(VLOOKUP(B18, Master_List!$A:$I, 8, FALSE), "-")</f>
        <v/>
      </c>
      <c r="S18" s="22" t="str">
        <f ca="1">IFERROR(VLOOKUP(B18, Master_List!$A:$I, 9, FALSE), "-")</f>
        <v>24DU738_1015</v>
      </c>
      <c r="T18" s="20" t="str">
        <f ca="1">Master_List!$AW$6</f>
        <v>TOSHIBA</v>
      </c>
      <c r="U18" s="20" t="str">
        <f ca="1">Master_List!$AW$7</f>
        <v>MRMU</v>
      </c>
      <c r="V18" s="20" t="str">
        <f ca="1">Master_List!$AW$8</f>
        <v>12kV</v>
      </c>
      <c r="W18" s="20" t="str">
        <f ca="1">Master_List!$AW$9</f>
        <v>2S1F</v>
      </c>
      <c r="X18" s="20" t="str">
        <f ca="1">Master_List!$AW$10</f>
        <v>MTM</v>
      </c>
      <c r="Y18" s="20" t="str">
        <f ca="1">Master_List!$AW$11</f>
        <v>HERMETICALLY SEAL</v>
      </c>
      <c r="Z18" s="20" t="str">
        <f ca="1">Master_List!$AW$12</f>
        <v>750kVA</v>
      </c>
      <c r="AA18" s="20" t="str">
        <f ca="1">Master_List!$AW$13</f>
        <v>1317</v>
      </c>
      <c r="AB18" s="20">
        <f ca="1">Master_List!$AW$14</f>
        <v>0</v>
      </c>
      <c r="AC18" s="20">
        <f ca="1">Master_List!$AW$15</f>
        <v>0</v>
      </c>
      <c r="AD18" s="20">
        <f ca="1">Master_List!$AW$16</f>
        <v>0</v>
      </c>
      <c r="AE18" s="20">
        <f ca="1">Master_List!$AW$17</f>
        <v>0</v>
      </c>
      <c r="AF18" s="20" t="str">
        <f ca="1">Master_List!$AW$18</f>
        <v>INDKOM</v>
      </c>
      <c r="AG18" s="20" t="str">
        <f ca="1">Master_List!$AW$19</f>
        <v>J-SLOTTED</v>
      </c>
      <c r="AH18" s="20" t="str">
        <f ca="1">Master_List!$AW$20</f>
        <v>1600A</v>
      </c>
      <c r="AI18" s="20" t="str">
        <f ca="1">Master_List!$AW$21</f>
        <v>LV5080090</v>
      </c>
      <c r="AJ18" s="20" t="str">
        <f ca="1">Master_List!$AW$22</f>
        <v>LVDB TX1</v>
      </c>
      <c r="AK18" s="20">
        <f ca="1">Master_List!$AW$23</f>
        <v>0</v>
      </c>
      <c r="AL18" s="20">
        <f ca="1">Master_List!$AW$24</f>
        <v>0</v>
      </c>
      <c r="AM18" s="20">
        <f ca="1">Master_List!$AW$25</f>
        <v>0</v>
      </c>
      <c r="AN18" s="20">
        <f ca="1">Master_List!$AW$26</f>
        <v>0</v>
      </c>
      <c r="AO18" s="20" t="str">
        <f ca="1">Master_List!$AW$27</f>
        <v>LVDB TX2</v>
      </c>
      <c r="AP18" s="20" t="str">
        <f ca="1">Master_List!$AW$28</f>
        <v>SUNPOWER TECHNOLOGIES</v>
      </c>
      <c r="AQ18" s="20" t="str">
        <f ca="1">Master_List!$AW$29</f>
        <v>SPS 30-10 L</v>
      </c>
      <c r="AR18" s="20" t="str">
        <f ca="1">Master_List!$AW$30</f>
        <v>11193-8527</v>
      </c>
      <c r="AS18" s="20">
        <f ca="1">Master_List!$AW$31</f>
        <v>0</v>
      </c>
      <c r="AT18" s="20">
        <f ca="1">Master_List!$AW$32</f>
        <v>0</v>
      </c>
      <c r="AU18" s="20">
        <f ca="1">Master_List!$AW$33</f>
        <v>0</v>
      </c>
      <c r="AV18" s="20">
        <f ca="1">Master_List!$AW$34</f>
        <v>0</v>
      </c>
      <c r="AW18" s="20">
        <f ca="1">Master_List!$AW$35</f>
        <v>0</v>
      </c>
      <c r="AX18" s="20">
        <f ca="1">Master_List!$AW$36</f>
        <v>0</v>
      </c>
      <c r="AY18" s="20">
        <f ca="1">Master_List!$AW$37</f>
        <v>0</v>
      </c>
      <c r="AZ18" s="20">
        <f ca="1">Master_List!$AW$38</f>
        <v>0</v>
      </c>
      <c r="BA18" s="20">
        <f ca="1">Master_List!$AW$39</f>
        <v>0</v>
      </c>
      <c r="BB18" s="20" t="s">
        <v>2240</v>
      </c>
      <c r="BC18" s="20" t="s">
        <v>2241</v>
      </c>
      <c r="BD18" s="6" t="s">
        <v>1744</v>
      </c>
      <c r="BE18" s="6" t="s">
        <v>1756</v>
      </c>
      <c r="BF18" s="6" t="s">
        <v>1746</v>
      </c>
      <c r="BG18" s="6" t="str">
        <f t="shared" si="1"/>
        <v>C:\Users\aremi\Desktop\REPORT CBM\PO 42289580 - Pahang 11kV SECOND CYCLE AZZAD 2026\RAW MATERIAL\047. TNB BARU (IR+VI)\RAW DATA\IR</v>
      </c>
      <c r="BH18" s="24" t="s">
        <v>559</v>
      </c>
    </row>
    <row r="19" spans="1:60" ht="15" customHeight="1" x14ac:dyDescent="0.25">
      <c r="A19" s="6">
        <v>9</v>
      </c>
      <c r="B19" s="6" t="s">
        <v>1535</v>
      </c>
      <c r="C19" s="6">
        <v>1</v>
      </c>
      <c r="D19" s="6" t="s">
        <v>2263</v>
      </c>
      <c r="E19" s="6">
        <v>9</v>
      </c>
      <c r="F19" s="6" t="str">
        <f ca="1">Master_List!$AW$1</f>
        <v>PERPUSTAKAAN PUSAT</v>
      </c>
      <c r="G19" s="27" t="str">
        <f ca="1">Master_List!$AW$2</f>
        <v>09:30 PM</v>
      </c>
      <c r="H19" s="32" t="str">
        <f ca="1">Master_List!$AW$3</f>
        <v>20/07/2026</v>
      </c>
      <c r="I19" s="28" t="str">
        <f ca="1">Master_List!$AW$4</f>
        <v>28.5</v>
      </c>
      <c r="J19" s="6" t="str">
        <f ca="1">Master_List!$AW$5</f>
        <v>65</v>
      </c>
      <c r="K19" s="6" t="s">
        <v>576</v>
      </c>
      <c r="L19" s="22" t="str">
        <f ca="1">IFERROR(VLOOKUP(B19, Master_List!$A:$I, 2, FALSE), "-")</f>
        <v>JJB 87617</v>
      </c>
      <c r="M19" s="22" t="str">
        <f ca="1">IFERROR(VLOOKUP(B19, Master_List!$A:$I, 3, FALSE), "-")</f>
        <v>WISMA TNB</v>
      </c>
      <c r="N19" s="22" t="str">
        <f ca="1">IFERROR(VLOOKUP(B19, Master_List!$A:$I, 4, FALSE), "-")</f>
        <v>NOT ACCESSIBLE</v>
      </c>
      <c r="O19" s="22" t="str">
        <f ca="1">IFERROR(VLOOKUP(B19, Master_List!$A:$I, 5, FALSE), "-")</f>
        <v>OPEN</v>
      </c>
      <c r="P19" s="22" t="str">
        <f ca="1">IFERROR(VLOOKUP(B19, Master_List!$A:$I, 6, FALSE), "-")</f>
        <v/>
      </c>
      <c r="Q19" s="22" t="str">
        <f ca="1">IFERROR(VLOOKUP(B19, Master_List!$A:$I, 7, FALSE), "-")</f>
        <v/>
      </c>
      <c r="R19" s="22" t="str">
        <f ca="1">IFERROR(VLOOKUP(B19, Master_List!$A:$I, 8, FALSE), "-")</f>
        <v/>
      </c>
      <c r="S19" s="22" t="str">
        <f ca="1">IFERROR(VLOOKUP(B19, Master_List!$A:$I, 9, FALSE), "-")</f>
        <v>24DU738_1015</v>
      </c>
      <c r="T19" s="20" t="str">
        <f ca="1">Master_List!$AW$6</f>
        <v>TOSHIBA</v>
      </c>
      <c r="U19" s="20" t="str">
        <f ca="1">Master_List!$AW$7</f>
        <v>MRMU</v>
      </c>
      <c r="V19" s="20" t="str">
        <f ca="1">Master_List!$AW$8</f>
        <v>12kV</v>
      </c>
      <c r="W19" s="20" t="str">
        <f ca="1">Master_List!$AW$9</f>
        <v>2S1F</v>
      </c>
      <c r="X19" s="20" t="str">
        <f ca="1">Master_List!$AW$10</f>
        <v>MTM</v>
      </c>
      <c r="Y19" s="20" t="str">
        <f ca="1">Master_List!$AW$11</f>
        <v>HERMETICALLY SEAL</v>
      </c>
      <c r="Z19" s="20" t="str">
        <f ca="1">Master_List!$AW$12</f>
        <v>750kVA</v>
      </c>
      <c r="AA19" s="20" t="str">
        <f ca="1">Master_List!$AW$13</f>
        <v>1317</v>
      </c>
      <c r="AB19" s="20">
        <f ca="1">Master_List!$AW$14</f>
        <v>0</v>
      </c>
      <c r="AC19" s="20">
        <f ca="1">Master_List!$AW$15</f>
        <v>0</v>
      </c>
      <c r="AD19" s="20">
        <f ca="1">Master_List!$AW$16</f>
        <v>0</v>
      </c>
      <c r="AE19" s="20">
        <f ca="1">Master_List!$AW$17</f>
        <v>0</v>
      </c>
      <c r="AF19" s="20" t="str">
        <f ca="1">Master_List!$AW$18</f>
        <v>INDKOM</v>
      </c>
      <c r="AG19" s="20" t="str">
        <f ca="1">Master_List!$AW$19</f>
        <v>J-SLOTTED</v>
      </c>
      <c r="AH19" s="20" t="str">
        <f ca="1">Master_List!$AW$20</f>
        <v>1600A</v>
      </c>
      <c r="AI19" s="20" t="str">
        <f ca="1">Master_List!$AW$21</f>
        <v>LV5080090</v>
      </c>
      <c r="AJ19" s="20" t="str">
        <f ca="1">Master_List!$AW$22</f>
        <v>LVDB TX1</v>
      </c>
      <c r="AK19" s="20">
        <f ca="1">Master_List!$AW$23</f>
        <v>0</v>
      </c>
      <c r="AL19" s="20">
        <f ca="1">Master_List!$AW$24</f>
        <v>0</v>
      </c>
      <c r="AM19" s="20">
        <f ca="1">Master_List!$AW$25</f>
        <v>0</v>
      </c>
      <c r="AN19" s="20">
        <f ca="1">Master_List!$AW$26</f>
        <v>0</v>
      </c>
      <c r="AO19" s="20" t="str">
        <f ca="1">Master_List!$AW$27</f>
        <v>LVDB TX2</v>
      </c>
      <c r="AP19" s="20" t="str">
        <f ca="1">Master_List!$AW$28</f>
        <v>SUNPOWER TECHNOLOGIES</v>
      </c>
      <c r="AQ19" s="20" t="str">
        <f ca="1">Master_List!$AW$29</f>
        <v>SPS 30-10 L</v>
      </c>
      <c r="AR19" s="20" t="str">
        <f ca="1">Master_List!$AW$30</f>
        <v>11193-8527</v>
      </c>
      <c r="AS19" s="20">
        <f ca="1">Master_List!$AW$31</f>
        <v>0</v>
      </c>
      <c r="AT19" s="20">
        <f ca="1">Master_List!$AW$32</f>
        <v>0</v>
      </c>
      <c r="AU19" s="20">
        <f ca="1">Master_List!$AW$33</f>
        <v>0</v>
      </c>
      <c r="AV19" s="20">
        <f ca="1">Master_List!$AW$34</f>
        <v>0</v>
      </c>
      <c r="AW19" s="20">
        <f ca="1">Master_List!$AW$35</f>
        <v>0</v>
      </c>
      <c r="AX19" s="20">
        <f ca="1">Master_List!$AW$36</f>
        <v>0</v>
      </c>
      <c r="AY19" s="20">
        <f ca="1">Master_List!$AW$37</f>
        <v>0</v>
      </c>
      <c r="AZ19" s="20">
        <f ca="1">Master_List!$AW$38</f>
        <v>0</v>
      </c>
      <c r="BA19" s="20">
        <f ca="1">Master_List!$AW$39</f>
        <v>0</v>
      </c>
      <c r="BB19" s="20" t="s">
        <v>2240</v>
      </c>
      <c r="BC19" s="20" t="s">
        <v>2241</v>
      </c>
      <c r="BD19" s="6" t="s">
        <v>1744</v>
      </c>
      <c r="BE19" s="6" t="s">
        <v>1756</v>
      </c>
      <c r="BF19" s="6" t="s">
        <v>1748</v>
      </c>
      <c r="BG19" s="6" t="str">
        <f t="shared" si="1"/>
        <v>C:\Users\aremi\Desktop\REPORT CBM\PO 42289580 - Pahang 11kV SECOND CYCLE AZZAD 2026\RAW MATERIAL\047. TNB BARU (IR+VI)\RAW DATA\IR</v>
      </c>
      <c r="BH19" s="24" t="s">
        <v>560</v>
      </c>
    </row>
    <row r="20" spans="1:60" ht="15" customHeight="1" x14ac:dyDescent="0.25">
      <c r="A20" s="6">
        <v>10</v>
      </c>
      <c r="B20" s="6" t="s">
        <v>1535</v>
      </c>
      <c r="C20" s="6">
        <v>1</v>
      </c>
      <c r="D20" s="6" t="s">
        <v>2263</v>
      </c>
      <c r="E20" s="6">
        <v>10</v>
      </c>
      <c r="F20" s="6" t="str">
        <f ca="1">Master_List!$AW$1</f>
        <v>PERPUSTAKAAN PUSAT</v>
      </c>
      <c r="G20" s="27" t="str">
        <f ca="1">Master_List!$AW$2</f>
        <v>09:30 PM</v>
      </c>
      <c r="H20" s="32" t="str">
        <f ca="1">Master_List!$AW$3</f>
        <v>20/07/2026</v>
      </c>
      <c r="I20" s="28" t="str">
        <f ca="1">Master_List!$AW$4</f>
        <v>28.5</v>
      </c>
      <c r="J20" s="6" t="str">
        <f ca="1">Master_List!$AW$5</f>
        <v>65</v>
      </c>
      <c r="K20" s="6" t="s">
        <v>585</v>
      </c>
      <c r="L20" s="22" t="str">
        <f ca="1">IFERROR(VLOOKUP(B20, Master_List!$A:$I, 2, FALSE), "-")</f>
        <v>JJB 87617</v>
      </c>
      <c r="M20" s="22" t="str">
        <f ca="1">IFERROR(VLOOKUP(B20, Master_List!$A:$I, 3, FALSE), "-")</f>
        <v>WISMA TNB</v>
      </c>
      <c r="N20" s="22" t="str">
        <f ca="1">IFERROR(VLOOKUP(B20, Master_List!$A:$I, 4, FALSE), "-")</f>
        <v>NOT ACCESSIBLE</v>
      </c>
      <c r="O20" s="22" t="str">
        <f ca="1">IFERROR(VLOOKUP(B20, Master_List!$A:$I, 5, FALSE), "-")</f>
        <v>OPEN</v>
      </c>
      <c r="P20" s="22" t="str">
        <f ca="1">IFERROR(VLOOKUP(B20, Master_List!$A:$I, 6, FALSE), "-")</f>
        <v/>
      </c>
      <c r="Q20" s="22" t="str">
        <f ca="1">IFERROR(VLOOKUP(B20, Master_List!$A:$I, 7, FALSE), "-")</f>
        <v/>
      </c>
      <c r="R20" s="22" t="str">
        <f ca="1">IFERROR(VLOOKUP(B20, Master_List!$A:$I, 8, FALSE), "-")</f>
        <v/>
      </c>
      <c r="S20" s="22" t="str">
        <f ca="1">IFERROR(VLOOKUP(B20, Master_List!$A:$I, 9, FALSE), "-")</f>
        <v>24DU738_1015</v>
      </c>
      <c r="T20" s="20" t="str">
        <f ca="1">Master_List!$AW$6</f>
        <v>TOSHIBA</v>
      </c>
      <c r="U20" s="20" t="str">
        <f ca="1">Master_List!$AW$7</f>
        <v>MRMU</v>
      </c>
      <c r="V20" s="20" t="str">
        <f ca="1">Master_List!$AW$8</f>
        <v>12kV</v>
      </c>
      <c r="W20" s="20" t="str">
        <f ca="1">Master_List!$AW$9</f>
        <v>2S1F</v>
      </c>
      <c r="X20" s="20" t="str">
        <f ca="1">Master_List!$AW$10</f>
        <v>MTM</v>
      </c>
      <c r="Y20" s="20" t="str">
        <f ca="1">Master_List!$AW$11</f>
        <v>HERMETICALLY SEAL</v>
      </c>
      <c r="Z20" s="20" t="str">
        <f ca="1">Master_List!$AW$12</f>
        <v>750kVA</v>
      </c>
      <c r="AA20" s="20" t="str">
        <f ca="1">Master_List!$AW$13</f>
        <v>1317</v>
      </c>
      <c r="AB20" s="20">
        <f ca="1">Master_List!$AW$14</f>
        <v>0</v>
      </c>
      <c r="AC20" s="20">
        <f ca="1">Master_List!$AW$15</f>
        <v>0</v>
      </c>
      <c r="AD20" s="20">
        <f ca="1">Master_List!$AW$16</f>
        <v>0</v>
      </c>
      <c r="AE20" s="20">
        <f ca="1">Master_List!$AW$17</f>
        <v>0</v>
      </c>
      <c r="AF20" s="20" t="str">
        <f ca="1">Master_List!$AW$18</f>
        <v>INDKOM</v>
      </c>
      <c r="AG20" s="20" t="str">
        <f ca="1">Master_List!$AW$19</f>
        <v>J-SLOTTED</v>
      </c>
      <c r="AH20" s="20" t="str">
        <f ca="1">Master_List!$AW$20</f>
        <v>1600A</v>
      </c>
      <c r="AI20" s="20" t="str">
        <f ca="1">Master_List!$AW$21</f>
        <v>LV5080090</v>
      </c>
      <c r="AJ20" s="20" t="str">
        <f ca="1">Master_List!$AW$22</f>
        <v>LVDB TX1</v>
      </c>
      <c r="AK20" s="20">
        <f ca="1">Master_List!$AW$23</f>
        <v>0</v>
      </c>
      <c r="AL20" s="20">
        <f ca="1">Master_List!$AW$24</f>
        <v>0</v>
      </c>
      <c r="AM20" s="20">
        <f ca="1">Master_List!$AW$25</f>
        <v>0</v>
      </c>
      <c r="AN20" s="20">
        <f ca="1">Master_List!$AW$26</f>
        <v>0</v>
      </c>
      <c r="AO20" s="20" t="str">
        <f ca="1">Master_List!$AW$27</f>
        <v>LVDB TX2</v>
      </c>
      <c r="AP20" s="20" t="str">
        <f ca="1">Master_List!$AW$28</f>
        <v>SUNPOWER TECHNOLOGIES</v>
      </c>
      <c r="AQ20" s="20" t="str">
        <f ca="1">Master_List!$AW$29</f>
        <v>SPS 30-10 L</v>
      </c>
      <c r="AR20" s="20" t="str">
        <f ca="1">Master_List!$AW$30</f>
        <v>11193-8527</v>
      </c>
      <c r="AS20" s="20">
        <f ca="1">Master_List!$AW$31</f>
        <v>0</v>
      </c>
      <c r="AT20" s="20">
        <f ca="1">Master_List!$AW$32</f>
        <v>0</v>
      </c>
      <c r="AU20" s="20">
        <f ca="1">Master_List!$AW$33</f>
        <v>0</v>
      </c>
      <c r="AV20" s="20">
        <f ca="1">Master_List!$AW$34</f>
        <v>0</v>
      </c>
      <c r="AW20" s="20">
        <f ca="1">Master_List!$AW$35</f>
        <v>0</v>
      </c>
      <c r="AX20" s="20">
        <f ca="1">Master_List!$AW$36</f>
        <v>0</v>
      </c>
      <c r="AY20" s="20">
        <f ca="1">Master_List!$AW$37</f>
        <v>0</v>
      </c>
      <c r="AZ20" s="20">
        <f ca="1">Master_List!$AW$38</f>
        <v>0</v>
      </c>
      <c r="BA20" s="20">
        <f ca="1">Master_List!$AW$39</f>
        <v>0</v>
      </c>
      <c r="BB20" s="20" t="s">
        <v>2240</v>
      </c>
      <c r="BC20" s="20" t="s">
        <v>2241</v>
      </c>
      <c r="BD20" s="6" t="s">
        <v>1744</v>
      </c>
      <c r="BE20" s="6" t="s">
        <v>1757</v>
      </c>
      <c r="BF20" s="6" t="s">
        <v>1746</v>
      </c>
      <c r="BG20" s="6" t="str">
        <f t="shared" si="1"/>
        <v>C:\Users\aremi\Desktop\REPORT CBM\PO 42289580 - Pahang 11kV SECOND CYCLE AZZAD 2026\RAW MATERIAL\047. TNB BARU (IR+VI)\RAW DATA\IR</v>
      </c>
      <c r="BH20" s="24" t="s">
        <v>561</v>
      </c>
    </row>
    <row r="21" spans="1:60" ht="15" customHeight="1" x14ac:dyDescent="0.25">
      <c r="A21" s="6">
        <v>10</v>
      </c>
      <c r="B21" s="6" t="s">
        <v>1535</v>
      </c>
      <c r="C21" s="6">
        <v>1</v>
      </c>
      <c r="D21" s="6" t="s">
        <v>2263</v>
      </c>
      <c r="E21" s="6">
        <v>10</v>
      </c>
      <c r="F21" s="6" t="str">
        <f ca="1">Master_List!$AW$1</f>
        <v>PERPUSTAKAAN PUSAT</v>
      </c>
      <c r="G21" s="27" t="str">
        <f ca="1">Master_List!$AW$2</f>
        <v>09:30 PM</v>
      </c>
      <c r="H21" s="32" t="str">
        <f ca="1">Master_List!$AW$3</f>
        <v>20/07/2026</v>
      </c>
      <c r="I21" s="28" t="str">
        <f ca="1">Master_List!$AW$4</f>
        <v>28.5</v>
      </c>
      <c r="J21" s="6" t="str">
        <f ca="1">Master_List!$AW$5</f>
        <v>65</v>
      </c>
      <c r="K21" s="6" t="s">
        <v>585</v>
      </c>
      <c r="L21" s="22" t="str">
        <f ca="1">IFERROR(VLOOKUP(B21, Master_List!$A:$I, 2, FALSE), "-")</f>
        <v>JJB 87617</v>
      </c>
      <c r="M21" s="22" t="str">
        <f ca="1">IFERROR(VLOOKUP(B21, Master_List!$A:$I, 3, FALSE), "-")</f>
        <v>WISMA TNB</v>
      </c>
      <c r="N21" s="22" t="str">
        <f ca="1">IFERROR(VLOOKUP(B21, Master_List!$A:$I, 4, FALSE), "-")</f>
        <v>NOT ACCESSIBLE</v>
      </c>
      <c r="O21" s="22" t="str">
        <f ca="1">IFERROR(VLOOKUP(B21, Master_List!$A:$I, 5, FALSE), "-")</f>
        <v>OPEN</v>
      </c>
      <c r="P21" s="22" t="str">
        <f ca="1">IFERROR(VLOOKUP(B21, Master_List!$A:$I, 6, FALSE), "-")</f>
        <v/>
      </c>
      <c r="Q21" s="22" t="str">
        <f ca="1">IFERROR(VLOOKUP(B21, Master_List!$A:$I, 7, FALSE), "-")</f>
        <v/>
      </c>
      <c r="R21" s="22" t="str">
        <f ca="1">IFERROR(VLOOKUP(B21, Master_List!$A:$I, 8, FALSE), "-")</f>
        <v/>
      </c>
      <c r="S21" s="22" t="str">
        <f ca="1">IFERROR(VLOOKUP(B21, Master_List!$A:$I, 9, FALSE), "-")</f>
        <v>24DU738_1015</v>
      </c>
      <c r="T21" s="20" t="str">
        <f ca="1">Master_List!$AW$6</f>
        <v>TOSHIBA</v>
      </c>
      <c r="U21" s="20" t="str">
        <f ca="1">Master_List!$AW$7</f>
        <v>MRMU</v>
      </c>
      <c r="V21" s="20" t="str">
        <f ca="1">Master_List!$AW$8</f>
        <v>12kV</v>
      </c>
      <c r="W21" s="20" t="str">
        <f ca="1">Master_List!$AW$9</f>
        <v>2S1F</v>
      </c>
      <c r="X21" s="20" t="str">
        <f ca="1">Master_List!$AW$10</f>
        <v>MTM</v>
      </c>
      <c r="Y21" s="20" t="str">
        <f ca="1">Master_List!$AW$11</f>
        <v>HERMETICALLY SEAL</v>
      </c>
      <c r="Z21" s="20" t="str">
        <f ca="1">Master_List!$AW$12</f>
        <v>750kVA</v>
      </c>
      <c r="AA21" s="20" t="str">
        <f ca="1">Master_List!$AW$13</f>
        <v>1317</v>
      </c>
      <c r="AB21" s="20">
        <f ca="1">Master_List!$AW$14</f>
        <v>0</v>
      </c>
      <c r="AC21" s="20">
        <f ca="1">Master_List!$AW$15</f>
        <v>0</v>
      </c>
      <c r="AD21" s="20">
        <f ca="1">Master_List!$AW$16</f>
        <v>0</v>
      </c>
      <c r="AE21" s="20">
        <f ca="1">Master_List!$AW$17</f>
        <v>0</v>
      </c>
      <c r="AF21" s="20" t="str">
        <f ca="1">Master_List!$AW$18</f>
        <v>INDKOM</v>
      </c>
      <c r="AG21" s="20" t="str">
        <f ca="1">Master_List!$AW$19</f>
        <v>J-SLOTTED</v>
      </c>
      <c r="AH21" s="20" t="str">
        <f ca="1">Master_List!$AW$20</f>
        <v>1600A</v>
      </c>
      <c r="AI21" s="20" t="str">
        <f ca="1">Master_List!$AW$21</f>
        <v>LV5080090</v>
      </c>
      <c r="AJ21" s="20" t="str">
        <f ca="1">Master_List!$AW$22</f>
        <v>LVDB TX1</v>
      </c>
      <c r="AK21" s="20">
        <f ca="1">Master_List!$AW$23</f>
        <v>0</v>
      </c>
      <c r="AL21" s="20">
        <f ca="1">Master_List!$AW$24</f>
        <v>0</v>
      </c>
      <c r="AM21" s="20">
        <f ca="1">Master_List!$AW$25</f>
        <v>0</v>
      </c>
      <c r="AN21" s="20">
        <f ca="1">Master_List!$AW$26</f>
        <v>0</v>
      </c>
      <c r="AO21" s="20" t="str">
        <f ca="1">Master_List!$AW$27</f>
        <v>LVDB TX2</v>
      </c>
      <c r="AP21" s="20" t="str">
        <f ca="1">Master_List!$AW$28</f>
        <v>SUNPOWER TECHNOLOGIES</v>
      </c>
      <c r="AQ21" s="20" t="str">
        <f ca="1">Master_List!$AW$29</f>
        <v>SPS 30-10 L</v>
      </c>
      <c r="AR21" s="20" t="str">
        <f ca="1">Master_List!$AW$30</f>
        <v>11193-8527</v>
      </c>
      <c r="AS21" s="20">
        <f ca="1">Master_List!$AW$31</f>
        <v>0</v>
      </c>
      <c r="AT21" s="20">
        <f ca="1">Master_List!$AW$32</f>
        <v>0</v>
      </c>
      <c r="AU21" s="20">
        <f ca="1">Master_List!$AW$33</f>
        <v>0</v>
      </c>
      <c r="AV21" s="20">
        <f ca="1">Master_List!$AW$34</f>
        <v>0</v>
      </c>
      <c r="AW21" s="20">
        <f ca="1">Master_List!$AW$35</f>
        <v>0</v>
      </c>
      <c r="AX21" s="20">
        <f ca="1">Master_List!$AW$36</f>
        <v>0</v>
      </c>
      <c r="AY21" s="20">
        <f ca="1">Master_List!$AW$37</f>
        <v>0</v>
      </c>
      <c r="AZ21" s="20">
        <f ca="1">Master_List!$AW$38</f>
        <v>0</v>
      </c>
      <c r="BA21" s="20">
        <f ca="1">Master_List!$AW$39</f>
        <v>0</v>
      </c>
      <c r="BB21" s="20" t="s">
        <v>2240</v>
      </c>
      <c r="BC21" s="20" t="s">
        <v>2241</v>
      </c>
      <c r="BD21" s="6" t="s">
        <v>1744</v>
      </c>
      <c r="BE21" s="6" t="s">
        <v>1757</v>
      </c>
      <c r="BF21" s="6" t="s">
        <v>1748</v>
      </c>
      <c r="BG21" s="6" t="str">
        <f t="shared" si="1"/>
        <v>C:\Users\aremi\Desktop\REPORT CBM\PO 42289580 - Pahang 11kV SECOND CYCLE AZZAD 2026\RAW MATERIAL\047. TNB BARU (IR+VI)\RAW DATA\IR</v>
      </c>
      <c r="BH21" s="24" t="s">
        <v>562</v>
      </c>
    </row>
    <row r="22" spans="1:60" ht="15" customHeight="1" x14ac:dyDescent="0.25">
      <c r="A22" s="6">
        <v>11</v>
      </c>
      <c r="B22" s="6" t="s">
        <v>1536</v>
      </c>
      <c r="C22" s="6">
        <v>1</v>
      </c>
      <c r="D22" s="6" t="s">
        <v>2263</v>
      </c>
      <c r="E22" s="6">
        <v>11</v>
      </c>
      <c r="F22" s="6" t="str">
        <f ca="1">Master_List!$AW$1</f>
        <v>PERPUSTAKAAN PUSAT</v>
      </c>
      <c r="G22" s="27" t="str">
        <f ca="1">Master_List!$AW$2</f>
        <v>09:30 PM</v>
      </c>
      <c r="H22" s="32" t="str">
        <f ca="1">Master_List!$AW$3</f>
        <v>20/07/2026</v>
      </c>
      <c r="I22" s="28" t="str">
        <f ca="1">Master_List!$AW$4</f>
        <v>28.5</v>
      </c>
      <c r="J22" s="6" t="str">
        <f ca="1">Master_List!$AW$5</f>
        <v>65</v>
      </c>
      <c r="K22" s="6" t="s">
        <v>576</v>
      </c>
      <c r="L22" s="22" t="str">
        <f ca="1">IFERROR(VLOOKUP(B22, Master_List!$A:$I, 2, FALSE), "-")</f>
        <v>JJB 87615</v>
      </c>
      <c r="M22" s="22" t="str">
        <f ca="1">IFERROR(VLOOKUP(B22, Master_List!$A:$I, 3, FALSE), "-")</f>
        <v>TX 750KVA</v>
      </c>
      <c r="N22" s="22" t="str">
        <f ca="1">IFERROR(VLOOKUP(B22, Master_List!$A:$I, 4, FALSE), "-")</f>
        <v>NOT ACCESSIBLE</v>
      </c>
      <c r="O22" s="22" t="str">
        <f ca="1">IFERROR(VLOOKUP(B22, Master_List!$A:$I, 5, FALSE), "-")</f>
        <v>CLOSE</v>
      </c>
      <c r="P22" s="22" t="str">
        <f ca="1">IFERROR(VLOOKUP(B22, Master_List!$A:$I, 6, FALSE), "-")</f>
        <v/>
      </c>
      <c r="Q22" s="22" t="str">
        <f ca="1">IFERROR(VLOOKUP(B22, Master_List!$A:$I, 7, FALSE), "-")</f>
        <v/>
      </c>
      <c r="R22" s="22" t="str">
        <f ca="1">IFERROR(VLOOKUP(B22, Master_List!$A:$I, 8, FALSE), "-")</f>
        <v/>
      </c>
      <c r="S22" s="22" t="str">
        <f ca="1">IFERROR(VLOOKUP(B22, Master_List!$A:$I, 9, FALSE), "-")</f>
        <v>24DU738_1015</v>
      </c>
      <c r="T22" s="20" t="str">
        <f ca="1">Master_List!$AW$6</f>
        <v>TOSHIBA</v>
      </c>
      <c r="U22" s="20" t="str">
        <f ca="1">Master_List!$AW$7</f>
        <v>MRMU</v>
      </c>
      <c r="V22" s="20" t="str">
        <f ca="1">Master_List!$AW$8</f>
        <v>12kV</v>
      </c>
      <c r="W22" s="20" t="str">
        <f ca="1">Master_List!$AW$9</f>
        <v>2S1F</v>
      </c>
      <c r="X22" s="20" t="str">
        <f ca="1">Master_List!$AW$10</f>
        <v>MTM</v>
      </c>
      <c r="Y22" s="20" t="str">
        <f ca="1">Master_List!$AW$11</f>
        <v>HERMETICALLY SEAL</v>
      </c>
      <c r="Z22" s="20" t="str">
        <f ca="1">Master_List!$AW$12</f>
        <v>750kVA</v>
      </c>
      <c r="AA22" s="20" t="str">
        <f ca="1">Master_List!$AW$13</f>
        <v>1317</v>
      </c>
      <c r="AB22" s="20">
        <f ca="1">Master_List!$AW$14</f>
        <v>0</v>
      </c>
      <c r="AC22" s="20">
        <f ca="1">Master_List!$AW$15</f>
        <v>0</v>
      </c>
      <c r="AD22" s="20">
        <f ca="1">Master_List!$AW$16</f>
        <v>0</v>
      </c>
      <c r="AE22" s="20">
        <f ca="1">Master_List!$AW$17</f>
        <v>0</v>
      </c>
      <c r="AF22" s="20" t="str">
        <f ca="1">Master_List!$AW$18</f>
        <v>INDKOM</v>
      </c>
      <c r="AG22" s="20" t="str">
        <f ca="1">Master_List!$AW$19</f>
        <v>J-SLOTTED</v>
      </c>
      <c r="AH22" s="20" t="str">
        <f ca="1">Master_List!$AW$20</f>
        <v>1600A</v>
      </c>
      <c r="AI22" s="20" t="str">
        <f ca="1">Master_List!$AW$21</f>
        <v>LV5080090</v>
      </c>
      <c r="AJ22" s="20" t="str">
        <f ca="1">Master_List!$AW$22</f>
        <v>LVDB TX1</v>
      </c>
      <c r="AK22" s="20">
        <f ca="1">Master_List!$AW$23</f>
        <v>0</v>
      </c>
      <c r="AL22" s="20">
        <f ca="1">Master_List!$AW$24</f>
        <v>0</v>
      </c>
      <c r="AM22" s="20">
        <f ca="1">Master_List!$AW$25</f>
        <v>0</v>
      </c>
      <c r="AN22" s="20">
        <f ca="1">Master_List!$AW$26</f>
        <v>0</v>
      </c>
      <c r="AO22" s="20" t="str">
        <f ca="1">Master_List!$AW$27</f>
        <v>LVDB TX2</v>
      </c>
      <c r="AP22" s="20" t="str">
        <f ca="1">Master_List!$AW$28</f>
        <v>SUNPOWER TECHNOLOGIES</v>
      </c>
      <c r="AQ22" s="20" t="str">
        <f ca="1">Master_List!$AW$29</f>
        <v>SPS 30-10 L</v>
      </c>
      <c r="AR22" s="20" t="str">
        <f ca="1">Master_List!$AW$30</f>
        <v>11193-8527</v>
      </c>
      <c r="AS22" s="20">
        <f ca="1">Master_List!$AW$31</f>
        <v>0</v>
      </c>
      <c r="AT22" s="20">
        <f ca="1">Master_List!$AW$32</f>
        <v>0</v>
      </c>
      <c r="AU22" s="20">
        <f ca="1">Master_List!$AW$33</f>
        <v>0</v>
      </c>
      <c r="AV22" s="20">
        <f ca="1">Master_List!$AW$34</f>
        <v>0</v>
      </c>
      <c r="AW22" s="20">
        <f ca="1">Master_List!$AW$35</f>
        <v>0</v>
      </c>
      <c r="AX22" s="20">
        <f ca="1">Master_List!$AW$36</f>
        <v>0</v>
      </c>
      <c r="AY22" s="20">
        <f ca="1">Master_List!$AW$37</f>
        <v>0</v>
      </c>
      <c r="AZ22" s="20">
        <f ca="1">Master_List!$AW$38</f>
        <v>0</v>
      </c>
      <c r="BA22" s="20">
        <f ca="1">Master_List!$AW$39</f>
        <v>0</v>
      </c>
      <c r="BB22" s="20" t="s">
        <v>2240</v>
      </c>
      <c r="BC22" s="20" t="s">
        <v>2241</v>
      </c>
      <c r="BD22" s="6" t="s">
        <v>1744</v>
      </c>
      <c r="BE22" s="6" t="s">
        <v>1758</v>
      </c>
      <c r="BF22" s="6" t="s">
        <v>1746</v>
      </c>
      <c r="BG22" s="6" t="str">
        <f t="shared" si="1"/>
        <v>C:\Users\aremi\Desktop\REPORT CBM\PO 42289580 - Pahang 11kV SECOND CYCLE AZZAD 2026\RAW MATERIAL\047. TNB BARU (IR+VI)\RAW DATA\IR</v>
      </c>
      <c r="BH22" s="24" t="s">
        <v>564</v>
      </c>
    </row>
    <row r="23" spans="1:60" ht="15" customHeight="1" x14ac:dyDescent="0.25">
      <c r="A23" s="6">
        <v>11</v>
      </c>
      <c r="B23" s="6" t="s">
        <v>1536</v>
      </c>
      <c r="C23" s="6">
        <v>1</v>
      </c>
      <c r="D23" s="6" t="s">
        <v>2263</v>
      </c>
      <c r="E23" s="6">
        <v>11</v>
      </c>
      <c r="F23" s="6" t="str">
        <f ca="1">Master_List!$AW$1</f>
        <v>PERPUSTAKAAN PUSAT</v>
      </c>
      <c r="G23" s="27" t="str">
        <f ca="1">Master_List!$AW$2</f>
        <v>09:30 PM</v>
      </c>
      <c r="H23" s="32" t="str">
        <f ca="1">Master_List!$AW$3</f>
        <v>20/07/2026</v>
      </c>
      <c r="I23" s="28" t="str">
        <f ca="1">Master_List!$AW$4</f>
        <v>28.5</v>
      </c>
      <c r="J23" s="6" t="str">
        <f ca="1">Master_List!$AW$5</f>
        <v>65</v>
      </c>
      <c r="K23" s="6" t="s">
        <v>576</v>
      </c>
      <c r="L23" s="22" t="str">
        <f ca="1">IFERROR(VLOOKUP(B23, Master_List!$A:$I, 2, FALSE), "-")</f>
        <v>JJB 87615</v>
      </c>
      <c r="M23" s="22" t="str">
        <f ca="1">IFERROR(VLOOKUP(B23, Master_List!$A:$I, 3, FALSE), "-")</f>
        <v>TX 750KVA</v>
      </c>
      <c r="N23" s="22" t="str">
        <f ca="1">IFERROR(VLOOKUP(B23, Master_List!$A:$I, 4, FALSE), "-")</f>
        <v>NOT ACCESSIBLE</v>
      </c>
      <c r="O23" s="22" t="str">
        <f ca="1">IFERROR(VLOOKUP(B23, Master_List!$A:$I, 5, FALSE), "-")</f>
        <v>CLOSE</v>
      </c>
      <c r="P23" s="22" t="str">
        <f ca="1">IFERROR(VLOOKUP(B23, Master_List!$A:$I, 6, FALSE), "-")</f>
        <v/>
      </c>
      <c r="Q23" s="22" t="str">
        <f ca="1">IFERROR(VLOOKUP(B23, Master_List!$A:$I, 7, FALSE), "-")</f>
        <v/>
      </c>
      <c r="R23" s="22" t="str">
        <f ca="1">IFERROR(VLOOKUP(B23, Master_List!$A:$I, 8, FALSE), "-")</f>
        <v/>
      </c>
      <c r="S23" s="22" t="str">
        <f ca="1">IFERROR(VLOOKUP(B23, Master_List!$A:$I, 9, FALSE), "-")</f>
        <v>24DU738_1015</v>
      </c>
      <c r="T23" s="20" t="str">
        <f ca="1">Master_List!$AW$6</f>
        <v>TOSHIBA</v>
      </c>
      <c r="U23" s="20" t="str">
        <f ca="1">Master_List!$AW$7</f>
        <v>MRMU</v>
      </c>
      <c r="V23" s="20" t="str">
        <f ca="1">Master_List!$AW$8</f>
        <v>12kV</v>
      </c>
      <c r="W23" s="20" t="str">
        <f ca="1">Master_List!$AW$9</f>
        <v>2S1F</v>
      </c>
      <c r="X23" s="20" t="str">
        <f ca="1">Master_List!$AW$10</f>
        <v>MTM</v>
      </c>
      <c r="Y23" s="20" t="str">
        <f ca="1">Master_List!$AW$11</f>
        <v>HERMETICALLY SEAL</v>
      </c>
      <c r="Z23" s="20" t="str">
        <f ca="1">Master_List!$AW$12</f>
        <v>750kVA</v>
      </c>
      <c r="AA23" s="20" t="str">
        <f ca="1">Master_List!$AW$13</f>
        <v>1317</v>
      </c>
      <c r="AB23" s="20">
        <f ca="1">Master_List!$AW$14</f>
        <v>0</v>
      </c>
      <c r="AC23" s="20">
        <f ca="1">Master_List!$AW$15</f>
        <v>0</v>
      </c>
      <c r="AD23" s="20">
        <f ca="1">Master_List!$AW$16</f>
        <v>0</v>
      </c>
      <c r="AE23" s="20">
        <f ca="1">Master_List!$AW$17</f>
        <v>0</v>
      </c>
      <c r="AF23" s="20" t="str">
        <f ca="1">Master_List!$AW$18</f>
        <v>INDKOM</v>
      </c>
      <c r="AG23" s="20" t="str">
        <f ca="1">Master_List!$AW$19</f>
        <v>J-SLOTTED</v>
      </c>
      <c r="AH23" s="20" t="str">
        <f ca="1">Master_List!$AW$20</f>
        <v>1600A</v>
      </c>
      <c r="AI23" s="20" t="str">
        <f ca="1">Master_List!$AW$21</f>
        <v>LV5080090</v>
      </c>
      <c r="AJ23" s="20" t="str">
        <f ca="1">Master_List!$AW$22</f>
        <v>LVDB TX1</v>
      </c>
      <c r="AK23" s="20">
        <f ca="1">Master_List!$AW$23</f>
        <v>0</v>
      </c>
      <c r="AL23" s="20">
        <f ca="1">Master_List!$AW$24</f>
        <v>0</v>
      </c>
      <c r="AM23" s="20">
        <f ca="1">Master_List!$AW$25</f>
        <v>0</v>
      </c>
      <c r="AN23" s="20">
        <f ca="1">Master_List!$AW$26</f>
        <v>0</v>
      </c>
      <c r="AO23" s="20" t="str">
        <f ca="1">Master_List!$AW$27</f>
        <v>LVDB TX2</v>
      </c>
      <c r="AP23" s="20" t="str">
        <f ca="1">Master_List!$AW$28</f>
        <v>SUNPOWER TECHNOLOGIES</v>
      </c>
      <c r="AQ23" s="20" t="str">
        <f ca="1">Master_List!$AW$29</f>
        <v>SPS 30-10 L</v>
      </c>
      <c r="AR23" s="20" t="str">
        <f ca="1">Master_List!$AW$30</f>
        <v>11193-8527</v>
      </c>
      <c r="AS23" s="20">
        <f ca="1">Master_List!$AW$31</f>
        <v>0</v>
      </c>
      <c r="AT23" s="20">
        <f ca="1">Master_List!$AW$32</f>
        <v>0</v>
      </c>
      <c r="AU23" s="20">
        <f ca="1">Master_List!$AW$33</f>
        <v>0</v>
      </c>
      <c r="AV23" s="20">
        <f ca="1">Master_List!$AW$34</f>
        <v>0</v>
      </c>
      <c r="AW23" s="20">
        <f ca="1">Master_List!$AW$35</f>
        <v>0</v>
      </c>
      <c r="AX23" s="20">
        <f ca="1">Master_List!$AW$36</f>
        <v>0</v>
      </c>
      <c r="AY23" s="20">
        <f ca="1">Master_List!$AW$37</f>
        <v>0</v>
      </c>
      <c r="AZ23" s="20">
        <f ca="1">Master_List!$AW$38</f>
        <v>0</v>
      </c>
      <c r="BA23" s="20">
        <f ca="1">Master_List!$AW$39</f>
        <v>0</v>
      </c>
      <c r="BB23" s="20" t="s">
        <v>2240</v>
      </c>
      <c r="BC23" s="20" t="s">
        <v>2241</v>
      </c>
      <c r="BD23" s="6" t="s">
        <v>1744</v>
      </c>
      <c r="BE23" s="6" t="s">
        <v>1758</v>
      </c>
      <c r="BF23" s="6" t="s">
        <v>1748</v>
      </c>
      <c r="BG23" s="6" t="str">
        <f t="shared" si="1"/>
        <v>C:\Users\aremi\Desktop\REPORT CBM\PO 42289580 - Pahang 11kV SECOND CYCLE AZZAD 2026\RAW MATERIAL\047. TNB BARU (IR+VI)\RAW DATA\IR</v>
      </c>
      <c r="BH23" s="24" t="s">
        <v>565</v>
      </c>
    </row>
    <row r="24" spans="1:60" ht="15" customHeight="1" x14ac:dyDescent="0.25">
      <c r="A24" s="6">
        <v>12</v>
      </c>
      <c r="B24" s="6" t="s">
        <v>1536</v>
      </c>
      <c r="C24" s="6">
        <v>1</v>
      </c>
      <c r="D24" s="6" t="s">
        <v>2263</v>
      </c>
      <c r="E24" s="6">
        <v>12</v>
      </c>
      <c r="F24" s="6" t="str">
        <f ca="1">Master_List!$AW$1</f>
        <v>PERPUSTAKAAN PUSAT</v>
      </c>
      <c r="G24" s="27" t="str">
        <f ca="1">Master_List!$AW$2</f>
        <v>09:30 PM</v>
      </c>
      <c r="H24" s="32" t="str">
        <f ca="1">Master_List!$AW$3</f>
        <v>20/07/2026</v>
      </c>
      <c r="I24" s="28" t="str">
        <f ca="1">Master_List!$AW$4</f>
        <v>28.5</v>
      </c>
      <c r="J24" s="6" t="str">
        <f ca="1">Master_List!$AW$5</f>
        <v>65</v>
      </c>
      <c r="K24" s="6" t="s">
        <v>585</v>
      </c>
      <c r="L24" s="22" t="str">
        <f ca="1">IFERROR(VLOOKUP(B24, Master_List!$A:$I, 2, FALSE), "-")</f>
        <v>JJB 87615</v>
      </c>
      <c r="M24" s="22" t="str">
        <f ca="1">IFERROR(VLOOKUP(B24, Master_List!$A:$I, 3, FALSE), "-")</f>
        <v>TX 750KVA</v>
      </c>
      <c r="N24" s="22" t="str">
        <f ca="1">IFERROR(VLOOKUP(B24, Master_List!$A:$I, 4, FALSE), "-")</f>
        <v>NOT ACCESSIBLE</v>
      </c>
      <c r="O24" s="22" t="str">
        <f ca="1">IFERROR(VLOOKUP(B24, Master_List!$A:$I, 5, FALSE), "-")</f>
        <v>CLOSE</v>
      </c>
      <c r="P24" s="22" t="str">
        <f ca="1">IFERROR(VLOOKUP(B24, Master_List!$A:$I, 6, FALSE), "-")</f>
        <v/>
      </c>
      <c r="Q24" s="22" t="str">
        <f ca="1">IFERROR(VLOOKUP(B24, Master_List!$A:$I, 7, FALSE), "-")</f>
        <v/>
      </c>
      <c r="R24" s="22" t="str">
        <f ca="1">IFERROR(VLOOKUP(B24, Master_List!$A:$I, 8, FALSE), "-")</f>
        <v/>
      </c>
      <c r="S24" s="22" t="str">
        <f ca="1">IFERROR(VLOOKUP(B24, Master_List!$A:$I, 9, FALSE), "-")</f>
        <v>24DU738_1015</v>
      </c>
      <c r="T24" s="20" t="str">
        <f ca="1">Master_List!$AW$6</f>
        <v>TOSHIBA</v>
      </c>
      <c r="U24" s="20" t="str">
        <f ca="1">Master_List!$AW$7</f>
        <v>MRMU</v>
      </c>
      <c r="V24" s="20" t="str">
        <f ca="1">Master_List!$AW$8</f>
        <v>12kV</v>
      </c>
      <c r="W24" s="20" t="str">
        <f ca="1">Master_List!$AW$9</f>
        <v>2S1F</v>
      </c>
      <c r="X24" s="20" t="str">
        <f ca="1">Master_List!$AW$10</f>
        <v>MTM</v>
      </c>
      <c r="Y24" s="20" t="str">
        <f ca="1">Master_List!$AW$11</f>
        <v>HERMETICALLY SEAL</v>
      </c>
      <c r="Z24" s="20" t="str">
        <f ca="1">Master_List!$AW$12</f>
        <v>750kVA</v>
      </c>
      <c r="AA24" s="20" t="str">
        <f ca="1">Master_List!$AW$13</f>
        <v>1317</v>
      </c>
      <c r="AB24" s="20">
        <f ca="1">Master_List!$AW$14</f>
        <v>0</v>
      </c>
      <c r="AC24" s="20">
        <f ca="1">Master_List!$AW$15</f>
        <v>0</v>
      </c>
      <c r="AD24" s="20">
        <f ca="1">Master_List!$AW$16</f>
        <v>0</v>
      </c>
      <c r="AE24" s="20">
        <f ca="1">Master_List!$AW$17</f>
        <v>0</v>
      </c>
      <c r="AF24" s="20" t="str">
        <f ca="1">Master_List!$AW$18</f>
        <v>INDKOM</v>
      </c>
      <c r="AG24" s="20" t="str">
        <f ca="1">Master_List!$AW$19</f>
        <v>J-SLOTTED</v>
      </c>
      <c r="AH24" s="20" t="str">
        <f ca="1">Master_List!$AW$20</f>
        <v>1600A</v>
      </c>
      <c r="AI24" s="20" t="str">
        <f ca="1">Master_List!$AW$21</f>
        <v>LV5080090</v>
      </c>
      <c r="AJ24" s="20" t="str">
        <f ca="1">Master_List!$AW$22</f>
        <v>LVDB TX1</v>
      </c>
      <c r="AK24" s="20">
        <f ca="1">Master_List!$AW$23</f>
        <v>0</v>
      </c>
      <c r="AL24" s="20">
        <f ca="1">Master_List!$AW$24</f>
        <v>0</v>
      </c>
      <c r="AM24" s="20">
        <f ca="1">Master_List!$AW$25</f>
        <v>0</v>
      </c>
      <c r="AN24" s="20">
        <f ca="1">Master_List!$AW$26</f>
        <v>0</v>
      </c>
      <c r="AO24" s="20" t="str">
        <f ca="1">Master_List!$AW$27</f>
        <v>LVDB TX2</v>
      </c>
      <c r="AP24" s="20" t="str">
        <f ca="1">Master_List!$AW$28</f>
        <v>SUNPOWER TECHNOLOGIES</v>
      </c>
      <c r="AQ24" s="20" t="str">
        <f ca="1">Master_List!$AW$29</f>
        <v>SPS 30-10 L</v>
      </c>
      <c r="AR24" s="20" t="str">
        <f ca="1">Master_List!$AW$30</f>
        <v>11193-8527</v>
      </c>
      <c r="AS24" s="20">
        <f ca="1">Master_List!$AW$31</f>
        <v>0</v>
      </c>
      <c r="AT24" s="20">
        <f ca="1">Master_List!$AW$32</f>
        <v>0</v>
      </c>
      <c r="AU24" s="20">
        <f ca="1">Master_List!$AW$33</f>
        <v>0</v>
      </c>
      <c r="AV24" s="20">
        <f ca="1">Master_List!$AW$34</f>
        <v>0</v>
      </c>
      <c r="AW24" s="20">
        <f ca="1">Master_List!$AW$35</f>
        <v>0</v>
      </c>
      <c r="AX24" s="20">
        <f ca="1">Master_List!$AW$36</f>
        <v>0</v>
      </c>
      <c r="AY24" s="20">
        <f ca="1">Master_List!$AW$37</f>
        <v>0</v>
      </c>
      <c r="AZ24" s="20">
        <f ca="1">Master_List!$AW$38</f>
        <v>0</v>
      </c>
      <c r="BA24" s="20">
        <f ca="1">Master_List!$AW$39</f>
        <v>0</v>
      </c>
      <c r="BB24" s="20" t="s">
        <v>2240</v>
      </c>
      <c r="BC24" s="20" t="s">
        <v>2241</v>
      </c>
      <c r="BD24" s="6" t="s">
        <v>1744</v>
      </c>
      <c r="BE24" s="6" t="s">
        <v>1759</v>
      </c>
      <c r="BF24" s="6" t="s">
        <v>1746</v>
      </c>
      <c r="BG24" s="6" t="str">
        <f t="shared" si="1"/>
        <v>C:\Users\aremi\Desktop\REPORT CBM\PO 42289580 - Pahang 11kV SECOND CYCLE AZZAD 2026\RAW MATERIAL\047. TNB BARU (IR+VI)\RAW DATA\IR</v>
      </c>
      <c r="BH24" s="24" t="s">
        <v>567</v>
      </c>
    </row>
    <row r="25" spans="1:60" ht="15" customHeight="1" x14ac:dyDescent="0.25">
      <c r="A25" s="6">
        <v>12</v>
      </c>
      <c r="B25" s="6" t="s">
        <v>1536</v>
      </c>
      <c r="C25" s="6">
        <v>1</v>
      </c>
      <c r="D25" s="6" t="s">
        <v>2263</v>
      </c>
      <c r="E25" s="6">
        <v>12</v>
      </c>
      <c r="F25" s="6" t="str">
        <f ca="1">Master_List!$AW$1</f>
        <v>PERPUSTAKAAN PUSAT</v>
      </c>
      <c r="G25" s="27" t="str">
        <f ca="1">Master_List!$AW$2</f>
        <v>09:30 PM</v>
      </c>
      <c r="H25" s="32" t="str">
        <f ca="1">Master_List!$AW$3</f>
        <v>20/07/2026</v>
      </c>
      <c r="I25" s="28" t="str">
        <f ca="1">Master_List!$AW$4</f>
        <v>28.5</v>
      </c>
      <c r="J25" s="6" t="str">
        <f ca="1">Master_List!$AW$5</f>
        <v>65</v>
      </c>
      <c r="K25" s="6" t="s">
        <v>585</v>
      </c>
      <c r="L25" s="22" t="str">
        <f ca="1">IFERROR(VLOOKUP(B25, Master_List!$A:$I, 2, FALSE), "-")</f>
        <v>JJB 87615</v>
      </c>
      <c r="M25" s="22" t="str">
        <f ca="1">IFERROR(VLOOKUP(B25, Master_List!$A:$I, 3, FALSE), "-")</f>
        <v>TX 750KVA</v>
      </c>
      <c r="N25" s="22" t="str">
        <f ca="1">IFERROR(VLOOKUP(B25, Master_List!$A:$I, 4, FALSE), "-")</f>
        <v>NOT ACCESSIBLE</v>
      </c>
      <c r="O25" s="22" t="str">
        <f ca="1">IFERROR(VLOOKUP(B25, Master_List!$A:$I, 5, FALSE), "-")</f>
        <v>CLOSE</v>
      </c>
      <c r="P25" s="22" t="str">
        <f ca="1">IFERROR(VLOOKUP(B25, Master_List!$A:$I, 6, FALSE), "-")</f>
        <v/>
      </c>
      <c r="Q25" s="22" t="str">
        <f ca="1">IFERROR(VLOOKUP(B25, Master_List!$A:$I, 7, FALSE), "-")</f>
        <v/>
      </c>
      <c r="R25" s="22" t="str">
        <f ca="1">IFERROR(VLOOKUP(B25, Master_List!$A:$I, 8, FALSE), "-")</f>
        <v/>
      </c>
      <c r="S25" s="22" t="str">
        <f ca="1">IFERROR(VLOOKUP(B25, Master_List!$A:$I, 9, FALSE), "-")</f>
        <v>24DU738_1015</v>
      </c>
      <c r="T25" s="20" t="str">
        <f ca="1">Master_List!$AW$6</f>
        <v>TOSHIBA</v>
      </c>
      <c r="U25" s="20" t="str">
        <f ca="1">Master_List!$AW$7</f>
        <v>MRMU</v>
      </c>
      <c r="V25" s="20" t="str">
        <f ca="1">Master_List!$AW$8</f>
        <v>12kV</v>
      </c>
      <c r="W25" s="20" t="str">
        <f ca="1">Master_List!$AW$9</f>
        <v>2S1F</v>
      </c>
      <c r="X25" s="20" t="str">
        <f ca="1">Master_List!$AW$10</f>
        <v>MTM</v>
      </c>
      <c r="Y25" s="20" t="str">
        <f ca="1">Master_List!$AW$11</f>
        <v>HERMETICALLY SEAL</v>
      </c>
      <c r="Z25" s="20" t="str">
        <f ca="1">Master_List!$AW$12</f>
        <v>750kVA</v>
      </c>
      <c r="AA25" s="20" t="str">
        <f ca="1">Master_List!$AW$13</f>
        <v>1317</v>
      </c>
      <c r="AB25" s="20">
        <f ca="1">Master_List!$AW$14</f>
        <v>0</v>
      </c>
      <c r="AC25" s="20">
        <f ca="1">Master_List!$AW$15</f>
        <v>0</v>
      </c>
      <c r="AD25" s="20">
        <f ca="1">Master_List!$AW$16</f>
        <v>0</v>
      </c>
      <c r="AE25" s="20">
        <f ca="1">Master_List!$AW$17</f>
        <v>0</v>
      </c>
      <c r="AF25" s="20" t="str">
        <f ca="1">Master_List!$AW$18</f>
        <v>INDKOM</v>
      </c>
      <c r="AG25" s="20" t="str">
        <f ca="1">Master_List!$AW$19</f>
        <v>J-SLOTTED</v>
      </c>
      <c r="AH25" s="20" t="str">
        <f ca="1">Master_List!$AW$20</f>
        <v>1600A</v>
      </c>
      <c r="AI25" s="20" t="str">
        <f ca="1">Master_List!$AW$21</f>
        <v>LV5080090</v>
      </c>
      <c r="AJ25" s="20" t="str">
        <f ca="1">Master_List!$AW$22</f>
        <v>LVDB TX1</v>
      </c>
      <c r="AK25" s="20">
        <f ca="1">Master_List!$AW$23</f>
        <v>0</v>
      </c>
      <c r="AL25" s="20">
        <f ca="1">Master_List!$AW$24</f>
        <v>0</v>
      </c>
      <c r="AM25" s="20">
        <f ca="1">Master_List!$AW$25</f>
        <v>0</v>
      </c>
      <c r="AN25" s="20">
        <f ca="1">Master_List!$AW$26</f>
        <v>0</v>
      </c>
      <c r="AO25" s="20" t="str">
        <f ca="1">Master_List!$AW$27</f>
        <v>LVDB TX2</v>
      </c>
      <c r="AP25" s="20" t="str">
        <f ca="1">Master_List!$AW$28</f>
        <v>SUNPOWER TECHNOLOGIES</v>
      </c>
      <c r="AQ25" s="20" t="str">
        <f ca="1">Master_List!$AW$29</f>
        <v>SPS 30-10 L</v>
      </c>
      <c r="AR25" s="20" t="str">
        <f ca="1">Master_List!$AW$30</f>
        <v>11193-8527</v>
      </c>
      <c r="AS25" s="20">
        <f ca="1">Master_List!$AW$31</f>
        <v>0</v>
      </c>
      <c r="AT25" s="20">
        <f ca="1">Master_List!$AW$32</f>
        <v>0</v>
      </c>
      <c r="AU25" s="20">
        <f ca="1">Master_List!$AW$33</f>
        <v>0</v>
      </c>
      <c r="AV25" s="20">
        <f ca="1">Master_List!$AW$34</f>
        <v>0</v>
      </c>
      <c r="AW25" s="20">
        <f ca="1">Master_List!$AW$35</f>
        <v>0</v>
      </c>
      <c r="AX25" s="20">
        <f ca="1">Master_List!$AW$36</f>
        <v>0</v>
      </c>
      <c r="AY25" s="20">
        <f ca="1">Master_List!$AW$37</f>
        <v>0</v>
      </c>
      <c r="AZ25" s="20">
        <f ca="1">Master_List!$AW$38</f>
        <v>0</v>
      </c>
      <c r="BA25" s="20">
        <f ca="1">Master_List!$AW$39</f>
        <v>0</v>
      </c>
      <c r="BB25" s="20" t="s">
        <v>2240</v>
      </c>
      <c r="BC25" s="20" t="s">
        <v>2241</v>
      </c>
      <c r="BD25" s="6" t="s">
        <v>1744</v>
      </c>
      <c r="BE25" s="6" t="s">
        <v>1759</v>
      </c>
      <c r="BF25" s="6" t="s">
        <v>1748</v>
      </c>
      <c r="BG25" s="6" t="str">
        <f t="shared" si="1"/>
        <v>C:\Users\aremi\Desktop\REPORT CBM\PO 42289580 - Pahang 11kV SECOND CYCLE AZZAD 2026\RAW MATERIAL\047. TNB BARU (IR+VI)\RAW DATA\IR</v>
      </c>
      <c r="BH25" s="24" t="s">
        <v>568</v>
      </c>
    </row>
    <row r="26" spans="1:60" ht="15" customHeight="1" x14ac:dyDescent="0.25">
      <c r="A26" s="6">
        <v>13</v>
      </c>
      <c r="B26" s="6" t="s">
        <v>1537</v>
      </c>
      <c r="C26" s="6">
        <v>1</v>
      </c>
      <c r="D26" s="6" t="s">
        <v>2263</v>
      </c>
      <c r="E26" s="6">
        <v>13</v>
      </c>
      <c r="F26" s="6" t="str">
        <f ca="1">Master_List!$AW$1</f>
        <v>PERPUSTAKAAN PUSAT</v>
      </c>
      <c r="G26" s="27" t="str">
        <f ca="1">Master_List!$AW$2</f>
        <v>09:30 PM</v>
      </c>
      <c r="H26" s="32" t="str">
        <f ca="1">Master_List!$AW$3</f>
        <v>20/07/2026</v>
      </c>
      <c r="I26" s="28" t="str">
        <f ca="1">Master_List!$AW$4</f>
        <v>28.5</v>
      </c>
      <c r="J26" s="6" t="str">
        <f ca="1">Master_List!$AW$5</f>
        <v>65</v>
      </c>
      <c r="K26" s="6" t="s">
        <v>576</v>
      </c>
      <c r="L26" s="22" t="str">
        <f ca="1">IFERROR(VLOOKUP(B26, Master_List!$A:$I, 2, FALSE), "-")</f>
        <v/>
      </c>
      <c r="M26" s="22" t="str">
        <f ca="1">IFERROR(VLOOKUP(B26, Master_List!$A:$I, 3, FALSE), "-")</f>
        <v/>
      </c>
      <c r="N26" s="22" t="str">
        <f ca="1">IFERROR(VLOOKUP(B26, Master_List!$A:$I, 4, FALSE), "-")</f>
        <v/>
      </c>
      <c r="O26" s="22" t="str">
        <f ca="1">IFERROR(VLOOKUP(B26, Master_List!$A:$I, 5, FALSE), "-")</f>
        <v/>
      </c>
      <c r="P26" s="22" t="str">
        <f ca="1">IFERROR(VLOOKUP(B26, Master_List!$A:$I, 6, FALSE), "-")</f>
        <v/>
      </c>
      <c r="Q26" s="22" t="str">
        <f ca="1">IFERROR(VLOOKUP(B26, Master_List!$A:$I, 7, FALSE), "-")</f>
        <v/>
      </c>
      <c r="R26" s="22" t="str">
        <f ca="1">IFERROR(VLOOKUP(B26, Master_List!$A:$I, 8, FALSE), "-")</f>
        <v/>
      </c>
      <c r="S26" s="22" t="str">
        <f ca="1">IFERROR(VLOOKUP(B26, Master_List!$A:$I, 9, FALSE), "-")</f>
        <v>24DU738_1015</v>
      </c>
      <c r="T26" s="20" t="str">
        <f ca="1">Master_List!$AW$6</f>
        <v>TOSHIBA</v>
      </c>
      <c r="U26" s="20" t="str">
        <f ca="1">Master_List!$AW$7</f>
        <v>MRMU</v>
      </c>
      <c r="V26" s="20" t="str">
        <f ca="1">Master_List!$AW$8</f>
        <v>12kV</v>
      </c>
      <c r="W26" s="20" t="str">
        <f ca="1">Master_List!$AW$9</f>
        <v>2S1F</v>
      </c>
      <c r="X26" s="20" t="str">
        <f ca="1">Master_List!$AW$10</f>
        <v>MTM</v>
      </c>
      <c r="Y26" s="20" t="str">
        <f ca="1">Master_List!$AW$11</f>
        <v>HERMETICALLY SEAL</v>
      </c>
      <c r="Z26" s="20" t="str">
        <f ca="1">Master_List!$AW$12</f>
        <v>750kVA</v>
      </c>
      <c r="AA26" s="20" t="str">
        <f ca="1">Master_List!$AW$13</f>
        <v>1317</v>
      </c>
      <c r="AB26" s="20">
        <f ca="1">Master_List!$AW$14</f>
        <v>0</v>
      </c>
      <c r="AC26" s="20">
        <f ca="1">Master_List!$AW$15</f>
        <v>0</v>
      </c>
      <c r="AD26" s="20">
        <f ca="1">Master_List!$AW$16</f>
        <v>0</v>
      </c>
      <c r="AE26" s="20">
        <f ca="1">Master_List!$AW$17</f>
        <v>0</v>
      </c>
      <c r="AF26" s="20" t="str">
        <f ca="1">Master_List!$AW$18</f>
        <v>INDKOM</v>
      </c>
      <c r="AG26" s="20" t="str">
        <f ca="1">Master_List!$AW$19</f>
        <v>J-SLOTTED</v>
      </c>
      <c r="AH26" s="20" t="str">
        <f ca="1">Master_List!$AW$20</f>
        <v>1600A</v>
      </c>
      <c r="AI26" s="20" t="str">
        <f ca="1">Master_List!$AW$21</f>
        <v>LV5080090</v>
      </c>
      <c r="AJ26" s="20" t="str">
        <f ca="1">Master_List!$AW$22</f>
        <v>LVDB TX1</v>
      </c>
      <c r="AK26" s="20">
        <f ca="1">Master_List!$AW$23</f>
        <v>0</v>
      </c>
      <c r="AL26" s="20">
        <f ca="1">Master_List!$AW$24</f>
        <v>0</v>
      </c>
      <c r="AM26" s="20">
        <f ca="1">Master_List!$AW$25</f>
        <v>0</v>
      </c>
      <c r="AN26" s="20">
        <f ca="1">Master_List!$AW$26</f>
        <v>0</v>
      </c>
      <c r="AO26" s="20" t="str">
        <f ca="1">Master_List!$AW$27</f>
        <v>LVDB TX2</v>
      </c>
      <c r="AP26" s="20" t="str">
        <f ca="1">Master_List!$AW$28</f>
        <v>SUNPOWER TECHNOLOGIES</v>
      </c>
      <c r="AQ26" s="20" t="str">
        <f ca="1">Master_List!$AW$29</f>
        <v>SPS 30-10 L</v>
      </c>
      <c r="AR26" s="20" t="str">
        <f ca="1">Master_List!$AW$30</f>
        <v>11193-8527</v>
      </c>
      <c r="AS26" s="20">
        <f ca="1">Master_List!$AW$31</f>
        <v>0</v>
      </c>
      <c r="AT26" s="20">
        <f ca="1">Master_List!$AW$32</f>
        <v>0</v>
      </c>
      <c r="AU26" s="20">
        <f ca="1">Master_List!$AW$33</f>
        <v>0</v>
      </c>
      <c r="AV26" s="20">
        <f ca="1">Master_List!$AW$34</f>
        <v>0</v>
      </c>
      <c r="AW26" s="20">
        <f ca="1">Master_List!$AW$35</f>
        <v>0</v>
      </c>
      <c r="AX26" s="20">
        <f ca="1">Master_List!$AW$36</f>
        <v>0</v>
      </c>
      <c r="AY26" s="20">
        <f ca="1">Master_List!$AW$37</f>
        <v>0</v>
      </c>
      <c r="AZ26" s="20">
        <f ca="1">Master_List!$AW$38</f>
        <v>0</v>
      </c>
      <c r="BA26" s="20">
        <f ca="1">Master_List!$AW$39</f>
        <v>0</v>
      </c>
      <c r="BB26" s="20" t="s">
        <v>2240</v>
      </c>
      <c r="BC26" s="20" t="s">
        <v>2241</v>
      </c>
      <c r="BD26" s="6" t="s">
        <v>1744</v>
      </c>
      <c r="BE26" s="6" t="s">
        <v>1761</v>
      </c>
      <c r="BF26" s="6" t="s">
        <v>1746</v>
      </c>
      <c r="BG26" s="6" t="str">
        <f t="shared" si="1"/>
        <v>C:\Users\aremi\Desktop\REPORT CBM\PO 42289580 - Pahang 11kV SECOND CYCLE AZZAD 2026\RAW MATERIAL\047. TNB BARU (IR+VI)\RAW DATA\IR</v>
      </c>
      <c r="BH26" s="24" t="s">
        <v>1538</v>
      </c>
    </row>
    <row r="27" spans="1:60" ht="15" customHeight="1" x14ac:dyDescent="0.25">
      <c r="A27" s="6">
        <v>13</v>
      </c>
      <c r="B27" s="6" t="s">
        <v>1537</v>
      </c>
      <c r="C27" s="6">
        <v>1</v>
      </c>
      <c r="D27" s="6" t="s">
        <v>2263</v>
      </c>
      <c r="E27" s="6">
        <v>13</v>
      </c>
      <c r="F27" s="6" t="str">
        <f ca="1">Master_List!$AW$1</f>
        <v>PERPUSTAKAAN PUSAT</v>
      </c>
      <c r="G27" s="27" t="str">
        <f ca="1">Master_List!$AW$2</f>
        <v>09:30 PM</v>
      </c>
      <c r="H27" s="32" t="str">
        <f ca="1">Master_List!$AW$3</f>
        <v>20/07/2026</v>
      </c>
      <c r="I27" s="28" t="str">
        <f ca="1">Master_List!$AW$4</f>
        <v>28.5</v>
      </c>
      <c r="J27" s="6" t="str">
        <f ca="1">Master_List!$AW$5</f>
        <v>65</v>
      </c>
      <c r="K27" s="6" t="s">
        <v>576</v>
      </c>
      <c r="L27" s="22" t="str">
        <f ca="1">IFERROR(VLOOKUP(B27, Master_List!$A:$I, 2, FALSE), "-")</f>
        <v/>
      </c>
      <c r="M27" s="22" t="str">
        <f ca="1">IFERROR(VLOOKUP(B27, Master_List!$A:$I, 3, FALSE), "-")</f>
        <v/>
      </c>
      <c r="N27" s="22" t="str">
        <f ca="1">IFERROR(VLOOKUP(B27, Master_List!$A:$I, 4, FALSE), "-")</f>
        <v/>
      </c>
      <c r="O27" s="22" t="str">
        <f ca="1">IFERROR(VLOOKUP(B27, Master_List!$A:$I, 5, FALSE), "-")</f>
        <v/>
      </c>
      <c r="P27" s="22" t="str">
        <f ca="1">IFERROR(VLOOKUP(B27, Master_List!$A:$I, 6, FALSE), "-")</f>
        <v/>
      </c>
      <c r="Q27" s="22" t="str">
        <f ca="1">IFERROR(VLOOKUP(B27, Master_List!$A:$I, 7, FALSE), "-")</f>
        <v/>
      </c>
      <c r="R27" s="22" t="str">
        <f ca="1">IFERROR(VLOOKUP(B27, Master_List!$A:$I, 8, FALSE), "-")</f>
        <v/>
      </c>
      <c r="S27" s="22" t="str">
        <f ca="1">IFERROR(VLOOKUP(B27, Master_List!$A:$I, 9, FALSE), "-")</f>
        <v>24DU738_1015</v>
      </c>
      <c r="T27" s="20" t="str">
        <f ca="1">Master_List!$AW$6</f>
        <v>TOSHIBA</v>
      </c>
      <c r="U27" s="20" t="str">
        <f ca="1">Master_List!$AW$7</f>
        <v>MRMU</v>
      </c>
      <c r="V27" s="20" t="str">
        <f ca="1">Master_List!$AW$8</f>
        <v>12kV</v>
      </c>
      <c r="W27" s="20" t="str">
        <f ca="1">Master_List!$AW$9</f>
        <v>2S1F</v>
      </c>
      <c r="X27" s="20" t="str">
        <f ca="1">Master_List!$AW$10</f>
        <v>MTM</v>
      </c>
      <c r="Y27" s="20" t="str">
        <f ca="1">Master_List!$AW$11</f>
        <v>HERMETICALLY SEAL</v>
      </c>
      <c r="Z27" s="20" t="str">
        <f ca="1">Master_List!$AW$12</f>
        <v>750kVA</v>
      </c>
      <c r="AA27" s="20" t="str">
        <f ca="1">Master_List!$AW$13</f>
        <v>1317</v>
      </c>
      <c r="AB27" s="20">
        <f ca="1">Master_List!$AW$14</f>
        <v>0</v>
      </c>
      <c r="AC27" s="20">
        <f ca="1">Master_List!$AW$15</f>
        <v>0</v>
      </c>
      <c r="AD27" s="20">
        <f ca="1">Master_List!$AW$16</f>
        <v>0</v>
      </c>
      <c r="AE27" s="20">
        <f ca="1">Master_List!$AW$17</f>
        <v>0</v>
      </c>
      <c r="AF27" s="20" t="str">
        <f ca="1">Master_List!$AW$18</f>
        <v>INDKOM</v>
      </c>
      <c r="AG27" s="20" t="str">
        <f ca="1">Master_List!$AW$19</f>
        <v>J-SLOTTED</v>
      </c>
      <c r="AH27" s="20" t="str">
        <f ca="1">Master_List!$AW$20</f>
        <v>1600A</v>
      </c>
      <c r="AI27" s="20" t="str">
        <f ca="1">Master_List!$AW$21</f>
        <v>LV5080090</v>
      </c>
      <c r="AJ27" s="20" t="str">
        <f ca="1">Master_List!$AW$22</f>
        <v>LVDB TX1</v>
      </c>
      <c r="AK27" s="20">
        <f ca="1">Master_List!$AW$23</f>
        <v>0</v>
      </c>
      <c r="AL27" s="20">
        <f ca="1">Master_List!$AW$24</f>
        <v>0</v>
      </c>
      <c r="AM27" s="20">
        <f ca="1">Master_List!$AW$25</f>
        <v>0</v>
      </c>
      <c r="AN27" s="20">
        <f ca="1">Master_List!$AW$26</f>
        <v>0</v>
      </c>
      <c r="AO27" s="20" t="str">
        <f ca="1">Master_List!$AW$27</f>
        <v>LVDB TX2</v>
      </c>
      <c r="AP27" s="20" t="str">
        <f ca="1">Master_List!$AW$28</f>
        <v>SUNPOWER TECHNOLOGIES</v>
      </c>
      <c r="AQ27" s="20" t="str">
        <f ca="1">Master_List!$AW$29</f>
        <v>SPS 30-10 L</v>
      </c>
      <c r="AR27" s="20" t="str">
        <f ca="1">Master_List!$AW$30</f>
        <v>11193-8527</v>
      </c>
      <c r="AS27" s="20">
        <f ca="1">Master_List!$AW$31</f>
        <v>0</v>
      </c>
      <c r="AT27" s="20">
        <f ca="1">Master_List!$AW$32</f>
        <v>0</v>
      </c>
      <c r="AU27" s="20">
        <f ca="1">Master_List!$AW$33</f>
        <v>0</v>
      </c>
      <c r="AV27" s="20">
        <f ca="1">Master_List!$AW$34</f>
        <v>0</v>
      </c>
      <c r="AW27" s="20">
        <f ca="1">Master_List!$AW$35</f>
        <v>0</v>
      </c>
      <c r="AX27" s="20">
        <f ca="1">Master_List!$AW$36</f>
        <v>0</v>
      </c>
      <c r="AY27" s="20">
        <f ca="1">Master_List!$AW$37</f>
        <v>0</v>
      </c>
      <c r="AZ27" s="20">
        <f ca="1">Master_List!$AW$38</f>
        <v>0</v>
      </c>
      <c r="BA27" s="20">
        <f ca="1">Master_List!$AW$39</f>
        <v>0</v>
      </c>
      <c r="BB27" s="20" t="s">
        <v>2240</v>
      </c>
      <c r="BC27" s="20" t="s">
        <v>2241</v>
      </c>
      <c r="BD27" s="6" t="s">
        <v>1744</v>
      </c>
      <c r="BE27" s="6" t="s">
        <v>1761</v>
      </c>
      <c r="BF27" s="6" t="s">
        <v>1748</v>
      </c>
      <c r="BG27" s="6" t="str">
        <f t="shared" si="1"/>
        <v>C:\Users\aremi\Desktop\REPORT CBM\PO 42289580 - Pahang 11kV SECOND CYCLE AZZAD 2026\RAW MATERIAL\047. TNB BARU (IR+VI)\RAW DATA\IR</v>
      </c>
      <c r="BH27" s="24" t="s">
        <v>1539</v>
      </c>
    </row>
    <row r="28" spans="1:60" ht="15" customHeight="1" x14ac:dyDescent="0.25">
      <c r="A28" s="6">
        <v>14</v>
      </c>
      <c r="B28" s="6" t="s">
        <v>1537</v>
      </c>
      <c r="C28" s="6">
        <v>1</v>
      </c>
      <c r="D28" s="6" t="s">
        <v>2263</v>
      </c>
      <c r="E28" s="6">
        <v>14</v>
      </c>
      <c r="F28" s="6" t="str">
        <f ca="1">Master_List!$AW$1</f>
        <v>PERPUSTAKAAN PUSAT</v>
      </c>
      <c r="G28" s="27" t="str">
        <f ca="1">Master_List!$AW$2</f>
        <v>09:30 PM</v>
      </c>
      <c r="H28" s="32" t="str">
        <f ca="1">Master_List!$AW$3</f>
        <v>20/07/2026</v>
      </c>
      <c r="I28" s="28" t="str">
        <f ca="1">Master_List!$AW$4</f>
        <v>28.5</v>
      </c>
      <c r="J28" s="6" t="str">
        <f ca="1">Master_List!$AW$5</f>
        <v>65</v>
      </c>
      <c r="K28" s="6" t="s">
        <v>585</v>
      </c>
      <c r="L28" s="22" t="str">
        <f ca="1">IFERROR(VLOOKUP(B28, Master_List!$A:$I, 2, FALSE), "-")</f>
        <v/>
      </c>
      <c r="M28" s="22" t="str">
        <f ca="1">IFERROR(VLOOKUP(B28, Master_List!$A:$I, 3, FALSE), "-")</f>
        <v/>
      </c>
      <c r="N28" s="22" t="str">
        <f ca="1">IFERROR(VLOOKUP(B28, Master_List!$A:$I, 4, FALSE), "-")</f>
        <v/>
      </c>
      <c r="O28" s="22" t="str">
        <f ca="1">IFERROR(VLOOKUP(B28, Master_List!$A:$I, 5, FALSE), "-")</f>
        <v/>
      </c>
      <c r="P28" s="22" t="str">
        <f ca="1">IFERROR(VLOOKUP(B28, Master_List!$A:$I, 6, FALSE), "-")</f>
        <v/>
      </c>
      <c r="Q28" s="22" t="str">
        <f ca="1">IFERROR(VLOOKUP(B28, Master_List!$A:$I, 7, FALSE), "-")</f>
        <v/>
      </c>
      <c r="R28" s="22" t="str">
        <f ca="1">IFERROR(VLOOKUP(B28, Master_List!$A:$I, 8, FALSE), "-")</f>
        <v/>
      </c>
      <c r="S28" s="22" t="str">
        <f ca="1">IFERROR(VLOOKUP(B28, Master_List!$A:$I, 9, FALSE), "-")</f>
        <v>24DU738_1015</v>
      </c>
      <c r="T28" s="20" t="str">
        <f ca="1">Master_List!$AW$6</f>
        <v>TOSHIBA</v>
      </c>
      <c r="U28" s="20" t="str">
        <f ca="1">Master_List!$AW$7</f>
        <v>MRMU</v>
      </c>
      <c r="V28" s="20" t="str">
        <f ca="1">Master_List!$AW$8</f>
        <v>12kV</v>
      </c>
      <c r="W28" s="20" t="str">
        <f ca="1">Master_List!$AW$9</f>
        <v>2S1F</v>
      </c>
      <c r="X28" s="20" t="str">
        <f ca="1">Master_List!$AW$10</f>
        <v>MTM</v>
      </c>
      <c r="Y28" s="20" t="str">
        <f ca="1">Master_List!$AW$11</f>
        <v>HERMETICALLY SEAL</v>
      </c>
      <c r="Z28" s="20" t="str">
        <f ca="1">Master_List!$AW$12</f>
        <v>750kVA</v>
      </c>
      <c r="AA28" s="20" t="str">
        <f ca="1">Master_List!$AW$13</f>
        <v>1317</v>
      </c>
      <c r="AB28" s="20">
        <f ca="1">Master_List!$AW$14</f>
        <v>0</v>
      </c>
      <c r="AC28" s="20">
        <f ca="1">Master_List!$AW$15</f>
        <v>0</v>
      </c>
      <c r="AD28" s="20">
        <f ca="1">Master_List!$AW$16</f>
        <v>0</v>
      </c>
      <c r="AE28" s="20">
        <f ca="1">Master_List!$AW$17</f>
        <v>0</v>
      </c>
      <c r="AF28" s="20" t="str">
        <f ca="1">Master_List!$AW$18</f>
        <v>INDKOM</v>
      </c>
      <c r="AG28" s="20" t="str">
        <f ca="1">Master_List!$AW$19</f>
        <v>J-SLOTTED</v>
      </c>
      <c r="AH28" s="20" t="str">
        <f ca="1">Master_List!$AW$20</f>
        <v>1600A</v>
      </c>
      <c r="AI28" s="20" t="str">
        <f ca="1">Master_List!$AW$21</f>
        <v>LV5080090</v>
      </c>
      <c r="AJ28" s="20" t="str">
        <f ca="1">Master_List!$AW$22</f>
        <v>LVDB TX1</v>
      </c>
      <c r="AK28" s="20">
        <f ca="1">Master_List!$AW$23</f>
        <v>0</v>
      </c>
      <c r="AL28" s="20">
        <f ca="1">Master_List!$AW$24</f>
        <v>0</v>
      </c>
      <c r="AM28" s="20">
        <f ca="1">Master_List!$AW$25</f>
        <v>0</v>
      </c>
      <c r="AN28" s="20">
        <f ca="1">Master_List!$AW$26</f>
        <v>0</v>
      </c>
      <c r="AO28" s="20" t="str">
        <f ca="1">Master_List!$AW$27</f>
        <v>LVDB TX2</v>
      </c>
      <c r="AP28" s="20" t="str">
        <f ca="1">Master_List!$AW$28</f>
        <v>SUNPOWER TECHNOLOGIES</v>
      </c>
      <c r="AQ28" s="20" t="str">
        <f ca="1">Master_List!$AW$29</f>
        <v>SPS 30-10 L</v>
      </c>
      <c r="AR28" s="20" t="str">
        <f ca="1">Master_List!$AW$30</f>
        <v>11193-8527</v>
      </c>
      <c r="AS28" s="20">
        <f ca="1">Master_List!$AW$31</f>
        <v>0</v>
      </c>
      <c r="AT28" s="20">
        <f ca="1">Master_List!$AW$32</f>
        <v>0</v>
      </c>
      <c r="AU28" s="20">
        <f ca="1">Master_List!$AW$33</f>
        <v>0</v>
      </c>
      <c r="AV28" s="20">
        <f ca="1">Master_List!$AW$34</f>
        <v>0</v>
      </c>
      <c r="AW28" s="20">
        <f ca="1">Master_List!$AW$35</f>
        <v>0</v>
      </c>
      <c r="AX28" s="20">
        <f ca="1">Master_List!$AW$36</f>
        <v>0</v>
      </c>
      <c r="AY28" s="20">
        <f ca="1">Master_List!$AW$37</f>
        <v>0</v>
      </c>
      <c r="AZ28" s="20">
        <f ca="1">Master_List!$AW$38</f>
        <v>0</v>
      </c>
      <c r="BA28" s="20">
        <f ca="1">Master_List!$AW$39</f>
        <v>0</v>
      </c>
      <c r="BB28" s="20" t="s">
        <v>2240</v>
      </c>
      <c r="BC28" s="20" t="s">
        <v>2241</v>
      </c>
      <c r="BD28" s="6" t="s">
        <v>1744</v>
      </c>
      <c r="BE28" s="6" t="s">
        <v>1762</v>
      </c>
      <c r="BF28" s="6" t="s">
        <v>1746</v>
      </c>
      <c r="BG28" s="6" t="str">
        <f t="shared" si="1"/>
        <v>C:\Users\aremi\Desktop\REPORT CBM\PO 42289580 - Pahang 11kV SECOND CYCLE AZZAD 2026\RAW MATERIAL\047. TNB BARU (IR+VI)\RAW DATA\IR</v>
      </c>
      <c r="BH28" s="24" t="s">
        <v>1540</v>
      </c>
    </row>
    <row r="29" spans="1:60" ht="15" customHeight="1" x14ac:dyDescent="0.25">
      <c r="A29" s="6">
        <v>14</v>
      </c>
      <c r="B29" s="6" t="s">
        <v>1537</v>
      </c>
      <c r="C29" s="6">
        <v>1</v>
      </c>
      <c r="D29" s="6" t="s">
        <v>2263</v>
      </c>
      <c r="E29" s="6">
        <v>14</v>
      </c>
      <c r="F29" s="6" t="str">
        <f ca="1">Master_List!$AW$1</f>
        <v>PERPUSTAKAAN PUSAT</v>
      </c>
      <c r="G29" s="27" t="str">
        <f ca="1">Master_List!$AW$2</f>
        <v>09:30 PM</v>
      </c>
      <c r="H29" s="32" t="str">
        <f ca="1">Master_List!$AW$3</f>
        <v>20/07/2026</v>
      </c>
      <c r="I29" s="28" t="str">
        <f ca="1">Master_List!$AW$4</f>
        <v>28.5</v>
      </c>
      <c r="J29" s="6" t="str">
        <f ca="1">Master_List!$AW$5</f>
        <v>65</v>
      </c>
      <c r="K29" s="6" t="s">
        <v>585</v>
      </c>
      <c r="L29" s="22" t="str">
        <f ca="1">IFERROR(VLOOKUP(B29, Master_List!$A:$I, 2, FALSE), "-")</f>
        <v/>
      </c>
      <c r="M29" s="22" t="str">
        <f ca="1">IFERROR(VLOOKUP(B29, Master_List!$A:$I, 3, FALSE), "-")</f>
        <v/>
      </c>
      <c r="N29" s="22" t="str">
        <f ca="1">IFERROR(VLOOKUP(B29, Master_List!$A:$I, 4, FALSE), "-")</f>
        <v/>
      </c>
      <c r="O29" s="22" t="str">
        <f ca="1">IFERROR(VLOOKUP(B29, Master_List!$A:$I, 5, FALSE), "-")</f>
        <v/>
      </c>
      <c r="P29" s="22" t="str">
        <f ca="1">IFERROR(VLOOKUP(B29, Master_List!$A:$I, 6, FALSE), "-")</f>
        <v/>
      </c>
      <c r="Q29" s="22" t="str">
        <f ca="1">IFERROR(VLOOKUP(B29, Master_List!$A:$I, 7, FALSE), "-")</f>
        <v/>
      </c>
      <c r="R29" s="22" t="str">
        <f ca="1">IFERROR(VLOOKUP(B29, Master_List!$A:$I, 8, FALSE), "-")</f>
        <v/>
      </c>
      <c r="S29" s="22" t="str">
        <f ca="1">IFERROR(VLOOKUP(B29, Master_List!$A:$I, 9, FALSE), "-")</f>
        <v>24DU738_1015</v>
      </c>
      <c r="T29" s="20" t="str">
        <f ca="1">Master_List!$AW$6</f>
        <v>TOSHIBA</v>
      </c>
      <c r="U29" s="20" t="str">
        <f ca="1">Master_List!$AW$7</f>
        <v>MRMU</v>
      </c>
      <c r="V29" s="20" t="str">
        <f ca="1">Master_List!$AW$8</f>
        <v>12kV</v>
      </c>
      <c r="W29" s="20" t="str">
        <f ca="1">Master_List!$AW$9</f>
        <v>2S1F</v>
      </c>
      <c r="X29" s="20" t="str">
        <f ca="1">Master_List!$AW$10</f>
        <v>MTM</v>
      </c>
      <c r="Y29" s="20" t="str">
        <f ca="1">Master_List!$AW$11</f>
        <v>HERMETICALLY SEAL</v>
      </c>
      <c r="Z29" s="20" t="str">
        <f ca="1">Master_List!$AW$12</f>
        <v>750kVA</v>
      </c>
      <c r="AA29" s="20" t="str">
        <f ca="1">Master_List!$AW$13</f>
        <v>1317</v>
      </c>
      <c r="AB29" s="20">
        <f ca="1">Master_List!$AW$14</f>
        <v>0</v>
      </c>
      <c r="AC29" s="20">
        <f ca="1">Master_List!$AW$15</f>
        <v>0</v>
      </c>
      <c r="AD29" s="20">
        <f ca="1">Master_List!$AW$16</f>
        <v>0</v>
      </c>
      <c r="AE29" s="20">
        <f ca="1">Master_List!$AW$17</f>
        <v>0</v>
      </c>
      <c r="AF29" s="20" t="str">
        <f ca="1">Master_List!$AW$18</f>
        <v>INDKOM</v>
      </c>
      <c r="AG29" s="20" t="str">
        <f ca="1">Master_List!$AW$19</f>
        <v>J-SLOTTED</v>
      </c>
      <c r="AH29" s="20" t="str">
        <f ca="1">Master_List!$AW$20</f>
        <v>1600A</v>
      </c>
      <c r="AI29" s="20" t="str">
        <f ca="1">Master_List!$AW$21</f>
        <v>LV5080090</v>
      </c>
      <c r="AJ29" s="20" t="str">
        <f ca="1">Master_List!$AW$22</f>
        <v>LVDB TX1</v>
      </c>
      <c r="AK29" s="20">
        <f ca="1">Master_List!$AW$23</f>
        <v>0</v>
      </c>
      <c r="AL29" s="20">
        <f ca="1">Master_List!$AW$24</f>
        <v>0</v>
      </c>
      <c r="AM29" s="20">
        <f ca="1">Master_List!$AW$25</f>
        <v>0</v>
      </c>
      <c r="AN29" s="20">
        <f ca="1">Master_List!$AW$26</f>
        <v>0</v>
      </c>
      <c r="AO29" s="20" t="str">
        <f ca="1">Master_List!$AW$27</f>
        <v>LVDB TX2</v>
      </c>
      <c r="AP29" s="20" t="str">
        <f ca="1">Master_List!$AW$28</f>
        <v>SUNPOWER TECHNOLOGIES</v>
      </c>
      <c r="AQ29" s="20" t="str">
        <f ca="1">Master_List!$AW$29</f>
        <v>SPS 30-10 L</v>
      </c>
      <c r="AR29" s="20" t="str">
        <f ca="1">Master_List!$AW$30</f>
        <v>11193-8527</v>
      </c>
      <c r="AS29" s="20">
        <f ca="1">Master_List!$AW$31</f>
        <v>0</v>
      </c>
      <c r="AT29" s="20">
        <f ca="1">Master_List!$AW$32</f>
        <v>0</v>
      </c>
      <c r="AU29" s="20">
        <f ca="1">Master_List!$AW$33</f>
        <v>0</v>
      </c>
      <c r="AV29" s="20">
        <f ca="1">Master_List!$AW$34</f>
        <v>0</v>
      </c>
      <c r="AW29" s="20">
        <f ca="1">Master_List!$AW$35</f>
        <v>0</v>
      </c>
      <c r="AX29" s="20">
        <f ca="1">Master_List!$AW$36</f>
        <v>0</v>
      </c>
      <c r="AY29" s="20">
        <f ca="1">Master_List!$AW$37</f>
        <v>0</v>
      </c>
      <c r="AZ29" s="20">
        <f ca="1">Master_List!$AW$38</f>
        <v>0</v>
      </c>
      <c r="BA29" s="20">
        <f ca="1">Master_List!$AW$39</f>
        <v>0</v>
      </c>
      <c r="BB29" s="20" t="s">
        <v>2240</v>
      </c>
      <c r="BC29" s="20" t="s">
        <v>2241</v>
      </c>
      <c r="BD29" s="6" t="s">
        <v>1744</v>
      </c>
      <c r="BE29" s="6" t="s">
        <v>1762</v>
      </c>
      <c r="BF29" s="6" t="s">
        <v>1748</v>
      </c>
      <c r="BG29" s="6" t="str">
        <f t="shared" si="1"/>
        <v>C:\Users\aremi\Desktop\REPORT CBM\PO 42289580 - Pahang 11kV SECOND CYCLE AZZAD 2026\RAW MATERIAL\047. TNB BARU (IR+VI)\RAW DATA\IR</v>
      </c>
      <c r="BH29" s="24" t="s">
        <v>1541</v>
      </c>
    </row>
    <row r="30" spans="1:60" ht="15" customHeight="1" x14ac:dyDescent="0.25">
      <c r="A30" s="6">
        <v>15</v>
      </c>
      <c r="B30" s="6" t="s">
        <v>1542</v>
      </c>
      <c r="C30" s="6">
        <v>1</v>
      </c>
      <c r="D30" s="6" t="s">
        <v>2263</v>
      </c>
      <c r="E30" s="6">
        <v>15</v>
      </c>
      <c r="F30" s="6" t="str">
        <f ca="1">Master_List!$AW$1</f>
        <v>PERPUSTAKAAN PUSAT</v>
      </c>
      <c r="G30" s="27" t="str">
        <f ca="1">Master_List!$AW$2</f>
        <v>09:30 PM</v>
      </c>
      <c r="H30" s="32" t="str">
        <f ca="1">Master_List!$AW$3</f>
        <v>20/07/2026</v>
      </c>
      <c r="I30" s="28" t="str">
        <f ca="1">Master_List!$AW$4</f>
        <v>28.5</v>
      </c>
      <c r="J30" s="6" t="str">
        <f ca="1">Master_List!$AW$5</f>
        <v>65</v>
      </c>
      <c r="K30" s="6" t="s">
        <v>576</v>
      </c>
      <c r="L30" s="22" t="str">
        <f ca="1">IFERROR(VLOOKUP(B30, Master_List!$A:$I, 2, FALSE), "-")</f>
        <v/>
      </c>
      <c r="M30" s="22" t="str">
        <f ca="1">IFERROR(VLOOKUP(B30, Master_List!$A:$I, 3, FALSE), "-")</f>
        <v/>
      </c>
      <c r="N30" s="22" t="str">
        <f ca="1">IFERROR(VLOOKUP(B30, Master_List!$A:$I, 4, FALSE), "-")</f>
        <v/>
      </c>
      <c r="O30" s="22" t="str">
        <f ca="1">IFERROR(VLOOKUP(B30, Master_List!$A:$I, 5, FALSE), "-")</f>
        <v/>
      </c>
      <c r="P30" s="22" t="str">
        <f ca="1">IFERROR(VLOOKUP(B30, Master_List!$A:$I, 6, FALSE), "-")</f>
        <v/>
      </c>
      <c r="Q30" s="22" t="str">
        <f ca="1">IFERROR(VLOOKUP(B30, Master_List!$A:$I, 7, FALSE), "-")</f>
        <v/>
      </c>
      <c r="R30" s="22" t="str">
        <f ca="1">IFERROR(VLOOKUP(B30, Master_List!$A:$I, 8, FALSE), "-")</f>
        <v/>
      </c>
      <c r="S30" s="22" t="str">
        <f ca="1">IFERROR(VLOOKUP(B30, Master_List!$A:$I, 9, FALSE), "-")</f>
        <v/>
      </c>
      <c r="T30" s="20" t="str">
        <f ca="1">Master_List!$AW$6</f>
        <v>TOSHIBA</v>
      </c>
      <c r="U30" s="20" t="str">
        <f ca="1">Master_List!$AW$7</f>
        <v>MRMU</v>
      </c>
      <c r="V30" s="20" t="str">
        <f ca="1">Master_List!$AW$8</f>
        <v>12kV</v>
      </c>
      <c r="W30" s="20" t="str">
        <f ca="1">Master_List!$AW$9</f>
        <v>2S1F</v>
      </c>
      <c r="X30" s="20" t="str">
        <f ca="1">Master_List!$AW$10</f>
        <v>MTM</v>
      </c>
      <c r="Y30" s="20" t="str">
        <f ca="1">Master_List!$AW$11</f>
        <v>HERMETICALLY SEAL</v>
      </c>
      <c r="Z30" s="20" t="str">
        <f ca="1">Master_List!$AW$12</f>
        <v>750kVA</v>
      </c>
      <c r="AA30" s="20" t="str">
        <f ca="1">Master_List!$AW$13</f>
        <v>1317</v>
      </c>
      <c r="AB30" s="20">
        <f ca="1">Master_List!$AW$14</f>
        <v>0</v>
      </c>
      <c r="AC30" s="20">
        <f ca="1">Master_List!$AW$15</f>
        <v>0</v>
      </c>
      <c r="AD30" s="20">
        <f ca="1">Master_List!$AW$16</f>
        <v>0</v>
      </c>
      <c r="AE30" s="20">
        <f ca="1">Master_List!$AW$17</f>
        <v>0</v>
      </c>
      <c r="AF30" s="20" t="str">
        <f ca="1">Master_List!$AW$18</f>
        <v>INDKOM</v>
      </c>
      <c r="AG30" s="20" t="str">
        <f ca="1">Master_List!$AW$19</f>
        <v>J-SLOTTED</v>
      </c>
      <c r="AH30" s="20" t="str">
        <f ca="1">Master_List!$AW$20</f>
        <v>1600A</v>
      </c>
      <c r="AI30" s="20" t="str">
        <f ca="1">Master_List!$AW$21</f>
        <v>LV5080090</v>
      </c>
      <c r="AJ30" s="20" t="str">
        <f ca="1">Master_List!$AW$22</f>
        <v>LVDB TX1</v>
      </c>
      <c r="AK30" s="20">
        <f ca="1">Master_List!$AW$23</f>
        <v>0</v>
      </c>
      <c r="AL30" s="20">
        <f ca="1">Master_List!$AW$24</f>
        <v>0</v>
      </c>
      <c r="AM30" s="20">
        <f ca="1">Master_List!$AW$25</f>
        <v>0</v>
      </c>
      <c r="AN30" s="20">
        <f ca="1">Master_List!$AW$26</f>
        <v>0</v>
      </c>
      <c r="AO30" s="20" t="str">
        <f ca="1">Master_List!$AW$27</f>
        <v>LVDB TX2</v>
      </c>
      <c r="AP30" s="20" t="str">
        <f ca="1">Master_List!$AW$28</f>
        <v>SUNPOWER TECHNOLOGIES</v>
      </c>
      <c r="AQ30" s="20" t="str">
        <f ca="1">Master_List!$AW$29</f>
        <v>SPS 30-10 L</v>
      </c>
      <c r="AR30" s="20" t="str">
        <f ca="1">Master_List!$AW$30</f>
        <v>11193-8527</v>
      </c>
      <c r="AS30" s="20">
        <f ca="1">Master_List!$AW$31</f>
        <v>0</v>
      </c>
      <c r="AT30" s="20">
        <f ca="1">Master_List!$AW$32</f>
        <v>0</v>
      </c>
      <c r="AU30" s="20">
        <f ca="1">Master_List!$AW$33</f>
        <v>0</v>
      </c>
      <c r="AV30" s="20">
        <f ca="1">Master_List!$AW$34</f>
        <v>0</v>
      </c>
      <c r="AW30" s="20">
        <f ca="1">Master_List!$AW$35</f>
        <v>0</v>
      </c>
      <c r="AX30" s="20">
        <f ca="1">Master_List!$AW$36</f>
        <v>0</v>
      </c>
      <c r="AY30" s="20">
        <f ca="1">Master_List!$AW$37</f>
        <v>0</v>
      </c>
      <c r="AZ30" s="20">
        <f ca="1">Master_List!$AW$38</f>
        <v>0</v>
      </c>
      <c r="BA30" s="20">
        <f ca="1">Master_List!$AW$39</f>
        <v>0</v>
      </c>
      <c r="BB30" s="20" t="s">
        <v>2240</v>
      </c>
      <c r="BC30" s="20" t="s">
        <v>2241</v>
      </c>
      <c r="BD30" s="6" t="s">
        <v>1744</v>
      </c>
      <c r="BE30" s="6" t="s">
        <v>1763</v>
      </c>
      <c r="BF30" s="6" t="s">
        <v>1746</v>
      </c>
      <c r="BG30" s="6" t="str">
        <f t="shared" si="1"/>
        <v>C:\Users\aremi\Desktop\REPORT CBM\PO 42289580 - Pahang 11kV SECOND CYCLE AZZAD 2026\RAW MATERIAL\047. TNB BARU (IR+VI)\RAW DATA\IR</v>
      </c>
      <c r="BH30" s="24" t="s">
        <v>1543</v>
      </c>
    </row>
    <row r="31" spans="1:60" ht="15" customHeight="1" x14ac:dyDescent="0.25">
      <c r="A31" s="6">
        <v>15</v>
      </c>
      <c r="B31" s="6" t="s">
        <v>1542</v>
      </c>
      <c r="C31" s="6">
        <v>1</v>
      </c>
      <c r="D31" s="6" t="s">
        <v>2263</v>
      </c>
      <c r="E31" s="6">
        <v>15</v>
      </c>
      <c r="F31" s="6" t="str">
        <f ca="1">Master_List!$AW$1</f>
        <v>PERPUSTAKAAN PUSAT</v>
      </c>
      <c r="G31" s="27" t="str">
        <f ca="1">Master_List!$AW$2</f>
        <v>09:30 PM</v>
      </c>
      <c r="H31" s="32" t="str">
        <f ca="1">Master_List!$AW$3</f>
        <v>20/07/2026</v>
      </c>
      <c r="I31" s="28" t="str">
        <f ca="1">Master_List!$AW$4</f>
        <v>28.5</v>
      </c>
      <c r="J31" s="6" t="str">
        <f ca="1">Master_List!$AW$5</f>
        <v>65</v>
      </c>
      <c r="K31" s="6" t="s">
        <v>576</v>
      </c>
      <c r="L31" s="22" t="str">
        <f ca="1">IFERROR(VLOOKUP(B31, Master_List!$A:$I, 2, FALSE), "-")</f>
        <v/>
      </c>
      <c r="M31" s="22" t="str">
        <f ca="1">IFERROR(VLOOKUP(B31, Master_List!$A:$I, 3, FALSE), "-")</f>
        <v/>
      </c>
      <c r="N31" s="22" t="str">
        <f ca="1">IFERROR(VLOOKUP(B31, Master_List!$A:$I, 4, FALSE), "-")</f>
        <v/>
      </c>
      <c r="O31" s="22" t="str">
        <f ca="1">IFERROR(VLOOKUP(B31, Master_List!$A:$I, 5, FALSE), "-")</f>
        <v/>
      </c>
      <c r="P31" s="22" t="str">
        <f ca="1">IFERROR(VLOOKUP(B31, Master_List!$A:$I, 6, FALSE), "-")</f>
        <v/>
      </c>
      <c r="Q31" s="22" t="str">
        <f ca="1">IFERROR(VLOOKUP(B31, Master_List!$A:$I, 7, FALSE), "-")</f>
        <v/>
      </c>
      <c r="R31" s="22" t="str">
        <f ca="1">IFERROR(VLOOKUP(B31, Master_List!$A:$I, 8, FALSE), "-")</f>
        <v/>
      </c>
      <c r="S31" s="22" t="str">
        <f ca="1">IFERROR(VLOOKUP(B31, Master_List!$A:$I, 9, FALSE), "-")</f>
        <v/>
      </c>
      <c r="T31" s="20" t="str">
        <f ca="1">Master_List!$AW$6</f>
        <v>TOSHIBA</v>
      </c>
      <c r="U31" s="20" t="str">
        <f ca="1">Master_List!$AW$7</f>
        <v>MRMU</v>
      </c>
      <c r="V31" s="20" t="str">
        <f ca="1">Master_List!$AW$8</f>
        <v>12kV</v>
      </c>
      <c r="W31" s="20" t="str">
        <f ca="1">Master_List!$AW$9</f>
        <v>2S1F</v>
      </c>
      <c r="X31" s="20" t="str">
        <f ca="1">Master_List!$AW$10</f>
        <v>MTM</v>
      </c>
      <c r="Y31" s="20" t="str">
        <f ca="1">Master_List!$AW$11</f>
        <v>HERMETICALLY SEAL</v>
      </c>
      <c r="Z31" s="20" t="str">
        <f ca="1">Master_List!$AW$12</f>
        <v>750kVA</v>
      </c>
      <c r="AA31" s="20" t="str">
        <f ca="1">Master_List!$AW$13</f>
        <v>1317</v>
      </c>
      <c r="AB31" s="20">
        <f ca="1">Master_List!$AW$14</f>
        <v>0</v>
      </c>
      <c r="AC31" s="20">
        <f ca="1">Master_List!$AW$15</f>
        <v>0</v>
      </c>
      <c r="AD31" s="20">
        <f ca="1">Master_List!$AW$16</f>
        <v>0</v>
      </c>
      <c r="AE31" s="20">
        <f ca="1">Master_List!$AW$17</f>
        <v>0</v>
      </c>
      <c r="AF31" s="20" t="str">
        <f ca="1">Master_List!$AW$18</f>
        <v>INDKOM</v>
      </c>
      <c r="AG31" s="20" t="str">
        <f ca="1">Master_List!$AW$19</f>
        <v>J-SLOTTED</v>
      </c>
      <c r="AH31" s="20" t="str">
        <f ca="1">Master_List!$AW$20</f>
        <v>1600A</v>
      </c>
      <c r="AI31" s="20" t="str">
        <f ca="1">Master_List!$AW$21</f>
        <v>LV5080090</v>
      </c>
      <c r="AJ31" s="20" t="str">
        <f ca="1">Master_List!$AW$22</f>
        <v>LVDB TX1</v>
      </c>
      <c r="AK31" s="20">
        <f ca="1">Master_List!$AW$23</f>
        <v>0</v>
      </c>
      <c r="AL31" s="20">
        <f ca="1">Master_List!$AW$24</f>
        <v>0</v>
      </c>
      <c r="AM31" s="20">
        <f ca="1">Master_List!$AW$25</f>
        <v>0</v>
      </c>
      <c r="AN31" s="20">
        <f ca="1">Master_List!$AW$26</f>
        <v>0</v>
      </c>
      <c r="AO31" s="20" t="str">
        <f ca="1">Master_List!$AW$27</f>
        <v>LVDB TX2</v>
      </c>
      <c r="AP31" s="20" t="str">
        <f ca="1">Master_List!$AW$28</f>
        <v>SUNPOWER TECHNOLOGIES</v>
      </c>
      <c r="AQ31" s="20" t="str">
        <f ca="1">Master_List!$AW$29</f>
        <v>SPS 30-10 L</v>
      </c>
      <c r="AR31" s="20" t="str">
        <f ca="1">Master_List!$AW$30</f>
        <v>11193-8527</v>
      </c>
      <c r="AS31" s="20">
        <f ca="1">Master_List!$AW$31</f>
        <v>0</v>
      </c>
      <c r="AT31" s="20">
        <f ca="1">Master_List!$AW$32</f>
        <v>0</v>
      </c>
      <c r="AU31" s="20">
        <f ca="1">Master_List!$AW$33</f>
        <v>0</v>
      </c>
      <c r="AV31" s="20">
        <f ca="1">Master_List!$AW$34</f>
        <v>0</v>
      </c>
      <c r="AW31" s="20">
        <f ca="1">Master_List!$AW$35</f>
        <v>0</v>
      </c>
      <c r="AX31" s="20">
        <f ca="1">Master_List!$AW$36</f>
        <v>0</v>
      </c>
      <c r="AY31" s="20">
        <f ca="1">Master_List!$AW$37</f>
        <v>0</v>
      </c>
      <c r="AZ31" s="20">
        <f ca="1">Master_List!$AW$38</f>
        <v>0</v>
      </c>
      <c r="BA31" s="20">
        <f ca="1">Master_List!$AW$39</f>
        <v>0</v>
      </c>
      <c r="BB31" s="20" t="s">
        <v>2240</v>
      </c>
      <c r="BC31" s="20" t="s">
        <v>2241</v>
      </c>
      <c r="BD31" s="6" t="s">
        <v>1744</v>
      </c>
      <c r="BE31" s="6" t="s">
        <v>1763</v>
      </c>
      <c r="BF31" s="6" t="s">
        <v>1748</v>
      </c>
      <c r="BG31" s="6" t="str">
        <f t="shared" si="1"/>
        <v>C:\Users\aremi\Desktop\REPORT CBM\PO 42289580 - Pahang 11kV SECOND CYCLE AZZAD 2026\RAW MATERIAL\047. TNB BARU (IR+VI)\RAW DATA\IR</v>
      </c>
      <c r="BH31" s="24" t="s">
        <v>1544</v>
      </c>
    </row>
    <row r="32" spans="1:60" ht="15" customHeight="1" x14ac:dyDescent="0.25">
      <c r="A32" s="6">
        <v>16</v>
      </c>
      <c r="B32" s="6" t="s">
        <v>1542</v>
      </c>
      <c r="C32" s="6">
        <v>1</v>
      </c>
      <c r="D32" s="6" t="s">
        <v>2263</v>
      </c>
      <c r="E32" s="6">
        <v>16</v>
      </c>
      <c r="F32" s="6" t="str">
        <f ca="1">Master_List!$AW$1</f>
        <v>PERPUSTAKAAN PUSAT</v>
      </c>
      <c r="G32" s="27" t="str">
        <f ca="1">Master_List!$AW$2</f>
        <v>09:30 PM</v>
      </c>
      <c r="H32" s="32" t="str">
        <f ca="1">Master_List!$AW$3</f>
        <v>20/07/2026</v>
      </c>
      <c r="I32" s="28" t="str">
        <f ca="1">Master_List!$AW$4</f>
        <v>28.5</v>
      </c>
      <c r="J32" s="6" t="str">
        <f ca="1">Master_List!$AW$5</f>
        <v>65</v>
      </c>
      <c r="K32" s="6" t="s">
        <v>585</v>
      </c>
      <c r="L32" s="22" t="str">
        <f ca="1">IFERROR(VLOOKUP(B32, Master_List!$A:$I, 2, FALSE), "-")</f>
        <v/>
      </c>
      <c r="M32" s="22" t="str">
        <f ca="1">IFERROR(VLOOKUP(B32, Master_List!$A:$I, 3, FALSE), "-")</f>
        <v/>
      </c>
      <c r="N32" s="22" t="str">
        <f ca="1">IFERROR(VLOOKUP(B32, Master_List!$A:$I, 4, FALSE), "-")</f>
        <v/>
      </c>
      <c r="O32" s="22" t="str">
        <f ca="1">IFERROR(VLOOKUP(B32, Master_List!$A:$I, 5, FALSE), "-")</f>
        <v/>
      </c>
      <c r="P32" s="22" t="str">
        <f ca="1">IFERROR(VLOOKUP(B32, Master_List!$A:$I, 6, FALSE), "-")</f>
        <v/>
      </c>
      <c r="Q32" s="22" t="str">
        <f ca="1">IFERROR(VLOOKUP(B32, Master_List!$A:$I, 7, FALSE), "-")</f>
        <v/>
      </c>
      <c r="R32" s="22" t="str">
        <f ca="1">IFERROR(VLOOKUP(B32, Master_List!$A:$I, 8, FALSE), "-")</f>
        <v/>
      </c>
      <c r="S32" s="22" t="str">
        <f ca="1">IFERROR(VLOOKUP(B32, Master_List!$A:$I, 9, FALSE), "-")</f>
        <v/>
      </c>
      <c r="T32" s="20" t="str">
        <f ca="1">Master_List!$AW$6</f>
        <v>TOSHIBA</v>
      </c>
      <c r="U32" s="20" t="str">
        <f ca="1">Master_List!$AW$7</f>
        <v>MRMU</v>
      </c>
      <c r="V32" s="20" t="str">
        <f ca="1">Master_List!$AW$8</f>
        <v>12kV</v>
      </c>
      <c r="W32" s="20" t="str">
        <f ca="1">Master_List!$AW$9</f>
        <v>2S1F</v>
      </c>
      <c r="X32" s="20" t="str">
        <f ca="1">Master_List!$AW$10</f>
        <v>MTM</v>
      </c>
      <c r="Y32" s="20" t="str">
        <f ca="1">Master_List!$AW$11</f>
        <v>HERMETICALLY SEAL</v>
      </c>
      <c r="Z32" s="20" t="str">
        <f ca="1">Master_List!$AW$12</f>
        <v>750kVA</v>
      </c>
      <c r="AA32" s="20" t="str">
        <f ca="1">Master_List!$AW$13</f>
        <v>1317</v>
      </c>
      <c r="AB32" s="20">
        <f ca="1">Master_List!$AW$14</f>
        <v>0</v>
      </c>
      <c r="AC32" s="20">
        <f ca="1">Master_List!$AW$15</f>
        <v>0</v>
      </c>
      <c r="AD32" s="20">
        <f ca="1">Master_List!$AW$16</f>
        <v>0</v>
      </c>
      <c r="AE32" s="20">
        <f ca="1">Master_List!$AW$17</f>
        <v>0</v>
      </c>
      <c r="AF32" s="20" t="str">
        <f ca="1">Master_List!$AW$18</f>
        <v>INDKOM</v>
      </c>
      <c r="AG32" s="20" t="str">
        <f ca="1">Master_List!$AW$19</f>
        <v>J-SLOTTED</v>
      </c>
      <c r="AH32" s="20" t="str">
        <f ca="1">Master_List!$AW$20</f>
        <v>1600A</v>
      </c>
      <c r="AI32" s="20" t="str">
        <f ca="1">Master_List!$AW$21</f>
        <v>LV5080090</v>
      </c>
      <c r="AJ32" s="20" t="str">
        <f ca="1">Master_List!$AW$22</f>
        <v>LVDB TX1</v>
      </c>
      <c r="AK32" s="20">
        <f ca="1">Master_List!$AW$23</f>
        <v>0</v>
      </c>
      <c r="AL32" s="20">
        <f ca="1">Master_List!$AW$24</f>
        <v>0</v>
      </c>
      <c r="AM32" s="20">
        <f ca="1">Master_List!$AW$25</f>
        <v>0</v>
      </c>
      <c r="AN32" s="20">
        <f ca="1">Master_List!$AW$26</f>
        <v>0</v>
      </c>
      <c r="AO32" s="20" t="str">
        <f ca="1">Master_List!$AW$27</f>
        <v>LVDB TX2</v>
      </c>
      <c r="AP32" s="20" t="str">
        <f ca="1">Master_List!$AW$28</f>
        <v>SUNPOWER TECHNOLOGIES</v>
      </c>
      <c r="AQ32" s="20" t="str">
        <f ca="1">Master_List!$AW$29</f>
        <v>SPS 30-10 L</v>
      </c>
      <c r="AR32" s="20" t="str">
        <f ca="1">Master_List!$AW$30</f>
        <v>11193-8527</v>
      </c>
      <c r="AS32" s="20">
        <f ca="1">Master_List!$AW$31</f>
        <v>0</v>
      </c>
      <c r="AT32" s="20">
        <f ca="1">Master_List!$AW$32</f>
        <v>0</v>
      </c>
      <c r="AU32" s="20">
        <f ca="1">Master_List!$AW$33</f>
        <v>0</v>
      </c>
      <c r="AV32" s="20">
        <f ca="1">Master_List!$AW$34</f>
        <v>0</v>
      </c>
      <c r="AW32" s="20">
        <f ca="1">Master_List!$AW$35</f>
        <v>0</v>
      </c>
      <c r="AX32" s="20">
        <f ca="1">Master_List!$AW$36</f>
        <v>0</v>
      </c>
      <c r="AY32" s="20">
        <f ca="1">Master_List!$AW$37</f>
        <v>0</v>
      </c>
      <c r="AZ32" s="20">
        <f ca="1">Master_List!$AW$38</f>
        <v>0</v>
      </c>
      <c r="BA32" s="20">
        <f ca="1">Master_List!$AW$39</f>
        <v>0</v>
      </c>
      <c r="BB32" s="20" t="s">
        <v>2240</v>
      </c>
      <c r="BC32" s="20" t="s">
        <v>2241</v>
      </c>
      <c r="BD32" s="6" t="s">
        <v>1744</v>
      </c>
      <c r="BE32" s="6" t="s">
        <v>1764</v>
      </c>
      <c r="BF32" s="6" t="s">
        <v>1746</v>
      </c>
      <c r="BG32" s="6" t="str">
        <f t="shared" si="1"/>
        <v>C:\Users\aremi\Desktop\REPORT CBM\PO 42289580 - Pahang 11kV SECOND CYCLE AZZAD 2026\RAW MATERIAL\047. TNB BARU (IR+VI)\RAW DATA\IR</v>
      </c>
      <c r="BH32" s="24" t="s">
        <v>1545</v>
      </c>
    </row>
    <row r="33" spans="1:60" ht="15" customHeight="1" x14ac:dyDescent="0.25">
      <c r="A33" s="6">
        <v>16</v>
      </c>
      <c r="B33" s="6" t="s">
        <v>1542</v>
      </c>
      <c r="C33" s="6">
        <v>1</v>
      </c>
      <c r="D33" s="6" t="s">
        <v>2263</v>
      </c>
      <c r="E33" s="6">
        <v>16</v>
      </c>
      <c r="F33" s="6" t="str">
        <f ca="1">Master_List!$AW$1</f>
        <v>PERPUSTAKAAN PUSAT</v>
      </c>
      <c r="G33" s="27" t="str">
        <f ca="1">Master_List!$AW$2</f>
        <v>09:30 PM</v>
      </c>
      <c r="H33" s="32" t="str">
        <f ca="1">Master_List!$AW$3</f>
        <v>20/07/2026</v>
      </c>
      <c r="I33" s="28" t="str">
        <f ca="1">Master_List!$AW$4</f>
        <v>28.5</v>
      </c>
      <c r="J33" s="6" t="str">
        <f ca="1">Master_List!$AW$5</f>
        <v>65</v>
      </c>
      <c r="K33" s="6" t="s">
        <v>585</v>
      </c>
      <c r="L33" s="22" t="str">
        <f ca="1">IFERROR(VLOOKUP(B33, Master_List!$A:$I, 2, FALSE), "-")</f>
        <v/>
      </c>
      <c r="M33" s="22" t="str">
        <f ca="1">IFERROR(VLOOKUP(B33, Master_List!$A:$I, 3, FALSE), "-")</f>
        <v/>
      </c>
      <c r="N33" s="22" t="str">
        <f ca="1">IFERROR(VLOOKUP(B33, Master_List!$A:$I, 4, FALSE), "-")</f>
        <v/>
      </c>
      <c r="O33" s="22" t="str">
        <f ca="1">IFERROR(VLOOKUP(B33, Master_List!$A:$I, 5, FALSE), "-")</f>
        <v/>
      </c>
      <c r="P33" s="22" t="str">
        <f ca="1">IFERROR(VLOOKUP(B33, Master_List!$A:$I, 6, FALSE), "-")</f>
        <v/>
      </c>
      <c r="Q33" s="22" t="str">
        <f ca="1">IFERROR(VLOOKUP(B33, Master_List!$A:$I, 7, FALSE), "-")</f>
        <v/>
      </c>
      <c r="R33" s="22" t="str">
        <f ca="1">IFERROR(VLOOKUP(B33, Master_List!$A:$I, 8, FALSE), "-")</f>
        <v/>
      </c>
      <c r="S33" s="22" t="str">
        <f ca="1">IFERROR(VLOOKUP(B33, Master_List!$A:$I, 9, FALSE), "-")</f>
        <v/>
      </c>
      <c r="T33" s="20" t="str">
        <f ca="1">Master_List!$AW$6</f>
        <v>TOSHIBA</v>
      </c>
      <c r="U33" s="20" t="str">
        <f ca="1">Master_List!$AW$7</f>
        <v>MRMU</v>
      </c>
      <c r="V33" s="20" t="str">
        <f ca="1">Master_List!$AW$8</f>
        <v>12kV</v>
      </c>
      <c r="W33" s="20" t="str">
        <f ca="1">Master_List!$AW$9</f>
        <v>2S1F</v>
      </c>
      <c r="X33" s="20" t="str">
        <f ca="1">Master_List!$AW$10</f>
        <v>MTM</v>
      </c>
      <c r="Y33" s="20" t="str">
        <f ca="1">Master_List!$AW$11</f>
        <v>HERMETICALLY SEAL</v>
      </c>
      <c r="Z33" s="20" t="str">
        <f ca="1">Master_List!$AW$12</f>
        <v>750kVA</v>
      </c>
      <c r="AA33" s="20" t="str">
        <f ca="1">Master_List!$AW$13</f>
        <v>1317</v>
      </c>
      <c r="AB33" s="20">
        <f ca="1">Master_List!$AW$14</f>
        <v>0</v>
      </c>
      <c r="AC33" s="20">
        <f ca="1">Master_List!$AW$15</f>
        <v>0</v>
      </c>
      <c r="AD33" s="20">
        <f ca="1">Master_List!$AW$16</f>
        <v>0</v>
      </c>
      <c r="AE33" s="20">
        <f ca="1">Master_List!$AW$17</f>
        <v>0</v>
      </c>
      <c r="AF33" s="20" t="str">
        <f ca="1">Master_List!$AW$18</f>
        <v>INDKOM</v>
      </c>
      <c r="AG33" s="20" t="str">
        <f ca="1">Master_List!$AW$19</f>
        <v>J-SLOTTED</v>
      </c>
      <c r="AH33" s="20" t="str">
        <f ca="1">Master_List!$AW$20</f>
        <v>1600A</v>
      </c>
      <c r="AI33" s="20" t="str">
        <f ca="1">Master_List!$AW$21</f>
        <v>LV5080090</v>
      </c>
      <c r="AJ33" s="20" t="str">
        <f ca="1">Master_List!$AW$22</f>
        <v>LVDB TX1</v>
      </c>
      <c r="AK33" s="20">
        <f ca="1">Master_List!$AW$23</f>
        <v>0</v>
      </c>
      <c r="AL33" s="20">
        <f ca="1">Master_List!$AW$24</f>
        <v>0</v>
      </c>
      <c r="AM33" s="20">
        <f ca="1">Master_List!$AW$25</f>
        <v>0</v>
      </c>
      <c r="AN33" s="20">
        <f ca="1">Master_List!$AW$26</f>
        <v>0</v>
      </c>
      <c r="AO33" s="20" t="str">
        <f ca="1">Master_List!$AW$27</f>
        <v>LVDB TX2</v>
      </c>
      <c r="AP33" s="20" t="str">
        <f ca="1">Master_List!$AW$28</f>
        <v>SUNPOWER TECHNOLOGIES</v>
      </c>
      <c r="AQ33" s="20" t="str">
        <f ca="1">Master_List!$AW$29</f>
        <v>SPS 30-10 L</v>
      </c>
      <c r="AR33" s="20" t="str">
        <f ca="1">Master_List!$AW$30</f>
        <v>11193-8527</v>
      </c>
      <c r="AS33" s="20">
        <f ca="1">Master_List!$AW$31</f>
        <v>0</v>
      </c>
      <c r="AT33" s="20">
        <f ca="1">Master_List!$AW$32</f>
        <v>0</v>
      </c>
      <c r="AU33" s="20">
        <f ca="1">Master_List!$AW$33</f>
        <v>0</v>
      </c>
      <c r="AV33" s="20">
        <f ca="1">Master_List!$AW$34</f>
        <v>0</v>
      </c>
      <c r="AW33" s="20">
        <f ca="1">Master_List!$AW$35</f>
        <v>0</v>
      </c>
      <c r="AX33" s="20">
        <f ca="1">Master_List!$AW$36</f>
        <v>0</v>
      </c>
      <c r="AY33" s="20">
        <f ca="1">Master_List!$AW$37</f>
        <v>0</v>
      </c>
      <c r="AZ33" s="20">
        <f ca="1">Master_List!$AW$38</f>
        <v>0</v>
      </c>
      <c r="BA33" s="20">
        <f ca="1">Master_List!$AW$39</f>
        <v>0</v>
      </c>
      <c r="BB33" s="20" t="s">
        <v>2240</v>
      </c>
      <c r="BC33" s="20" t="s">
        <v>2241</v>
      </c>
      <c r="BD33" s="6" t="s">
        <v>1744</v>
      </c>
      <c r="BE33" s="6" t="s">
        <v>1764</v>
      </c>
      <c r="BF33" s="6" t="s">
        <v>1748</v>
      </c>
      <c r="BG33" s="6" t="str">
        <f t="shared" si="1"/>
        <v>C:\Users\aremi\Desktop\REPORT CBM\PO 42289580 - Pahang 11kV SECOND CYCLE AZZAD 2026\RAW MATERIAL\047. TNB BARU (IR+VI)\RAW DATA\IR</v>
      </c>
      <c r="BH33" s="24" t="s">
        <v>1546</v>
      </c>
    </row>
    <row r="34" spans="1:60" ht="15" customHeight="1" x14ac:dyDescent="0.25">
      <c r="A34" s="6">
        <v>17</v>
      </c>
      <c r="B34" s="6" t="s">
        <v>1547</v>
      </c>
      <c r="C34" s="6">
        <v>1</v>
      </c>
      <c r="D34" s="6" t="s">
        <v>2263</v>
      </c>
      <c r="E34" s="6">
        <v>17</v>
      </c>
      <c r="F34" s="6" t="str">
        <f ca="1">Master_List!$AW$1</f>
        <v>PERPUSTAKAAN PUSAT</v>
      </c>
      <c r="G34" s="27" t="str">
        <f ca="1">Master_List!$AW$2</f>
        <v>09:30 PM</v>
      </c>
      <c r="H34" s="32" t="str">
        <f ca="1">Master_List!$AW$3</f>
        <v>20/07/2026</v>
      </c>
      <c r="I34" s="28" t="str">
        <f ca="1">Master_List!$AW$4</f>
        <v>28.5</v>
      </c>
      <c r="J34" s="6" t="str">
        <f ca="1">Master_List!$AW$5</f>
        <v>65</v>
      </c>
      <c r="K34" s="6" t="s">
        <v>576</v>
      </c>
      <c r="L34" s="22" t="str">
        <f ca="1">IFERROR(VLOOKUP(B34, Master_List!$A:$I, 2, FALSE), "-")</f>
        <v/>
      </c>
      <c r="M34" s="22" t="str">
        <f ca="1">IFERROR(VLOOKUP(B34, Master_List!$A:$I, 3, FALSE), "-")</f>
        <v/>
      </c>
      <c r="N34" s="22" t="str">
        <f ca="1">IFERROR(VLOOKUP(B34, Master_List!$A:$I, 4, FALSE), "-")</f>
        <v/>
      </c>
      <c r="O34" s="22" t="str">
        <f ca="1">IFERROR(VLOOKUP(B34, Master_List!$A:$I, 5, FALSE), "-")</f>
        <v/>
      </c>
      <c r="P34" s="22" t="str">
        <f ca="1">IFERROR(VLOOKUP(B34, Master_List!$A:$I, 6, FALSE), "-")</f>
        <v/>
      </c>
      <c r="Q34" s="22" t="str">
        <f ca="1">IFERROR(VLOOKUP(B34, Master_List!$A:$I, 7, FALSE), "-")</f>
        <v/>
      </c>
      <c r="R34" s="22" t="str">
        <f ca="1">IFERROR(VLOOKUP(B34, Master_List!$A:$I, 8, FALSE), "-")</f>
        <v/>
      </c>
      <c r="S34" s="22" t="str">
        <f ca="1">IFERROR(VLOOKUP(B34, Master_List!$A:$I, 9, FALSE), "-")</f>
        <v/>
      </c>
      <c r="T34" s="20" t="str">
        <f ca="1">Master_List!$AW$6</f>
        <v>TOSHIBA</v>
      </c>
      <c r="U34" s="20" t="str">
        <f ca="1">Master_List!$AW$7</f>
        <v>MRMU</v>
      </c>
      <c r="V34" s="20" t="str">
        <f ca="1">Master_List!$AW$8</f>
        <v>12kV</v>
      </c>
      <c r="W34" s="20" t="str">
        <f ca="1">Master_List!$AW$9</f>
        <v>2S1F</v>
      </c>
      <c r="X34" s="20" t="str">
        <f ca="1">Master_List!$AW$10</f>
        <v>MTM</v>
      </c>
      <c r="Y34" s="20" t="str">
        <f ca="1">Master_List!$AW$11</f>
        <v>HERMETICALLY SEAL</v>
      </c>
      <c r="Z34" s="20" t="str">
        <f ca="1">Master_List!$AW$12</f>
        <v>750kVA</v>
      </c>
      <c r="AA34" s="20" t="str">
        <f ca="1">Master_List!$AW$13</f>
        <v>1317</v>
      </c>
      <c r="AB34" s="20">
        <f ca="1">Master_List!$AW$14</f>
        <v>0</v>
      </c>
      <c r="AC34" s="20">
        <f ca="1">Master_List!$AW$15</f>
        <v>0</v>
      </c>
      <c r="AD34" s="20">
        <f ca="1">Master_List!$AW$16</f>
        <v>0</v>
      </c>
      <c r="AE34" s="20">
        <f ca="1">Master_List!$AW$17</f>
        <v>0</v>
      </c>
      <c r="AF34" s="20" t="str">
        <f ca="1">Master_List!$AW$18</f>
        <v>INDKOM</v>
      </c>
      <c r="AG34" s="20" t="str">
        <f ca="1">Master_List!$AW$19</f>
        <v>J-SLOTTED</v>
      </c>
      <c r="AH34" s="20" t="str">
        <f ca="1">Master_List!$AW$20</f>
        <v>1600A</v>
      </c>
      <c r="AI34" s="20" t="str">
        <f ca="1">Master_List!$AW$21</f>
        <v>LV5080090</v>
      </c>
      <c r="AJ34" s="20" t="str">
        <f ca="1">Master_List!$AW$22</f>
        <v>LVDB TX1</v>
      </c>
      <c r="AK34" s="20">
        <f ca="1">Master_List!$AW$23</f>
        <v>0</v>
      </c>
      <c r="AL34" s="20">
        <f ca="1">Master_List!$AW$24</f>
        <v>0</v>
      </c>
      <c r="AM34" s="20">
        <f ca="1">Master_List!$AW$25</f>
        <v>0</v>
      </c>
      <c r="AN34" s="20">
        <f ca="1">Master_List!$AW$26</f>
        <v>0</v>
      </c>
      <c r="AO34" s="20" t="str">
        <f ca="1">Master_List!$AW$27</f>
        <v>LVDB TX2</v>
      </c>
      <c r="AP34" s="20" t="str">
        <f ca="1">Master_List!$AW$28</f>
        <v>SUNPOWER TECHNOLOGIES</v>
      </c>
      <c r="AQ34" s="20" t="str">
        <f ca="1">Master_List!$AW$29</f>
        <v>SPS 30-10 L</v>
      </c>
      <c r="AR34" s="20" t="str">
        <f ca="1">Master_List!$AW$30</f>
        <v>11193-8527</v>
      </c>
      <c r="AS34" s="20">
        <f ca="1">Master_List!$AW$31</f>
        <v>0</v>
      </c>
      <c r="AT34" s="20">
        <f ca="1">Master_List!$AW$32</f>
        <v>0</v>
      </c>
      <c r="AU34" s="20">
        <f ca="1">Master_List!$AW$33</f>
        <v>0</v>
      </c>
      <c r="AV34" s="20">
        <f ca="1">Master_List!$AW$34</f>
        <v>0</v>
      </c>
      <c r="AW34" s="20">
        <f ca="1">Master_List!$AW$35</f>
        <v>0</v>
      </c>
      <c r="AX34" s="20">
        <f ca="1">Master_List!$AW$36</f>
        <v>0</v>
      </c>
      <c r="AY34" s="20">
        <f ca="1">Master_List!$AW$37</f>
        <v>0</v>
      </c>
      <c r="AZ34" s="20">
        <f ca="1">Master_List!$AW$38</f>
        <v>0</v>
      </c>
      <c r="BA34" s="20">
        <f ca="1">Master_List!$AW$39</f>
        <v>0</v>
      </c>
      <c r="BB34" s="20" t="s">
        <v>2240</v>
      </c>
      <c r="BC34" s="20" t="s">
        <v>2241</v>
      </c>
      <c r="BD34" s="6" t="s">
        <v>1744</v>
      </c>
      <c r="BE34" s="6" t="s">
        <v>1765</v>
      </c>
      <c r="BF34" s="6" t="s">
        <v>1746</v>
      </c>
      <c r="BG34" s="6" t="str">
        <f t="shared" si="1"/>
        <v>C:\Users\aremi\Desktop\REPORT CBM\PO 42289580 - Pahang 11kV SECOND CYCLE AZZAD 2026\RAW MATERIAL\047. TNB BARU (IR+VI)\RAW DATA\IR</v>
      </c>
      <c r="BH34" s="24" t="s">
        <v>1548</v>
      </c>
    </row>
    <row r="35" spans="1:60" ht="15" customHeight="1" x14ac:dyDescent="0.25">
      <c r="A35" s="6">
        <v>17</v>
      </c>
      <c r="B35" s="6" t="s">
        <v>1547</v>
      </c>
      <c r="C35" s="6">
        <v>1</v>
      </c>
      <c r="D35" s="6" t="s">
        <v>2263</v>
      </c>
      <c r="E35" s="6">
        <v>17</v>
      </c>
      <c r="F35" s="6" t="str">
        <f ca="1">Master_List!$AW$1</f>
        <v>PERPUSTAKAAN PUSAT</v>
      </c>
      <c r="G35" s="27" t="str">
        <f ca="1">Master_List!$AW$2</f>
        <v>09:30 PM</v>
      </c>
      <c r="H35" s="32" t="str">
        <f ca="1">Master_List!$AW$3</f>
        <v>20/07/2026</v>
      </c>
      <c r="I35" s="28" t="str">
        <f ca="1">Master_List!$AW$4</f>
        <v>28.5</v>
      </c>
      <c r="J35" s="6" t="str">
        <f ca="1">Master_List!$AW$5</f>
        <v>65</v>
      </c>
      <c r="K35" s="6" t="s">
        <v>576</v>
      </c>
      <c r="L35" s="22" t="str">
        <f ca="1">IFERROR(VLOOKUP(B35, Master_List!$A:$I, 2, FALSE), "-")</f>
        <v/>
      </c>
      <c r="M35" s="22" t="str">
        <f ca="1">IFERROR(VLOOKUP(B35, Master_List!$A:$I, 3, FALSE), "-")</f>
        <v/>
      </c>
      <c r="N35" s="22" t="str">
        <f ca="1">IFERROR(VLOOKUP(B35, Master_List!$A:$I, 4, FALSE), "-")</f>
        <v/>
      </c>
      <c r="O35" s="22" t="str">
        <f ca="1">IFERROR(VLOOKUP(B35, Master_List!$A:$I, 5, FALSE), "-")</f>
        <v/>
      </c>
      <c r="P35" s="22" t="str">
        <f ca="1">IFERROR(VLOOKUP(B35, Master_List!$A:$I, 6, FALSE), "-")</f>
        <v/>
      </c>
      <c r="Q35" s="22" t="str">
        <f ca="1">IFERROR(VLOOKUP(B35, Master_List!$A:$I, 7, FALSE), "-")</f>
        <v/>
      </c>
      <c r="R35" s="22" t="str">
        <f ca="1">IFERROR(VLOOKUP(B35, Master_List!$A:$I, 8, FALSE), "-")</f>
        <v/>
      </c>
      <c r="S35" s="22" t="str">
        <f ca="1">IFERROR(VLOOKUP(B35, Master_List!$A:$I, 9, FALSE), "-")</f>
        <v/>
      </c>
      <c r="T35" s="20" t="str">
        <f ca="1">Master_List!$AW$6</f>
        <v>TOSHIBA</v>
      </c>
      <c r="U35" s="20" t="str">
        <f ca="1">Master_List!$AW$7</f>
        <v>MRMU</v>
      </c>
      <c r="V35" s="20" t="str">
        <f ca="1">Master_List!$AW$8</f>
        <v>12kV</v>
      </c>
      <c r="W35" s="20" t="str">
        <f ca="1">Master_List!$AW$9</f>
        <v>2S1F</v>
      </c>
      <c r="X35" s="20" t="str">
        <f ca="1">Master_List!$AW$10</f>
        <v>MTM</v>
      </c>
      <c r="Y35" s="20" t="str">
        <f ca="1">Master_List!$AW$11</f>
        <v>HERMETICALLY SEAL</v>
      </c>
      <c r="Z35" s="20" t="str">
        <f ca="1">Master_List!$AW$12</f>
        <v>750kVA</v>
      </c>
      <c r="AA35" s="20" t="str">
        <f ca="1">Master_List!$AW$13</f>
        <v>1317</v>
      </c>
      <c r="AB35" s="20">
        <f ca="1">Master_List!$AW$14</f>
        <v>0</v>
      </c>
      <c r="AC35" s="20">
        <f ca="1">Master_List!$AW$15</f>
        <v>0</v>
      </c>
      <c r="AD35" s="20">
        <f ca="1">Master_List!$AW$16</f>
        <v>0</v>
      </c>
      <c r="AE35" s="20">
        <f ca="1">Master_List!$AW$17</f>
        <v>0</v>
      </c>
      <c r="AF35" s="20" t="str">
        <f ca="1">Master_List!$AW$18</f>
        <v>INDKOM</v>
      </c>
      <c r="AG35" s="20" t="str">
        <f ca="1">Master_List!$AW$19</f>
        <v>J-SLOTTED</v>
      </c>
      <c r="AH35" s="20" t="str">
        <f ca="1">Master_List!$AW$20</f>
        <v>1600A</v>
      </c>
      <c r="AI35" s="20" t="str">
        <f ca="1">Master_List!$AW$21</f>
        <v>LV5080090</v>
      </c>
      <c r="AJ35" s="20" t="str">
        <f ca="1">Master_List!$AW$22</f>
        <v>LVDB TX1</v>
      </c>
      <c r="AK35" s="20">
        <f ca="1">Master_List!$AW$23</f>
        <v>0</v>
      </c>
      <c r="AL35" s="20">
        <f ca="1">Master_List!$AW$24</f>
        <v>0</v>
      </c>
      <c r="AM35" s="20">
        <f ca="1">Master_List!$AW$25</f>
        <v>0</v>
      </c>
      <c r="AN35" s="20">
        <f ca="1">Master_List!$AW$26</f>
        <v>0</v>
      </c>
      <c r="AO35" s="20" t="str">
        <f ca="1">Master_List!$AW$27</f>
        <v>LVDB TX2</v>
      </c>
      <c r="AP35" s="20" t="str">
        <f ca="1">Master_List!$AW$28</f>
        <v>SUNPOWER TECHNOLOGIES</v>
      </c>
      <c r="AQ35" s="20" t="str">
        <f ca="1">Master_List!$AW$29</f>
        <v>SPS 30-10 L</v>
      </c>
      <c r="AR35" s="20" t="str">
        <f ca="1">Master_List!$AW$30</f>
        <v>11193-8527</v>
      </c>
      <c r="AS35" s="20">
        <f ca="1">Master_List!$AW$31</f>
        <v>0</v>
      </c>
      <c r="AT35" s="20">
        <f ca="1">Master_List!$AW$32</f>
        <v>0</v>
      </c>
      <c r="AU35" s="20">
        <f ca="1">Master_List!$AW$33</f>
        <v>0</v>
      </c>
      <c r="AV35" s="20">
        <f ca="1">Master_List!$AW$34</f>
        <v>0</v>
      </c>
      <c r="AW35" s="20">
        <f ca="1">Master_List!$AW$35</f>
        <v>0</v>
      </c>
      <c r="AX35" s="20">
        <f ca="1">Master_List!$AW$36</f>
        <v>0</v>
      </c>
      <c r="AY35" s="20">
        <f ca="1">Master_List!$AW$37</f>
        <v>0</v>
      </c>
      <c r="AZ35" s="20">
        <f ca="1">Master_List!$AW$38</f>
        <v>0</v>
      </c>
      <c r="BA35" s="20">
        <f ca="1">Master_List!$AW$39</f>
        <v>0</v>
      </c>
      <c r="BB35" s="20" t="s">
        <v>2240</v>
      </c>
      <c r="BC35" s="20" t="s">
        <v>2241</v>
      </c>
      <c r="BD35" s="6" t="s">
        <v>1744</v>
      </c>
      <c r="BE35" s="6" t="s">
        <v>1765</v>
      </c>
      <c r="BF35" s="6" t="s">
        <v>1748</v>
      </c>
      <c r="BG35" s="6" t="str">
        <f t="shared" ref="BG35:BG66" si="2">BG34</f>
        <v>C:\Users\aremi\Desktop\REPORT CBM\PO 42289580 - Pahang 11kV SECOND CYCLE AZZAD 2026\RAW MATERIAL\047. TNB BARU (IR+VI)\RAW DATA\IR</v>
      </c>
      <c r="BH35" s="24" t="s">
        <v>1549</v>
      </c>
    </row>
    <row r="36" spans="1:60" ht="15" customHeight="1" x14ac:dyDescent="0.25">
      <c r="A36" s="6">
        <v>18</v>
      </c>
      <c r="B36" s="6" t="s">
        <v>1547</v>
      </c>
      <c r="C36" s="6">
        <v>1</v>
      </c>
      <c r="D36" s="6" t="s">
        <v>2263</v>
      </c>
      <c r="E36" s="6">
        <v>18</v>
      </c>
      <c r="F36" s="6" t="str">
        <f ca="1">Master_List!$AW$1</f>
        <v>PERPUSTAKAAN PUSAT</v>
      </c>
      <c r="G36" s="27" t="str">
        <f ca="1">Master_List!$AW$2</f>
        <v>09:30 PM</v>
      </c>
      <c r="H36" s="32" t="str">
        <f ca="1">Master_List!$AW$3</f>
        <v>20/07/2026</v>
      </c>
      <c r="I36" s="28" t="str">
        <f ca="1">Master_List!$AW$4</f>
        <v>28.5</v>
      </c>
      <c r="J36" s="6" t="str">
        <f ca="1">Master_List!$AW$5</f>
        <v>65</v>
      </c>
      <c r="K36" s="6" t="s">
        <v>585</v>
      </c>
      <c r="L36" s="22" t="str">
        <f ca="1">IFERROR(VLOOKUP(B36, Master_List!$A:$I, 2, FALSE), "-")</f>
        <v/>
      </c>
      <c r="M36" s="22" t="str">
        <f ca="1">IFERROR(VLOOKUP(B36, Master_List!$A:$I, 3, FALSE), "-")</f>
        <v/>
      </c>
      <c r="N36" s="22" t="str">
        <f ca="1">IFERROR(VLOOKUP(B36, Master_List!$A:$I, 4, FALSE), "-")</f>
        <v/>
      </c>
      <c r="O36" s="22" t="str">
        <f ca="1">IFERROR(VLOOKUP(B36, Master_List!$A:$I, 5, FALSE), "-")</f>
        <v/>
      </c>
      <c r="P36" s="22" t="str">
        <f ca="1">IFERROR(VLOOKUP(B36, Master_List!$A:$I, 6, FALSE), "-")</f>
        <v/>
      </c>
      <c r="Q36" s="22" t="str">
        <f ca="1">IFERROR(VLOOKUP(B36, Master_List!$A:$I, 7, FALSE), "-")</f>
        <v/>
      </c>
      <c r="R36" s="22" t="str">
        <f ca="1">IFERROR(VLOOKUP(B36, Master_List!$A:$I, 8, FALSE), "-")</f>
        <v/>
      </c>
      <c r="S36" s="22" t="str">
        <f ca="1">IFERROR(VLOOKUP(B36, Master_List!$A:$I, 9, FALSE), "-")</f>
        <v/>
      </c>
      <c r="T36" s="20" t="str">
        <f ca="1">Master_List!$AW$6</f>
        <v>TOSHIBA</v>
      </c>
      <c r="U36" s="20" t="str">
        <f ca="1">Master_List!$AW$7</f>
        <v>MRMU</v>
      </c>
      <c r="V36" s="20" t="str">
        <f ca="1">Master_List!$AW$8</f>
        <v>12kV</v>
      </c>
      <c r="W36" s="20" t="str">
        <f ca="1">Master_List!$AW$9</f>
        <v>2S1F</v>
      </c>
      <c r="X36" s="20" t="str">
        <f ca="1">Master_List!$AW$10</f>
        <v>MTM</v>
      </c>
      <c r="Y36" s="20" t="str">
        <f ca="1">Master_List!$AW$11</f>
        <v>HERMETICALLY SEAL</v>
      </c>
      <c r="Z36" s="20" t="str">
        <f ca="1">Master_List!$AW$12</f>
        <v>750kVA</v>
      </c>
      <c r="AA36" s="20" t="str">
        <f ca="1">Master_List!$AW$13</f>
        <v>1317</v>
      </c>
      <c r="AB36" s="20">
        <f ca="1">Master_List!$AW$14</f>
        <v>0</v>
      </c>
      <c r="AC36" s="20">
        <f ca="1">Master_List!$AW$15</f>
        <v>0</v>
      </c>
      <c r="AD36" s="20">
        <f ca="1">Master_List!$AW$16</f>
        <v>0</v>
      </c>
      <c r="AE36" s="20">
        <f ca="1">Master_List!$AW$17</f>
        <v>0</v>
      </c>
      <c r="AF36" s="20" t="str">
        <f ca="1">Master_List!$AW$18</f>
        <v>INDKOM</v>
      </c>
      <c r="AG36" s="20" t="str">
        <f ca="1">Master_List!$AW$19</f>
        <v>J-SLOTTED</v>
      </c>
      <c r="AH36" s="20" t="str">
        <f ca="1">Master_List!$AW$20</f>
        <v>1600A</v>
      </c>
      <c r="AI36" s="20" t="str">
        <f ca="1">Master_List!$AW$21</f>
        <v>LV5080090</v>
      </c>
      <c r="AJ36" s="20" t="str">
        <f ca="1">Master_List!$AW$22</f>
        <v>LVDB TX1</v>
      </c>
      <c r="AK36" s="20">
        <f ca="1">Master_List!$AW$23</f>
        <v>0</v>
      </c>
      <c r="AL36" s="20">
        <f ca="1">Master_List!$AW$24</f>
        <v>0</v>
      </c>
      <c r="AM36" s="20">
        <f ca="1">Master_List!$AW$25</f>
        <v>0</v>
      </c>
      <c r="AN36" s="20">
        <f ca="1">Master_List!$AW$26</f>
        <v>0</v>
      </c>
      <c r="AO36" s="20" t="str">
        <f ca="1">Master_List!$AW$27</f>
        <v>LVDB TX2</v>
      </c>
      <c r="AP36" s="20" t="str">
        <f ca="1">Master_List!$AW$28</f>
        <v>SUNPOWER TECHNOLOGIES</v>
      </c>
      <c r="AQ36" s="20" t="str">
        <f ca="1">Master_List!$AW$29</f>
        <v>SPS 30-10 L</v>
      </c>
      <c r="AR36" s="20" t="str">
        <f ca="1">Master_List!$AW$30</f>
        <v>11193-8527</v>
      </c>
      <c r="AS36" s="20">
        <f ca="1">Master_List!$AW$31</f>
        <v>0</v>
      </c>
      <c r="AT36" s="20">
        <f ca="1">Master_List!$AW$32</f>
        <v>0</v>
      </c>
      <c r="AU36" s="20">
        <f ca="1">Master_List!$AW$33</f>
        <v>0</v>
      </c>
      <c r="AV36" s="20">
        <f ca="1">Master_List!$AW$34</f>
        <v>0</v>
      </c>
      <c r="AW36" s="20">
        <f ca="1">Master_List!$AW$35</f>
        <v>0</v>
      </c>
      <c r="AX36" s="20">
        <f ca="1">Master_List!$AW$36</f>
        <v>0</v>
      </c>
      <c r="AY36" s="20">
        <f ca="1">Master_List!$AW$37</f>
        <v>0</v>
      </c>
      <c r="AZ36" s="20">
        <f ca="1">Master_List!$AW$38</f>
        <v>0</v>
      </c>
      <c r="BA36" s="20">
        <f ca="1">Master_List!$AW$39</f>
        <v>0</v>
      </c>
      <c r="BB36" s="20" t="s">
        <v>2240</v>
      </c>
      <c r="BC36" s="20" t="s">
        <v>2241</v>
      </c>
      <c r="BD36" s="6" t="s">
        <v>1744</v>
      </c>
      <c r="BE36" s="6" t="s">
        <v>1766</v>
      </c>
      <c r="BF36" s="6" t="s">
        <v>1746</v>
      </c>
      <c r="BG36" s="6" t="str">
        <f t="shared" si="2"/>
        <v>C:\Users\aremi\Desktop\REPORT CBM\PO 42289580 - Pahang 11kV SECOND CYCLE AZZAD 2026\RAW MATERIAL\047. TNB BARU (IR+VI)\RAW DATA\IR</v>
      </c>
      <c r="BH36" s="24" t="s">
        <v>1550</v>
      </c>
    </row>
    <row r="37" spans="1:60" ht="15" customHeight="1" x14ac:dyDescent="0.25">
      <c r="A37" s="6">
        <v>18</v>
      </c>
      <c r="B37" s="6" t="s">
        <v>1547</v>
      </c>
      <c r="C37" s="6">
        <v>1</v>
      </c>
      <c r="D37" s="6" t="s">
        <v>2263</v>
      </c>
      <c r="E37" s="6">
        <v>18</v>
      </c>
      <c r="F37" s="6" t="str">
        <f ca="1">Master_List!$AW$1</f>
        <v>PERPUSTAKAAN PUSAT</v>
      </c>
      <c r="G37" s="27" t="str">
        <f ca="1">Master_List!$AW$2</f>
        <v>09:30 PM</v>
      </c>
      <c r="H37" s="32" t="str">
        <f ca="1">Master_List!$AW$3</f>
        <v>20/07/2026</v>
      </c>
      <c r="I37" s="28" t="str">
        <f ca="1">Master_List!$AW$4</f>
        <v>28.5</v>
      </c>
      <c r="J37" s="6" t="str">
        <f ca="1">Master_List!$AW$5</f>
        <v>65</v>
      </c>
      <c r="K37" s="6" t="s">
        <v>585</v>
      </c>
      <c r="L37" s="22" t="str">
        <f ca="1">IFERROR(VLOOKUP(B37, Master_List!$A:$I, 2, FALSE), "-")</f>
        <v/>
      </c>
      <c r="M37" s="22" t="str">
        <f ca="1">IFERROR(VLOOKUP(B37, Master_List!$A:$I, 3, FALSE), "-")</f>
        <v/>
      </c>
      <c r="N37" s="22" t="str">
        <f ca="1">IFERROR(VLOOKUP(B37, Master_List!$A:$I, 4, FALSE), "-")</f>
        <v/>
      </c>
      <c r="O37" s="22" t="str">
        <f ca="1">IFERROR(VLOOKUP(B37, Master_List!$A:$I, 5, FALSE), "-")</f>
        <v/>
      </c>
      <c r="P37" s="22" t="str">
        <f ca="1">IFERROR(VLOOKUP(B37, Master_List!$A:$I, 6, FALSE), "-")</f>
        <v/>
      </c>
      <c r="Q37" s="22" t="str">
        <f ca="1">IFERROR(VLOOKUP(B37, Master_List!$A:$I, 7, FALSE), "-")</f>
        <v/>
      </c>
      <c r="R37" s="22" t="str">
        <f ca="1">IFERROR(VLOOKUP(B37, Master_List!$A:$I, 8, FALSE), "-")</f>
        <v/>
      </c>
      <c r="S37" s="22" t="str">
        <f ca="1">IFERROR(VLOOKUP(B37, Master_List!$A:$I, 9, FALSE), "-")</f>
        <v/>
      </c>
      <c r="T37" s="20" t="str">
        <f ca="1">Master_List!$AW$6</f>
        <v>TOSHIBA</v>
      </c>
      <c r="U37" s="20" t="str">
        <f ca="1">Master_List!$AW$7</f>
        <v>MRMU</v>
      </c>
      <c r="V37" s="20" t="str">
        <f ca="1">Master_List!$AW$8</f>
        <v>12kV</v>
      </c>
      <c r="W37" s="20" t="str">
        <f ca="1">Master_List!$AW$9</f>
        <v>2S1F</v>
      </c>
      <c r="X37" s="20" t="str">
        <f ca="1">Master_List!$AW$10</f>
        <v>MTM</v>
      </c>
      <c r="Y37" s="20" t="str">
        <f ca="1">Master_List!$AW$11</f>
        <v>HERMETICALLY SEAL</v>
      </c>
      <c r="Z37" s="20" t="str">
        <f ca="1">Master_List!$AW$12</f>
        <v>750kVA</v>
      </c>
      <c r="AA37" s="20" t="str">
        <f ca="1">Master_List!$AW$13</f>
        <v>1317</v>
      </c>
      <c r="AB37" s="20">
        <f ca="1">Master_List!$AW$14</f>
        <v>0</v>
      </c>
      <c r="AC37" s="20">
        <f ca="1">Master_List!$AW$15</f>
        <v>0</v>
      </c>
      <c r="AD37" s="20">
        <f ca="1">Master_List!$AW$16</f>
        <v>0</v>
      </c>
      <c r="AE37" s="20">
        <f ca="1">Master_List!$AW$17</f>
        <v>0</v>
      </c>
      <c r="AF37" s="20" t="str">
        <f ca="1">Master_List!$AW$18</f>
        <v>INDKOM</v>
      </c>
      <c r="AG37" s="20" t="str">
        <f ca="1">Master_List!$AW$19</f>
        <v>J-SLOTTED</v>
      </c>
      <c r="AH37" s="20" t="str">
        <f ca="1">Master_List!$AW$20</f>
        <v>1600A</v>
      </c>
      <c r="AI37" s="20" t="str">
        <f ca="1">Master_List!$AW$21</f>
        <v>LV5080090</v>
      </c>
      <c r="AJ37" s="20" t="str">
        <f ca="1">Master_List!$AW$22</f>
        <v>LVDB TX1</v>
      </c>
      <c r="AK37" s="20">
        <f ca="1">Master_List!$AW$23</f>
        <v>0</v>
      </c>
      <c r="AL37" s="20">
        <f ca="1">Master_List!$AW$24</f>
        <v>0</v>
      </c>
      <c r="AM37" s="20">
        <f ca="1">Master_List!$AW$25</f>
        <v>0</v>
      </c>
      <c r="AN37" s="20">
        <f ca="1">Master_List!$AW$26</f>
        <v>0</v>
      </c>
      <c r="AO37" s="20" t="str">
        <f ca="1">Master_List!$AW$27</f>
        <v>LVDB TX2</v>
      </c>
      <c r="AP37" s="20" t="str">
        <f ca="1">Master_List!$AW$28</f>
        <v>SUNPOWER TECHNOLOGIES</v>
      </c>
      <c r="AQ37" s="20" t="str">
        <f ca="1">Master_List!$AW$29</f>
        <v>SPS 30-10 L</v>
      </c>
      <c r="AR37" s="20" t="str">
        <f ca="1">Master_List!$AW$30</f>
        <v>11193-8527</v>
      </c>
      <c r="AS37" s="20">
        <f ca="1">Master_List!$AW$31</f>
        <v>0</v>
      </c>
      <c r="AT37" s="20">
        <f ca="1">Master_List!$AW$32</f>
        <v>0</v>
      </c>
      <c r="AU37" s="20">
        <f ca="1">Master_List!$AW$33</f>
        <v>0</v>
      </c>
      <c r="AV37" s="20">
        <f ca="1">Master_List!$AW$34</f>
        <v>0</v>
      </c>
      <c r="AW37" s="20">
        <f ca="1">Master_List!$AW$35</f>
        <v>0</v>
      </c>
      <c r="AX37" s="20">
        <f ca="1">Master_List!$AW$36</f>
        <v>0</v>
      </c>
      <c r="AY37" s="20">
        <f ca="1">Master_List!$AW$37</f>
        <v>0</v>
      </c>
      <c r="AZ37" s="20">
        <f ca="1">Master_List!$AW$38</f>
        <v>0</v>
      </c>
      <c r="BA37" s="20">
        <f ca="1">Master_List!$AW$39</f>
        <v>0</v>
      </c>
      <c r="BB37" s="20" t="s">
        <v>2240</v>
      </c>
      <c r="BC37" s="20" t="s">
        <v>2241</v>
      </c>
      <c r="BD37" s="6" t="s">
        <v>1744</v>
      </c>
      <c r="BE37" s="6" t="s">
        <v>1766</v>
      </c>
      <c r="BF37" s="6" t="s">
        <v>1748</v>
      </c>
      <c r="BG37" s="6" t="str">
        <f t="shared" si="2"/>
        <v>C:\Users\aremi\Desktop\REPORT CBM\PO 42289580 - Pahang 11kV SECOND CYCLE AZZAD 2026\RAW MATERIAL\047. TNB BARU (IR+VI)\RAW DATA\IR</v>
      </c>
      <c r="BH37" s="24" t="s">
        <v>1551</v>
      </c>
    </row>
    <row r="38" spans="1:60" ht="15" customHeight="1" x14ac:dyDescent="0.25">
      <c r="A38" s="6">
        <v>19</v>
      </c>
      <c r="B38" s="6" t="s">
        <v>1552</v>
      </c>
      <c r="C38" s="6">
        <v>1</v>
      </c>
      <c r="D38" s="6" t="s">
        <v>2263</v>
      </c>
      <c r="E38" s="6">
        <v>19</v>
      </c>
      <c r="F38" s="6" t="str">
        <f ca="1">Master_List!$AW$1</f>
        <v>PERPUSTAKAAN PUSAT</v>
      </c>
      <c r="G38" s="27" t="str">
        <f ca="1">Master_List!$AW$2</f>
        <v>09:30 PM</v>
      </c>
      <c r="H38" s="32" t="str">
        <f ca="1">Master_List!$AW$3</f>
        <v>20/07/2026</v>
      </c>
      <c r="I38" s="28" t="str">
        <f ca="1">Master_List!$AW$4</f>
        <v>28.5</v>
      </c>
      <c r="J38" s="6" t="str">
        <f ca="1">Master_List!$AW$5</f>
        <v>65</v>
      </c>
      <c r="K38" s="6" t="s">
        <v>576</v>
      </c>
      <c r="L38" s="22" t="str">
        <f ca="1">IFERROR(VLOOKUP(B38, Master_List!$A:$I, 2, FALSE), "-")</f>
        <v/>
      </c>
      <c r="M38" s="22" t="str">
        <f ca="1">IFERROR(VLOOKUP(B38, Master_List!$A:$I, 3, FALSE), "-")</f>
        <v/>
      </c>
      <c r="N38" s="22" t="str">
        <f ca="1">IFERROR(VLOOKUP(B38, Master_List!$A:$I, 4, FALSE), "-")</f>
        <v/>
      </c>
      <c r="O38" s="22" t="str">
        <f ca="1">IFERROR(VLOOKUP(B38, Master_List!$A:$I, 5, FALSE), "-")</f>
        <v/>
      </c>
      <c r="P38" s="22" t="str">
        <f ca="1">IFERROR(VLOOKUP(B38, Master_List!$A:$I, 6, FALSE), "-")</f>
        <v/>
      </c>
      <c r="Q38" s="22" t="str">
        <f ca="1">IFERROR(VLOOKUP(B38, Master_List!$A:$I, 7, FALSE), "-")</f>
        <v/>
      </c>
      <c r="R38" s="22" t="str">
        <f ca="1">IFERROR(VLOOKUP(B38, Master_List!$A:$I, 8, FALSE), "-")</f>
        <v/>
      </c>
      <c r="S38" s="22" t="str">
        <f ca="1">IFERROR(VLOOKUP(B38, Master_List!$A:$I, 9, FALSE), "-")</f>
        <v/>
      </c>
      <c r="T38" s="20" t="str">
        <f ca="1">Master_List!$AW$6</f>
        <v>TOSHIBA</v>
      </c>
      <c r="U38" s="20" t="str">
        <f ca="1">Master_List!$AW$7</f>
        <v>MRMU</v>
      </c>
      <c r="V38" s="20" t="str">
        <f ca="1">Master_List!$AW$8</f>
        <v>12kV</v>
      </c>
      <c r="W38" s="20" t="str">
        <f ca="1">Master_List!$AW$9</f>
        <v>2S1F</v>
      </c>
      <c r="X38" s="20" t="str">
        <f ca="1">Master_List!$AW$10</f>
        <v>MTM</v>
      </c>
      <c r="Y38" s="20" t="str">
        <f ca="1">Master_List!$AW$11</f>
        <v>HERMETICALLY SEAL</v>
      </c>
      <c r="Z38" s="20" t="str">
        <f ca="1">Master_List!$AW$12</f>
        <v>750kVA</v>
      </c>
      <c r="AA38" s="20" t="str">
        <f ca="1">Master_List!$AW$13</f>
        <v>1317</v>
      </c>
      <c r="AB38" s="20">
        <f ca="1">Master_List!$AW$14</f>
        <v>0</v>
      </c>
      <c r="AC38" s="20">
        <f ca="1">Master_List!$AW$15</f>
        <v>0</v>
      </c>
      <c r="AD38" s="20">
        <f ca="1">Master_List!$AW$16</f>
        <v>0</v>
      </c>
      <c r="AE38" s="20">
        <f ca="1">Master_List!$AW$17</f>
        <v>0</v>
      </c>
      <c r="AF38" s="20" t="str">
        <f ca="1">Master_List!$AW$18</f>
        <v>INDKOM</v>
      </c>
      <c r="AG38" s="20" t="str">
        <f ca="1">Master_List!$AW$19</f>
        <v>J-SLOTTED</v>
      </c>
      <c r="AH38" s="20" t="str">
        <f ca="1">Master_List!$AW$20</f>
        <v>1600A</v>
      </c>
      <c r="AI38" s="20" t="str">
        <f ca="1">Master_List!$AW$21</f>
        <v>LV5080090</v>
      </c>
      <c r="AJ38" s="20" t="str">
        <f ca="1">Master_List!$AW$22</f>
        <v>LVDB TX1</v>
      </c>
      <c r="AK38" s="20">
        <f ca="1">Master_List!$AW$23</f>
        <v>0</v>
      </c>
      <c r="AL38" s="20">
        <f ca="1">Master_List!$AW$24</f>
        <v>0</v>
      </c>
      <c r="AM38" s="20">
        <f ca="1">Master_List!$AW$25</f>
        <v>0</v>
      </c>
      <c r="AN38" s="20">
        <f ca="1">Master_List!$AW$26</f>
        <v>0</v>
      </c>
      <c r="AO38" s="20" t="str">
        <f ca="1">Master_List!$AW$27</f>
        <v>LVDB TX2</v>
      </c>
      <c r="AP38" s="20" t="str">
        <f ca="1">Master_List!$AW$28</f>
        <v>SUNPOWER TECHNOLOGIES</v>
      </c>
      <c r="AQ38" s="20" t="str">
        <f ca="1">Master_List!$AW$29</f>
        <v>SPS 30-10 L</v>
      </c>
      <c r="AR38" s="20" t="str">
        <f ca="1">Master_List!$AW$30</f>
        <v>11193-8527</v>
      </c>
      <c r="AS38" s="20">
        <f ca="1">Master_List!$AW$31</f>
        <v>0</v>
      </c>
      <c r="AT38" s="20">
        <f ca="1">Master_List!$AW$32</f>
        <v>0</v>
      </c>
      <c r="AU38" s="20">
        <f ca="1">Master_List!$AW$33</f>
        <v>0</v>
      </c>
      <c r="AV38" s="20">
        <f ca="1">Master_List!$AW$34</f>
        <v>0</v>
      </c>
      <c r="AW38" s="20">
        <f ca="1">Master_List!$AW$35</f>
        <v>0</v>
      </c>
      <c r="AX38" s="20">
        <f ca="1">Master_List!$AW$36</f>
        <v>0</v>
      </c>
      <c r="AY38" s="20">
        <f ca="1">Master_List!$AW$37</f>
        <v>0</v>
      </c>
      <c r="AZ38" s="20">
        <f ca="1">Master_List!$AW$38</f>
        <v>0</v>
      </c>
      <c r="BA38" s="20">
        <f ca="1">Master_List!$AW$39</f>
        <v>0</v>
      </c>
      <c r="BB38" s="20" t="s">
        <v>2240</v>
      </c>
      <c r="BC38" s="20" t="s">
        <v>2241</v>
      </c>
      <c r="BD38" s="6" t="s">
        <v>1744</v>
      </c>
      <c r="BE38" s="6" t="s">
        <v>1768</v>
      </c>
      <c r="BF38" s="6" t="s">
        <v>1746</v>
      </c>
      <c r="BG38" s="6" t="str">
        <f t="shared" si="2"/>
        <v>C:\Users\aremi\Desktop\REPORT CBM\PO 42289580 - Pahang 11kV SECOND CYCLE AZZAD 2026\RAW MATERIAL\047. TNB BARU (IR+VI)\RAW DATA\IR</v>
      </c>
      <c r="BH38" s="24" t="s">
        <v>1553</v>
      </c>
    </row>
    <row r="39" spans="1:60" ht="15" customHeight="1" x14ac:dyDescent="0.25">
      <c r="A39" s="6">
        <v>19</v>
      </c>
      <c r="B39" s="6" t="s">
        <v>1552</v>
      </c>
      <c r="C39" s="6">
        <v>1</v>
      </c>
      <c r="D39" s="6" t="s">
        <v>2263</v>
      </c>
      <c r="E39" s="6">
        <v>19</v>
      </c>
      <c r="F39" s="6" t="str">
        <f ca="1">Master_List!$AW$1</f>
        <v>PERPUSTAKAAN PUSAT</v>
      </c>
      <c r="G39" s="27" t="str">
        <f ca="1">Master_List!$AW$2</f>
        <v>09:30 PM</v>
      </c>
      <c r="H39" s="32" t="str">
        <f ca="1">Master_List!$AW$3</f>
        <v>20/07/2026</v>
      </c>
      <c r="I39" s="28" t="str">
        <f ca="1">Master_List!$AW$4</f>
        <v>28.5</v>
      </c>
      <c r="J39" s="6" t="str">
        <f ca="1">Master_List!$AW$5</f>
        <v>65</v>
      </c>
      <c r="K39" s="6" t="s">
        <v>576</v>
      </c>
      <c r="L39" s="22" t="str">
        <f ca="1">IFERROR(VLOOKUP(B39, Master_List!$A:$I, 2, FALSE), "-")</f>
        <v/>
      </c>
      <c r="M39" s="22" t="str">
        <f ca="1">IFERROR(VLOOKUP(B39, Master_List!$A:$I, 3, FALSE), "-")</f>
        <v/>
      </c>
      <c r="N39" s="22" t="str">
        <f ca="1">IFERROR(VLOOKUP(B39, Master_List!$A:$I, 4, FALSE), "-")</f>
        <v/>
      </c>
      <c r="O39" s="22" t="str">
        <f ca="1">IFERROR(VLOOKUP(B39, Master_List!$A:$I, 5, FALSE), "-")</f>
        <v/>
      </c>
      <c r="P39" s="22" t="str">
        <f ca="1">IFERROR(VLOOKUP(B39, Master_List!$A:$I, 6, FALSE), "-")</f>
        <v/>
      </c>
      <c r="Q39" s="22" t="str">
        <f ca="1">IFERROR(VLOOKUP(B39, Master_List!$A:$I, 7, FALSE), "-")</f>
        <v/>
      </c>
      <c r="R39" s="22" t="str">
        <f ca="1">IFERROR(VLOOKUP(B39, Master_List!$A:$I, 8, FALSE), "-")</f>
        <v/>
      </c>
      <c r="S39" s="22" t="str">
        <f ca="1">IFERROR(VLOOKUP(B39, Master_List!$A:$I, 9, FALSE), "-")</f>
        <v/>
      </c>
      <c r="T39" s="20" t="str">
        <f ca="1">Master_List!$AW$6</f>
        <v>TOSHIBA</v>
      </c>
      <c r="U39" s="20" t="str">
        <f ca="1">Master_List!$AW$7</f>
        <v>MRMU</v>
      </c>
      <c r="V39" s="20" t="str">
        <f ca="1">Master_List!$AW$8</f>
        <v>12kV</v>
      </c>
      <c r="W39" s="20" t="str">
        <f ca="1">Master_List!$AW$9</f>
        <v>2S1F</v>
      </c>
      <c r="X39" s="20" t="str">
        <f ca="1">Master_List!$AW$10</f>
        <v>MTM</v>
      </c>
      <c r="Y39" s="20" t="str">
        <f ca="1">Master_List!$AW$11</f>
        <v>HERMETICALLY SEAL</v>
      </c>
      <c r="Z39" s="20" t="str">
        <f ca="1">Master_List!$AW$12</f>
        <v>750kVA</v>
      </c>
      <c r="AA39" s="20" t="str">
        <f ca="1">Master_List!$AW$13</f>
        <v>1317</v>
      </c>
      <c r="AB39" s="20">
        <f ca="1">Master_List!$AW$14</f>
        <v>0</v>
      </c>
      <c r="AC39" s="20">
        <f ca="1">Master_List!$AW$15</f>
        <v>0</v>
      </c>
      <c r="AD39" s="20">
        <f ca="1">Master_List!$AW$16</f>
        <v>0</v>
      </c>
      <c r="AE39" s="20">
        <f ca="1">Master_List!$AW$17</f>
        <v>0</v>
      </c>
      <c r="AF39" s="20" t="str">
        <f ca="1">Master_List!$AW$18</f>
        <v>INDKOM</v>
      </c>
      <c r="AG39" s="20" t="str">
        <f ca="1">Master_List!$AW$19</f>
        <v>J-SLOTTED</v>
      </c>
      <c r="AH39" s="20" t="str">
        <f ca="1">Master_List!$AW$20</f>
        <v>1600A</v>
      </c>
      <c r="AI39" s="20" t="str">
        <f ca="1">Master_List!$AW$21</f>
        <v>LV5080090</v>
      </c>
      <c r="AJ39" s="20" t="str">
        <f ca="1">Master_List!$AW$22</f>
        <v>LVDB TX1</v>
      </c>
      <c r="AK39" s="20">
        <f ca="1">Master_List!$AW$23</f>
        <v>0</v>
      </c>
      <c r="AL39" s="20">
        <f ca="1">Master_List!$AW$24</f>
        <v>0</v>
      </c>
      <c r="AM39" s="20">
        <f ca="1">Master_List!$AW$25</f>
        <v>0</v>
      </c>
      <c r="AN39" s="20">
        <f ca="1">Master_List!$AW$26</f>
        <v>0</v>
      </c>
      <c r="AO39" s="20" t="str">
        <f ca="1">Master_List!$AW$27</f>
        <v>LVDB TX2</v>
      </c>
      <c r="AP39" s="20" t="str">
        <f ca="1">Master_List!$AW$28</f>
        <v>SUNPOWER TECHNOLOGIES</v>
      </c>
      <c r="AQ39" s="20" t="str">
        <f ca="1">Master_List!$AW$29</f>
        <v>SPS 30-10 L</v>
      </c>
      <c r="AR39" s="20" t="str">
        <f ca="1">Master_List!$AW$30</f>
        <v>11193-8527</v>
      </c>
      <c r="AS39" s="20">
        <f ca="1">Master_List!$AW$31</f>
        <v>0</v>
      </c>
      <c r="AT39" s="20">
        <f ca="1">Master_List!$AW$32</f>
        <v>0</v>
      </c>
      <c r="AU39" s="20">
        <f ca="1">Master_List!$AW$33</f>
        <v>0</v>
      </c>
      <c r="AV39" s="20">
        <f ca="1">Master_List!$AW$34</f>
        <v>0</v>
      </c>
      <c r="AW39" s="20">
        <f ca="1">Master_List!$AW$35</f>
        <v>0</v>
      </c>
      <c r="AX39" s="20">
        <f ca="1">Master_List!$AW$36</f>
        <v>0</v>
      </c>
      <c r="AY39" s="20">
        <f ca="1">Master_List!$AW$37</f>
        <v>0</v>
      </c>
      <c r="AZ39" s="20">
        <f ca="1">Master_List!$AW$38</f>
        <v>0</v>
      </c>
      <c r="BA39" s="20">
        <f ca="1">Master_List!$AW$39</f>
        <v>0</v>
      </c>
      <c r="BB39" s="20" t="s">
        <v>2240</v>
      </c>
      <c r="BC39" s="20" t="s">
        <v>2241</v>
      </c>
      <c r="BD39" s="6" t="s">
        <v>1744</v>
      </c>
      <c r="BE39" s="6" t="s">
        <v>1768</v>
      </c>
      <c r="BF39" s="6" t="s">
        <v>1748</v>
      </c>
      <c r="BG39" s="6" t="str">
        <f t="shared" si="2"/>
        <v>C:\Users\aremi\Desktop\REPORT CBM\PO 42289580 - Pahang 11kV SECOND CYCLE AZZAD 2026\RAW MATERIAL\047. TNB BARU (IR+VI)\RAW DATA\IR</v>
      </c>
      <c r="BH39" s="24" t="s">
        <v>1554</v>
      </c>
    </row>
    <row r="40" spans="1:60" ht="15" customHeight="1" x14ac:dyDescent="0.25">
      <c r="A40" s="6">
        <v>20</v>
      </c>
      <c r="B40" s="6" t="s">
        <v>1552</v>
      </c>
      <c r="C40" s="6">
        <v>1</v>
      </c>
      <c r="D40" s="6" t="s">
        <v>2263</v>
      </c>
      <c r="E40" s="6">
        <v>20</v>
      </c>
      <c r="F40" s="6" t="str">
        <f ca="1">Master_List!$AW$1</f>
        <v>PERPUSTAKAAN PUSAT</v>
      </c>
      <c r="G40" s="27" t="str">
        <f ca="1">Master_List!$AW$2</f>
        <v>09:30 PM</v>
      </c>
      <c r="H40" s="32" t="str">
        <f ca="1">Master_List!$AW$3</f>
        <v>20/07/2026</v>
      </c>
      <c r="I40" s="28" t="str">
        <f ca="1">Master_List!$AW$4</f>
        <v>28.5</v>
      </c>
      <c r="J40" s="6" t="str">
        <f ca="1">Master_List!$AW$5</f>
        <v>65</v>
      </c>
      <c r="K40" s="6" t="s">
        <v>585</v>
      </c>
      <c r="L40" s="22" t="str">
        <f ca="1">IFERROR(VLOOKUP(B40, Master_List!$A:$I, 2, FALSE), "-")</f>
        <v/>
      </c>
      <c r="M40" s="22" t="str">
        <f ca="1">IFERROR(VLOOKUP(B40, Master_List!$A:$I, 3, FALSE), "-")</f>
        <v/>
      </c>
      <c r="N40" s="22" t="str">
        <f ca="1">IFERROR(VLOOKUP(B40, Master_List!$A:$I, 4, FALSE), "-")</f>
        <v/>
      </c>
      <c r="O40" s="22" t="str">
        <f ca="1">IFERROR(VLOOKUP(B40, Master_List!$A:$I, 5, FALSE), "-")</f>
        <v/>
      </c>
      <c r="P40" s="22" t="str">
        <f ca="1">IFERROR(VLOOKUP(B40, Master_List!$A:$I, 6, FALSE), "-")</f>
        <v/>
      </c>
      <c r="Q40" s="22" t="str">
        <f ca="1">IFERROR(VLOOKUP(B40, Master_List!$A:$I, 7, FALSE), "-")</f>
        <v/>
      </c>
      <c r="R40" s="22" t="str">
        <f ca="1">IFERROR(VLOOKUP(B40, Master_List!$A:$I, 8, FALSE), "-")</f>
        <v/>
      </c>
      <c r="S40" s="22" t="str">
        <f ca="1">IFERROR(VLOOKUP(B40, Master_List!$A:$I, 9, FALSE), "-")</f>
        <v/>
      </c>
      <c r="T40" s="20" t="str">
        <f ca="1">Master_List!$AW$6</f>
        <v>TOSHIBA</v>
      </c>
      <c r="U40" s="20" t="str">
        <f ca="1">Master_List!$AW$7</f>
        <v>MRMU</v>
      </c>
      <c r="V40" s="20" t="str">
        <f ca="1">Master_List!$AW$8</f>
        <v>12kV</v>
      </c>
      <c r="W40" s="20" t="str">
        <f ca="1">Master_List!$AW$9</f>
        <v>2S1F</v>
      </c>
      <c r="X40" s="20" t="str">
        <f ca="1">Master_List!$AW$10</f>
        <v>MTM</v>
      </c>
      <c r="Y40" s="20" t="str">
        <f ca="1">Master_List!$AW$11</f>
        <v>HERMETICALLY SEAL</v>
      </c>
      <c r="Z40" s="20" t="str">
        <f ca="1">Master_List!$AW$12</f>
        <v>750kVA</v>
      </c>
      <c r="AA40" s="20" t="str">
        <f ca="1">Master_List!$AW$13</f>
        <v>1317</v>
      </c>
      <c r="AB40" s="20">
        <f ca="1">Master_List!$AW$14</f>
        <v>0</v>
      </c>
      <c r="AC40" s="20">
        <f ca="1">Master_List!$AW$15</f>
        <v>0</v>
      </c>
      <c r="AD40" s="20">
        <f ca="1">Master_List!$AW$16</f>
        <v>0</v>
      </c>
      <c r="AE40" s="20">
        <f ca="1">Master_List!$AW$17</f>
        <v>0</v>
      </c>
      <c r="AF40" s="20" t="str">
        <f ca="1">Master_List!$AW$18</f>
        <v>INDKOM</v>
      </c>
      <c r="AG40" s="20" t="str">
        <f ca="1">Master_List!$AW$19</f>
        <v>J-SLOTTED</v>
      </c>
      <c r="AH40" s="20" t="str">
        <f ca="1">Master_List!$AW$20</f>
        <v>1600A</v>
      </c>
      <c r="AI40" s="20" t="str">
        <f ca="1">Master_List!$AW$21</f>
        <v>LV5080090</v>
      </c>
      <c r="AJ40" s="20" t="str">
        <f ca="1">Master_List!$AW$22</f>
        <v>LVDB TX1</v>
      </c>
      <c r="AK40" s="20">
        <f ca="1">Master_List!$AW$23</f>
        <v>0</v>
      </c>
      <c r="AL40" s="20">
        <f ca="1">Master_List!$AW$24</f>
        <v>0</v>
      </c>
      <c r="AM40" s="20">
        <f ca="1">Master_List!$AW$25</f>
        <v>0</v>
      </c>
      <c r="AN40" s="20">
        <f ca="1">Master_List!$AW$26</f>
        <v>0</v>
      </c>
      <c r="AO40" s="20" t="str">
        <f ca="1">Master_List!$AW$27</f>
        <v>LVDB TX2</v>
      </c>
      <c r="AP40" s="20" t="str">
        <f ca="1">Master_List!$AW$28</f>
        <v>SUNPOWER TECHNOLOGIES</v>
      </c>
      <c r="AQ40" s="20" t="str">
        <f ca="1">Master_List!$AW$29</f>
        <v>SPS 30-10 L</v>
      </c>
      <c r="AR40" s="20" t="str">
        <f ca="1">Master_List!$AW$30</f>
        <v>11193-8527</v>
      </c>
      <c r="AS40" s="20">
        <f ca="1">Master_List!$AW$31</f>
        <v>0</v>
      </c>
      <c r="AT40" s="20">
        <f ca="1">Master_List!$AW$32</f>
        <v>0</v>
      </c>
      <c r="AU40" s="20">
        <f ca="1">Master_List!$AW$33</f>
        <v>0</v>
      </c>
      <c r="AV40" s="20">
        <f ca="1">Master_List!$AW$34</f>
        <v>0</v>
      </c>
      <c r="AW40" s="20">
        <f ca="1">Master_List!$AW$35</f>
        <v>0</v>
      </c>
      <c r="AX40" s="20">
        <f ca="1">Master_List!$AW$36</f>
        <v>0</v>
      </c>
      <c r="AY40" s="20">
        <f ca="1">Master_List!$AW$37</f>
        <v>0</v>
      </c>
      <c r="AZ40" s="20">
        <f ca="1">Master_List!$AW$38</f>
        <v>0</v>
      </c>
      <c r="BA40" s="20">
        <f ca="1">Master_List!$AW$39</f>
        <v>0</v>
      </c>
      <c r="BB40" s="20" t="s">
        <v>2240</v>
      </c>
      <c r="BC40" s="20" t="s">
        <v>2241</v>
      </c>
      <c r="BD40" s="6" t="s">
        <v>1744</v>
      </c>
      <c r="BE40" s="6" t="s">
        <v>1770</v>
      </c>
      <c r="BF40" s="6" t="s">
        <v>1746</v>
      </c>
      <c r="BG40" s="6" t="str">
        <f t="shared" si="2"/>
        <v>C:\Users\aremi\Desktop\REPORT CBM\PO 42289580 - Pahang 11kV SECOND CYCLE AZZAD 2026\RAW MATERIAL\047. TNB BARU (IR+VI)\RAW DATA\IR</v>
      </c>
      <c r="BH40" s="24" t="s">
        <v>1555</v>
      </c>
    </row>
    <row r="41" spans="1:60" ht="15" customHeight="1" x14ac:dyDescent="0.25">
      <c r="A41" s="6">
        <v>20</v>
      </c>
      <c r="B41" s="6" t="s">
        <v>1552</v>
      </c>
      <c r="C41" s="6">
        <v>1</v>
      </c>
      <c r="D41" s="6" t="s">
        <v>2263</v>
      </c>
      <c r="E41" s="6">
        <v>20</v>
      </c>
      <c r="F41" s="6" t="str">
        <f ca="1">Master_List!$AW$1</f>
        <v>PERPUSTAKAAN PUSAT</v>
      </c>
      <c r="G41" s="27" t="str">
        <f ca="1">Master_List!$AW$2</f>
        <v>09:30 PM</v>
      </c>
      <c r="H41" s="32" t="str">
        <f ca="1">Master_List!$AW$3</f>
        <v>20/07/2026</v>
      </c>
      <c r="I41" s="28" t="str">
        <f ca="1">Master_List!$AW$4</f>
        <v>28.5</v>
      </c>
      <c r="J41" s="6" t="str">
        <f ca="1">Master_List!$AW$5</f>
        <v>65</v>
      </c>
      <c r="K41" s="6" t="s">
        <v>585</v>
      </c>
      <c r="L41" s="22" t="str">
        <f ca="1">IFERROR(VLOOKUP(B41, Master_List!$A:$I, 2, FALSE), "-")</f>
        <v/>
      </c>
      <c r="M41" s="22" t="str">
        <f ca="1">IFERROR(VLOOKUP(B41, Master_List!$A:$I, 3, FALSE), "-")</f>
        <v/>
      </c>
      <c r="N41" s="22" t="str">
        <f ca="1">IFERROR(VLOOKUP(B41, Master_List!$A:$I, 4, FALSE), "-")</f>
        <v/>
      </c>
      <c r="O41" s="22" t="str">
        <f ca="1">IFERROR(VLOOKUP(B41, Master_List!$A:$I, 5, FALSE), "-")</f>
        <v/>
      </c>
      <c r="P41" s="22" t="str">
        <f ca="1">IFERROR(VLOOKUP(B41, Master_List!$A:$I, 6, FALSE), "-")</f>
        <v/>
      </c>
      <c r="Q41" s="22" t="str">
        <f ca="1">IFERROR(VLOOKUP(B41, Master_List!$A:$I, 7, FALSE), "-")</f>
        <v/>
      </c>
      <c r="R41" s="22" t="str">
        <f ca="1">IFERROR(VLOOKUP(B41, Master_List!$A:$I, 8, FALSE), "-")</f>
        <v/>
      </c>
      <c r="S41" s="22" t="str">
        <f ca="1">IFERROR(VLOOKUP(B41, Master_List!$A:$I, 9, FALSE), "-")</f>
        <v/>
      </c>
      <c r="T41" s="20" t="str">
        <f ca="1">Master_List!$AW$6</f>
        <v>TOSHIBA</v>
      </c>
      <c r="U41" s="20" t="str">
        <f ca="1">Master_List!$AW$7</f>
        <v>MRMU</v>
      </c>
      <c r="V41" s="20" t="str">
        <f ca="1">Master_List!$AW$8</f>
        <v>12kV</v>
      </c>
      <c r="W41" s="20" t="str">
        <f ca="1">Master_List!$AW$9</f>
        <v>2S1F</v>
      </c>
      <c r="X41" s="20" t="str">
        <f ca="1">Master_List!$AW$10</f>
        <v>MTM</v>
      </c>
      <c r="Y41" s="20" t="str">
        <f ca="1">Master_List!$AW$11</f>
        <v>HERMETICALLY SEAL</v>
      </c>
      <c r="Z41" s="20" t="str">
        <f ca="1">Master_List!$AW$12</f>
        <v>750kVA</v>
      </c>
      <c r="AA41" s="20" t="str">
        <f ca="1">Master_List!$AW$13</f>
        <v>1317</v>
      </c>
      <c r="AB41" s="20">
        <f ca="1">Master_List!$AW$14</f>
        <v>0</v>
      </c>
      <c r="AC41" s="20">
        <f ca="1">Master_List!$AW$15</f>
        <v>0</v>
      </c>
      <c r="AD41" s="20">
        <f ca="1">Master_List!$AW$16</f>
        <v>0</v>
      </c>
      <c r="AE41" s="20">
        <f ca="1">Master_List!$AW$17</f>
        <v>0</v>
      </c>
      <c r="AF41" s="20" t="str">
        <f ca="1">Master_List!$AW$18</f>
        <v>INDKOM</v>
      </c>
      <c r="AG41" s="20" t="str">
        <f ca="1">Master_List!$AW$19</f>
        <v>J-SLOTTED</v>
      </c>
      <c r="AH41" s="20" t="str">
        <f ca="1">Master_List!$AW$20</f>
        <v>1600A</v>
      </c>
      <c r="AI41" s="20" t="str">
        <f ca="1">Master_List!$AW$21</f>
        <v>LV5080090</v>
      </c>
      <c r="AJ41" s="20" t="str">
        <f ca="1">Master_List!$AW$22</f>
        <v>LVDB TX1</v>
      </c>
      <c r="AK41" s="20">
        <f ca="1">Master_List!$AW$23</f>
        <v>0</v>
      </c>
      <c r="AL41" s="20">
        <f ca="1">Master_List!$AW$24</f>
        <v>0</v>
      </c>
      <c r="AM41" s="20">
        <f ca="1">Master_List!$AW$25</f>
        <v>0</v>
      </c>
      <c r="AN41" s="20">
        <f ca="1">Master_List!$AW$26</f>
        <v>0</v>
      </c>
      <c r="AO41" s="20" t="str">
        <f ca="1">Master_List!$AW$27</f>
        <v>LVDB TX2</v>
      </c>
      <c r="AP41" s="20" t="str">
        <f ca="1">Master_List!$AW$28</f>
        <v>SUNPOWER TECHNOLOGIES</v>
      </c>
      <c r="AQ41" s="20" t="str">
        <f ca="1">Master_List!$AW$29</f>
        <v>SPS 30-10 L</v>
      </c>
      <c r="AR41" s="20" t="str">
        <f ca="1">Master_List!$AW$30</f>
        <v>11193-8527</v>
      </c>
      <c r="AS41" s="20">
        <f ca="1">Master_List!$AW$31</f>
        <v>0</v>
      </c>
      <c r="AT41" s="20">
        <f ca="1">Master_List!$AW$32</f>
        <v>0</v>
      </c>
      <c r="AU41" s="20">
        <f ca="1">Master_List!$AW$33</f>
        <v>0</v>
      </c>
      <c r="AV41" s="20">
        <f ca="1">Master_List!$AW$34</f>
        <v>0</v>
      </c>
      <c r="AW41" s="20">
        <f ca="1">Master_List!$AW$35</f>
        <v>0</v>
      </c>
      <c r="AX41" s="20">
        <f ca="1">Master_List!$AW$36</f>
        <v>0</v>
      </c>
      <c r="AY41" s="20">
        <f ca="1">Master_List!$AW$37</f>
        <v>0</v>
      </c>
      <c r="AZ41" s="20">
        <f ca="1">Master_List!$AW$38</f>
        <v>0</v>
      </c>
      <c r="BA41" s="20">
        <f ca="1">Master_List!$AW$39</f>
        <v>0</v>
      </c>
      <c r="BB41" s="20" t="s">
        <v>2240</v>
      </c>
      <c r="BC41" s="20" t="s">
        <v>2241</v>
      </c>
      <c r="BD41" s="6" t="s">
        <v>1744</v>
      </c>
      <c r="BE41" s="6" t="s">
        <v>1770</v>
      </c>
      <c r="BF41" s="6" t="s">
        <v>1748</v>
      </c>
      <c r="BG41" s="6" t="str">
        <f t="shared" si="2"/>
        <v>C:\Users\aremi\Desktop\REPORT CBM\PO 42289580 - Pahang 11kV SECOND CYCLE AZZAD 2026\RAW MATERIAL\047. TNB BARU (IR+VI)\RAW DATA\IR</v>
      </c>
      <c r="BH41" s="24" t="s">
        <v>1556</v>
      </c>
    </row>
    <row r="42" spans="1:60" ht="15" customHeight="1" x14ac:dyDescent="0.25">
      <c r="A42" s="6">
        <v>21</v>
      </c>
      <c r="B42" s="6" t="s">
        <v>1557</v>
      </c>
      <c r="C42" s="6">
        <v>1</v>
      </c>
      <c r="D42" s="6" t="s">
        <v>2263</v>
      </c>
      <c r="E42" s="6">
        <v>21</v>
      </c>
      <c r="F42" s="6" t="str">
        <f ca="1">Master_List!$AW$1</f>
        <v>PERPUSTAKAAN PUSAT</v>
      </c>
      <c r="G42" s="27" t="str">
        <f ca="1">Master_List!$AW$2</f>
        <v>09:30 PM</v>
      </c>
      <c r="H42" s="32" t="str">
        <f ca="1">Master_List!$AW$3</f>
        <v>20/07/2026</v>
      </c>
      <c r="I42" s="28" t="str">
        <f ca="1">Master_List!$AW$4</f>
        <v>28.5</v>
      </c>
      <c r="J42" s="6" t="str">
        <f ca="1">Master_List!$AW$5</f>
        <v>65</v>
      </c>
      <c r="K42" s="6" t="s">
        <v>576</v>
      </c>
      <c r="L42" s="22" t="str">
        <f ca="1">IFERROR(VLOOKUP(B42, Master_List!$A:$I, 2, FALSE), "-")</f>
        <v/>
      </c>
      <c r="M42" s="22" t="str">
        <f ca="1">IFERROR(VLOOKUP(B42, Master_List!$A:$I, 3, FALSE), "-")</f>
        <v/>
      </c>
      <c r="N42" s="22" t="str">
        <f ca="1">IFERROR(VLOOKUP(B42, Master_List!$A:$I, 4, FALSE), "-")</f>
        <v/>
      </c>
      <c r="O42" s="22" t="str">
        <f ca="1">IFERROR(VLOOKUP(B42, Master_List!$A:$I, 5, FALSE), "-")</f>
        <v/>
      </c>
      <c r="P42" s="22" t="str">
        <f ca="1">IFERROR(VLOOKUP(B42, Master_List!$A:$I, 6, FALSE), "-")</f>
        <v/>
      </c>
      <c r="Q42" s="22" t="str">
        <f ca="1">IFERROR(VLOOKUP(B42, Master_List!$A:$I, 7, FALSE), "-")</f>
        <v/>
      </c>
      <c r="R42" s="22" t="str">
        <f ca="1">IFERROR(VLOOKUP(B42, Master_List!$A:$I, 8, FALSE), "-")</f>
        <v/>
      </c>
      <c r="S42" s="22" t="str">
        <f ca="1">IFERROR(VLOOKUP(B42, Master_List!$A:$I, 9, FALSE), "-")</f>
        <v/>
      </c>
      <c r="T42" s="20" t="str">
        <f ca="1">Master_List!$AW$6</f>
        <v>TOSHIBA</v>
      </c>
      <c r="U42" s="20" t="str">
        <f ca="1">Master_List!$AW$7</f>
        <v>MRMU</v>
      </c>
      <c r="V42" s="20" t="str">
        <f ca="1">Master_List!$AW$8</f>
        <v>12kV</v>
      </c>
      <c r="W42" s="20" t="str">
        <f ca="1">Master_List!$AW$9</f>
        <v>2S1F</v>
      </c>
      <c r="X42" s="20" t="str">
        <f ca="1">Master_List!$AW$10</f>
        <v>MTM</v>
      </c>
      <c r="Y42" s="20" t="str">
        <f ca="1">Master_List!$AW$11</f>
        <v>HERMETICALLY SEAL</v>
      </c>
      <c r="Z42" s="20" t="str">
        <f ca="1">Master_List!$AW$12</f>
        <v>750kVA</v>
      </c>
      <c r="AA42" s="20" t="str">
        <f ca="1">Master_List!$AW$13</f>
        <v>1317</v>
      </c>
      <c r="AB42" s="20">
        <f ca="1">Master_List!$AW$14</f>
        <v>0</v>
      </c>
      <c r="AC42" s="20">
        <f ca="1">Master_List!$AW$15</f>
        <v>0</v>
      </c>
      <c r="AD42" s="20">
        <f ca="1">Master_List!$AW$16</f>
        <v>0</v>
      </c>
      <c r="AE42" s="20">
        <f ca="1">Master_List!$AW$17</f>
        <v>0</v>
      </c>
      <c r="AF42" s="20" t="str">
        <f ca="1">Master_List!$AW$18</f>
        <v>INDKOM</v>
      </c>
      <c r="AG42" s="20" t="str">
        <f ca="1">Master_List!$AW$19</f>
        <v>J-SLOTTED</v>
      </c>
      <c r="AH42" s="20" t="str">
        <f ca="1">Master_List!$AW$20</f>
        <v>1600A</v>
      </c>
      <c r="AI42" s="20" t="str">
        <f ca="1">Master_List!$AW$21</f>
        <v>LV5080090</v>
      </c>
      <c r="AJ42" s="20" t="str">
        <f ca="1">Master_List!$AW$22</f>
        <v>LVDB TX1</v>
      </c>
      <c r="AK42" s="20">
        <f ca="1">Master_List!$AW$23</f>
        <v>0</v>
      </c>
      <c r="AL42" s="20">
        <f ca="1">Master_List!$AW$24</f>
        <v>0</v>
      </c>
      <c r="AM42" s="20">
        <f ca="1">Master_List!$AW$25</f>
        <v>0</v>
      </c>
      <c r="AN42" s="20">
        <f ca="1">Master_List!$AW$26</f>
        <v>0</v>
      </c>
      <c r="AO42" s="20" t="str">
        <f ca="1">Master_List!$AW$27</f>
        <v>LVDB TX2</v>
      </c>
      <c r="AP42" s="20" t="str">
        <f ca="1">Master_List!$AW$28</f>
        <v>SUNPOWER TECHNOLOGIES</v>
      </c>
      <c r="AQ42" s="20" t="str">
        <f ca="1">Master_List!$AW$29</f>
        <v>SPS 30-10 L</v>
      </c>
      <c r="AR42" s="20" t="str">
        <f ca="1">Master_List!$AW$30</f>
        <v>11193-8527</v>
      </c>
      <c r="AS42" s="20">
        <f ca="1">Master_List!$AW$31</f>
        <v>0</v>
      </c>
      <c r="AT42" s="20">
        <f ca="1">Master_List!$AW$32</f>
        <v>0</v>
      </c>
      <c r="AU42" s="20">
        <f ca="1">Master_List!$AW$33</f>
        <v>0</v>
      </c>
      <c r="AV42" s="20">
        <f ca="1">Master_List!$AW$34</f>
        <v>0</v>
      </c>
      <c r="AW42" s="20">
        <f ca="1">Master_List!$AW$35</f>
        <v>0</v>
      </c>
      <c r="AX42" s="20">
        <f ca="1">Master_List!$AW$36</f>
        <v>0</v>
      </c>
      <c r="AY42" s="20">
        <f ca="1">Master_List!$AW$37</f>
        <v>0</v>
      </c>
      <c r="AZ42" s="20">
        <f ca="1">Master_List!$AW$38</f>
        <v>0</v>
      </c>
      <c r="BA42" s="20">
        <f ca="1">Master_List!$AW$39</f>
        <v>0</v>
      </c>
      <c r="BB42" s="20" t="s">
        <v>2240</v>
      </c>
      <c r="BC42" s="20" t="s">
        <v>2241</v>
      </c>
      <c r="BD42" s="6" t="s">
        <v>1744</v>
      </c>
      <c r="BE42" s="6" t="s">
        <v>1771</v>
      </c>
      <c r="BF42" s="6" t="s">
        <v>1746</v>
      </c>
      <c r="BG42" s="6" t="str">
        <f t="shared" si="2"/>
        <v>C:\Users\aremi\Desktop\REPORT CBM\PO 42289580 - Pahang 11kV SECOND CYCLE AZZAD 2026\RAW MATERIAL\047. TNB BARU (IR+VI)\RAW DATA\IR</v>
      </c>
      <c r="BH42" s="24" t="s">
        <v>1558</v>
      </c>
    </row>
    <row r="43" spans="1:60" ht="15" customHeight="1" x14ac:dyDescent="0.25">
      <c r="A43" s="6">
        <v>21</v>
      </c>
      <c r="B43" s="6" t="s">
        <v>1557</v>
      </c>
      <c r="C43" s="6">
        <v>1</v>
      </c>
      <c r="D43" s="6" t="s">
        <v>2263</v>
      </c>
      <c r="E43" s="6">
        <v>21</v>
      </c>
      <c r="F43" s="6" t="str">
        <f ca="1">Master_List!$AW$1</f>
        <v>PERPUSTAKAAN PUSAT</v>
      </c>
      <c r="G43" s="27" t="str">
        <f ca="1">Master_List!$AW$2</f>
        <v>09:30 PM</v>
      </c>
      <c r="H43" s="32" t="str">
        <f ca="1">Master_List!$AW$3</f>
        <v>20/07/2026</v>
      </c>
      <c r="I43" s="28" t="str">
        <f ca="1">Master_List!$AW$4</f>
        <v>28.5</v>
      </c>
      <c r="J43" s="6" t="str">
        <f ca="1">Master_List!$AW$5</f>
        <v>65</v>
      </c>
      <c r="K43" s="6" t="s">
        <v>576</v>
      </c>
      <c r="L43" s="22" t="str">
        <f ca="1">IFERROR(VLOOKUP(B43, Master_List!$A:$I, 2, FALSE), "-")</f>
        <v/>
      </c>
      <c r="M43" s="22" t="str">
        <f ca="1">IFERROR(VLOOKUP(B43, Master_List!$A:$I, 3, FALSE), "-")</f>
        <v/>
      </c>
      <c r="N43" s="22" t="str">
        <f ca="1">IFERROR(VLOOKUP(B43, Master_List!$A:$I, 4, FALSE), "-")</f>
        <v/>
      </c>
      <c r="O43" s="22" t="str">
        <f ca="1">IFERROR(VLOOKUP(B43, Master_List!$A:$I, 5, FALSE), "-")</f>
        <v/>
      </c>
      <c r="P43" s="22" t="str">
        <f ca="1">IFERROR(VLOOKUP(B43, Master_List!$A:$I, 6, FALSE), "-")</f>
        <v/>
      </c>
      <c r="Q43" s="22" t="str">
        <f ca="1">IFERROR(VLOOKUP(B43, Master_List!$A:$I, 7, FALSE), "-")</f>
        <v/>
      </c>
      <c r="R43" s="22" t="str">
        <f ca="1">IFERROR(VLOOKUP(B43, Master_List!$A:$I, 8, FALSE), "-")</f>
        <v/>
      </c>
      <c r="S43" s="22" t="str">
        <f ca="1">IFERROR(VLOOKUP(B43, Master_List!$A:$I, 9, FALSE), "-")</f>
        <v/>
      </c>
      <c r="T43" s="20" t="str">
        <f ca="1">Master_List!$AW$6</f>
        <v>TOSHIBA</v>
      </c>
      <c r="U43" s="20" t="str">
        <f ca="1">Master_List!$AW$7</f>
        <v>MRMU</v>
      </c>
      <c r="V43" s="20" t="str">
        <f ca="1">Master_List!$AW$8</f>
        <v>12kV</v>
      </c>
      <c r="W43" s="20" t="str">
        <f ca="1">Master_List!$AW$9</f>
        <v>2S1F</v>
      </c>
      <c r="X43" s="20" t="str">
        <f ca="1">Master_List!$AW$10</f>
        <v>MTM</v>
      </c>
      <c r="Y43" s="20" t="str">
        <f ca="1">Master_List!$AW$11</f>
        <v>HERMETICALLY SEAL</v>
      </c>
      <c r="Z43" s="20" t="str">
        <f ca="1">Master_List!$AW$12</f>
        <v>750kVA</v>
      </c>
      <c r="AA43" s="20" t="str">
        <f ca="1">Master_List!$AW$13</f>
        <v>1317</v>
      </c>
      <c r="AB43" s="20">
        <f ca="1">Master_List!$AW$14</f>
        <v>0</v>
      </c>
      <c r="AC43" s="20">
        <f ca="1">Master_List!$AW$15</f>
        <v>0</v>
      </c>
      <c r="AD43" s="20">
        <f ca="1">Master_List!$AW$16</f>
        <v>0</v>
      </c>
      <c r="AE43" s="20">
        <f ca="1">Master_List!$AW$17</f>
        <v>0</v>
      </c>
      <c r="AF43" s="20" t="str">
        <f ca="1">Master_List!$AW$18</f>
        <v>INDKOM</v>
      </c>
      <c r="AG43" s="20" t="str">
        <f ca="1">Master_List!$AW$19</f>
        <v>J-SLOTTED</v>
      </c>
      <c r="AH43" s="20" t="str">
        <f ca="1">Master_List!$AW$20</f>
        <v>1600A</v>
      </c>
      <c r="AI43" s="20" t="str">
        <f ca="1">Master_List!$AW$21</f>
        <v>LV5080090</v>
      </c>
      <c r="AJ43" s="20" t="str">
        <f ca="1">Master_List!$AW$22</f>
        <v>LVDB TX1</v>
      </c>
      <c r="AK43" s="20">
        <f ca="1">Master_List!$AW$23</f>
        <v>0</v>
      </c>
      <c r="AL43" s="20">
        <f ca="1">Master_List!$AW$24</f>
        <v>0</v>
      </c>
      <c r="AM43" s="20">
        <f ca="1">Master_List!$AW$25</f>
        <v>0</v>
      </c>
      <c r="AN43" s="20">
        <f ca="1">Master_List!$AW$26</f>
        <v>0</v>
      </c>
      <c r="AO43" s="20" t="str">
        <f ca="1">Master_List!$AW$27</f>
        <v>LVDB TX2</v>
      </c>
      <c r="AP43" s="20" t="str">
        <f ca="1">Master_List!$AW$28</f>
        <v>SUNPOWER TECHNOLOGIES</v>
      </c>
      <c r="AQ43" s="20" t="str">
        <f ca="1">Master_List!$AW$29</f>
        <v>SPS 30-10 L</v>
      </c>
      <c r="AR43" s="20" t="str">
        <f ca="1">Master_List!$AW$30</f>
        <v>11193-8527</v>
      </c>
      <c r="AS43" s="20">
        <f ca="1">Master_List!$AW$31</f>
        <v>0</v>
      </c>
      <c r="AT43" s="20">
        <f ca="1">Master_List!$AW$32</f>
        <v>0</v>
      </c>
      <c r="AU43" s="20">
        <f ca="1">Master_List!$AW$33</f>
        <v>0</v>
      </c>
      <c r="AV43" s="20">
        <f ca="1">Master_List!$AW$34</f>
        <v>0</v>
      </c>
      <c r="AW43" s="20">
        <f ca="1">Master_List!$AW$35</f>
        <v>0</v>
      </c>
      <c r="AX43" s="20">
        <f ca="1">Master_List!$AW$36</f>
        <v>0</v>
      </c>
      <c r="AY43" s="20">
        <f ca="1">Master_List!$AW$37</f>
        <v>0</v>
      </c>
      <c r="AZ43" s="20">
        <f ca="1">Master_List!$AW$38</f>
        <v>0</v>
      </c>
      <c r="BA43" s="20">
        <f ca="1">Master_List!$AW$39</f>
        <v>0</v>
      </c>
      <c r="BB43" s="20" t="s">
        <v>2240</v>
      </c>
      <c r="BC43" s="20" t="s">
        <v>2241</v>
      </c>
      <c r="BD43" s="6" t="s">
        <v>1744</v>
      </c>
      <c r="BE43" s="6" t="s">
        <v>1771</v>
      </c>
      <c r="BF43" s="6" t="s">
        <v>1748</v>
      </c>
      <c r="BG43" s="6" t="str">
        <f t="shared" si="2"/>
        <v>C:\Users\aremi\Desktop\REPORT CBM\PO 42289580 - Pahang 11kV SECOND CYCLE AZZAD 2026\RAW MATERIAL\047. TNB BARU (IR+VI)\RAW DATA\IR</v>
      </c>
      <c r="BH43" s="24" t="s">
        <v>1559</v>
      </c>
    </row>
    <row r="44" spans="1:60" ht="15" customHeight="1" x14ac:dyDescent="0.25">
      <c r="A44" s="6">
        <v>22</v>
      </c>
      <c r="B44" s="6" t="s">
        <v>1557</v>
      </c>
      <c r="C44" s="6">
        <v>1</v>
      </c>
      <c r="D44" s="6" t="s">
        <v>2263</v>
      </c>
      <c r="E44" s="6">
        <v>22</v>
      </c>
      <c r="F44" s="6" t="str">
        <f ca="1">Master_List!$AW$1</f>
        <v>PERPUSTAKAAN PUSAT</v>
      </c>
      <c r="G44" s="27" t="str">
        <f ca="1">Master_List!$AW$2</f>
        <v>09:30 PM</v>
      </c>
      <c r="H44" s="32" t="str">
        <f ca="1">Master_List!$AW$3</f>
        <v>20/07/2026</v>
      </c>
      <c r="I44" s="28" t="str">
        <f ca="1">Master_List!$AW$4</f>
        <v>28.5</v>
      </c>
      <c r="J44" s="6" t="str">
        <f ca="1">Master_List!$AW$5</f>
        <v>65</v>
      </c>
      <c r="K44" s="6" t="s">
        <v>585</v>
      </c>
      <c r="L44" s="22" t="str">
        <f ca="1">IFERROR(VLOOKUP(B44, Master_List!$A:$I, 2, FALSE), "-")</f>
        <v/>
      </c>
      <c r="M44" s="22" t="str">
        <f ca="1">IFERROR(VLOOKUP(B44, Master_List!$A:$I, 3, FALSE), "-")</f>
        <v/>
      </c>
      <c r="N44" s="22" t="str">
        <f ca="1">IFERROR(VLOOKUP(B44, Master_List!$A:$I, 4, FALSE), "-")</f>
        <v/>
      </c>
      <c r="O44" s="22" t="str">
        <f ca="1">IFERROR(VLOOKUP(B44, Master_List!$A:$I, 5, FALSE), "-")</f>
        <v/>
      </c>
      <c r="P44" s="22" t="str">
        <f ca="1">IFERROR(VLOOKUP(B44, Master_List!$A:$I, 6, FALSE), "-")</f>
        <v/>
      </c>
      <c r="Q44" s="22" t="str">
        <f ca="1">IFERROR(VLOOKUP(B44, Master_List!$A:$I, 7, FALSE), "-")</f>
        <v/>
      </c>
      <c r="R44" s="22" t="str">
        <f ca="1">IFERROR(VLOOKUP(B44, Master_List!$A:$I, 8, FALSE), "-")</f>
        <v/>
      </c>
      <c r="S44" s="22" t="str">
        <f ca="1">IFERROR(VLOOKUP(B44, Master_List!$A:$I, 9, FALSE), "-")</f>
        <v/>
      </c>
      <c r="T44" s="20" t="str">
        <f ca="1">Master_List!$AW$6</f>
        <v>TOSHIBA</v>
      </c>
      <c r="U44" s="20" t="str">
        <f ca="1">Master_List!$AW$7</f>
        <v>MRMU</v>
      </c>
      <c r="V44" s="20" t="str">
        <f ca="1">Master_List!$AW$8</f>
        <v>12kV</v>
      </c>
      <c r="W44" s="20" t="str">
        <f ca="1">Master_List!$AW$9</f>
        <v>2S1F</v>
      </c>
      <c r="X44" s="20" t="str">
        <f ca="1">Master_List!$AW$10</f>
        <v>MTM</v>
      </c>
      <c r="Y44" s="20" t="str">
        <f ca="1">Master_List!$AW$11</f>
        <v>HERMETICALLY SEAL</v>
      </c>
      <c r="Z44" s="20" t="str">
        <f ca="1">Master_List!$AW$12</f>
        <v>750kVA</v>
      </c>
      <c r="AA44" s="20" t="str">
        <f ca="1">Master_List!$AW$13</f>
        <v>1317</v>
      </c>
      <c r="AB44" s="20">
        <f ca="1">Master_List!$AW$14</f>
        <v>0</v>
      </c>
      <c r="AC44" s="20">
        <f ca="1">Master_List!$AW$15</f>
        <v>0</v>
      </c>
      <c r="AD44" s="20">
        <f ca="1">Master_List!$AW$16</f>
        <v>0</v>
      </c>
      <c r="AE44" s="20">
        <f ca="1">Master_List!$AW$17</f>
        <v>0</v>
      </c>
      <c r="AF44" s="20" t="str">
        <f ca="1">Master_List!$AW$18</f>
        <v>INDKOM</v>
      </c>
      <c r="AG44" s="20" t="str">
        <f ca="1">Master_List!$AW$19</f>
        <v>J-SLOTTED</v>
      </c>
      <c r="AH44" s="20" t="str">
        <f ca="1">Master_List!$AW$20</f>
        <v>1600A</v>
      </c>
      <c r="AI44" s="20" t="str">
        <f ca="1">Master_List!$AW$21</f>
        <v>LV5080090</v>
      </c>
      <c r="AJ44" s="20" t="str">
        <f ca="1">Master_List!$AW$22</f>
        <v>LVDB TX1</v>
      </c>
      <c r="AK44" s="20">
        <f ca="1">Master_List!$AW$23</f>
        <v>0</v>
      </c>
      <c r="AL44" s="20">
        <f ca="1">Master_List!$AW$24</f>
        <v>0</v>
      </c>
      <c r="AM44" s="20">
        <f ca="1">Master_List!$AW$25</f>
        <v>0</v>
      </c>
      <c r="AN44" s="20">
        <f ca="1">Master_List!$AW$26</f>
        <v>0</v>
      </c>
      <c r="AO44" s="20" t="str">
        <f ca="1">Master_List!$AW$27</f>
        <v>LVDB TX2</v>
      </c>
      <c r="AP44" s="20" t="str">
        <f ca="1">Master_List!$AW$28</f>
        <v>SUNPOWER TECHNOLOGIES</v>
      </c>
      <c r="AQ44" s="20" t="str">
        <f ca="1">Master_List!$AW$29</f>
        <v>SPS 30-10 L</v>
      </c>
      <c r="AR44" s="20" t="str">
        <f ca="1">Master_List!$AW$30</f>
        <v>11193-8527</v>
      </c>
      <c r="AS44" s="20">
        <f ca="1">Master_List!$AW$31</f>
        <v>0</v>
      </c>
      <c r="AT44" s="20">
        <f ca="1">Master_List!$AW$32</f>
        <v>0</v>
      </c>
      <c r="AU44" s="20">
        <f ca="1">Master_List!$AW$33</f>
        <v>0</v>
      </c>
      <c r="AV44" s="20">
        <f ca="1">Master_List!$AW$34</f>
        <v>0</v>
      </c>
      <c r="AW44" s="20">
        <f ca="1">Master_List!$AW$35</f>
        <v>0</v>
      </c>
      <c r="AX44" s="20">
        <f ca="1">Master_List!$AW$36</f>
        <v>0</v>
      </c>
      <c r="AY44" s="20">
        <f ca="1">Master_List!$AW$37</f>
        <v>0</v>
      </c>
      <c r="AZ44" s="20">
        <f ca="1">Master_List!$AW$38</f>
        <v>0</v>
      </c>
      <c r="BA44" s="20">
        <f ca="1">Master_List!$AW$39</f>
        <v>0</v>
      </c>
      <c r="BB44" s="20" t="s">
        <v>2240</v>
      </c>
      <c r="BC44" s="20" t="s">
        <v>2241</v>
      </c>
      <c r="BD44" s="6" t="s">
        <v>1744</v>
      </c>
      <c r="BE44" s="6" t="s">
        <v>1772</v>
      </c>
      <c r="BF44" s="6" t="s">
        <v>1746</v>
      </c>
      <c r="BG44" s="6" t="str">
        <f t="shared" si="2"/>
        <v>C:\Users\aremi\Desktop\REPORT CBM\PO 42289580 - Pahang 11kV SECOND CYCLE AZZAD 2026\RAW MATERIAL\047. TNB BARU (IR+VI)\RAW DATA\IR</v>
      </c>
      <c r="BH44" s="24" t="s">
        <v>1560</v>
      </c>
    </row>
    <row r="45" spans="1:60" ht="15" customHeight="1" x14ac:dyDescent="0.25">
      <c r="A45" s="6">
        <v>22</v>
      </c>
      <c r="B45" s="6" t="s">
        <v>1557</v>
      </c>
      <c r="C45" s="6">
        <v>1</v>
      </c>
      <c r="D45" s="6" t="s">
        <v>2263</v>
      </c>
      <c r="E45" s="6">
        <v>22</v>
      </c>
      <c r="F45" s="6" t="str">
        <f ca="1">Master_List!$AW$1</f>
        <v>PERPUSTAKAAN PUSAT</v>
      </c>
      <c r="G45" s="27" t="str">
        <f ca="1">Master_List!$AW$2</f>
        <v>09:30 PM</v>
      </c>
      <c r="H45" s="32" t="str">
        <f ca="1">Master_List!$AW$3</f>
        <v>20/07/2026</v>
      </c>
      <c r="I45" s="28" t="str">
        <f ca="1">Master_List!$AW$4</f>
        <v>28.5</v>
      </c>
      <c r="J45" s="6" t="str">
        <f ca="1">Master_List!$AW$5</f>
        <v>65</v>
      </c>
      <c r="K45" s="6" t="s">
        <v>585</v>
      </c>
      <c r="L45" s="22" t="str">
        <f ca="1">IFERROR(VLOOKUP(B45, Master_List!$A:$I, 2, FALSE), "-")</f>
        <v/>
      </c>
      <c r="M45" s="22" t="str">
        <f ca="1">IFERROR(VLOOKUP(B45, Master_List!$A:$I, 3, FALSE), "-")</f>
        <v/>
      </c>
      <c r="N45" s="22" t="str">
        <f ca="1">IFERROR(VLOOKUP(B45, Master_List!$A:$I, 4, FALSE), "-")</f>
        <v/>
      </c>
      <c r="O45" s="22" t="str">
        <f ca="1">IFERROR(VLOOKUP(B45, Master_List!$A:$I, 5, FALSE), "-")</f>
        <v/>
      </c>
      <c r="P45" s="22" t="str">
        <f ca="1">IFERROR(VLOOKUP(B45, Master_List!$A:$I, 6, FALSE), "-")</f>
        <v/>
      </c>
      <c r="Q45" s="22" t="str">
        <f ca="1">IFERROR(VLOOKUP(B45, Master_List!$A:$I, 7, FALSE), "-")</f>
        <v/>
      </c>
      <c r="R45" s="22" t="str">
        <f ca="1">IFERROR(VLOOKUP(B45, Master_List!$A:$I, 8, FALSE), "-")</f>
        <v/>
      </c>
      <c r="S45" s="22" t="str">
        <f ca="1">IFERROR(VLOOKUP(B45, Master_List!$A:$I, 9, FALSE), "-")</f>
        <v/>
      </c>
      <c r="T45" s="20" t="str">
        <f ca="1">Master_List!$AW$6</f>
        <v>TOSHIBA</v>
      </c>
      <c r="U45" s="20" t="str">
        <f ca="1">Master_List!$AW$7</f>
        <v>MRMU</v>
      </c>
      <c r="V45" s="20" t="str">
        <f ca="1">Master_List!$AW$8</f>
        <v>12kV</v>
      </c>
      <c r="W45" s="20" t="str">
        <f ca="1">Master_List!$AW$9</f>
        <v>2S1F</v>
      </c>
      <c r="X45" s="20" t="str">
        <f ca="1">Master_List!$AW$10</f>
        <v>MTM</v>
      </c>
      <c r="Y45" s="20" t="str">
        <f ca="1">Master_List!$AW$11</f>
        <v>HERMETICALLY SEAL</v>
      </c>
      <c r="Z45" s="20" t="str">
        <f ca="1">Master_List!$AW$12</f>
        <v>750kVA</v>
      </c>
      <c r="AA45" s="20" t="str">
        <f ca="1">Master_List!$AW$13</f>
        <v>1317</v>
      </c>
      <c r="AB45" s="20">
        <f ca="1">Master_List!$AW$14</f>
        <v>0</v>
      </c>
      <c r="AC45" s="20">
        <f ca="1">Master_List!$AW$15</f>
        <v>0</v>
      </c>
      <c r="AD45" s="20">
        <f ca="1">Master_List!$AW$16</f>
        <v>0</v>
      </c>
      <c r="AE45" s="20">
        <f ca="1">Master_List!$AW$17</f>
        <v>0</v>
      </c>
      <c r="AF45" s="20" t="str">
        <f ca="1">Master_List!$AW$18</f>
        <v>INDKOM</v>
      </c>
      <c r="AG45" s="20" t="str">
        <f ca="1">Master_List!$AW$19</f>
        <v>J-SLOTTED</v>
      </c>
      <c r="AH45" s="20" t="str">
        <f ca="1">Master_List!$AW$20</f>
        <v>1600A</v>
      </c>
      <c r="AI45" s="20" t="str">
        <f ca="1">Master_List!$AW$21</f>
        <v>LV5080090</v>
      </c>
      <c r="AJ45" s="20" t="str">
        <f ca="1">Master_List!$AW$22</f>
        <v>LVDB TX1</v>
      </c>
      <c r="AK45" s="20">
        <f ca="1">Master_List!$AW$23</f>
        <v>0</v>
      </c>
      <c r="AL45" s="20">
        <f ca="1">Master_List!$AW$24</f>
        <v>0</v>
      </c>
      <c r="AM45" s="20">
        <f ca="1">Master_List!$AW$25</f>
        <v>0</v>
      </c>
      <c r="AN45" s="20">
        <f ca="1">Master_List!$AW$26</f>
        <v>0</v>
      </c>
      <c r="AO45" s="20" t="str">
        <f ca="1">Master_List!$AW$27</f>
        <v>LVDB TX2</v>
      </c>
      <c r="AP45" s="20" t="str">
        <f ca="1">Master_List!$AW$28</f>
        <v>SUNPOWER TECHNOLOGIES</v>
      </c>
      <c r="AQ45" s="20" t="str">
        <f ca="1">Master_List!$AW$29</f>
        <v>SPS 30-10 L</v>
      </c>
      <c r="AR45" s="20" t="str">
        <f ca="1">Master_List!$AW$30</f>
        <v>11193-8527</v>
      </c>
      <c r="AS45" s="20">
        <f ca="1">Master_List!$AW$31</f>
        <v>0</v>
      </c>
      <c r="AT45" s="20">
        <f ca="1">Master_List!$AW$32</f>
        <v>0</v>
      </c>
      <c r="AU45" s="20">
        <f ca="1">Master_List!$AW$33</f>
        <v>0</v>
      </c>
      <c r="AV45" s="20">
        <f ca="1">Master_List!$AW$34</f>
        <v>0</v>
      </c>
      <c r="AW45" s="20">
        <f ca="1">Master_List!$AW$35</f>
        <v>0</v>
      </c>
      <c r="AX45" s="20">
        <f ca="1">Master_List!$AW$36</f>
        <v>0</v>
      </c>
      <c r="AY45" s="20">
        <f ca="1">Master_List!$AW$37</f>
        <v>0</v>
      </c>
      <c r="AZ45" s="20">
        <f ca="1">Master_List!$AW$38</f>
        <v>0</v>
      </c>
      <c r="BA45" s="20">
        <f ca="1">Master_List!$AW$39</f>
        <v>0</v>
      </c>
      <c r="BB45" s="20" t="s">
        <v>2240</v>
      </c>
      <c r="BC45" s="20" t="s">
        <v>2241</v>
      </c>
      <c r="BD45" s="6" t="s">
        <v>1744</v>
      </c>
      <c r="BE45" s="6" t="s">
        <v>1772</v>
      </c>
      <c r="BF45" s="6" t="s">
        <v>1748</v>
      </c>
      <c r="BG45" s="6" t="str">
        <f t="shared" si="2"/>
        <v>C:\Users\aremi\Desktop\REPORT CBM\PO 42289580 - Pahang 11kV SECOND CYCLE AZZAD 2026\RAW MATERIAL\047. TNB BARU (IR+VI)\RAW DATA\IR</v>
      </c>
      <c r="BH45" s="24" t="s">
        <v>1561</v>
      </c>
    </row>
    <row r="46" spans="1:60" ht="15" customHeight="1" x14ac:dyDescent="0.25">
      <c r="A46" s="6">
        <v>23</v>
      </c>
      <c r="B46" s="6" t="s">
        <v>1562</v>
      </c>
      <c r="C46" s="6">
        <v>1</v>
      </c>
      <c r="D46" s="6" t="s">
        <v>2263</v>
      </c>
      <c r="E46" s="6">
        <v>23</v>
      </c>
      <c r="F46" s="6" t="str">
        <f ca="1">Master_List!$AW$1</f>
        <v>PERPUSTAKAAN PUSAT</v>
      </c>
      <c r="G46" s="27" t="str">
        <f ca="1">Master_List!$AW$2</f>
        <v>09:30 PM</v>
      </c>
      <c r="H46" s="32" t="str">
        <f ca="1">Master_List!$AW$3</f>
        <v>20/07/2026</v>
      </c>
      <c r="I46" s="28" t="str">
        <f ca="1">Master_List!$AW$4</f>
        <v>28.5</v>
      </c>
      <c r="J46" s="6" t="str">
        <f ca="1">Master_List!$AW$5</f>
        <v>65</v>
      </c>
      <c r="K46" s="6" t="s">
        <v>576</v>
      </c>
      <c r="L46" s="22" t="str">
        <f ca="1">IFERROR(VLOOKUP(B46, Master_List!$A:$I, 2, FALSE), "-")</f>
        <v/>
      </c>
      <c r="M46" s="22" t="str">
        <f ca="1">IFERROR(VLOOKUP(B46, Master_List!$A:$I, 3, FALSE), "-")</f>
        <v/>
      </c>
      <c r="N46" s="22" t="str">
        <f ca="1">IFERROR(VLOOKUP(B46, Master_List!$A:$I, 4, FALSE), "-")</f>
        <v/>
      </c>
      <c r="O46" s="22" t="str">
        <f ca="1">IFERROR(VLOOKUP(B46, Master_List!$A:$I, 5, FALSE), "-")</f>
        <v/>
      </c>
      <c r="P46" s="22" t="str">
        <f ca="1">IFERROR(VLOOKUP(B46, Master_List!$A:$I, 6, FALSE), "-")</f>
        <v/>
      </c>
      <c r="Q46" s="22" t="str">
        <f ca="1">IFERROR(VLOOKUP(B46, Master_List!$A:$I, 7, FALSE), "-")</f>
        <v/>
      </c>
      <c r="R46" s="22" t="str">
        <f ca="1">IFERROR(VLOOKUP(B46, Master_List!$A:$I, 8, FALSE), "-")</f>
        <v/>
      </c>
      <c r="S46" s="22" t="str">
        <f ca="1">IFERROR(VLOOKUP(B46, Master_List!$A:$I, 9, FALSE), "-")</f>
        <v/>
      </c>
      <c r="T46" s="20" t="str">
        <f ca="1">Master_List!$AW$6</f>
        <v>TOSHIBA</v>
      </c>
      <c r="U46" s="20" t="str">
        <f ca="1">Master_List!$AW$7</f>
        <v>MRMU</v>
      </c>
      <c r="V46" s="20" t="str">
        <f ca="1">Master_List!$AW$8</f>
        <v>12kV</v>
      </c>
      <c r="W46" s="20" t="str">
        <f ca="1">Master_List!$AW$9</f>
        <v>2S1F</v>
      </c>
      <c r="X46" s="20" t="str">
        <f ca="1">Master_List!$AW$10</f>
        <v>MTM</v>
      </c>
      <c r="Y46" s="20" t="str">
        <f ca="1">Master_List!$AW$11</f>
        <v>HERMETICALLY SEAL</v>
      </c>
      <c r="Z46" s="20" t="str">
        <f ca="1">Master_List!$AW$12</f>
        <v>750kVA</v>
      </c>
      <c r="AA46" s="20" t="str">
        <f ca="1">Master_List!$AW$13</f>
        <v>1317</v>
      </c>
      <c r="AB46" s="20">
        <f ca="1">Master_List!$AW$14</f>
        <v>0</v>
      </c>
      <c r="AC46" s="20">
        <f ca="1">Master_List!$AW$15</f>
        <v>0</v>
      </c>
      <c r="AD46" s="20">
        <f ca="1">Master_List!$AW$16</f>
        <v>0</v>
      </c>
      <c r="AE46" s="20">
        <f ca="1">Master_List!$AW$17</f>
        <v>0</v>
      </c>
      <c r="AF46" s="20" t="str">
        <f ca="1">Master_List!$AW$18</f>
        <v>INDKOM</v>
      </c>
      <c r="AG46" s="20" t="str">
        <f ca="1">Master_List!$AW$19</f>
        <v>J-SLOTTED</v>
      </c>
      <c r="AH46" s="20" t="str">
        <f ca="1">Master_List!$AW$20</f>
        <v>1600A</v>
      </c>
      <c r="AI46" s="20" t="str">
        <f ca="1">Master_List!$AW$21</f>
        <v>LV5080090</v>
      </c>
      <c r="AJ46" s="20" t="str">
        <f ca="1">Master_List!$AW$22</f>
        <v>LVDB TX1</v>
      </c>
      <c r="AK46" s="20">
        <f ca="1">Master_List!$AW$23</f>
        <v>0</v>
      </c>
      <c r="AL46" s="20">
        <f ca="1">Master_List!$AW$24</f>
        <v>0</v>
      </c>
      <c r="AM46" s="20">
        <f ca="1">Master_List!$AW$25</f>
        <v>0</v>
      </c>
      <c r="AN46" s="20">
        <f ca="1">Master_List!$AW$26</f>
        <v>0</v>
      </c>
      <c r="AO46" s="20" t="str">
        <f ca="1">Master_List!$AW$27</f>
        <v>LVDB TX2</v>
      </c>
      <c r="AP46" s="20" t="str">
        <f ca="1">Master_List!$AW$28</f>
        <v>SUNPOWER TECHNOLOGIES</v>
      </c>
      <c r="AQ46" s="20" t="str">
        <f ca="1">Master_List!$AW$29</f>
        <v>SPS 30-10 L</v>
      </c>
      <c r="AR46" s="20" t="str">
        <f ca="1">Master_List!$AW$30</f>
        <v>11193-8527</v>
      </c>
      <c r="AS46" s="20">
        <f ca="1">Master_List!$AW$31</f>
        <v>0</v>
      </c>
      <c r="AT46" s="20">
        <f ca="1">Master_List!$AW$32</f>
        <v>0</v>
      </c>
      <c r="AU46" s="20">
        <f ca="1">Master_List!$AW$33</f>
        <v>0</v>
      </c>
      <c r="AV46" s="20">
        <f ca="1">Master_List!$AW$34</f>
        <v>0</v>
      </c>
      <c r="AW46" s="20">
        <f ca="1">Master_List!$AW$35</f>
        <v>0</v>
      </c>
      <c r="AX46" s="20">
        <f ca="1">Master_List!$AW$36</f>
        <v>0</v>
      </c>
      <c r="AY46" s="20">
        <f ca="1">Master_List!$AW$37</f>
        <v>0</v>
      </c>
      <c r="AZ46" s="20">
        <f ca="1">Master_List!$AW$38</f>
        <v>0</v>
      </c>
      <c r="BA46" s="20">
        <f ca="1">Master_List!$AW$39</f>
        <v>0</v>
      </c>
      <c r="BB46" s="20" t="s">
        <v>2240</v>
      </c>
      <c r="BC46" s="20" t="s">
        <v>2241</v>
      </c>
      <c r="BD46" s="6" t="s">
        <v>1744</v>
      </c>
      <c r="BE46" s="6" t="s">
        <v>1773</v>
      </c>
      <c r="BF46" s="6" t="s">
        <v>1746</v>
      </c>
      <c r="BG46" s="6" t="str">
        <f t="shared" si="2"/>
        <v>C:\Users\aremi\Desktop\REPORT CBM\PO 42289580 - Pahang 11kV SECOND CYCLE AZZAD 2026\RAW MATERIAL\047. TNB BARU (IR+VI)\RAW DATA\IR</v>
      </c>
      <c r="BH46" s="24" t="s">
        <v>1563</v>
      </c>
    </row>
    <row r="47" spans="1:60" ht="15" customHeight="1" x14ac:dyDescent="0.25">
      <c r="A47" s="6">
        <v>23</v>
      </c>
      <c r="B47" s="6" t="s">
        <v>1562</v>
      </c>
      <c r="C47" s="6">
        <v>1</v>
      </c>
      <c r="D47" s="6" t="s">
        <v>2263</v>
      </c>
      <c r="E47" s="6">
        <v>23</v>
      </c>
      <c r="F47" s="6" t="str">
        <f ca="1">Master_List!$AW$1</f>
        <v>PERPUSTAKAAN PUSAT</v>
      </c>
      <c r="G47" s="27" t="str">
        <f ca="1">Master_List!$AW$2</f>
        <v>09:30 PM</v>
      </c>
      <c r="H47" s="32" t="str">
        <f ca="1">Master_List!$AW$3</f>
        <v>20/07/2026</v>
      </c>
      <c r="I47" s="28" t="str">
        <f ca="1">Master_List!$AW$4</f>
        <v>28.5</v>
      </c>
      <c r="J47" s="6" t="str">
        <f ca="1">Master_List!$AW$5</f>
        <v>65</v>
      </c>
      <c r="K47" s="6" t="s">
        <v>576</v>
      </c>
      <c r="L47" s="22" t="str">
        <f ca="1">IFERROR(VLOOKUP(B47, Master_List!$A:$I, 2, FALSE), "-")</f>
        <v/>
      </c>
      <c r="M47" s="22" t="str">
        <f ca="1">IFERROR(VLOOKUP(B47, Master_List!$A:$I, 3, FALSE), "-")</f>
        <v/>
      </c>
      <c r="N47" s="22" t="str">
        <f ca="1">IFERROR(VLOOKUP(B47, Master_List!$A:$I, 4, FALSE), "-")</f>
        <v/>
      </c>
      <c r="O47" s="22" t="str">
        <f ca="1">IFERROR(VLOOKUP(B47, Master_List!$A:$I, 5, FALSE), "-")</f>
        <v/>
      </c>
      <c r="P47" s="22" t="str">
        <f ca="1">IFERROR(VLOOKUP(B47, Master_List!$A:$I, 6, FALSE), "-")</f>
        <v/>
      </c>
      <c r="Q47" s="22" t="str">
        <f ca="1">IFERROR(VLOOKUP(B47, Master_List!$A:$I, 7, FALSE), "-")</f>
        <v/>
      </c>
      <c r="R47" s="22" t="str">
        <f ca="1">IFERROR(VLOOKUP(B47, Master_List!$A:$I, 8, FALSE), "-")</f>
        <v/>
      </c>
      <c r="S47" s="22" t="str">
        <f ca="1">IFERROR(VLOOKUP(B47, Master_List!$A:$I, 9, FALSE), "-")</f>
        <v/>
      </c>
      <c r="T47" s="20" t="str">
        <f ca="1">Master_List!$AW$6</f>
        <v>TOSHIBA</v>
      </c>
      <c r="U47" s="20" t="str">
        <f ca="1">Master_List!$AW$7</f>
        <v>MRMU</v>
      </c>
      <c r="V47" s="20" t="str">
        <f ca="1">Master_List!$AW$8</f>
        <v>12kV</v>
      </c>
      <c r="W47" s="20" t="str">
        <f ca="1">Master_List!$AW$9</f>
        <v>2S1F</v>
      </c>
      <c r="X47" s="20" t="str">
        <f ca="1">Master_List!$AW$10</f>
        <v>MTM</v>
      </c>
      <c r="Y47" s="20" t="str">
        <f ca="1">Master_List!$AW$11</f>
        <v>HERMETICALLY SEAL</v>
      </c>
      <c r="Z47" s="20" t="str">
        <f ca="1">Master_List!$AW$12</f>
        <v>750kVA</v>
      </c>
      <c r="AA47" s="20" t="str">
        <f ca="1">Master_List!$AW$13</f>
        <v>1317</v>
      </c>
      <c r="AB47" s="20">
        <f ca="1">Master_List!$AW$14</f>
        <v>0</v>
      </c>
      <c r="AC47" s="20">
        <f ca="1">Master_List!$AW$15</f>
        <v>0</v>
      </c>
      <c r="AD47" s="20">
        <f ca="1">Master_List!$AW$16</f>
        <v>0</v>
      </c>
      <c r="AE47" s="20">
        <f ca="1">Master_List!$AW$17</f>
        <v>0</v>
      </c>
      <c r="AF47" s="20" t="str">
        <f ca="1">Master_List!$AW$18</f>
        <v>INDKOM</v>
      </c>
      <c r="AG47" s="20" t="str">
        <f ca="1">Master_List!$AW$19</f>
        <v>J-SLOTTED</v>
      </c>
      <c r="AH47" s="20" t="str">
        <f ca="1">Master_List!$AW$20</f>
        <v>1600A</v>
      </c>
      <c r="AI47" s="20" t="str">
        <f ca="1">Master_List!$AW$21</f>
        <v>LV5080090</v>
      </c>
      <c r="AJ47" s="20" t="str">
        <f ca="1">Master_List!$AW$22</f>
        <v>LVDB TX1</v>
      </c>
      <c r="AK47" s="20">
        <f ca="1">Master_List!$AW$23</f>
        <v>0</v>
      </c>
      <c r="AL47" s="20">
        <f ca="1">Master_List!$AW$24</f>
        <v>0</v>
      </c>
      <c r="AM47" s="20">
        <f ca="1">Master_List!$AW$25</f>
        <v>0</v>
      </c>
      <c r="AN47" s="20">
        <f ca="1">Master_List!$AW$26</f>
        <v>0</v>
      </c>
      <c r="AO47" s="20" t="str">
        <f ca="1">Master_List!$AW$27</f>
        <v>LVDB TX2</v>
      </c>
      <c r="AP47" s="20" t="str">
        <f ca="1">Master_List!$AW$28</f>
        <v>SUNPOWER TECHNOLOGIES</v>
      </c>
      <c r="AQ47" s="20" t="str">
        <f ca="1">Master_List!$AW$29</f>
        <v>SPS 30-10 L</v>
      </c>
      <c r="AR47" s="20" t="str">
        <f ca="1">Master_List!$AW$30</f>
        <v>11193-8527</v>
      </c>
      <c r="AS47" s="20">
        <f ca="1">Master_List!$AW$31</f>
        <v>0</v>
      </c>
      <c r="AT47" s="20">
        <f ca="1">Master_List!$AW$32</f>
        <v>0</v>
      </c>
      <c r="AU47" s="20">
        <f ca="1">Master_List!$AW$33</f>
        <v>0</v>
      </c>
      <c r="AV47" s="20">
        <f ca="1">Master_List!$AW$34</f>
        <v>0</v>
      </c>
      <c r="AW47" s="20">
        <f ca="1">Master_List!$AW$35</f>
        <v>0</v>
      </c>
      <c r="AX47" s="20">
        <f ca="1">Master_List!$AW$36</f>
        <v>0</v>
      </c>
      <c r="AY47" s="20">
        <f ca="1">Master_List!$AW$37</f>
        <v>0</v>
      </c>
      <c r="AZ47" s="20">
        <f ca="1">Master_List!$AW$38</f>
        <v>0</v>
      </c>
      <c r="BA47" s="20">
        <f ca="1">Master_List!$AW$39</f>
        <v>0</v>
      </c>
      <c r="BB47" s="20" t="s">
        <v>2240</v>
      </c>
      <c r="BC47" s="20" t="s">
        <v>2241</v>
      </c>
      <c r="BD47" s="6" t="s">
        <v>1744</v>
      </c>
      <c r="BE47" s="6" t="s">
        <v>1773</v>
      </c>
      <c r="BF47" s="6" t="s">
        <v>1748</v>
      </c>
      <c r="BG47" s="6" t="str">
        <f t="shared" si="2"/>
        <v>C:\Users\aremi\Desktop\REPORT CBM\PO 42289580 - Pahang 11kV SECOND CYCLE AZZAD 2026\RAW MATERIAL\047. TNB BARU (IR+VI)\RAW DATA\IR</v>
      </c>
      <c r="BH47" s="24" t="s">
        <v>1564</v>
      </c>
    </row>
    <row r="48" spans="1:60" ht="15" customHeight="1" x14ac:dyDescent="0.25">
      <c r="A48" s="6">
        <v>24</v>
      </c>
      <c r="B48" s="6" t="s">
        <v>1562</v>
      </c>
      <c r="C48" s="6">
        <v>1</v>
      </c>
      <c r="D48" s="6" t="s">
        <v>2263</v>
      </c>
      <c r="E48" s="6">
        <v>24</v>
      </c>
      <c r="F48" s="6" t="str">
        <f ca="1">Master_List!$AW$1</f>
        <v>PERPUSTAKAAN PUSAT</v>
      </c>
      <c r="G48" s="27" t="str">
        <f ca="1">Master_List!$AW$2</f>
        <v>09:30 PM</v>
      </c>
      <c r="H48" s="32" t="str">
        <f ca="1">Master_List!$AW$3</f>
        <v>20/07/2026</v>
      </c>
      <c r="I48" s="28" t="str">
        <f ca="1">Master_List!$AW$4</f>
        <v>28.5</v>
      </c>
      <c r="J48" s="6" t="str">
        <f ca="1">Master_List!$AW$5</f>
        <v>65</v>
      </c>
      <c r="K48" s="6" t="s">
        <v>585</v>
      </c>
      <c r="L48" s="22" t="str">
        <f ca="1">IFERROR(VLOOKUP(B48, Master_List!$A:$I, 2, FALSE), "-")</f>
        <v/>
      </c>
      <c r="M48" s="22" t="str">
        <f ca="1">IFERROR(VLOOKUP(B48, Master_List!$A:$I, 3, FALSE), "-")</f>
        <v/>
      </c>
      <c r="N48" s="22" t="str">
        <f ca="1">IFERROR(VLOOKUP(B48, Master_List!$A:$I, 4, FALSE), "-")</f>
        <v/>
      </c>
      <c r="O48" s="22" t="str">
        <f ca="1">IFERROR(VLOOKUP(B48, Master_List!$A:$I, 5, FALSE), "-")</f>
        <v/>
      </c>
      <c r="P48" s="22" t="str">
        <f ca="1">IFERROR(VLOOKUP(B48, Master_List!$A:$I, 6, FALSE), "-")</f>
        <v/>
      </c>
      <c r="Q48" s="22" t="str">
        <f ca="1">IFERROR(VLOOKUP(B48, Master_List!$A:$I, 7, FALSE), "-")</f>
        <v/>
      </c>
      <c r="R48" s="22" t="str">
        <f ca="1">IFERROR(VLOOKUP(B48, Master_List!$A:$I, 8, FALSE), "-")</f>
        <v/>
      </c>
      <c r="S48" s="22" t="str">
        <f ca="1">IFERROR(VLOOKUP(B48, Master_List!$A:$I, 9, FALSE), "-")</f>
        <v/>
      </c>
      <c r="T48" s="20" t="str">
        <f ca="1">Master_List!$AW$6</f>
        <v>TOSHIBA</v>
      </c>
      <c r="U48" s="20" t="str">
        <f ca="1">Master_List!$AW$7</f>
        <v>MRMU</v>
      </c>
      <c r="V48" s="20" t="str">
        <f ca="1">Master_List!$AW$8</f>
        <v>12kV</v>
      </c>
      <c r="W48" s="20" t="str">
        <f ca="1">Master_List!$AW$9</f>
        <v>2S1F</v>
      </c>
      <c r="X48" s="20" t="str">
        <f ca="1">Master_List!$AW$10</f>
        <v>MTM</v>
      </c>
      <c r="Y48" s="20" t="str">
        <f ca="1">Master_List!$AW$11</f>
        <v>HERMETICALLY SEAL</v>
      </c>
      <c r="Z48" s="20" t="str">
        <f ca="1">Master_List!$AW$12</f>
        <v>750kVA</v>
      </c>
      <c r="AA48" s="20" t="str">
        <f ca="1">Master_List!$AW$13</f>
        <v>1317</v>
      </c>
      <c r="AB48" s="20">
        <f ca="1">Master_List!$AW$14</f>
        <v>0</v>
      </c>
      <c r="AC48" s="20">
        <f ca="1">Master_List!$AW$15</f>
        <v>0</v>
      </c>
      <c r="AD48" s="20">
        <f ca="1">Master_List!$AW$16</f>
        <v>0</v>
      </c>
      <c r="AE48" s="20">
        <f ca="1">Master_List!$AW$17</f>
        <v>0</v>
      </c>
      <c r="AF48" s="20" t="str">
        <f ca="1">Master_List!$AW$18</f>
        <v>INDKOM</v>
      </c>
      <c r="AG48" s="20" t="str">
        <f ca="1">Master_List!$AW$19</f>
        <v>J-SLOTTED</v>
      </c>
      <c r="AH48" s="20" t="str">
        <f ca="1">Master_List!$AW$20</f>
        <v>1600A</v>
      </c>
      <c r="AI48" s="20" t="str">
        <f ca="1">Master_List!$AW$21</f>
        <v>LV5080090</v>
      </c>
      <c r="AJ48" s="20" t="str">
        <f ca="1">Master_List!$AW$22</f>
        <v>LVDB TX1</v>
      </c>
      <c r="AK48" s="20">
        <f ca="1">Master_List!$AW$23</f>
        <v>0</v>
      </c>
      <c r="AL48" s="20">
        <f ca="1">Master_List!$AW$24</f>
        <v>0</v>
      </c>
      <c r="AM48" s="20">
        <f ca="1">Master_List!$AW$25</f>
        <v>0</v>
      </c>
      <c r="AN48" s="20">
        <f ca="1">Master_List!$AW$26</f>
        <v>0</v>
      </c>
      <c r="AO48" s="20" t="str">
        <f ca="1">Master_List!$AW$27</f>
        <v>LVDB TX2</v>
      </c>
      <c r="AP48" s="20" t="str">
        <f ca="1">Master_List!$AW$28</f>
        <v>SUNPOWER TECHNOLOGIES</v>
      </c>
      <c r="AQ48" s="20" t="str">
        <f ca="1">Master_List!$AW$29</f>
        <v>SPS 30-10 L</v>
      </c>
      <c r="AR48" s="20" t="str">
        <f ca="1">Master_List!$AW$30</f>
        <v>11193-8527</v>
      </c>
      <c r="AS48" s="20">
        <f ca="1">Master_List!$AW$31</f>
        <v>0</v>
      </c>
      <c r="AT48" s="20">
        <f ca="1">Master_List!$AW$32</f>
        <v>0</v>
      </c>
      <c r="AU48" s="20">
        <f ca="1">Master_List!$AW$33</f>
        <v>0</v>
      </c>
      <c r="AV48" s="20">
        <f ca="1">Master_List!$AW$34</f>
        <v>0</v>
      </c>
      <c r="AW48" s="20">
        <f ca="1">Master_List!$AW$35</f>
        <v>0</v>
      </c>
      <c r="AX48" s="20">
        <f ca="1">Master_List!$AW$36</f>
        <v>0</v>
      </c>
      <c r="AY48" s="20">
        <f ca="1">Master_List!$AW$37</f>
        <v>0</v>
      </c>
      <c r="AZ48" s="20">
        <f ca="1">Master_List!$AW$38</f>
        <v>0</v>
      </c>
      <c r="BA48" s="20">
        <f ca="1">Master_List!$AW$39</f>
        <v>0</v>
      </c>
      <c r="BB48" s="20" t="s">
        <v>2240</v>
      </c>
      <c r="BC48" s="20" t="s">
        <v>2241</v>
      </c>
      <c r="BD48" s="6" t="s">
        <v>1744</v>
      </c>
      <c r="BE48" s="6" t="s">
        <v>1774</v>
      </c>
      <c r="BF48" s="6" t="s">
        <v>1746</v>
      </c>
      <c r="BG48" s="6" t="str">
        <f t="shared" si="2"/>
        <v>C:\Users\aremi\Desktop\REPORT CBM\PO 42289580 - Pahang 11kV SECOND CYCLE AZZAD 2026\RAW MATERIAL\047. TNB BARU (IR+VI)\RAW DATA\IR</v>
      </c>
      <c r="BH48" s="24" t="s">
        <v>1565</v>
      </c>
    </row>
    <row r="49" spans="1:60" ht="15" customHeight="1" x14ac:dyDescent="0.25">
      <c r="A49" s="6">
        <v>24</v>
      </c>
      <c r="B49" s="6" t="s">
        <v>1562</v>
      </c>
      <c r="C49" s="6">
        <v>1</v>
      </c>
      <c r="D49" s="6" t="s">
        <v>2263</v>
      </c>
      <c r="E49" s="6">
        <v>24</v>
      </c>
      <c r="F49" s="6" t="str">
        <f ca="1">Master_List!$AW$1</f>
        <v>PERPUSTAKAAN PUSAT</v>
      </c>
      <c r="G49" s="27" t="str">
        <f ca="1">Master_List!$AW$2</f>
        <v>09:30 PM</v>
      </c>
      <c r="H49" s="32" t="str">
        <f ca="1">Master_List!$AW$3</f>
        <v>20/07/2026</v>
      </c>
      <c r="I49" s="28" t="str">
        <f ca="1">Master_List!$AW$4</f>
        <v>28.5</v>
      </c>
      <c r="J49" s="6" t="str">
        <f ca="1">Master_List!$AW$5</f>
        <v>65</v>
      </c>
      <c r="K49" s="6" t="s">
        <v>585</v>
      </c>
      <c r="L49" s="22" t="str">
        <f ca="1">IFERROR(VLOOKUP(B49, Master_List!$A:$I, 2, FALSE), "-")</f>
        <v/>
      </c>
      <c r="M49" s="22" t="str">
        <f ca="1">IFERROR(VLOOKUP(B49, Master_List!$A:$I, 3, FALSE), "-")</f>
        <v/>
      </c>
      <c r="N49" s="22" t="str">
        <f ca="1">IFERROR(VLOOKUP(B49, Master_List!$A:$I, 4, FALSE), "-")</f>
        <v/>
      </c>
      <c r="O49" s="22" t="str">
        <f ca="1">IFERROR(VLOOKUP(B49, Master_List!$A:$I, 5, FALSE), "-")</f>
        <v/>
      </c>
      <c r="P49" s="22" t="str">
        <f ca="1">IFERROR(VLOOKUP(B49, Master_List!$A:$I, 6, FALSE), "-")</f>
        <v/>
      </c>
      <c r="Q49" s="22" t="str">
        <f ca="1">IFERROR(VLOOKUP(B49, Master_List!$A:$I, 7, FALSE), "-")</f>
        <v/>
      </c>
      <c r="R49" s="22" t="str">
        <f ca="1">IFERROR(VLOOKUP(B49, Master_List!$A:$I, 8, FALSE), "-")</f>
        <v/>
      </c>
      <c r="S49" s="22" t="str">
        <f ca="1">IFERROR(VLOOKUP(B49, Master_List!$A:$I, 9, FALSE), "-")</f>
        <v/>
      </c>
      <c r="T49" s="20" t="str">
        <f ca="1">Master_List!$AW$6</f>
        <v>TOSHIBA</v>
      </c>
      <c r="U49" s="20" t="str">
        <f ca="1">Master_List!$AW$7</f>
        <v>MRMU</v>
      </c>
      <c r="V49" s="20" t="str">
        <f ca="1">Master_List!$AW$8</f>
        <v>12kV</v>
      </c>
      <c r="W49" s="20" t="str">
        <f ca="1">Master_List!$AW$9</f>
        <v>2S1F</v>
      </c>
      <c r="X49" s="20" t="str">
        <f ca="1">Master_List!$AW$10</f>
        <v>MTM</v>
      </c>
      <c r="Y49" s="20" t="str">
        <f ca="1">Master_List!$AW$11</f>
        <v>HERMETICALLY SEAL</v>
      </c>
      <c r="Z49" s="20" t="str">
        <f ca="1">Master_List!$AW$12</f>
        <v>750kVA</v>
      </c>
      <c r="AA49" s="20" t="str">
        <f ca="1">Master_List!$AW$13</f>
        <v>1317</v>
      </c>
      <c r="AB49" s="20">
        <f ca="1">Master_List!$AW$14</f>
        <v>0</v>
      </c>
      <c r="AC49" s="20">
        <f ca="1">Master_List!$AW$15</f>
        <v>0</v>
      </c>
      <c r="AD49" s="20">
        <f ca="1">Master_List!$AW$16</f>
        <v>0</v>
      </c>
      <c r="AE49" s="20">
        <f ca="1">Master_List!$AW$17</f>
        <v>0</v>
      </c>
      <c r="AF49" s="20" t="str">
        <f ca="1">Master_List!$AW$18</f>
        <v>INDKOM</v>
      </c>
      <c r="AG49" s="20" t="str">
        <f ca="1">Master_List!$AW$19</f>
        <v>J-SLOTTED</v>
      </c>
      <c r="AH49" s="20" t="str">
        <f ca="1">Master_List!$AW$20</f>
        <v>1600A</v>
      </c>
      <c r="AI49" s="20" t="str">
        <f ca="1">Master_List!$AW$21</f>
        <v>LV5080090</v>
      </c>
      <c r="AJ49" s="20" t="str">
        <f ca="1">Master_List!$AW$22</f>
        <v>LVDB TX1</v>
      </c>
      <c r="AK49" s="20">
        <f ca="1">Master_List!$AW$23</f>
        <v>0</v>
      </c>
      <c r="AL49" s="20">
        <f ca="1">Master_List!$AW$24</f>
        <v>0</v>
      </c>
      <c r="AM49" s="20">
        <f ca="1">Master_List!$AW$25</f>
        <v>0</v>
      </c>
      <c r="AN49" s="20">
        <f ca="1">Master_List!$AW$26</f>
        <v>0</v>
      </c>
      <c r="AO49" s="20" t="str">
        <f ca="1">Master_List!$AW$27</f>
        <v>LVDB TX2</v>
      </c>
      <c r="AP49" s="20" t="str">
        <f ca="1">Master_List!$AW$28</f>
        <v>SUNPOWER TECHNOLOGIES</v>
      </c>
      <c r="AQ49" s="20" t="str">
        <f ca="1">Master_List!$AW$29</f>
        <v>SPS 30-10 L</v>
      </c>
      <c r="AR49" s="20" t="str">
        <f ca="1">Master_List!$AW$30</f>
        <v>11193-8527</v>
      </c>
      <c r="AS49" s="20">
        <f ca="1">Master_List!$AW$31</f>
        <v>0</v>
      </c>
      <c r="AT49" s="20">
        <f ca="1">Master_List!$AW$32</f>
        <v>0</v>
      </c>
      <c r="AU49" s="20">
        <f ca="1">Master_List!$AW$33</f>
        <v>0</v>
      </c>
      <c r="AV49" s="20">
        <f ca="1">Master_List!$AW$34</f>
        <v>0</v>
      </c>
      <c r="AW49" s="20">
        <f ca="1">Master_List!$AW$35</f>
        <v>0</v>
      </c>
      <c r="AX49" s="20">
        <f ca="1">Master_List!$AW$36</f>
        <v>0</v>
      </c>
      <c r="AY49" s="20">
        <f ca="1">Master_List!$AW$37</f>
        <v>0</v>
      </c>
      <c r="AZ49" s="20">
        <f ca="1">Master_List!$AW$38</f>
        <v>0</v>
      </c>
      <c r="BA49" s="20">
        <f ca="1">Master_List!$AW$39</f>
        <v>0</v>
      </c>
      <c r="BB49" s="20" t="s">
        <v>2240</v>
      </c>
      <c r="BC49" s="20" t="s">
        <v>2241</v>
      </c>
      <c r="BD49" s="6" t="s">
        <v>1744</v>
      </c>
      <c r="BE49" s="6" t="s">
        <v>1774</v>
      </c>
      <c r="BF49" s="6" t="s">
        <v>1748</v>
      </c>
      <c r="BG49" s="6" t="str">
        <f t="shared" si="2"/>
        <v>C:\Users\aremi\Desktop\REPORT CBM\PO 42289580 - Pahang 11kV SECOND CYCLE AZZAD 2026\RAW MATERIAL\047. TNB BARU (IR+VI)\RAW DATA\IR</v>
      </c>
      <c r="BH49" s="24" t="s">
        <v>1566</v>
      </c>
    </row>
    <row r="50" spans="1:60" ht="15" customHeight="1" x14ac:dyDescent="0.25">
      <c r="A50" s="6">
        <v>25</v>
      </c>
      <c r="B50" s="6" t="s">
        <v>1567</v>
      </c>
      <c r="C50" s="6">
        <v>1</v>
      </c>
      <c r="D50" s="6" t="s">
        <v>2263</v>
      </c>
      <c r="E50" s="6">
        <v>25</v>
      </c>
      <c r="F50" s="6" t="str">
        <f ca="1">Master_List!$AW$1</f>
        <v>PERPUSTAKAAN PUSAT</v>
      </c>
      <c r="G50" s="27" t="str">
        <f ca="1">Master_List!$AW$2</f>
        <v>09:30 PM</v>
      </c>
      <c r="H50" s="32" t="str">
        <f ca="1">Master_List!$AW$3</f>
        <v>20/07/2026</v>
      </c>
      <c r="I50" s="28" t="str">
        <f ca="1">Master_List!$AW$4</f>
        <v>28.5</v>
      </c>
      <c r="J50" s="6" t="str">
        <f ca="1">Master_List!$AW$5</f>
        <v>65</v>
      </c>
      <c r="K50" s="6" t="s">
        <v>576</v>
      </c>
      <c r="L50" s="22" t="str">
        <f ca="1">IFERROR(VLOOKUP(B50, Master_List!$A:$I, 2, FALSE), "-")</f>
        <v/>
      </c>
      <c r="M50" s="22" t="str">
        <f ca="1">IFERROR(VLOOKUP(B50, Master_List!$A:$I, 3, FALSE), "-")</f>
        <v/>
      </c>
      <c r="N50" s="22" t="str">
        <f ca="1">IFERROR(VLOOKUP(B50, Master_List!$A:$I, 4, FALSE), "-")</f>
        <v/>
      </c>
      <c r="O50" s="22" t="str">
        <f ca="1">IFERROR(VLOOKUP(B50, Master_List!$A:$I, 5, FALSE), "-")</f>
        <v/>
      </c>
      <c r="P50" s="22" t="str">
        <f ca="1">IFERROR(VLOOKUP(B50, Master_List!$A:$I, 6, FALSE), "-")</f>
        <v/>
      </c>
      <c r="Q50" s="22" t="str">
        <f ca="1">IFERROR(VLOOKUP(B50, Master_List!$A:$I, 7, FALSE), "-")</f>
        <v/>
      </c>
      <c r="R50" s="22" t="str">
        <f ca="1">IFERROR(VLOOKUP(B50, Master_List!$A:$I, 8, FALSE), "-")</f>
        <v/>
      </c>
      <c r="S50" s="22" t="str">
        <f ca="1">IFERROR(VLOOKUP(B50, Master_List!$A:$I, 9, FALSE), "-")</f>
        <v/>
      </c>
      <c r="T50" s="20" t="str">
        <f ca="1">Master_List!$AW$6</f>
        <v>TOSHIBA</v>
      </c>
      <c r="U50" s="20" t="str">
        <f ca="1">Master_List!$AW$7</f>
        <v>MRMU</v>
      </c>
      <c r="V50" s="20" t="str">
        <f ca="1">Master_List!$AW$8</f>
        <v>12kV</v>
      </c>
      <c r="W50" s="20" t="str">
        <f ca="1">Master_List!$AW$9</f>
        <v>2S1F</v>
      </c>
      <c r="X50" s="20" t="str">
        <f ca="1">Master_List!$AW$10</f>
        <v>MTM</v>
      </c>
      <c r="Y50" s="20" t="str">
        <f ca="1">Master_List!$AW$11</f>
        <v>HERMETICALLY SEAL</v>
      </c>
      <c r="Z50" s="20" t="str">
        <f ca="1">Master_List!$AW$12</f>
        <v>750kVA</v>
      </c>
      <c r="AA50" s="20" t="str">
        <f ca="1">Master_List!$AW$13</f>
        <v>1317</v>
      </c>
      <c r="AB50" s="20">
        <f ca="1">Master_List!$AW$14</f>
        <v>0</v>
      </c>
      <c r="AC50" s="20">
        <f ca="1">Master_List!$AW$15</f>
        <v>0</v>
      </c>
      <c r="AD50" s="20">
        <f ca="1">Master_List!$AW$16</f>
        <v>0</v>
      </c>
      <c r="AE50" s="20">
        <f ca="1">Master_List!$AW$17</f>
        <v>0</v>
      </c>
      <c r="AF50" s="20" t="str">
        <f ca="1">Master_List!$AW$18</f>
        <v>INDKOM</v>
      </c>
      <c r="AG50" s="20" t="str">
        <f ca="1">Master_List!$AW$19</f>
        <v>J-SLOTTED</v>
      </c>
      <c r="AH50" s="20" t="str">
        <f ca="1">Master_List!$AW$20</f>
        <v>1600A</v>
      </c>
      <c r="AI50" s="20" t="str">
        <f ca="1">Master_List!$AW$21</f>
        <v>LV5080090</v>
      </c>
      <c r="AJ50" s="20" t="str">
        <f ca="1">Master_List!$AW$22</f>
        <v>LVDB TX1</v>
      </c>
      <c r="AK50" s="20">
        <f ca="1">Master_List!$AW$23</f>
        <v>0</v>
      </c>
      <c r="AL50" s="20">
        <f ca="1">Master_List!$AW$24</f>
        <v>0</v>
      </c>
      <c r="AM50" s="20">
        <f ca="1">Master_List!$AW$25</f>
        <v>0</v>
      </c>
      <c r="AN50" s="20">
        <f ca="1">Master_List!$AW$26</f>
        <v>0</v>
      </c>
      <c r="AO50" s="20" t="str">
        <f ca="1">Master_List!$AW$27</f>
        <v>LVDB TX2</v>
      </c>
      <c r="AP50" s="20" t="str">
        <f ca="1">Master_List!$AW$28</f>
        <v>SUNPOWER TECHNOLOGIES</v>
      </c>
      <c r="AQ50" s="20" t="str">
        <f ca="1">Master_List!$AW$29</f>
        <v>SPS 30-10 L</v>
      </c>
      <c r="AR50" s="20" t="str">
        <f ca="1">Master_List!$AW$30</f>
        <v>11193-8527</v>
      </c>
      <c r="AS50" s="20">
        <f ca="1">Master_List!$AW$31</f>
        <v>0</v>
      </c>
      <c r="AT50" s="20">
        <f ca="1">Master_List!$AW$32</f>
        <v>0</v>
      </c>
      <c r="AU50" s="20">
        <f ca="1">Master_List!$AW$33</f>
        <v>0</v>
      </c>
      <c r="AV50" s="20">
        <f ca="1">Master_List!$AW$34</f>
        <v>0</v>
      </c>
      <c r="AW50" s="20">
        <f ca="1">Master_List!$AW$35</f>
        <v>0</v>
      </c>
      <c r="AX50" s="20">
        <f ca="1">Master_List!$AW$36</f>
        <v>0</v>
      </c>
      <c r="AY50" s="20">
        <f ca="1">Master_List!$AW$37</f>
        <v>0</v>
      </c>
      <c r="AZ50" s="20">
        <f ca="1">Master_List!$AW$38</f>
        <v>0</v>
      </c>
      <c r="BA50" s="20">
        <f ca="1">Master_List!$AW$39</f>
        <v>0</v>
      </c>
      <c r="BB50" s="20" t="s">
        <v>2240</v>
      </c>
      <c r="BC50" s="20" t="s">
        <v>2241</v>
      </c>
      <c r="BD50" s="6" t="s">
        <v>1744</v>
      </c>
      <c r="BE50" s="6" t="s">
        <v>1775</v>
      </c>
      <c r="BF50" s="6" t="s">
        <v>1746</v>
      </c>
      <c r="BG50" s="6" t="str">
        <f t="shared" si="2"/>
        <v>C:\Users\aremi\Desktop\REPORT CBM\PO 42289580 - Pahang 11kV SECOND CYCLE AZZAD 2026\RAW MATERIAL\047. TNB BARU (IR+VI)\RAW DATA\IR</v>
      </c>
      <c r="BH50" s="24" t="s">
        <v>1568</v>
      </c>
    </row>
    <row r="51" spans="1:60" ht="15" customHeight="1" x14ac:dyDescent="0.25">
      <c r="A51" s="6">
        <v>25</v>
      </c>
      <c r="B51" s="6" t="s">
        <v>1567</v>
      </c>
      <c r="C51" s="6">
        <v>1</v>
      </c>
      <c r="D51" s="6" t="s">
        <v>2263</v>
      </c>
      <c r="E51" s="6">
        <v>25</v>
      </c>
      <c r="F51" s="6" t="str">
        <f ca="1">Master_List!$AW$1</f>
        <v>PERPUSTAKAAN PUSAT</v>
      </c>
      <c r="G51" s="27" t="str">
        <f ca="1">Master_List!$AW$2</f>
        <v>09:30 PM</v>
      </c>
      <c r="H51" s="32" t="str">
        <f ca="1">Master_List!$AW$3</f>
        <v>20/07/2026</v>
      </c>
      <c r="I51" s="28" t="str">
        <f ca="1">Master_List!$AW$4</f>
        <v>28.5</v>
      </c>
      <c r="J51" s="6" t="str">
        <f ca="1">Master_List!$AW$5</f>
        <v>65</v>
      </c>
      <c r="K51" s="6" t="s">
        <v>576</v>
      </c>
      <c r="L51" s="22" t="str">
        <f ca="1">IFERROR(VLOOKUP(B51, Master_List!$A:$I, 2, FALSE), "-")</f>
        <v/>
      </c>
      <c r="M51" s="22" t="str">
        <f ca="1">IFERROR(VLOOKUP(B51, Master_List!$A:$I, 3, FALSE), "-")</f>
        <v/>
      </c>
      <c r="N51" s="22" t="str">
        <f ca="1">IFERROR(VLOOKUP(B51, Master_List!$A:$I, 4, FALSE), "-")</f>
        <v/>
      </c>
      <c r="O51" s="22" t="str">
        <f ca="1">IFERROR(VLOOKUP(B51, Master_List!$A:$I, 5, FALSE), "-")</f>
        <v/>
      </c>
      <c r="P51" s="22" t="str">
        <f ca="1">IFERROR(VLOOKUP(B51, Master_List!$A:$I, 6, FALSE), "-")</f>
        <v/>
      </c>
      <c r="Q51" s="22" t="str">
        <f ca="1">IFERROR(VLOOKUP(B51, Master_List!$A:$I, 7, FALSE), "-")</f>
        <v/>
      </c>
      <c r="R51" s="22" t="str">
        <f ca="1">IFERROR(VLOOKUP(B51, Master_List!$A:$I, 8, FALSE), "-")</f>
        <v/>
      </c>
      <c r="S51" s="22" t="str">
        <f ca="1">IFERROR(VLOOKUP(B51, Master_List!$A:$I, 9, FALSE), "-")</f>
        <v/>
      </c>
      <c r="T51" s="20" t="str">
        <f ca="1">Master_List!$AW$6</f>
        <v>TOSHIBA</v>
      </c>
      <c r="U51" s="20" t="str">
        <f ca="1">Master_List!$AW$7</f>
        <v>MRMU</v>
      </c>
      <c r="V51" s="20" t="str">
        <f ca="1">Master_List!$AW$8</f>
        <v>12kV</v>
      </c>
      <c r="W51" s="20" t="str">
        <f ca="1">Master_List!$AW$9</f>
        <v>2S1F</v>
      </c>
      <c r="X51" s="20" t="str">
        <f ca="1">Master_List!$AW$10</f>
        <v>MTM</v>
      </c>
      <c r="Y51" s="20" t="str">
        <f ca="1">Master_List!$AW$11</f>
        <v>HERMETICALLY SEAL</v>
      </c>
      <c r="Z51" s="20" t="str">
        <f ca="1">Master_List!$AW$12</f>
        <v>750kVA</v>
      </c>
      <c r="AA51" s="20" t="str">
        <f ca="1">Master_List!$AW$13</f>
        <v>1317</v>
      </c>
      <c r="AB51" s="20">
        <f ca="1">Master_List!$AW$14</f>
        <v>0</v>
      </c>
      <c r="AC51" s="20">
        <f ca="1">Master_List!$AW$15</f>
        <v>0</v>
      </c>
      <c r="AD51" s="20">
        <f ca="1">Master_List!$AW$16</f>
        <v>0</v>
      </c>
      <c r="AE51" s="20">
        <f ca="1">Master_List!$AW$17</f>
        <v>0</v>
      </c>
      <c r="AF51" s="20" t="str">
        <f ca="1">Master_List!$AW$18</f>
        <v>INDKOM</v>
      </c>
      <c r="AG51" s="20" t="str">
        <f ca="1">Master_List!$AW$19</f>
        <v>J-SLOTTED</v>
      </c>
      <c r="AH51" s="20" t="str">
        <f ca="1">Master_List!$AW$20</f>
        <v>1600A</v>
      </c>
      <c r="AI51" s="20" t="str">
        <f ca="1">Master_List!$AW$21</f>
        <v>LV5080090</v>
      </c>
      <c r="AJ51" s="20" t="str">
        <f ca="1">Master_List!$AW$22</f>
        <v>LVDB TX1</v>
      </c>
      <c r="AK51" s="20">
        <f ca="1">Master_List!$AW$23</f>
        <v>0</v>
      </c>
      <c r="AL51" s="20">
        <f ca="1">Master_List!$AW$24</f>
        <v>0</v>
      </c>
      <c r="AM51" s="20">
        <f ca="1">Master_List!$AW$25</f>
        <v>0</v>
      </c>
      <c r="AN51" s="20">
        <f ca="1">Master_List!$AW$26</f>
        <v>0</v>
      </c>
      <c r="AO51" s="20" t="str">
        <f ca="1">Master_List!$AW$27</f>
        <v>LVDB TX2</v>
      </c>
      <c r="AP51" s="20" t="str">
        <f ca="1">Master_List!$AW$28</f>
        <v>SUNPOWER TECHNOLOGIES</v>
      </c>
      <c r="AQ51" s="20" t="str">
        <f ca="1">Master_List!$AW$29</f>
        <v>SPS 30-10 L</v>
      </c>
      <c r="AR51" s="20" t="str">
        <f ca="1">Master_List!$AW$30</f>
        <v>11193-8527</v>
      </c>
      <c r="AS51" s="20">
        <f ca="1">Master_List!$AW$31</f>
        <v>0</v>
      </c>
      <c r="AT51" s="20">
        <f ca="1">Master_List!$AW$32</f>
        <v>0</v>
      </c>
      <c r="AU51" s="20">
        <f ca="1">Master_List!$AW$33</f>
        <v>0</v>
      </c>
      <c r="AV51" s="20">
        <f ca="1">Master_List!$AW$34</f>
        <v>0</v>
      </c>
      <c r="AW51" s="20">
        <f ca="1">Master_List!$AW$35</f>
        <v>0</v>
      </c>
      <c r="AX51" s="20">
        <f ca="1">Master_List!$AW$36</f>
        <v>0</v>
      </c>
      <c r="AY51" s="20">
        <f ca="1">Master_List!$AW$37</f>
        <v>0</v>
      </c>
      <c r="AZ51" s="20">
        <f ca="1">Master_List!$AW$38</f>
        <v>0</v>
      </c>
      <c r="BA51" s="20">
        <f ca="1">Master_List!$AW$39</f>
        <v>0</v>
      </c>
      <c r="BB51" s="20" t="s">
        <v>2240</v>
      </c>
      <c r="BC51" s="20" t="s">
        <v>2241</v>
      </c>
      <c r="BD51" s="6" t="s">
        <v>1744</v>
      </c>
      <c r="BE51" s="6" t="s">
        <v>1775</v>
      </c>
      <c r="BF51" s="6" t="s">
        <v>1748</v>
      </c>
      <c r="BG51" s="6" t="str">
        <f t="shared" si="2"/>
        <v>C:\Users\aremi\Desktop\REPORT CBM\PO 42289580 - Pahang 11kV SECOND CYCLE AZZAD 2026\RAW MATERIAL\047. TNB BARU (IR+VI)\RAW DATA\IR</v>
      </c>
      <c r="BH51" s="24" t="s">
        <v>1569</v>
      </c>
    </row>
    <row r="52" spans="1:60" ht="15" customHeight="1" x14ac:dyDescent="0.25">
      <c r="A52" s="6">
        <v>26</v>
      </c>
      <c r="B52" s="6" t="s">
        <v>1567</v>
      </c>
      <c r="C52" s="6">
        <v>1</v>
      </c>
      <c r="D52" s="6" t="s">
        <v>2263</v>
      </c>
      <c r="E52" s="6">
        <v>26</v>
      </c>
      <c r="F52" s="6" t="str">
        <f ca="1">Master_List!$AW$1</f>
        <v>PERPUSTAKAAN PUSAT</v>
      </c>
      <c r="G52" s="27" t="str">
        <f ca="1">Master_List!$AW$2</f>
        <v>09:30 PM</v>
      </c>
      <c r="H52" s="32" t="str">
        <f ca="1">Master_List!$AW$3</f>
        <v>20/07/2026</v>
      </c>
      <c r="I52" s="28" t="str">
        <f ca="1">Master_List!$AW$4</f>
        <v>28.5</v>
      </c>
      <c r="J52" s="6" t="str">
        <f ca="1">Master_List!$AW$5</f>
        <v>65</v>
      </c>
      <c r="K52" s="6" t="s">
        <v>585</v>
      </c>
      <c r="L52" s="22" t="str">
        <f ca="1">IFERROR(VLOOKUP(B52, Master_List!$A:$I, 2, FALSE), "-")</f>
        <v/>
      </c>
      <c r="M52" s="22" t="str">
        <f ca="1">IFERROR(VLOOKUP(B52, Master_List!$A:$I, 3, FALSE), "-")</f>
        <v/>
      </c>
      <c r="N52" s="22" t="str">
        <f ca="1">IFERROR(VLOOKUP(B52, Master_List!$A:$I, 4, FALSE), "-")</f>
        <v/>
      </c>
      <c r="O52" s="22" t="str">
        <f ca="1">IFERROR(VLOOKUP(B52, Master_List!$A:$I, 5, FALSE), "-")</f>
        <v/>
      </c>
      <c r="P52" s="22" t="str">
        <f ca="1">IFERROR(VLOOKUP(B52, Master_List!$A:$I, 6, FALSE), "-")</f>
        <v/>
      </c>
      <c r="Q52" s="22" t="str">
        <f ca="1">IFERROR(VLOOKUP(B52, Master_List!$A:$I, 7, FALSE), "-")</f>
        <v/>
      </c>
      <c r="R52" s="22" t="str">
        <f ca="1">IFERROR(VLOOKUP(B52, Master_List!$A:$I, 8, FALSE), "-")</f>
        <v/>
      </c>
      <c r="S52" s="22" t="str">
        <f ca="1">IFERROR(VLOOKUP(B52, Master_List!$A:$I, 9, FALSE), "-")</f>
        <v/>
      </c>
      <c r="T52" s="20" t="str">
        <f ca="1">Master_List!$AW$6</f>
        <v>TOSHIBA</v>
      </c>
      <c r="U52" s="20" t="str">
        <f ca="1">Master_List!$AW$7</f>
        <v>MRMU</v>
      </c>
      <c r="V52" s="20" t="str">
        <f ca="1">Master_List!$AW$8</f>
        <v>12kV</v>
      </c>
      <c r="W52" s="20" t="str">
        <f ca="1">Master_List!$AW$9</f>
        <v>2S1F</v>
      </c>
      <c r="X52" s="20" t="str">
        <f ca="1">Master_List!$AW$10</f>
        <v>MTM</v>
      </c>
      <c r="Y52" s="20" t="str">
        <f ca="1">Master_List!$AW$11</f>
        <v>HERMETICALLY SEAL</v>
      </c>
      <c r="Z52" s="20" t="str">
        <f ca="1">Master_List!$AW$12</f>
        <v>750kVA</v>
      </c>
      <c r="AA52" s="20" t="str">
        <f ca="1">Master_List!$AW$13</f>
        <v>1317</v>
      </c>
      <c r="AB52" s="20">
        <f ca="1">Master_List!$AW$14</f>
        <v>0</v>
      </c>
      <c r="AC52" s="20">
        <f ca="1">Master_List!$AW$15</f>
        <v>0</v>
      </c>
      <c r="AD52" s="20">
        <f ca="1">Master_List!$AW$16</f>
        <v>0</v>
      </c>
      <c r="AE52" s="20">
        <f ca="1">Master_List!$AW$17</f>
        <v>0</v>
      </c>
      <c r="AF52" s="20" t="str">
        <f ca="1">Master_List!$AW$18</f>
        <v>INDKOM</v>
      </c>
      <c r="AG52" s="20" t="str">
        <f ca="1">Master_List!$AW$19</f>
        <v>J-SLOTTED</v>
      </c>
      <c r="AH52" s="20" t="str">
        <f ca="1">Master_List!$AW$20</f>
        <v>1600A</v>
      </c>
      <c r="AI52" s="20" t="str">
        <f ca="1">Master_List!$AW$21</f>
        <v>LV5080090</v>
      </c>
      <c r="AJ52" s="20" t="str">
        <f ca="1">Master_List!$AW$22</f>
        <v>LVDB TX1</v>
      </c>
      <c r="AK52" s="20">
        <f ca="1">Master_List!$AW$23</f>
        <v>0</v>
      </c>
      <c r="AL52" s="20">
        <f ca="1">Master_List!$AW$24</f>
        <v>0</v>
      </c>
      <c r="AM52" s="20">
        <f ca="1">Master_List!$AW$25</f>
        <v>0</v>
      </c>
      <c r="AN52" s="20">
        <f ca="1">Master_List!$AW$26</f>
        <v>0</v>
      </c>
      <c r="AO52" s="20" t="str">
        <f ca="1">Master_List!$AW$27</f>
        <v>LVDB TX2</v>
      </c>
      <c r="AP52" s="20" t="str">
        <f ca="1">Master_List!$AW$28</f>
        <v>SUNPOWER TECHNOLOGIES</v>
      </c>
      <c r="AQ52" s="20" t="str">
        <f ca="1">Master_List!$AW$29</f>
        <v>SPS 30-10 L</v>
      </c>
      <c r="AR52" s="20" t="str">
        <f ca="1">Master_List!$AW$30</f>
        <v>11193-8527</v>
      </c>
      <c r="AS52" s="20">
        <f ca="1">Master_List!$AW$31</f>
        <v>0</v>
      </c>
      <c r="AT52" s="20">
        <f ca="1">Master_List!$AW$32</f>
        <v>0</v>
      </c>
      <c r="AU52" s="20">
        <f ca="1">Master_List!$AW$33</f>
        <v>0</v>
      </c>
      <c r="AV52" s="20">
        <f ca="1">Master_List!$AW$34</f>
        <v>0</v>
      </c>
      <c r="AW52" s="20">
        <f ca="1">Master_List!$AW$35</f>
        <v>0</v>
      </c>
      <c r="AX52" s="20">
        <f ca="1">Master_List!$AW$36</f>
        <v>0</v>
      </c>
      <c r="AY52" s="20">
        <f ca="1">Master_List!$AW$37</f>
        <v>0</v>
      </c>
      <c r="AZ52" s="20">
        <f ca="1">Master_List!$AW$38</f>
        <v>0</v>
      </c>
      <c r="BA52" s="20">
        <f ca="1">Master_List!$AW$39</f>
        <v>0</v>
      </c>
      <c r="BB52" s="20" t="s">
        <v>2240</v>
      </c>
      <c r="BC52" s="20" t="s">
        <v>2241</v>
      </c>
      <c r="BD52" s="6" t="s">
        <v>1744</v>
      </c>
      <c r="BE52" s="6" t="s">
        <v>1776</v>
      </c>
      <c r="BF52" s="6" t="s">
        <v>1746</v>
      </c>
      <c r="BG52" s="6" t="str">
        <f t="shared" si="2"/>
        <v>C:\Users\aremi\Desktop\REPORT CBM\PO 42289580 - Pahang 11kV SECOND CYCLE AZZAD 2026\RAW MATERIAL\047. TNB BARU (IR+VI)\RAW DATA\IR</v>
      </c>
      <c r="BH52" s="24" t="s">
        <v>571</v>
      </c>
    </row>
    <row r="53" spans="1:60" ht="15" customHeight="1" x14ac:dyDescent="0.25">
      <c r="A53" s="6">
        <v>26</v>
      </c>
      <c r="B53" s="6" t="s">
        <v>1567</v>
      </c>
      <c r="C53" s="6">
        <v>1</v>
      </c>
      <c r="D53" s="6" t="s">
        <v>2263</v>
      </c>
      <c r="E53" s="6">
        <v>26</v>
      </c>
      <c r="F53" s="6" t="str">
        <f ca="1">Master_List!$AW$1</f>
        <v>PERPUSTAKAAN PUSAT</v>
      </c>
      <c r="G53" s="27" t="str">
        <f ca="1">Master_List!$AW$2</f>
        <v>09:30 PM</v>
      </c>
      <c r="H53" s="32" t="str">
        <f ca="1">Master_List!$AW$3</f>
        <v>20/07/2026</v>
      </c>
      <c r="I53" s="28" t="str">
        <f ca="1">Master_List!$AW$4</f>
        <v>28.5</v>
      </c>
      <c r="J53" s="6" t="str">
        <f ca="1">Master_List!$AW$5</f>
        <v>65</v>
      </c>
      <c r="K53" s="6" t="s">
        <v>585</v>
      </c>
      <c r="L53" s="22" t="str">
        <f ca="1">IFERROR(VLOOKUP(B53, Master_List!$A:$I, 2, FALSE), "-")</f>
        <v/>
      </c>
      <c r="M53" s="22" t="str">
        <f ca="1">IFERROR(VLOOKUP(B53, Master_List!$A:$I, 3, FALSE), "-")</f>
        <v/>
      </c>
      <c r="N53" s="22" t="str">
        <f ca="1">IFERROR(VLOOKUP(B53, Master_List!$A:$I, 4, FALSE), "-")</f>
        <v/>
      </c>
      <c r="O53" s="22" t="str">
        <f ca="1">IFERROR(VLOOKUP(B53, Master_List!$A:$I, 5, FALSE), "-")</f>
        <v/>
      </c>
      <c r="P53" s="22" t="str">
        <f ca="1">IFERROR(VLOOKUP(B53, Master_List!$A:$I, 6, FALSE), "-")</f>
        <v/>
      </c>
      <c r="Q53" s="22" t="str">
        <f ca="1">IFERROR(VLOOKUP(B53, Master_List!$A:$I, 7, FALSE), "-")</f>
        <v/>
      </c>
      <c r="R53" s="22" t="str">
        <f ca="1">IFERROR(VLOOKUP(B53, Master_List!$A:$I, 8, FALSE), "-")</f>
        <v/>
      </c>
      <c r="S53" s="22" t="str">
        <f ca="1">IFERROR(VLOOKUP(B53, Master_List!$A:$I, 9, FALSE), "-")</f>
        <v/>
      </c>
      <c r="T53" s="20" t="str">
        <f ca="1">Master_List!$AW$6</f>
        <v>TOSHIBA</v>
      </c>
      <c r="U53" s="20" t="str">
        <f ca="1">Master_List!$AW$7</f>
        <v>MRMU</v>
      </c>
      <c r="V53" s="20" t="str">
        <f ca="1">Master_List!$AW$8</f>
        <v>12kV</v>
      </c>
      <c r="W53" s="20" t="str">
        <f ca="1">Master_List!$AW$9</f>
        <v>2S1F</v>
      </c>
      <c r="X53" s="20" t="str">
        <f ca="1">Master_List!$AW$10</f>
        <v>MTM</v>
      </c>
      <c r="Y53" s="20" t="str">
        <f ca="1">Master_List!$AW$11</f>
        <v>HERMETICALLY SEAL</v>
      </c>
      <c r="Z53" s="20" t="str">
        <f ca="1">Master_List!$AW$12</f>
        <v>750kVA</v>
      </c>
      <c r="AA53" s="20" t="str">
        <f ca="1">Master_List!$AW$13</f>
        <v>1317</v>
      </c>
      <c r="AB53" s="20">
        <f ca="1">Master_List!$AW$14</f>
        <v>0</v>
      </c>
      <c r="AC53" s="20">
        <f ca="1">Master_List!$AW$15</f>
        <v>0</v>
      </c>
      <c r="AD53" s="20">
        <f ca="1">Master_List!$AW$16</f>
        <v>0</v>
      </c>
      <c r="AE53" s="20">
        <f ca="1">Master_List!$AW$17</f>
        <v>0</v>
      </c>
      <c r="AF53" s="20" t="str">
        <f ca="1">Master_List!$AW$18</f>
        <v>INDKOM</v>
      </c>
      <c r="AG53" s="20" t="str">
        <f ca="1">Master_List!$AW$19</f>
        <v>J-SLOTTED</v>
      </c>
      <c r="AH53" s="20" t="str">
        <f ca="1">Master_List!$AW$20</f>
        <v>1600A</v>
      </c>
      <c r="AI53" s="20" t="str">
        <f ca="1">Master_List!$AW$21</f>
        <v>LV5080090</v>
      </c>
      <c r="AJ53" s="20" t="str">
        <f ca="1">Master_List!$AW$22</f>
        <v>LVDB TX1</v>
      </c>
      <c r="AK53" s="20">
        <f ca="1">Master_List!$AW$23</f>
        <v>0</v>
      </c>
      <c r="AL53" s="20">
        <f ca="1">Master_List!$AW$24</f>
        <v>0</v>
      </c>
      <c r="AM53" s="20">
        <f ca="1">Master_List!$AW$25</f>
        <v>0</v>
      </c>
      <c r="AN53" s="20">
        <f ca="1">Master_List!$AW$26</f>
        <v>0</v>
      </c>
      <c r="AO53" s="20" t="str">
        <f ca="1">Master_List!$AW$27</f>
        <v>LVDB TX2</v>
      </c>
      <c r="AP53" s="20" t="str">
        <f ca="1">Master_List!$AW$28</f>
        <v>SUNPOWER TECHNOLOGIES</v>
      </c>
      <c r="AQ53" s="20" t="str">
        <f ca="1">Master_List!$AW$29</f>
        <v>SPS 30-10 L</v>
      </c>
      <c r="AR53" s="20" t="str">
        <f ca="1">Master_List!$AW$30</f>
        <v>11193-8527</v>
      </c>
      <c r="AS53" s="20">
        <f ca="1">Master_List!$AW$31</f>
        <v>0</v>
      </c>
      <c r="AT53" s="20">
        <f ca="1">Master_List!$AW$32</f>
        <v>0</v>
      </c>
      <c r="AU53" s="20">
        <f ca="1">Master_List!$AW$33</f>
        <v>0</v>
      </c>
      <c r="AV53" s="20">
        <f ca="1">Master_List!$AW$34</f>
        <v>0</v>
      </c>
      <c r="AW53" s="20">
        <f ca="1">Master_List!$AW$35</f>
        <v>0</v>
      </c>
      <c r="AX53" s="20">
        <f ca="1">Master_List!$AW$36</f>
        <v>0</v>
      </c>
      <c r="AY53" s="20">
        <f ca="1">Master_List!$AW$37</f>
        <v>0</v>
      </c>
      <c r="AZ53" s="20">
        <f ca="1">Master_List!$AW$38</f>
        <v>0</v>
      </c>
      <c r="BA53" s="20">
        <f ca="1">Master_List!$AW$39</f>
        <v>0</v>
      </c>
      <c r="BB53" s="20" t="s">
        <v>2240</v>
      </c>
      <c r="BC53" s="20" t="s">
        <v>2241</v>
      </c>
      <c r="BD53" s="6" t="s">
        <v>1744</v>
      </c>
      <c r="BE53" s="6" t="s">
        <v>1776</v>
      </c>
      <c r="BF53" s="6" t="s">
        <v>1748</v>
      </c>
      <c r="BG53" s="6" t="str">
        <f t="shared" si="2"/>
        <v>C:\Users\aremi\Desktop\REPORT CBM\PO 42289580 - Pahang 11kV SECOND CYCLE AZZAD 2026\RAW MATERIAL\047. TNB BARU (IR+VI)\RAW DATA\IR</v>
      </c>
      <c r="BH53" s="24" t="s">
        <v>572</v>
      </c>
    </row>
    <row r="54" spans="1:60" ht="15" customHeight="1" x14ac:dyDescent="0.25">
      <c r="A54" s="6">
        <v>27</v>
      </c>
      <c r="B54" s="6" t="s">
        <v>1570</v>
      </c>
      <c r="C54" s="6">
        <v>1</v>
      </c>
      <c r="D54" s="6" t="s">
        <v>2245</v>
      </c>
      <c r="E54" s="6">
        <v>27</v>
      </c>
      <c r="F54" s="6" t="str">
        <f ca="1">Master_List!$AW$1</f>
        <v>PERPUSTAKAAN PUSAT</v>
      </c>
      <c r="G54" s="27" t="str">
        <f ca="1">Master_List!$AW$2</f>
        <v>09:30 PM</v>
      </c>
      <c r="H54" s="32" t="str">
        <f ca="1">Master_List!$AW$3</f>
        <v>20/07/2026</v>
      </c>
      <c r="I54" s="28" t="str">
        <f ca="1">Master_List!$AW$4</f>
        <v>28.5</v>
      </c>
      <c r="J54" s="6" t="str">
        <f ca="1">Master_List!$AW$5</f>
        <v>65</v>
      </c>
      <c r="K54" s="6" t="s">
        <v>1453</v>
      </c>
      <c r="L54" s="22">
        <v>1</v>
      </c>
      <c r="M54" s="25"/>
      <c r="N54" s="25"/>
      <c r="O54" s="25"/>
      <c r="P54" s="25"/>
      <c r="Q54" s="25"/>
      <c r="R54" s="25"/>
      <c r="S54" s="25"/>
      <c r="T54" s="20" t="str">
        <f ca="1">Master_List!$AW$6</f>
        <v>TOSHIBA</v>
      </c>
      <c r="U54" s="20" t="str">
        <f ca="1">Master_List!$AW$7</f>
        <v>MRMU</v>
      </c>
      <c r="V54" s="20" t="str">
        <f ca="1">Master_List!$AW$8</f>
        <v>12kV</v>
      </c>
      <c r="W54" s="20" t="str">
        <f ca="1">Master_List!$AW$9</f>
        <v>2S1F</v>
      </c>
      <c r="X54" s="20" t="str">
        <f ca="1">Master_List!$AW$10</f>
        <v>MTM</v>
      </c>
      <c r="Y54" s="20" t="str">
        <f ca="1">Master_List!$AW$11</f>
        <v>HERMETICALLY SEAL</v>
      </c>
      <c r="Z54" s="20" t="str">
        <f ca="1">Master_List!$AW$12</f>
        <v>750kVA</v>
      </c>
      <c r="AA54" s="20" t="str">
        <f ca="1">Master_List!$AW$13</f>
        <v>1317</v>
      </c>
      <c r="AB54" s="20">
        <f ca="1">Master_List!$AW$14</f>
        <v>0</v>
      </c>
      <c r="AC54" s="20">
        <f ca="1">Master_List!$AW$15</f>
        <v>0</v>
      </c>
      <c r="AD54" s="20">
        <f ca="1">Master_List!$AW$16</f>
        <v>0</v>
      </c>
      <c r="AE54" s="20">
        <f ca="1">Master_List!$AW$17</f>
        <v>0</v>
      </c>
      <c r="AF54" s="20" t="str">
        <f ca="1">Master_List!$AW$18</f>
        <v>INDKOM</v>
      </c>
      <c r="AG54" s="20" t="str">
        <f ca="1">Master_List!$AW$19</f>
        <v>J-SLOTTED</v>
      </c>
      <c r="AH54" s="20" t="str">
        <f ca="1">Master_List!$AW$20</f>
        <v>1600A</v>
      </c>
      <c r="AI54" s="20" t="str">
        <f ca="1">Master_List!$AW$21</f>
        <v>LV5080090</v>
      </c>
      <c r="AJ54" s="20" t="str">
        <f ca="1">Master_List!$AW$22</f>
        <v>LVDB TX1</v>
      </c>
      <c r="AK54" s="20">
        <f ca="1">Master_List!$AW$23</f>
        <v>0</v>
      </c>
      <c r="AL54" s="20">
        <f ca="1">Master_List!$AW$24</f>
        <v>0</v>
      </c>
      <c r="AM54" s="20">
        <f ca="1">Master_List!$AW$25</f>
        <v>0</v>
      </c>
      <c r="AN54" s="20">
        <f ca="1">Master_List!$AW$26</f>
        <v>0</v>
      </c>
      <c r="AO54" s="20" t="str">
        <f ca="1">Master_List!$AW$27</f>
        <v>LVDB TX2</v>
      </c>
      <c r="AP54" s="20" t="str">
        <f ca="1">Master_List!$AW$28</f>
        <v>SUNPOWER TECHNOLOGIES</v>
      </c>
      <c r="AQ54" s="20" t="str">
        <f ca="1">Master_List!$AW$29</f>
        <v>SPS 30-10 L</v>
      </c>
      <c r="AR54" s="20" t="str">
        <f ca="1">Master_List!$AW$30</f>
        <v>11193-8527</v>
      </c>
      <c r="AS54" s="20">
        <f ca="1">Master_List!$AW$31</f>
        <v>0</v>
      </c>
      <c r="AT54" s="20">
        <f ca="1">Master_List!$AW$32</f>
        <v>0</v>
      </c>
      <c r="AU54" s="20">
        <f ca="1">Master_List!$AW$33</f>
        <v>0</v>
      </c>
      <c r="AV54" s="20">
        <f ca="1">Master_List!$AW$34</f>
        <v>0</v>
      </c>
      <c r="AW54" s="20">
        <f ca="1">Master_List!$AW$35</f>
        <v>0</v>
      </c>
      <c r="AX54" s="20">
        <f ca="1">Master_List!$AW$36</f>
        <v>0</v>
      </c>
      <c r="AY54" s="20">
        <f ca="1">Master_List!$AW$37</f>
        <v>0</v>
      </c>
      <c r="AZ54" s="20">
        <f ca="1">Master_List!$AW$38</f>
        <v>0</v>
      </c>
      <c r="BA54" s="20">
        <f ca="1">Master_List!$AW$39</f>
        <v>0</v>
      </c>
      <c r="BB54" s="20" t="s">
        <v>2240</v>
      </c>
      <c r="BC54" s="20" t="s">
        <v>2241</v>
      </c>
      <c r="BD54" s="6" t="s">
        <v>1744</v>
      </c>
      <c r="BE54" s="6" t="s">
        <v>1777</v>
      </c>
      <c r="BF54" s="6" t="s">
        <v>1746</v>
      </c>
      <c r="BG54" s="6" t="str">
        <f t="shared" si="2"/>
        <v>C:\Users\aremi\Desktop\REPORT CBM\PO 42289580 - Pahang 11kV SECOND CYCLE AZZAD 2026\RAW MATERIAL\047. TNB BARU (IR+VI)\RAW DATA\IR</v>
      </c>
      <c r="BH54" s="24" t="s">
        <v>574</v>
      </c>
    </row>
    <row r="55" spans="1:60" ht="15" customHeight="1" x14ac:dyDescent="0.25">
      <c r="A55" s="6">
        <v>27</v>
      </c>
      <c r="B55" s="6" t="s">
        <v>1570</v>
      </c>
      <c r="C55" s="6">
        <v>1</v>
      </c>
      <c r="D55" s="6" t="s">
        <v>2245</v>
      </c>
      <c r="E55" s="6">
        <v>27</v>
      </c>
      <c r="F55" s="6" t="str">
        <f ca="1">Master_List!$AW$1</f>
        <v>PERPUSTAKAAN PUSAT</v>
      </c>
      <c r="G55" s="27" t="str">
        <f ca="1">Master_List!$AW$2</f>
        <v>09:30 PM</v>
      </c>
      <c r="H55" s="32" t="str">
        <f ca="1">Master_List!$AW$3</f>
        <v>20/07/2026</v>
      </c>
      <c r="I55" s="28" t="str">
        <f ca="1">Master_List!$AW$4</f>
        <v>28.5</v>
      </c>
      <c r="J55" s="6" t="str">
        <f ca="1">Master_List!$AW$5</f>
        <v>65</v>
      </c>
      <c r="K55" s="6" t="s">
        <v>1453</v>
      </c>
      <c r="L55" s="22">
        <v>1</v>
      </c>
      <c r="M55" s="25"/>
      <c r="N55" s="25"/>
      <c r="O55" s="25"/>
      <c r="P55" s="25"/>
      <c r="Q55" s="25"/>
      <c r="R55" s="25"/>
      <c r="S55" s="25"/>
      <c r="T55" s="20" t="str">
        <f ca="1">Master_List!$AW$6</f>
        <v>TOSHIBA</v>
      </c>
      <c r="U55" s="20" t="str">
        <f ca="1">Master_List!$AW$7</f>
        <v>MRMU</v>
      </c>
      <c r="V55" s="20" t="str">
        <f ca="1">Master_List!$AW$8</f>
        <v>12kV</v>
      </c>
      <c r="W55" s="20" t="str">
        <f ca="1">Master_List!$AW$9</f>
        <v>2S1F</v>
      </c>
      <c r="X55" s="20" t="str">
        <f ca="1">Master_List!$AW$10</f>
        <v>MTM</v>
      </c>
      <c r="Y55" s="20" t="str">
        <f ca="1">Master_List!$AW$11</f>
        <v>HERMETICALLY SEAL</v>
      </c>
      <c r="Z55" s="20" t="str">
        <f ca="1">Master_List!$AW$12</f>
        <v>750kVA</v>
      </c>
      <c r="AA55" s="20" t="str">
        <f ca="1">Master_List!$AW$13</f>
        <v>1317</v>
      </c>
      <c r="AB55" s="20">
        <f ca="1">Master_List!$AW$14</f>
        <v>0</v>
      </c>
      <c r="AC55" s="20">
        <f ca="1">Master_List!$AW$15</f>
        <v>0</v>
      </c>
      <c r="AD55" s="20">
        <f ca="1">Master_List!$AW$16</f>
        <v>0</v>
      </c>
      <c r="AE55" s="20">
        <f ca="1">Master_List!$AW$17</f>
        <v>0</v>
      </c>
      <c r="AF55" s="20" t="str">
        <f ca="1">Master_List!$AW$18</f>
        <v>INDKOM</v>
      </c>
      <c r="AG55" s="20" t="str">
        <f ca="1">Master_List!$AW$19</f>
        <v>J-SLOTTED</v>
      </c>
      <c r="AH55" s="20" t="str">
        <f ca="1">Master_List!$AW$20</f>
        <v>1600A</v>
      </c>
      <c r="AI55" s="20" t="str">
        <f ca="1">Master_List!$AW$21</f>
        <v>LV5080090</v>
      </c>
      <c r="AJ55" s="20" t="str">
        <f ca="1">Master_List!$AW$22</f>
        <v>LVDB TX1</v>
      </c>
      <c r="AK55" s="20">
        <f ca="1">Master_List!$AW$23</f>
        <v>0</v>
      </c>
      <c r="AL55" s="20">
        <f ca="1">Master_List!$AW$24</f>
        <v>0</v>
      </c>
      <c r="AM55" s="20">
        <f ca="1">Master_List!$AW$25</f>
        <v>0</v>
      </c>
      <c r="AN55" s="20">
        <f ca="1">Master_List!$AW$26</f>
        <v>0</v>
      </c>
      <c r="AO55" s="20" t="str">
        <f ca="1">Master_List!$AW$27</f>
        <v>LVDB TX2</v>
      </c>
      <c r="AP55" s="20" t="str">
        <f ca="1">Master_List!$AW$28</f>
        <v>SUNPOWER TECHNOLOGIES</v>
      </c>
      <c r="AQ55" s="20" t="str">
        <f ca="1">Master_List!$AW$29</f>
        <v>SPS 30-10 L</v>
      </c>
      <c r="AR55" s="20" t="str">
        <f ca="1">Master_List!$AW$30</f>
        <v>11193-8527</v>
      </c>
      <c r="AS55" s="20">
        <f ca="1">Master_List!$AW$31</f>
        <v>0</v>
      </c>
      <c r="AT55" s="20">
        <f ca="1">Master_List!$AW$32</f>
        <v>0</v>
      </c>
      <c r="AU55" s="20">
        <f ca="1">Master_List!$AW$33</f>
        <v>0</v>
      </c>
      <c r="AV55" s="20">
        <f ca="1">Master_List!$AW$34</f>
        <v>0</v>
      </c>
      <c r="AW55" s="20">
        <f ca="1">Master_List!$AW$35</f>
        <v>0</v>
      </c>
      <c r="AX55" s="20">
        <f ca="1">Master_List!$AW$36</f>
        <v>0</v>
      </c>
      <c r="AY55" s="20">
        <f ca="1">Master_List!$AW$37</f>
        <v>0</v>
      </c>
      <c r="AZ55" s="20">
        <f ca="1">Master_List!$AW$38</f>
        <v>0</v>
      </c>
      <c r="BA55" s="20">
        <f ca="1">Master_List!$AW$39</f>
        <v>0</v>
      </c>
      <c r="BB55" s="20" t="s">
        <v>2240</v>
      </c>
      <c r="BC55" s="20" t="s">
        <v>2241</v>
      </c>
      <c r="BD55" s="6" t="s">
        <v>1744</v>
      </c>
      <c r="BE55" s="6" t="s">
        <v>1777</v>
      </c>
      <c r="BF55" s="6" t="s">
        <v>1748</v>
      </c>
      <c r="BG55" s="6" t="str">
        <f t="shared" si="2"/>
        <v>C:\Users\aremi\Desktop\REPORT CBM\PO 42289580 - Pahang 11kV SECOND CYCLE AZZAD 2026\RAW MATERIAL\047. TNB BARU (IR+VI)\RAW DATA\IR</v>
      </c>
      <c r="BH55" s="24" t="s">
        <v>575</v>
      </c>
    </row>
    <row r="56" spans="1:60" ht="15" customHeight="1" x14ac:dyDescent="0.25">
      <c r="A56" s="6">
        <v>28</v>
      </c>
      <c r="B56" s="6" t="s">
        <v>1570</v>
      </c>
      <c r="C56" s="6">
        <v>1</v>
      </c>
      <c r="D56" s="6" t="s">
        <v>2245</v>
      </c>
      <c r="E56" s="6">
        <v>28</v>
      </c>
      <c r="F56" s="6" t="str">
        <f ca="1">Master_List!$AW$1</f>
        <v>PERPUSTAKAAN PUSAT</v>
      </c>
      <c r="G56" s="27" t="str">
        <f ca="1">Master_List!$AW$2</f>
        <v>09:30 PM</v>
      </c>
      <c r="H56" s="32" t="str">
        <f ca="1">Master_List!$AW$3</f>
        <v>20/07/2026</v>
      </c>
      <c r="I56" s="28" t="str">
        <f ca="1">Master_List!$AW$4</f>
        <v>28.5</v>
      </c>
      <c r="J56" s="6" t="str">
        <f ca="1">Master_List!$AW$5</f>
        <v>65</v>
      </c>
      <c r="K56" s="6" t="s">
        <v>1497</v>
      </c>
      <c r="L56" s="22">
        <v>1</v>
      </c>
      <c r="M56" s="25"/>
      <c r="N56" s="25"/>
      <c r="O56" s="25"/>
      <c r="P56" s="25"/>
      <c r="Q56" s="25"/>
      <c r="R56" s="25"/>
      <c r="S56" s="25"/>
      <c r="T56" s="20" t="str">
        <f ca="1">Master_List!$AW$6</f>
        <v>TOSHIBA</v>
      </c>
      <c r="U56" s="20" t="str">
        <f ca="1">Master_List!$AW$7</f>
        <v>MRMU</v>
      </c>
      <c r="V56" s="20" t="str">
        <f ca="1">Master_List!$AW$8</f>
        <v>12kV</v>
      </c>
      <c r="W56" s="20" t="str">
        <f ca="1">Master_List!$AW$9</f>
        <v>2S1F</v>
      </c>
      <c r="X56" s="20" t="str">
        <f ca="1">Master_List!$AW$10</f>
        <v>MTM</v>
      </c>
      <c r="Y56" s="20" t="str">
        <f ca="1">Master_List!$AW$11</f>
        <v>HERMETICALLY SEAL</v>
      </c>
      <c r="Z56" s="20" t="str">
        <f ca="1">Master_List!$AW$12</f>
        <v>750kVA</v>
      </c>
      <c r="AA56" s="20" t="str">
        <f ca="1">Master_List!$AW$13</f>
        <v>1317</v>
      </c>
      <c r="AB56" s="20">
        <f ca="1">Master_List!$AW$14</f>
        <v>0</v>
      </c>
      <c r="AC56" s="20">
        <f ca="1">Master_List!$AW$15</f>
        <v>0</v>
      </c>
      <c r="AD56" s="20">
        <f ca="1">Master_List!$AW$16</f>
        <v>0</v>
      </c>
      <c r="AE56" s="20">
        <f ca="1">Master_List!$AW$17</f>
        <v>0</v>
      </c>
      <c r="AF56" s="20" t="str">
        <f ca="1">Master_List!$AW$18</f>
        <v>INDKOM</v>
      </c>
      <c r="AG56" s="20" t="str">
        <f ca="1">Master_List!$AW$19</f>
        <v>J-SLOTTED</v>
      </c>
      <c r="AH56" s="20" t="str">
        <f ca="1">Master_List!$AW$20</f>
        <v>1600A</v>
      </c>
      <c r="AI56" s="20" t="str">
        <f ca="1">Master_List!$AW$21</f>
        <v>LV5080090</v>
      </c>
      <c r="AJ56" s="20" t="str">
        <f ca="1">Master_List!$AW$22</f>
        <v>LVDB TX1</v>
      </c>
      <c r="AK56" s="20">
        <f ca="1">Master_List!$AW$23</f>
        <v>0</v>
      </c>
      <c r="AL56" s="20">
        <f ca="1">Master_List!$AW$24</f>
        <v>0</v>
      </c>
      <c r="AM56" s="20">
        <f ca="1">Master_List!$AW$25</f>
        <v>0</v>
      </c>
      <c r="AN56" s="20">
        <f ca="1">Master_List!$AW$26</f>
        <v>0</v>
      </c>
      <c r="AO56" s="20" t="str">
        <f ca="1">Master_List!$AW$27</f>
        <v>LVDB TX2</v>
      </c>
      <c r="AP56" s="20" t="str">
        <f ca="1">Master_List!$AW$28</f>
        <v>SUNPOWER TECHNOLOGIES</v>
      </c>
      <c r="AQ56" s="20" t="str">
        <f ca="1">Master_List!$AW$29</f>
        <v>SPS 30-10 L</v>
      </c>
      <c r="AR56" s="20" t="str">
        <f ca="1">Master_List!$AW$30</f>
        <v>11193-8527</v>
      </c>
      <c r="AS56" s="20">
        <f ca="1">Master_List!$AW$31</f>
        <v>0</v>
      </c>
      <c r="AT56" s="20">
        <f ca="1">Master_List!$AW$32</f>
        <v>0</v>
      </c>
      <c r="AU56" s="20">
        <f ca="1">Master_List!$AW$33</f>
        <v>0</v>
      </c>
      <c r="AV56" s="20">
        <f ca="1">Master_List!$AW$34</f>
        <v>0</v>
      </c>
      <c r="AW56" s="20">
        <f ca="1">Master_List!$AW$35</f>
        <v>0</v>
      </c>
      <c r="AX56" s="20">
        <f ca="1">Master_List!$AW$36</f>
        <v>0</v>
      </c>
      <c r="AY56" s="20">
        <f ca="1">Master_List!$AW$37</f>
        <v>0</v>
      </c>
      <c r="AZ56" s="20">
        <f ca="1">Master_List!$AW$38</f>
        <v>0</v>
      </c>
      <c r="BA56" s="20">
        <f ca="1">Master_List!$AW$39</f>
        <v>0</v>
      </c>
      <c r="BB56" s="20" t="s">
        <v>2240</v>
      </c>
      <c r="BC56" s="20" t="s">
        <v>2241</v>
      </c>
      <c r="BD56" s="6" t="s">
        <v>1744</v>
      </c>
      <c r="BE56" s="6" t="s">
        <v>1778</v>
      </c>
      <c r="BF56" s="6" t="s">
        <v>1746</v>
      </c>
      <c r="BG56" s="6" t="str">
        <f t="shared" si="2"/>
        <v>C:\Users\aremi\Desktop\REPORT CBM\PO 42289580 - Pahang 11kV SECOND CYCLE AZZAD 2026\RAW MATERIAL\047. TNB BARU (IR+VI)\RAW DATA\IR</v>
      </c>
      <c r="BH56" s="24" t="s">
        <v>577</v>
      </c>
    </row>
    <row r="57" spans="1:60" ht="15" customHeight="1" x14ac:dyDescent="0.25">
      <c r="A57" s="6">
        <v>28</v>
      </c>
      <c r="B57" s="6" t="s">
        <v>1570</v>
      </c>
      <c r="C57" s="6">
        <v>1</v>
      </c>
      <c r="D57" s="6" t="s">
        <v>2245</v>
      </c>
      <c r="E57" s="6">
        <v>28</v>
      </c>
      <c r="F57" s="6" t="str">
        <f ca="1">Master_List!$AW$1</f>
        <v>PERPUSTAKAAN PUSAT</v>
      </c>
      <c r="G57" s="27" t="str">
        <f ca="1">Master_List!$AW$2</f>
        <v>09:30 PM</v>
      </c>
      <c r="H57" s="32" t="str">
        <f ca="1">Master_List!$AW$3</f>
        <v>20/07/2026</v>
      </c>
      <c r="I57" s="28" t="str">
        <f ca="1">Master_List!$AW$4</f>
        <v>28.5</v>
      </c>
      <c r="J57" s="6" t="str">
        <f ca="1">Master_List!$AW$5</f>
        <v>65</v>
      </c>
      <c r="K57" s="6" t="s">
        <v>1497</v>
      </c>
      <c r="L57" s="22">
        <v>1</v>
      </c>
      <c r="M57" s="25"/>
      <c r="N57" s="25"/>
      <c r="O57" s="25"/>
      <c r="P57" s="25"/>
      <c r="Q57" s="25"/>
      <c r="R57" s="25"/>
      <c r="S57" s="25"/>
      <c r="T57" s="20" t="str">
        <f ca="1">Master_List!$AW$6</f>
        <v>TOSHIBA</v>
      </c>
      <c r="U57" s="20" t="str">
        <f ca="1">Master_List!$AW$7</f>
        <v>MRMU</v>
      </c>
      <c r="V57" s="20" t="str">
        <f ca="1">Master_List!$AW$8</f>
        <v>12kV</v>
      </c>
      <c r="W57" s="20" t="str">
        <f ca="1">Master_List!$AW$9</f>
        <v>2S1F</v>
      </c>
      <c r="X57" s="20" t="str">
        <f ca="1">Master_List!$AW$10</f>
        <v>MTM</v>
      </c>
      <c r="Y57" s="20" t="str">
        <f ca="1">Master_List!$AW$11</f>
        <v>HERMETICALLY SEAL</v>
      </c>
      <c r="Z57" s="20" t="str">
        <f ca="1">Master_List!$AW$12</f>
        <v>750kVA</v>
      </c>
      <c r="AA57" s="20" t="str">
        <f ca="1">Master_List!$AW$13</f>
        <v>1317</v>
      </c>
      <c r="AB57" s="20">
        <f ca="1">Master_List!$AW$14</f>
        <v>0</v>
      </c>
      <c r="AC57" s="20">
        <f ca="1">Master_List!$AW$15</f>
        <v>0</v>
      </c>
      <c r="AD57" s="20">
        <f ca="1">Master_List!$AW$16</f>
        <v>0</v>
      </c>
      <c r="AE57" s="20">
        <f ca="1">Master_List!$AW$17</f>
        <v>0</v>
      </c>
      <c r="AF57" s="20" t="str">
        <f ca="1">Master_List!$AW$18</f>
        <v>INDKOM</v>
      </c>
      <c r="AG57" s="20" t="str">
        <f ca="1">Master_List!$AW$19</f>
        <v>J-SLOTTED</v>
      </c>
      <c r="AH57" s="20" t="str">
        <f ca="1">Master_List!$AW$20</f>
        <v>1600A</v>
      </c>
      <c r="AI57" s="20" t="str">
        <f ca="1">Master_List!$AW$21</f>
        <v>LV5080090</v>
      </c>
      <c r="AJ57" s="20" t="str">
        <f ca="1">Master_List!$AW$22</f>
        <v>LVDB TX1</v>
      </c>
      <c r="AK57" s="20">
        <f ca="1">Master_List!$AW$23</f>
        <v>0</v>
      </c>
      <c r="AL57" s="20">
        <f ca="1">Master_List!$AW$24</f>
        <v>0</v>
      </c>
      <c r="AM57" s="20">
        <f ca="1">Master_List!$AW$25</f>
        <v>0</v>
      </c>
      <c r="AN57" s="20">
        <f ca="1">Master_List!$AW$26</f>
        <v>0</v>
      </c>
      <c r="AO57" s="20" t="str">
        <f ca="1">Master_List!$AW$27</f>
        <v>LVDB TX2</v>
      </c>
      <c r="AP57" s="20" t="str">
        <f ca="1">Master_List!$AW$28</f>
        <v>SUNPOWER TECHNOLOGIES</v>
      </c>
      <c r="AQ57" s="20" t="str">
        <f ca="1">Master_List!$AW$29</f>
        <v>SPS 30-10 L</v>
      </c>
      <c r="AR57" s="20" t="str">
        <f ca="1">Master_List!$AW$30</f>
        <v>11193-8527</v>
      </c>
      <c r="AS57" s="20">
        <f ca="1">Master_List!$AW$31</f>
        <v>0</v>
      </c>
      <c r="AT57" s="20">
        <f ca="1">Master_List!$AW$32</f>
        <v>0</v>
      </c>
      <c r="AU57" s="20">
        <f ca="1">Master_List!$AW$33</f>
        <v>0</v>
      </c>
      <c r="AV57" s="20">
        <f ca="1">Master_List!$AW$34</f>
        <v>0</v>
      </c>
      <c r="AW57" s="20">
        <f ca="1">Master_List!$AW$35</f>
        <v>0</v>
      </c>
      <c r="AX57" s="20">
        <f ca="1">Master_List!$AW$36</f>
        <v>0</v>
      </c>
      <c r="AY57" s="20">
        <f ca="1">Master_List!$AW$37</f>
        <v>0</v>
      </c>
      <c r="AZ57" s="20">
        <f ca="1">Master_List!$AW$38</f>
        <v>0</v>
      </c>
      <c r="BA57" s="20">
        <f ca="1">Master_List!$AW$39</f>
        <v>0</v>
      </c>
      <c r="BB57" s="20" t="s">
        <v>2240</v>
      </c>
      <c r="BC57" s="20" t="s">
        <v>2241</v>
      </c>
      <c r="BD57" s="6" t="s">
        <v>1744</v>
      </c>
      <c r="BE57" s="6" t="s">
        <v>1778</v>
      </c>
      <c r="BF57" s="6" t="s">
        <v>1748</v>
      </c>
      <c r="BG57" s="6" t="str">
        <f t="shared" si="2"/>
        <v>C:\Users\aremi\Desktop\REPORT CBM\PO 42289580 - Pahang 11kV SECOND CYCLE AZZAD 2026\RAW MATERIAL\047. TNB BARU (IR+VI)\RAW DATA\IR</v>
      </c>
      <c r="BH57" s="24" t="s">
        <v>578</v>
      </c>
    </row>
    <row r="58" spans="1:60" ht="15" customHeight="1" x14ac:dyDescent="0.25">
      <c r="A58" s="6">
        <v>29</v>
      </c>
      <c r="B58" s="6" t="s">
        <v>1570</v>
      </c>
      <c r="C58" s="6">
        <v>1</v>
      </c>
      <c r="D58" s="6" t="s">
        <v>2247</v>
      </c>
      <c r="E58" s="6">
        <v>29</v>
      </c>
      <c r="F58" s="6" t="str">
        <f ca="1">Master_List!$AW$1</f>
        <v>PERPUSTAKAAN PUSAT</v>
      </c>
      <c r="G58" s="27" t="str">
        <f ca="1">Master_List!$AW$2</f>
        <v>09:30 PM</v>
      </c>
      <c r="H58" s="32" t="str">
        <f ca="1">Master_List!$AW$3</f>
        <v>20/07/2026</v>
      </c>
      <c r="I58" s="28" t="str">
        <f ca="1">Master_List!$AW$4</f>
        <v>28.5</v>
      </c>
      <c r="J58" s="6" t="str">
        <f ca="1">Master_List!$AW$5</f>
        <v>65</v>
      </c>
      <c r="K58" s="6" t="s">
        <v>1571</v>
      </c>
      <c r="L58" s="22">
        <v>1</v>
      </c>
      <c r="M58" s="22" t="s">
        <v>2248</v>
      </c>
      <c r="N58" s="25"/>
      <c r="O58" s="25"/>
      <c r="P58" s="25"/>
      <c r="Q58" s="25"/>
      <c r="R58" s="25"/>
      <c r="S58" s="25"/>
      <c r="T58" s="20" t="str">
        <f ca="1">Master_List!$AW$6</f>
        <v>TOSHIBA</v>
      </c>
      <c r="U58" s="20" t="str">
        <f ca="1">Master_List!$AW$7</f>
        <v>MRMU</v>
      </c>
      <c r="V58" s="20" t="str">
        <f ca="1">Master_List!$AW$8</f>
        <v>12kV</v>
      </c>
      <c r="W58" s="20" t="str">
        <f ca="1">Master_List!$AW$9</f>
        <v>2S1F</v>
      </c>
      <c r="X58" s="20" t="str">
        <f ca="1">Master_List!$AW$10</f>
        <v>MTM</v>
      </c>
      <c r="Y58" s="20" t="str">
        <f ca="1">Master_List!$AW$11</f>
        <v>HERMETICALLY SEAL</v>
      </c>
      <c r="Z58" s="20" t="str">
        <f ca="1">Master_List!$AW$12</f>
        <v>750kVA</v>
      </c>
      <c r="AA58" s="20" t="str">
        <f ca="1">Master_List!$AW$13</f>
        <v>1317</v>
      </c>
      <c r="AB58" s="20">
        <f ca="1">Master_List!$AW$14</f>
        <v>0</v>
      </c>
      <c r="AC58" s="20">
        <f ca="1">Master_List!$AW$15</f>
        <v>0</v>
      </c>
      <c r="AD58" s="20">
        <f ca="1">Master_List!$AW$16</f>
        <v>0</v>
      </c>
      <c r="AE58" s="20">
        <f ca="1">Master_List!$AW$17</f>
        <v>0</v>
      </c>
      <c r="AF58" s="20" t="str">
        <f ca="1">Master_List!$AW$18</f>
        <v>INDKOM</v>
      </c>
      <c r="AG58" s="20" t="str">
        <f ca="1">Master_List!$AW$19</f>
        <v>J-SLOTTED</v>
      </c>
      <c r="AH58" s="20" t="str">
        <f ca="1">Master_List!$AW$20</f>
        <v>1600A</v>
      </c>
      <c r="AI58" s="20" t="str">
        <f ca="1">Master_List!$AW$21</f>
        <v>LV5080090</v>
      </c>
      <c r="AJ58" s="20" t="str">
        <f ca="1">Master_List!$AW$22</f>
        <v>LVDB TX1</v>
      </c>
      <c r="AK58" s="20">
        <f ca="1">Master_List!$AW$23</f>
        <v>0</v>
      </c>
      <c r="AL58" s="20">
        <f ca="1">Master_List!$AW$24</f>
        <v>0</v>
      </c>
      <c r="AM58" s="20">
        <f ca="1">Master_List!$AW$25</f>
        <v>0</v>
      </c>
      <c r="AN58" s="20">
        <f ca="1">Master_List!$AW$26</f>
        <v>0</v>
      </c>
      <c r="AO58" s="20" t="str">
        <f ca="1">Master_List!$AW$27</f>
        <v>LVDB TX2</v>
      </c>
      <c r="AP58" s="20" t="str">
        <f ca="1">Master_List!$AW$28</f>
        <v>SUNPOWER TECHNOLOGIES</v>
      </c>
      <c r="AQ58" s="20" t="str">
        <f ca="1">Master_List!$AW$29</f>
        <v>SPS 30-10 L</v>
      </c>
      <c r="AR58" s="20" t="str">
        <f ca="1">Master_List!$AW$30</f>
        <v>11193-8527</v>
      </c>
      <c r="AS58" s="20">
        <f ca="1">Master_List!$AW$31</f>
        <v>0</v>
      </c>
      <c r="AT58" s="20">
        <f ca="1">Master_List!$AW$32</f>
        <v>0</v>
      </c>
      <c r="AU58" s="20">
        <f ca="1">Master_List!$AW$33</f>
        <v>0</v>
      </c>
      <c r="AV58" s="20">
        <f ca="1">Master_List!$AW$34</f>
        <v>0</v>
      </c>
      <c r="AW58" s="20">
        <f ca="1">Master_List!$AW$35</f>
        <v>0</v>
      </c>
      <c r="AX58" s="20">
        <f ca="1">Master_List!$AW$36</f>
        <v>0</v>
      </c>
      <c r="AY58" s="20">
        <f ca="1">Master_List!$AW$37</f>
        <v>0</v>
      </c>
      <c r="AZ58" s="20">
        <f ca="1">Master_List!$AW$38</f>
        <v>0</v>
      </c>
      <c r="BA58" s="20">
        <f ca="1">Master_List!$AW$39</f>
        <v>0</v>
      </c>
      <c r="BB58" s="20" t="s">
        <v>2240</v>
      </c>
      <c r="BC58" s="20" t="s">
        <v>2241</v>
      </c>
      <c r="BD58" s="6" t="s">
        <v>1744</v>
      </c>
      <c r="BE58" s="6" t="s">
        <v>1779</v>
      </c>
      <c r="BF58" s="6" t="s">
        <v>1746</v>
      </c>
      <c r="BG58" s="6" t="str">
        <f t="shared" si="2"/>
        <v>C:\Users\aremi\Desktop\REPORT CBM\PO 42289580 - Pahang 11kV SECOND CYCLE AZZAD 2026\RAW MATERIAL\047. TNB BARU (IR+VI)\RAW DATA\IR</v>
      </c>
      <c r="BH58" s="24" t="s">
        <v>580</v>
      </c>
    </row>
    <row r="59" spans="1:60" ht="15" customHeight="1" x14ac:dyDescent="0.25">
      <c r="A59" s="6">
        <v>29</v>
      </c>
      <c r="B59" s="6" t="s">
        <v>1570</v>
      </c>
      <c r="C59" s="6">
        <v>1</v>
      </c>
      <c r="D59" s="6" t="s">
        <v>2247</v>
      </c>
      <c r="E59" s="6">
        <v>29</v>
      </c>
      <c r="F59" s="6" t="str">
        <f ca="1">Master_List!$AW$1</f>
        <v>PERPUSTAKAAN PUSAT</v>
      </c>
      <c r="G59" s="27" t="str">
        <f ca="1">Master_List!$AW$2</f>
        <v>09:30 PM</v>
      </c>
      <c r="H59" s="32" t="str">
        <f ca="1">Master_List!$AW$3</f>
        <v>20/07/2026</v>
      </c>
      <c r="I59" s="28" t="str">
        <f ca="1">Master_List!$AW$4</f>
        <v>28.5</v>
      </c>
      <c r="J59" s="6" t="str">
        <f ca="1">Master_List!$AW$5</f>
        <v>65</v>
      </c>
      <c r="K59" s="6" t="s">
        <v>1571</v>
      </c>
      <c r="L59" s="22">
        <v>1</v>
      </c>
      <c r="M59" s="22" t="s">
        <v>2248</v>
      </c>
      <c r="N59" s="25"/>
      <c r="O59" s="25"/>
      <c r="P59" s="25"/>
      <c r="Q59" s="25"/>
      <c r="R59" s="25"/>
      <c r="S59" s="25"/>
      <c r="T59" s="20" t="str">
        <f ca="1">Master_List!$AW$6</f>
        <v>TOSHIBA</v>
      </c>
      <c r="U59" s="20" t="str">
        <f ca="1">Master_List!$AW$7</f>
        <v>MRMU</v>
      </c>
      <c r="V59" s="20" t="str">
        <f ca="1">Master_List!$AW$8</f>
        <v>12kV</v>
      </c>
      <c r="W59" s="20" t="str">
        <f ca="1">Master_List!$AW$9</f>
        <v>2S1F</v>
      </c>
      <c r="X59" s="20" t="str">
        <f ca="1">Master_List!$AW$10</f>
        <v>MTM</v>
      </c>
      <c r="Y59" s="20" t="str">
        <f ca="1">Master_List!$AW$11</f>
        <v>HERMETICALLY SEAL</v>
      </c>
      <c r="Z59" s="20" t="str">
        <f ca="1">Master_List!$AW$12</f>
        <v>750kVA</v>
      </c>
      <c r="AA59" s="20" t="str">
        <f ca="1">Master_List!$AW$13</f>
        <v>1317</v>
      </c>
      <c r="AB59" s="20">
        <f ca="1">Master_List!$AW$14</f>
        <v>0</v>
      </c>
      <c r="AC59" s="20">
        <f ca="1">Master_List!$AW$15</f>
        <v>0</v>
      </c>
      <c r="AD59" s="20">
        <f ca="1">Master_List!$AW$16</f>
        <v>0</v>
      </c>
      <c r="AE59" s="20">
        <f ca="1">Master_List!$AW$17</f>
        <v>0</v>
      </c>
      <c r="AF59" s="20" t="str">
        <f ca="1">Master_List!$AW$18</f>
        <v>INDKOM</v>
      </c>
      <c r="AG59" s="20" t="str">
        <f ca="1">Master_List!$AW$19</f>
        <v>J-SLOTTED</v>
      </c>
      <c r="AH59" s="20" t="str">
        <f ca="1">Master_List!$AW$20</f>
        <v>1600A</v>
      </c>
      <c r="AI59" s="20" t="str">
        <f ca="1">Master_List!$AW$21</f>
        <v>LV5080090</v>
      </c>
      <c r="AJ59" s="20" t="str">
        <f ca="1">Master_List!$AW$22</f>
        <v>LVDB TX1</v>
      </c>
      <c r="AK59" s="20">
        <f ca="1">Master_List!$AW$23</f>
        <v>0</v>
      </c>
      <c r="AL59" s="20">
        <f ca="1">Master_List!$AW$24</f>
        <v>0</v>
      </c>
      <c r="AM59" s="20">
        <f ca="1">Master_List!$AW$25</f>
        <v>0</v>
      </c>
      <c r="AN59" s="20">
        <f ca="1">Master_List!$AW$26</f>
        <v>0</v>
      </c>
      <c r="AO59" s="20" t="str">
        <f ca="1">Master_List!$AW$27</f>
        <v>LVDB TX2</v>
      </c>
      <c r="AP59" s="20" t="str">
        <f ca="1">Master_List!$AW$28</f>
        <v>SUNPOWER TECHNOLOGIES</v>
      </c>
      <c r="AQ59" s="20" t="str">
        <f ca="1">Master_List!$AW$29</f>
        <v>SPS 30-10 L</v>
      </c>
      <c r="AR59" s="20" t="str">
        <f ca="1">Master_List!$AW$30</f>
        <v>11193-8527</v>
      </c>
      <c r="AS59" s="20">
        <f ca="1">Master_List!$AW$31</f>
        <v>0</v>
      </c>
      <c r="AT59" s="20">
        <f ca="1">Master_List!$AW$32</f>
        <v>0</v>
      </c>
      <c r="AU59" s="20">
        <f ca="1">Master_List!$AW$33</f>
        <v>0</v>
      </c>
      <c r="AV59" s="20">
        <f ca="1">Master_List!$AW$34</f>
        <v>0</v>
      </c>
      <c r="AW59" s="20">
        <f ca="1">Master_List!$AW$35</f>
        <v>0</v>
      </c>
      <c r="AX59" s="20">
        <f ca="1">Master_List!$AW$36</f>
        <v>0</v>
      </c>
      <c r="AY59" s="20">
        <f ca="1">Master_List!$AW$37</f>
        <v>0</v>
      </c>
      <c r="AZ59" s="20">
        <f ca="1">Master_List!$AW$38</f>
        <v>0</v>
      </c>
      <c r="BA59" s="20">
        <f ca="1">Master_List!$AW$39</f>
        <v>0</v>
      </c>
      <c r="BB59" s="20" t="s">
        <v>2240</v>
      </c>
      <c r="BC59" s="20" t="s">
        <v>2241</v>
      </c>
      <c r="BD59" s="6" t="s">
        <v>1744</v>
      </c>
      <c r="BE59" s="6" t="s">
        <v>1779</v>
      </c>
      <c r="BF59" s="6" t="s">
        <v>1748</v>
      </c>
      <c r="BG59" s="6" t="str">
        <f t="shared" si="2"/>
        <v>C:\Users\aremi\Desktop\REPORT CBM\PO 42289580 - Pahang 11kV SECOND CYCLE AZZAD 2026\RAW MATERIAL\047. TNB BARU (IR+VI)\RAW DATA\IR</v>
      </c>
      <c r="BH59" s="24" t="s">
        <v>581</v>
      </c>
    </row>
    <row r="60" spans="1:60" ht="15" customHeight="1" x14ac:dyDescent="0.25">
      <c r="A60" s="6">
        <v>30</v>
      </c>
      <c r="B60" s="6" t="s">
        <v>1570</v>
      </c>
      <c r="C60" s="6">
        <v>1</v>
      </c>
      <c r="D60" s="6" t="s">
        <v>2247</v>
      </c>
      <c r="E60" s="6">
        <v>30</v>
      </c>
      <c r="F60" s="6" t="str">
        <f ca="1">Master_List!$AW$1</f>
        <v>PERPUSTAKAAN PUSAT</v>
      </c>
      <c r="G60" s="27" t="str">
        <f ca="1">Master_List!$AW$2</f>
        <v>09:30 PM</v>
      </c>
      <c r="H60" s="32" t="str">
        <f ca="1">Master_List!$AW$3</f>
        <v>20/07/2026</v>
      </c>
      <c r="I60" s="28" t="str">
        <f ca="1">Master_List!$AW$4</f>
        <v>28.5</v>
      </c>
      <c r="J60" s="6" t="str">
        <f ca="1">Master_List!$AW$5</f>
        <v>65</v>
      </c>
      <c r="K60" s="6" t="s">
        <v>1572</v>
      </c>
      <c r="L60" s="22">
        <v>1</v>
      </c>
      <c r="M60" s="22" t="s">
        <v>2248</v>
      </c>
      <c r="N60" s="25"/>
      <c r="O60" s="25"/>
      <c r="P60" s="25"/>
      <c r="Q60" s="25"/>
      <c r="R60" s="25"/>
      <c r="S60" s="25"/>
      <c r="T60" s="20" t="str">
        <f ca="1">Master_List!$AW$6</f>
        <v>TOSHIBA</v>
      </c>
      <c r="U60" s="20" t="str">
        <f ca="1">Master_List!$AW$7</f>
        <v>MRMU</v>
      </c>
      <c r="V60" s="20" t="str">
        <f ca="1">Master_List!$AW$8</f>
        <v>12kV</v>
      </c>
      <c r="W60" s="20" t="str">
        <f ca="1">Master_List!$AW$9</f>
        <v>2S1F</v>
      </c>
      <c r="X60" s="20" t="str">
        <f ca="1">Master_List!$AW$10</f>
        <v>MTM</v>
      </c>
      <c r="Y60" s="20" t="str">
        <f ca="1">Master_List!$AW$11</f>
        <v>HERMETICALLY SEAL</v>
      </c>
      <c r="Z60" s="20" t="str">
        <f ca="1">Master_List!$AW$12</f>
        <v>750kVA</v>
      </c>
      <c r="AA60" s="20" t="str">
        <f ca="1">Master_List!$AW$13</f>
        <v>1317</v>
      </c>
      <c r="AB60" s="20">
        <f ca="1">Master_List!$AW$14</f>
        <v>0</v>
      </c>
      <c r="AC60" s="20">
        <f ca="1">Master_List!$AW$15</f>
        <v>0</v>
      </c>
      <c r="AD60" s="20">
        <f ca="1">Master_List!$AW$16</f>
        <v>0</v>
      </c>
      <c r="AE60" s="20">
        <f ca="1">Master_List!$AW$17</f>
        <v>0</v>
      </c>
      <c r="AF60" s="20" t="str">
        <f ca="1">Master_List!$AW$18</f>
        <v>INDKOM</v>
      </c>
      <c r="AG60" s="20" t="str">
        <f ca="1">Master_List!$AW$19</f>
        <v>J-SLOTTED</v>
      </c>
      <c r="AH60" s="20" t="str">
        <f ca="1">Master_List!$AW$20</f>
        <v>1600A</v>
      </c>
      <c r="AI60" s="20" t="str">
        <f ca="1">Master_List!$AW$21</f>
        <v>LV5080090</v>
      </c>
      <c r="AJ60" s="20" t="str">
        <f ca="1">Master_List!$AW$22</f>
        <v>LVDB TX1</v>
      </c>
      <c r="AK60" s="20">
        <f ca="1">Master_List!$AW$23</f>
        <v>0</v>
      </c>
      <c r="AL60" s="20">
        <f ca="1">Master_List!$AW$24</f>
        <v>0</v>
      </c>
      <c r="AM60" s="20">
        <f ca="1">Master_List!$AW$25</f>
        <v>0</v>
      </c>
      <c r="AN60" s="20">
        <f ca="1">Master_List!$AW$26</f>
        <v>0</v>
      </c>
      <c r="AO60" s="20" t="str">
        <f ca="1">Master_List!$AW$27</f>
        <v>LVDB TX2</v>
      </c>
      <c r="AP60" s="20" t="str">
        <f ca="1">Master_List!$AW$28</f>
        <v>SUNPOWER TECHNOLOGIES</v>
      </c>
      <c r="AQ60" s="20" t="str">
        <f ca="1">Master_List!$AW$29</f>
        <v>SPS 30-10 L</v>
      </c>
      <c r="AR60" s="20" t="str">
        <f ca="1">Master_List!$AW$30</f>
        <v>11193-8527</v>
      </c>
      <c r="AS60" s="20">
        <f ca="1">Master_List!$AW$31</f>
        <v>0</v>
      </c>
      <c r="AT60" s="20">
        <f ca="1">Master_List!$AW$32</f>
        <v>0</v>
      </c>
      <c r="AU60" s="20">
        <f ca="1">Master_List!$AW$33</f>
        <v>0</v>
      </c>
      <c r="AV60" s="20">
        <f ca="1">Master_List!$AW$34</f>
        <v>0</v>
      </c>
      <c r="AW60" s="20">
        <f ca="1">Master_List!$AW$35</f>
        <v>0</v>
      </c>
      <c r="AX60" s="20">
        <f ca="1">Master_List!$AW$36</f>
        <v>0</v>
      </c>
      <c r="AY60" s="20">
        <f ca="1">Master_List!$AW$37</f>
        <v>0</v>
      </c>
      <c r="AZ60" s="20">
        <f ca="1">Master_List!$AW$38</f>
        <v>0</v>
      </c>
      <c r="BA60" s="20">
        <f ca="1">Master_List!$AW$39</f>
        <v>0</v>
      </c>
      <c r="BB60" s="20" t="s">
        <v>2240</v>
      </c>
      <c r="BC60" s="20" t="s">
        <v>2241</v>
      </c>
      <c r="BD60" s="6" t="s">
        <v>1744</v>
      </c>
      <c r="BE60" s="6" t="s">
        <v>1780</v>
      </c>
      <c r="BF60" s="6" t="s">
        <v>1746</v>
      </c>
      <c r="BG60" s="6" t="str">
        <f t="shared" si="2"/>
        <v>C:\Users\aremi\Desktop\REPORT CBM\PO 42289580 - Pahang 11kV SECOND CYCLE AZZAD 2026\RAW MATERIAL\047. TNB BARU (IR+VI)\RAW DATA\IR</v>
      </c>
      <c r="BH60" s="24" t="s">
        <v>583</v>
      </c>
    </row>
    <row r="61" spans="1:60" ht="15" customHeight="1" x14ac:dyDescent="0.25">
      <c r="A61" s="6">
        <v>30</v>
      </c>
      <c r="B61" s="6" t="s">
        <v>1570</v>
      </c>
      <c r="C61" s="6">
        <v>1</v>
      </c>
      <c r="D61" s="6" t="s">
        <v>2247</v>
      </c>
      <c r="E61" s="6">
        <v>30</v>
      </c>
      <c r="F61" s="6" t="str">
        <f ca="1">Master_List!$AW$1</f>
        <v>PERPUSTAKAAN PUSAT</v>
      </c>
      <c r="G61" s="27" t="str">
        <f ca="1">Master_List!$AW$2</f>
        <v>09:30 PM</v>
      </c>
      <c r="H61" s="32" t="str">
        <f ca="1">Master_List!$AW$3</f>
        <v>20/07/2026</v>
      </c>
      <c r="I61" s="28" t="str">
        <f ca="1">Master_List!$AW$4</f>
        <v>28.5</v>
      </c>
      <c r="J61" s="6" t="str">
        <f ca="1">Master_List!$AW$5</f>
        <v>65</v>
      </c>
      <c r="K61" s="6" t="s">
        <v>1572</v>
      </c>
      <c r="L61" s="22">
        <v>1</v>
      </c>
      <c r="M61" s="22" t="s">
        <v>2248</v>
      </c>
      <c r="N61" s="25"/>
      <c r="O61" s="25"/>
      <c r="P61" s="25"/>
      <c r="Q61" s="25"/>
      <c r="R61" s="25"/>
      <c r="S61" s="25"/>
      <c r="T61" s="20" t="str">
        <f ca="1">Master_List!$AW$6</f>
        <v>TOSHIBA</v>
      </c>
      <c r="U61" s="20" t="str">
        <f ca="1">Master_List!$AW$7</f>
        <v>MRMU</v>
      </c>
      <c r="V61" s="20" t="str">
        <f ca="1">Master_List!$AW$8</f>
        <v>12kV</v>
      </c>
      <c r="W61" s="20" t="str">
        <f ca="1">Master_List!$AW$9</f>
        <v>2S1F</v>
      </c>
      <c r="X61" s="20" t="str">
        <f ca="1">Master_List!$AW$10</f>
        <v>MTM</v>
      </c>
      <c r="Y61" s="20" t="str">
        <f ca="1">Master_List!$AW$11</f>
        <v>HERMETICALLY SEAL</v>
      </c>
      <c r="Z61" s="20" t="str">
        <f ca="1">Master_List!$AW$12</f>
        <v>750kVA</v>
      </c>
      <c r="AA61" s="20" t="str">
        <f ca="1">Master_List!$AW$13</f>
        <v>1317</v>
      </c>
      <c r="AB61" s="20">
        <f ca="1">Master_List!$AW$14</f>
        <v>0</v>
      </c>
      <c r="AC61" s="20">
        <f ca="1">Master_List!$AW$15</f>
        <v>0</v>
      </c>
      <c r="AD61" s="20">
        <f ca="1">Master_List!$AW$16</f>
        <v>0</v>
      </c>
      <c r="AE61" s="20">
        <f ca="1">Master_List!$AW$17</f>
        <v>0</v>
      </c>
      <c r="AF61" s="20" t="str">
        <f ca="1">Master_List!$AW$18</f>
        <v>INDKOM</v>
      </c>
      <c r="AG61" s="20" t="str">
        <f ca="1">Master_List!$AW$19</f>
        <v>J-SLOTTED</v>
      </c>
      <c r="AH61" s="20" t="str">
        <f ca="1">Master_List!$AW$20</f>
        <v>1600A</v>
      </c>
      <c r="AI61" s="20" t="str">
        <f ca="1">Master_List!$AW$21</f>
        <v>LV5080090</v>
      </c>
      <c r="AJ61" s="20" t="str">
        <f ca="1">Master_List!$AW$22</f>
        <v>LVDB TX1</v>
      </c>
      <c r="AK61" s="20">
        <f ca="1">Master_List!$AW$23</f>
        <v>0</v>
      </c>
      <c r="AL61" s="20">
        <f ca="1">Master_List!$AW$24</f>
        <v>0</v>
      </c>
      <c r="AM61" s="20">
        <f ca="1">Master_List!$AW$25</f>
        <v>0</v>
      </c>
      <c r="AN61" s="20">
        <f ca="1">Master_List!$AW$26</f>
        <v>0</v>
      </c>
      <c r="AO61" s="20" t="str">
        <f ca="1">Master_List!$AW$27</f>
        <v>LVDB TX2</v>
      </c>
      <c r="AP61" s="20" t="str">
        <f ca="1">Master_List!$AW$28</f>
        <v>SUNPOWER TECHNOLOGIES</v>
      </c>
      <c r="AQ61" s="20" t="str">
        <f ca="1">Master_List!$AW$29</f>
        <v>SPS 30-10 L</v>
      </c>
      <c r="AR61" s="20" t="str">
        <f ca="1">Master_List!$AW$30</f>
        <v>11193-8527</v>
      </c>
      <c r="AS61" s="20">
        <f ca="1">Master_List!$AW$31</f>
        <v>0</v>
      </c>
      <c r="AT61" s="20">
        <f ca="1">Master_List!$AW$32</f>
        <v>0</v>
      </c>
      <c r="AU61" s="20">
        <f ca="1">Master_List!$AW$33</f>
        <v>0</v>
      </c>
      <c r="AV61" s="20">
        <f ca="1">Master_List!$AW$34</f>
        <v>0</v>
      </c>
      <c r="AW61" s="20">
        <f ca="1">Master_List!$AW$35</f>
        <v>0</v>
      </c>
      <c r="AX61" s="20">
        <f ca="1">Master_List!$AW$36</f>
        <v>0</v>
      </c>
      <c r="AY61" s="20">
        <f ca="1">Master_List!$AW$37</f>
        <v>0</v>
      </c>
      <c r="AZ61" s="20">
        <f ca="1">Master_List!$AW$38</f>
        <v>0</v>
      </c>
      <c r="BA61" s="20">
        <f ca="1">Master_List!$AW$39</f>
        <v>0</v>
      </c>
      <c r="BB61" s="20" t="s">
        <v>2240</v>
      </c>
      <c r="BC61" s="20" t="s">
        <v>2241</v>
      </c>
      <c r="BD61" s="6" t="s">
        <v>1744</v>
      </c>
      <c r="BE61" s="6" t="s">
        <v>1780</v>
      </c>
      <c r="BF61" s="6" t="s">
        <v>1748</v>
      </c>
      <c r="BG61" s="6" t="str">
        <f t="shared" si="2"/>
        <v>C:\Users\aremi\Desktop\REPORT CBM\PO 42289580 - Pahang 11kV SECOND CYCLE AZZAD 2026\RAW MATERIAL\047. TNB BARU (IR+VI)\RAW DATA\IR</v>
      </c>
      <c r="BH61" s="24" t="s">
        <v>584</v>
      </c>
    </row>
    <row r="62" spans="1:60" ht="15" customHeight="1" x14ac:dyDescent="0.25">
      <c r="A62" s="6">
        <v>31</v>
      </c>
      <c r="B62" s="6" t="s">
        <v>1570</v>
      </c>
      <c r="C62" s="6">
        <v>1</v>
      </c>
      <c r="D62" s="6" t="s">
        <v>2247</v>
      </c>
      <c r="E62" s="6">
        <v>31</v>
      </c>
      <c r="F62" s="6" t="str">
        <f ca="1">Master_List!$AW$1</f>
        <v>PERPUSTAKAAN PUSAT</v>
      </c>
      <c r="G62" s="27" t="str">
        <f ca="1">Master_List!$AW$2</f>
        <v>09:30 PM</v>
      </c>
      <c r="H62" s="32" t="str">
        <f ca="1">Master_List!$AW$3</f>
        <v>20/07/2026</v>
      </c>
      <c r="I62" s="28" t="str">
        <f ca="1">Master_List!$AW$4</f>
        <v>28.5</v>
      </c>
      <c r="J62" s="6" t="str">
        <f ca="1">Master_List!$AW$5</f>
        <v>65</v>
      </c>
      <c r="K62" s="6" t="s">
        <v>1573</v>
      </c>
      <c r="L62" s="22">
        <v>1</v>
      </c>
      <c r="M62" s="22" t="s">
        <v>2248</v>
      </c>
      <c r="N62" s="25"/>
      <c r="O62" s="25"/>
      <c r="P62" s="25"/>
      <c r="Q62" s="25"/>
      <c r="R62" s="25"/>
      <c r="S62" s="25"/>
      <c r="T62" s="20" t="str">
        <f ca="1">Master_List!$AW$6</f>
        <v>TOSHIBA</v>
      </c>
      <c r="U62" s="20" t="str">
        <f ca="1">Master_List!$AW$7</f>
        <v>MRMU</v>
      </c>
      <c r="V62" s="20" t="str">
        <f ca="1">Master_List!$AW$8</f>
        <v>12kV</v>
      </c>
      <c r="W62" s="20" t="str">
        <f ca="1">Master_List!$AW$9</f>
        <v>2S1F</v>
      </c>
      <c r="X62" s="20" t="str">
        <f ca="1">Master_List!$AW$10</f>
        <v>MTM</v>
      </c>
      <c r="Y62" s="20" t="str">
        <f ca="1">Master_List!$AW$11</f>
        <v>HERMETICALLY SEAL</v>
      </c>
      <c r="Z62" s="20" t="str">
        <f ca="1">Master_List!$AW$12</f>
        <v>750kVA</v>
      </c>
      <c r="AA62" s="20" t="str">
        <f ca="1">Master_List!$AW$13</f>
        <v>1317</v>
      </c>
      <c r="AB62" s="20">
        <f ca="1">Master_List!$AW$14</f>
        <v>0</v>
      </c>
      <c r="AC62" s="20">
        <f ca="1">Master_List!$AW$15</f>
        <v>0</v>
      </c>
      <c r="AD62" s="20">
        <f ca="1">Master_List!$AW$16</f>
        <v>0</v>
      </c>
      <c r="AE62" s="20">
        <f ca="1">Master_List!$AW$17</f>
        <v>0</v>
      </c>
      <c r="AF62" s="20" t="str">
        <f ca="1">Master_List!$AW$18</f>
        <v>INDKOM</v>
      </c>
      <c r="AG62" s="20" t="str">
        <f ca="1">Master_List!$AW$19</f>
        <v>J-SLOTTED</v>
      </c>
      <c r="AH62" s="20" t="str">
        <f ca="1">Master_List!$AW$20</f>
        <v>1600A</v>
      </c>
      <c r="AI62" s="20" t="str">
        <f ca="1">Master_List!$AW$21</f>
        <v>LV5080090</v>
      </c>
      <c r="AJ62" s="20" t="str">
        <f ca="1">Master_List!$AW$22</f>
        <v>LVDB TX1</v>
      </c>
      <c r="AK62" s="20">
        <f ca="1">Master_List!$AW$23</f>
        <v>0</v>
      </c>
      <c r="AL62" s="20">
        <f ca="1">Master_List!$AW$24</f>
        <v>0</v>
      </c>
      <c r="AM62" s="20">
        <f ca="1">Master_List!$AW$25</f>
        <v>0</v>
      </c>
      <c r="AN62" s="20">
        <f ca="1">Master_List!$AW$26</f>
        <v>0</v>
      </c>
      <c r="AO62" s="20" t="str">
        <f ca="1">Master_List!$AW$27</f>
        <v>LVDB TX2</v>
      </c>
      <c r="AP62" s="20" t="str">
        <f ca="1">Master_List!$AW$28</f>
        <v>SUNPOWER TECHNOLOGIES</v>
      </c>
      <c r="AQ62" s="20" t="str">
        <f ca="1">Master_List!$AW$29</f>
        <v>SPS 30-10 L</v>
      </c>
      <c r="AR62" s="20" t="str">
        <f ca="1">Master_List!$AW$30</f>
        <v>11193-8527</v>
      </c>
      <c r="AS62" s="20">
        <f ca="1">Master_List!$AW$31</f>
        <v>0</v>
      </c>
      <c r="AT62" s="20">
        <f ca="1">Master_List!$AW$32</f>
        <v>0</v>
      </c>
      <c r="AU62" s="20">
        <f ca="1">Master_List!$AW$33</f>
        <v>0</v>
      </c>
      <c r="AV62" s="20">
        <f ca="1">Master_List!$AW$34</f>
        <v>0</v>
      </c>
      <c r="AW62" s="20">
        <f ca="1">Master_List!$AW$35</f>
        <v>0</v>
      </c>
      <c r="AX62" s="20">
        <f ca="1">Master_List!$AW$36</f>
        <v>0</v>
      </c>
      <c r="AY62" s="20">
        <f ca="1">Master_List!$AW$37</f>
        <v>0</v>
      </c>
      <c r="AZ62" s="20">
        <f ca="1">Master_List!$AW$38</f>
        <v>0</v>
      </c>
      <c r="BA62" s="20">
        <f ca="1">Master_List!$AW$39</f>
        <v>0</v>
      </c>
      <c r="BB62" s="20" t="s">
        <v>2240</v>
      </c>
      <c r="BC62" s="20" t="s">
        <v>2241</v>
      </c>
      <c r="BD62" s="6" t="s">
        <v>1744</v>
      </c>
      <c r="BE62" s="6" t="s">
        <v>1781</v>
      </c>
      <c r="BF62" s="6" t="s">
        <v>1746</v>
      </c>
      <c r="BG62" s="6" t="str">
        <f t="shared" si="2"/>
        <v>C:\Users\aremi\Desktop\REPORT CBM\PO 42289580 - Pahang 11kV SECOND CYCLE AZZAD 2026\RAW MATERIAL\047. TNB BARU (IR+VI)\RAW DATA\IR</v>
      </c>
      <c r="BH62" s="24" t="s">
        <v>586</v>
      </c>
    </row>
    <row r="63" spans="1:60" ht="15" customHeight="1" x14ac:dyDescent="0.25">
      <c r="A63" s="6">
        <v>31</v>
      </c>
      <c r="B63" s="6" t="s">
        <v>1570</v>
      </c>
      <c r="C63" s="6">
        <v>1</v>
      </c>
      <c r="D63" s="6" t="s">
        <v>2247</v>
      </c>
      <c r="E63" s="6">
        <v>31</v>
      </c>
      <c r="F63" s="6" t="str">
        <f ca="1">Master_List!$AW$1</f>
        <v>PERPUSTAKAAN PUSAT</v>
      </c>
      <c r="G63" s="27" t="str">
        <f ca="1">Master_List!$AW$2</f>
        <v>09:30 PM</v>
      </c>
      <c r="H63" s="32" t="str">
        <f ca="1">Master_List!$AW$3</f>
        <v>20/07/2026</v>
      </c>
      <c r="I63" s="28" t="str">
        <f ca="1">Master_List!$AW$4</f>
        <v>28.5</v>
      </c>
      <c r="J63" s="6" t="str">
        <f ca="1">Master_List!$AW$5</f>
        <v>65</v>
      </c>
      <c r="K63" s="6" t="s">
        <v>1573</v>
      </c>
      <c r="L63" s="22">
        <v>1</v>
      </c>
      <c r="M63" s="22" t="s">
        <v>2248</v>
      </c>
      <c r="N63" s="25"/>
      <c r="O63" s="25"/>
      <c r="P63" s="25"/>
      <c r="Q63" s="25"/>
      <c r="R63" s="25"/>
      <c r="S63" s="25"/>
      <c r="T63" s="20" t="str">
        <f ca="1">Master_List!$AW$6</f>
        <v>TOSHIBA</v>
      </c>
      <c r="U63" s="20" t="str">
        <f ca="1">Master_List!$AW$7</f>
        <v>MRMU</v>
      </c>
      <c r="V63" s="20" t="str">
        <f ca="1">Master_List!$AW$8</f>
        <v>12kV</v>
      </c>
      <c r="W63" s="20" t="str">
        <f ca="1">Master_List!$AW$9</f>
        <v>2S1F</v>
      </c>
      <c r="X63" s="20" t="str">
        <f ca="1">Master_List!$AW$10</f>
        <v>MTM</v>
      </c>
      <c r="Y63" s="20" t="str">
        <f ca="1">Master_List!$AW$11</f>
        <v>HERMETICALLY SEAL</v>
      </c>
      <c r="Z63" s="20" t="str">
        <f ca="1">Master_List!$AW$12</f>
        <v>750kVA</v>
      </c>
      <c r="AA63" s="20" t="str">
        <f ca="1">Master_List!$AW$13</f>
        <v>1317</v>
      </c>
      <c r="AB63" s="20">
        <f ca="1">Master_List!$AW$14</f>
        <v>0</v>
      </c>
      <c r="AC63" s="20">
        <f ca="1">Master_List!$AW$15</f>
        <v>0</v>
      </c>
      <c r="AD63" s="20">
        <f ca="1">Master_List!$AW$16</f>
        <v>0</v>
      </c>
      <c r="AE63" s="20">
        <f ca="1">Master_List!$AW$17</f>
        <v>0</v>
      </c>
      <c r="AF63" s="20" t="str">
        <f ca="1">Master_List!$AW$18</f>
        <v>INDKOM</v>
      </c>
      <c r="AG63" s="20" t="str">
        <f ca="1">Master_List!$AW$19</f>
        <v>J-SLOTTED</v>
      </c>
      <c r="AH63" s="20" t="str">
        <f ca="1">Master_List!$AW$20</f>
        <v>1600A</v>
      </c>
      <c r="AI63" s="20" t="str">
        <f ca="1">Master_List!$AW$21</f>
        <v>LV5080090</v>
      </c>
      <c r="AJ63" s="20" t="str">
        <f ca="1">Master_List!$AW$22</f>
        <v>LVDB TX1</v>
      </c>
      <c r="AK63" s="20">
        <f ca="1">Master_List!$AW$23</f>
        <v>0</v>
      </c>
      <c r="AL63" s="20">
        <f ca="1">Master_List!$AW$24</f>
        <v>0</v>
      </c>
      <c r="AM63" s="20">
        <f ca="1">Master_List!$AW$25</f>
        <v>0</v>
      </c>
      <c r="AN63" s="20">
        <f ca="1">Master_List!$AW$26</f>
        <v>0</v>
      </c>
      <c r="AO63" s="20" t="str">
        <f ca="1">Master_List!$AW$27</f>
        <v>LVDB TX2</v>
      </c>
      <c r="AP63" s="20" t="str">
        <f ca="1">Master_List!$AW$28</f>
        <v>SUNPOWER TECHNOLOGIES</v>
      </c>
      <c r="AQ63" s="20" t="str">
        <f ca="1">Master_List!$AW$29</f>
        <v>SPS 30-10 L</v>
      </c>
      <c r="AR63" s="20" t="str">
        <f ca="1">Master_List!$AW$30</f>
        <v>11193-8527</v>
      </c>
      <c r="AS63" s="20">
        <f ca="1">Master_List!$AW$31</f>
        <v>0</v>
      </c>
      <c r="AT63" s="20">
        <f ca="1">Master_List!$AW$32</f>
        <v>0</v>
      </c>
      <c r="AU63" s="20">
        <f ca="1">Master_List!$AW$33</f>
        <v>0</v>
      </c>
      <c r="AV63" s="20">
        <f ca="1">Master_List!$AW$34</f>
        <v>0</v>
      </c>
      <c r="AW63" s="20">
        <f ca="1">Master_List!$AW$35</f>
        <v>0</v>
      </c>
      <c r="AX63" s="20">
        <f ca="1">Master_List!$AW$36</f>
        <v>0</v>
      </c>
      <c r="AY63" s="20">
        <f ca="1">Master_List!$AW$37</f>
        <v>0</v>
      </c>
      <c r="AZ63" s="20">
        <f ca="1">Master_List!$AW$38</f>
        <v>0</v>
      </c>
      <c r="BA63" s="20">
        <f ca="1">Master_List!$AW$39</f>
        <v>0</v>
      </c>
      <c r="BB63" s="20" t="s">
        <v>2240</v>
      </c>
      <c r="BC63" s="20" t="s">
        <v>2241</v>
      </c>
      <c r="BD63" s="6" t="s">
        <v>1744</v>
      </c>
      <c r="BE63" s="6" t="s">
        <v>1781</v>
      </c>
      <c r="BF63" s="6" t="s">
        <v>1748</v>
      </c>
      <c r="BG63" s="6" t="str">
        <f t="shared" si="2"/>
        <v>C:\Users\aremi\Desktop\REPORT CBM\PO 42289580 - Pahang 11kV SECOND CYCLE AZZAD 2026\RAW MATERIAL\047. TNB BARU (IR+VI)\RAW DATA\IR</v>
      </c>
      <c r="BH63" s="24" t="s">
        <v>587</v>
      </c>
    </row>
    <row r="64" spans="1:60" ht="15" customHeight="1" x14ac:dyDescent="0.25">
      <c r="A64" s="6">
        <v>32</v>
      </c>
      <c r="B64" s="6" t="s">
        <v>1570</v>
      </c>
      <c r="C64" s="6">
        <v>1</v>
      </c>
      <c r="D64" s="6" t="s">
        <v>2249</v>
      </c>
      <c r="E64" s="6">
        <v>32</v>
      </c>
      <c r="F64" s="6" t="str">
        <f ca="1">Master_List!$AW$1</f>
        <v>PERPUSTAKAAN PUSAT</v>
      </c>
      <c r="G64" s="27" t="str">
        <f ca="1">Master_List!$AW$2</f>
        <v>09:30 PM</v>
      </c>
      <c r="H64" s="32" t="str">
        <f ca="1">Master_List!$AW$3</f>
        <v>20/07/2026</v>
      </c>
      <c r="I64" s="28" t="str">
        <f ca="1">Master_List!$AW$4</f>
        <v>28.5</v>
      </c>
      <c r="J64" s="6" t="str">
        <f ca="1">Master_List!$AW$5</f>
        <v>65</v>
      </c>
      <c r="K64" s="6" t="s">
        <v>1571</v>
      </c>
      <c r="L64" s="22">
        <v>1</v>
      </c>
      <c r="M64" s="22" t="s">
        <v>2250</v>
      </c>
      <c r="N64" s="25"/>
      <c r="O64" s="25"/>
      <c r="P64" s="25"/>
      <c r="Q64" s="25"/>
      <c r="R64" s="25"/>
      <c r="S64" s="25"/>
      <c r="T64" s="20" t="str">
        <f ca="1">Master_List!$AW$6</f>
        <v>TOSHIBA</v>
      </c>
      <c r="U64" s="20" t="str">
        <f ca="1">Master_List!$AW$7</f>
        <v>MRMU</v>
      </c>
      <c r="V64" s="20" t="str">
        <f ca="1">Master_List!$AW$8</f>
        <v>12kV</v>
      </c>
      <c r="W64" s="20" t="str">
        <f ca="1">Master_List!$AW$9</f>
        <v>2S1F</v>
      </c>
      <c r="X64" s="20" t="str">
        <f ca="1">Master_List!$AW$10</f>
        <v>MTM</v>
      </c>
      <c r="Y64" s="20" t="str">
        <f ca="1">Master_List!$AW$11</f>
        <v>HERMETICALLY SEAL</v>
      </c>
      <c r="Z64" s="20" t="str">
        <f ca="1">Master_List!$AW$12</f>
        <v>750kVA</v>
      </c>
      <c r="AA64" s="20" t="str">
        <f ca="1">Master_List!$AW$13</f>
        <v>1317</v>
      </c>
      <c r="AB64" s="20">
        <f ca="1">Master_List!$AW$14</f>
        <v>0</v>
      </c>
      <c r="AC64" s="20">
        <f ca="1">Master_List!$AW$15</f>
        <v>0</v>
      </c>
      <c r="AD64" s="20">
        <f ca="1">Master_List!$AW$16</f>
        <v>0</v>
      </c>
      <c r="AE64" s="20">
        <f ca="1">Master_List!$AW$17</f>
        <v>0</v>
      </c>
      <c r="AF64" s="20" t="str">
        <f ca="1">Master_List!$AW$18</f>
        <v>INDKOM</v>
      </c>
      <c r="AG64" s="20" t="str">
        <f ca="1">Master_List!$AW$19</f>
        <v>J-SLOTTED</v>
      </c>
      <c r="AH64" s="20" t="str">
        <f ca="1">Master_List!$AW$20</f>
        <v>1600A</v>
      </c>
      <c r="AI64" s="20" t="str">
        <f ca="1">Master_List!$AW$21</f>
        <v>LV5080090</v>
      </c>
      <c r="AJ64" s="20" t="str">
        <f ca="1">Master_List!$AW$22</f>
        <v>LVDB TX1</v>
      </c>
      <c r="AK64" s="20">
        <f ca="1">Master_List!$AW$23</f>
        <v>0</v>
      </c>
      <c r="AL64" s="20">
        <f ca="1">Master_List!$AW$24</f>
        <v>0</v>
      </c>
      <c r="AM64" s="20">
        <f ca="1">Master_List!$AW$25</f>
        <v>0</v>
      </c>
      <c r="AN64" s="20">
        <f ca="1">Master_List!$AW$26</f>
        <v>0</v>
      </c>
      <c r="AO64" s="20" t="str">
        <f ca="1">Master_List!$AW$27</f>
        <v>LVDB TX2</v>
      </c>
      <c r="AP64" s="20" t="str">
        <f ca="1">Master_List!$AW$28</f>
        <v>SUNPOWER TECHNOLOGIES</v>
      </c>
      <c r="AQ64" s="20" t="str">
        <f ca="1">Master_List!$AW$29</f>
        <v>SPS 30-10 L</v>
      </c>
      <c r="AR64" s="20" t="str">
        <f ca="1">Master_List!$AW$30</f>
        <v>11193-8527</v>
      </c>
      <c r="AS64" s="20">
        <f ca="1">Master_List!$AW$31</f>
        <v>0</v>
      </c>
      <c r="AT64" s="20">
        <f ca="1">Master_List!$AW$32</f>
        <v>0</v>
      </c>
      <c r="AU64" s="20">
        <f ca="1">Master_List!$AW$33</f>
        <v>0</v>
      </c>
      <c r="AV64" s="20">
        <f ca="1">Master_List!$AW$34</f>
        <v>0</v>
      </c>
      <c r="AW64" s="20">
        <f ca="1">Master_List!$AW$35</f>
        <v>0</v>
      </c>
      <c r="AX64" s="20">
        <f ca="1">Master_List!$AW$36</f>
        <v>0</v>
      </c>
      <c r="AY64" s="20">
        <f ca="1">Master_List!$AW$37</f>
        <v>0</v>
      </c>
      <c r="AZ64" s="20">
        <f ca="1">Master_List!$AW$38</f>
        <v>0</v>
      </c>
      <c r="BA64" s="20">
        <f ca="1">Master_List!$AW$39</f>
        <v>0</v>
      </c>
      <c r="BB64" s="20" t="s">
        <v>2240</v>
      </c>
      <c r="BC64" s="20" t="s">
        <v>2241</v>
      </c>
      <c r="BD64" s="6" t="s">
        <v>1744</v>
      </c>
      <c r="BE64" s="6" t="s">
        <v>1782</v>
      </c>
      <c r="BF64" s="6" t="s">
        <v>1746</v>
      </c>
      <c r="BG64" s="6" t="str">
        <f t="shared" si="2"/>
        <v>C:\Users\aremi\Desktop\REPORT CBM\PO 42289580 - Pahang 11kV SECOND CYCLE AZZAD 2026\RAW MATERIAL\047. TNB BARU (IR+VI)\RAW DATA\IR</v>
      </c>
      <c r="BH64" s="24" t="s">
        <v>589</v>
      </c>
    </row>
    <row r="65" spans="1:60" ht="15" customHeight="1" x14ac:dyDescent="0.25">
      <c r="A65" s="6">
        <v>32</v>
      </c>
      <c r="B65" s="6" t="s">
        <v>1570</v>
      </c>
      <c r="C65" s="6">
        <v>1</v>
      </c>
      <c r="D65" s="6" t="s">
        <v>2249</v>
      </c>
      <c r="E65" s="6">
        <v>32</v>
      </c>
      <c r="F65" s="6" t="str">
        <f ca="1">Master_List!$AW$1</f>
        <v>PERPUSTAKAAN PUSAT</v>
      </c>
      <c r="G65" s="27" t="str">
        <f ca="1">Master_List!$AW$2</f>
        <v>09:30 PM</v>
      </c>
      <c r="H65" s="32" t="str">
        <f ca="1">Master_List!$AW$3</f>
        <v>20/07/2026</v>
      </c>
      <c r="I65" s="28" t="str">
        <f ca="1">Master_List!$AW$4</f>
        <v>28.5</v>
      </c>
      <c r="J65" s="6" t="str">
        <f ca="1">Master_List!$AW$5</f>
        <v>65</v>
      </c>
      <c r="K65" s="6" t="s">
        <v>1571</v>
      </c>
      <c r="L65" s="22">
        <v>1</v>
      </c>
      <c r="M65" s="22" t="s">
        <v>2250</v>
      </c>
      <c r="N65" s="25"/>
      <c r="O65" s="25"/>
      <c r="P65" s="25"/>
      <c r="Q65" s="25"/>
      <c r="R65" s="25"/>
      <c r="S65" s="25"/>
      <c r="T65" s="20" t="str">
        <f ca="1">Master_List!$AW$6</f>
        <v>TOSHIBA</v>
      </c>
      <c r="U65" s="20" t="str">
        <f ca="1">Master_List!$AW$7</f>
        <v>MRMU</v>
      </c>
      <c r="V65" s="20" t="str">
        <f ca="1">Master_List!$AW$8</f>
        <v>12kV</v>
      </c>
      <c r="W65" s="20" t="str">
        <f ca="1">Master_List!$AW$9</f>
        <v>2S1F</v>
      </c>
      <c r="X65" s="20" t="str">
        <f ca="1">Master_List!$AW$10</f>
        <v>MTM</v>
      </c>
      <c r="Y65" s="20" t="str">
        <f ca="1">Master_List!$AW$11</f>
        <v>HERMETICALLY SEAL</v>
      </c>
      <c r="Z65" s="20" t="str">
        <f ca="1">Master_List!$AW$12</f>
        <v>750kVA</v>
      </c>
      <c r="AA65" s="20" t="str">
        <f ca="1">Master_List!$AW$13</f>
        <v>1317</v>
      </c>
      <c r="AB65" s="20">
        <f ca="1">Master_List!$AW$14</f>
        <v>0</v>
      </c>
      <c r="AC65" s="20">
        <f ca="1">Master_List!$AW$15</f>
        <v>0</v>
      </c>
      <c r="AD65" s="20">
        <f ca="1">Master_List!$AW$16</f>
        <v>0</v>
      </c>
      <c r="AE65" s="20">
        <f ca="1">Master_List!$AW$17</f>
        <v>0</v>
      </c>
      <c r="AF65" s="20" t="str">
        <f ca="1">Master_List!$AW$18</f>
        <v>INDKOM</v>
      </c>
      <c r="AG65" s="20" t="str">
        <f ca="1">Master_List!$AW$19</f>
        <v>J-SLOTTED</v>
      </c>
      <c r="AH65" s="20" t="str">
        <f ca="1">Master_List!$AW$20</f>
        <v>1600A</v>
      </c>
      <c r="AI65" s="20" t="str">
        <f ca="1">Master_List!$AW$21</f>
        <v>LV5080090</v>
      </c>
      <c r="AJ65" s="20" t="str">
        <f ca="1">Master_List!$AW$22</f>
        <v>LVDB TX1</v>
      </c>
      <c r="AK65" s="20">
        <f ca="1">Master_List!$AW$23</f>
        <v>0</v>
      </c>
      <c r="AL65" s="20">
        <f ca="1">Master_List!$AW$24</f>
        <v>0</v>
      </c>
      <c r="AM65" s="20">
        <f ca="1">Master_List!$AW$25</f>
        <v>0</v>
      </c>
      <c r="AN65" s="20">
        <f ca="1">Master_List!$AW$26</f>
        <v>0</v>
      </c>
      <c r="AO65" s="20" t="str">
        <f ca="1">Master_List!$AW$27</f>
        <v>LVDB TX2</v>
      </c>
      <c r="AP65" s="20" t="str">
        <f ca="1">Master_List!$AW$28</f>
        <v>SUNPOWER TECHNOLOGIES</v>
      </c>
      <c r="AQ65" s="20" t="str">
        <f ca="1">Master_List!$AW$29</f>
        <v>SPS 30-10 L</v>
      </c>
      <c r="AR65" s="20" t="str">
        <f ca="1">Master_List!$AW$30</f>
        <v>11193-8527</v>
      </c>
      <c r="AS65" s="20">
        <f ca="1">Master_List!$AW$31</f>
        <v>0</v>
      </c>
      <c r="AT65" s="20">
        <f ca="1">Master_List!$AW$32</f>
        <v>0</v>
      </c>
      <c r="AU65" s="20">
        <f ca="1">Master_List!$AW$33</f>
        <v>0</v>
      </c>
      <c r="AV65" s="20">
        <f ca="1">Master_List!$AW$34</f>
        <v>0</v>
      </c>
      <c r="AW65" s="20">
        <f ca="1">Master_List!$AW$35</f>
        <v>0</v>
      </c>
      <c r="AX65" s="20">
        <f ca="1">Master_List!$AW$36</f>
        <v>0</v>
      </c>
      <c r="AY65" s="20">
        <f ca="1">Master_List!$AW$37</f>
        <v>0</v>
      </c>
      <c r="AZ65" s="20">
        <f ca="1">Master_List!$AW$38</f>
        <v>0</v>
      </c>
      <c r="BA65" s="20">
        <f ca="1">Master_List!$AW$39</f>
        <v>0</v>
      </c>
      <c r="BB65" s="20" t="s">
        <v>2240</v>
      </c>
      <c r="BC65" s="20" t="s">
        <v>2241</v>
      </c>
      <c r="BD65" s="6" t="s">
        <v>1744</v>
      </c>
      <c r="BE65" s="6" t="s">
        <v>1782</v>
      </c>
      <c r="BF65" s="6" t="s">
        <v>1748</v>
      </c>
      <c r="BG65" s="6" t="str">
        <f t="shared" si="2"/>
        <v>C:\Users\aremi\Desktop\REPORT CBM\PO 42289580 - Pahang 11kV SECOND CYCLE AZZAD 2026\RAW MATERIAL\047. TNB BARU (IR+VI)\RAW DATA\IR</v>
      </c>
      <c r="BH65" s="24" t="s">
        <v>590</v>
      </c>
    </row>
    <row r="66" spans="1:60" ht="15" customHeight="1" x14ac:dyDescent="0.25">
      <c r="A66" s="6">
        <v>33</v>
      </c>
      <c r="B66" s="6" t="s">
        <v>1570</v>
      </c>
      <c r="C66" s="6">
        <v>1</v>
      </c>
      <c r="D66" s="6" t="s">
        <v>2249</v>
      </c>
      <c r="E66" s="6">
        <v>33</v>
      </c>
      <c r="F66" s="6" t="str">
        <f ca="1">Master_List!$AW$1</f>
        <v>PERPUSTAKAAN PUSAT</v>
      </c>
      <c r="G66" s="27" t="str">
        <f ca="1">Master_List!$AW$2</f>
        <v>09:30 PM</v>
      </c>
      <c r="H66" s="32" t="str">
        <f ca="1">Master_List!$AW$3</f>
        <v>20/07/2026</v>
      </c>
      <c r="I66" s="28" t="str">
        <f ca="1">Master_List!$AW$4</f>
        <v>28.5</v>
      </c>
      <c r="J66" s="6" t="str">
        <f ca="1">Master_List!$AW$5</f>
        <v>65</v>
      </c>
      <c r="K66" s="6" t="s">
        <v>1572</v>
      </c>
      <c r="L66" s="22">
        <v>1</v>
      </c>
      <c r="M66" s="22" t="s">
        <v>2250</v>
      </c>
      <c r="N66" s="25"/>
      <c r="O66" s="25"/>
      <c r="P66" s="25"/>
      <c r="Q66" s="25"/>
      <c r="R66" s="25"/>
      <c r="S66" s="25"/>
      <c r="T66" s="20" t="str">
        <f ca="1">Master_List!$AW$6</f>
        <v>TOSHIBA</v>
      </c>
      <c r="U66" s="20" t="str">
        <f ca="1">Master_List!$AW$7</f>
        <v>MRMU</v>
      </c>
      <c r="V66" s="20" t="str">
        <f ca="1">Master_List!$AW$8</f>
        <v>12kV</v>
      </c>
      <c r="W66" s="20" t="str">
        <f ca="1">Master_List!$AW$9</f>
        <v>2S1F</v>
      </c>
      <c r="X66" s="20" t="str">
        <f ca="1">Master_List!$AW$10</f>
        <v>MTM</v>
      </c>
      <c r="Y66" s="20" t="str">
        <f ca="1">Master_List!$AW$11</f>
        <v>HERMETICALLY SEAL</v>
      </c>
      <c r="Z66" s="20" t="str">
        <f ca="1">Master_List!$AW$12</f>
        <v>750kVA</v>
      </c>
      <c r="AA66" s="20" t="str">
        <f ca="1">Master_List!$AW$13</f>
        <v>1317</v>
      </c>
      <c r="AB66" s="20">
        <f ca="1">Master_List!$AW$14</f>
        <v>0</v>
      </c>
      <c r="AC66" s="20">
        <f ca="1">Master_List!$AW$15</f>
        <v>0</v>
      </c>
      <c r="AD66" s="20">
        <f ca="1">Master_List!$AW$16</f>
        <v>0</v>
      </c>
      <c r="AE66" s="20">
        <f ca="1">Master_List!$AW$17</f>
        <v>0</v>
      </c>
      <c r="AF66" s="20" t="str">
        <f ca="1">Master_List!$AW$18</f>
        <v>INDKOM</v>
      </c>
      <c r="AG66" s="20" t="str">
        <f ca="1">Master_List!$AW$19</f>
        <v>J-SLOTTED</v>
      </c>
      <c r="AH66" s="20" t="str">
        <f ca="1">Master_List!$AW$20</f>
        <v>1600A</v>
      </c>
      <c r="AI66" s="20" t="str">
        <f ca="1">Master_List!$AW$21</f>
        <v>LV5080090</v>
      </c>
      <c r="AJ66" s="20" t="str">
        <f ca="1">Master_List!$AW$22</f>
        <v>LVDB TX1</v>
      </c>
      <c r="AK66" s="20">
        <f ca="1">Master_List!$AW$23</f>
        <v>0</v>
      </c>
      <c r="AL66" s="20">
        <f ca="1">Master_List!$AW$24</f>
        <v>0</v>
      </c>
      <c r="AM66" s="20">
        <f ca="1">Master_List!$AW$25</f>
        <v>0</v>
      </c>
      <c r="AN66" s="20">
        <f ca="1">Master_List!$AW$26</f>
        <v>0</v>
      </c>
      <c r="AO66" s="20" t="str">
        <f ca="1">Master_List!$AW$27</f>
        <v>LVDB TX2</v>
      </c>
      <c r="AP66" s="20" t="str">
        <f ca="1">Master_List!$AW$28</f>
        <v>SUNPOWER TECHNOLOGIES</v>
      </c>
      <c r="AQ66" s="20" t="str">
        <f ca="1">Master_List!$AW$29</f>
        <v>SPS 30-10 L</v>
      </c>
      <c r="AR66" s="20" t="str">
        <f ca="1">Master_List!$AW$30</f>
        <v>11193-8527</v>
      </c>
      <c r="AS66" s="20">
        <f ca="1">Master_List!$AW$31</f>
        <v>0</v>
      </c>
      <c r="AT66" s="20">
        <f ca="1">Master_List!$AW$32</f>
        <v>0</v>
      </c>
      <c r="AU66" s="20">
        <f ca="1">Master_List!$AW$33</f>
        <v>0</v>
      </c>
      <c r="AV66" s="20">
        <f ca="1">Master_List!$AW$34</f>
        <v>0</v>
      </c>
      <c r="AW66" s="20">
        <f ca="1">Master_List!$AW$35</f>
        <v>0</v>
      </c>
      <c r="AX66" s="20">
        <f ca="1">Master_List!$AW$36</f>
        <v>0</v>
      </c>
      <c r="AY66" s="20">
        <f ca="1">Master_List!$AW$37</f>
        <v>0</v>
      </c>
      <c r="AZ66" s="20">
        <f ca="1">Master_List!$AW$38</f>
        <v>0</v>
      </c>
      <c r="BA66" s="20">
        <f ca="1">Master_List!$AW$39</f>
        <v>0</v>
      </c>
      <c r="BB66" s="20" t="s">
        <v>2240</v>
      </c>
      <c r="BC66" s="20" t="s">
        <v>2241</v>
      </c>
      <c r="BD66" s="6" t="s">
        <v>1744</v>
      </c>
      <c r="BE66" s="6" t="s">
        <v>1783</v>
      </c>
      <c r="BF66" s="6" t="s">
        <v>1746</v>
      </c>
      <c r="BG66" s="6" t="str">
        <f t="shared" si="2"/>
        <v>C:\Users\aremi\Desktop\REPORT CBM\PO 42289580 - Pahang 11kV SECOND CYCLE AZZAD 2026\RAW MATERIAL\047. TNB BARU (IR+VI)\RAW DATA\IR</v>
      </c>
      <c r="BH66" s="24" t="s">
        <v>592</v>
      </c>
    </row>
    <row r="67" spans="1:60" ht="15" customHeight="1" x14ac:dyDescent="0.25">
      <c r="A67" s="6">
        <v>33</v>
      </c>
      <c r="B67" s="6" t="s">
        <v>1570</v>
      </c>
      <c r="C67" s="6">
        <v>1</v>
      </c>
      <c r="D67" s="6" t="s">
        <v>2249</v>
      </c>
      <c r="E67" s="6">
        <v>33</v>
      </c>
      <c r="F67" s="6" t="str">
        <f ca="1">Master_List!$AW$1</f>
        <v>PERPUSTAKAAN PUSAT</v>
      </c>
      <c r="G67" s="27" t="str">
        <f ca="1">Master_List!$AW$2</f>
        <v>09:30 PM</v>
      </c>
      <c r="H67" s="32" t="str">
        <f ca="1">Master_List!$AW$3</f>
        <v>20/07/2026</v>
      </c>
      <c r="I67" s="28" t="str">
        <f ca="1">Master_List!$AW$4</f>
        <v>28.5</v>
      </c>
      <c r="J67" s="6" t="str">
        <f ca="1">Master_List!$AW$5</f>
        <v>65</v>
      </c>
      <c r="K67" s="6" t="s">
        <v>1572</v>
      </c>
      <c r="L67" s="22">
        <v>1</v>
      </c>
      <c r="M67" s="22" t="s">
        <v>2250</v>
      </c>
      <c r="N67" s="25"/>
      <c r="O67" s="25"/>
      <c r="P67" s="25"/>
      <c r="Q67" s="25"/>
      <c r="R67" s="25"/>
      <c r="S67" s="25"/>
      <c r="T67" s="20" t="str">
        <f ca="1">Master_List!$AW$6</f>
        <v>TOSHIBA</v>
      </c>
      <c r="U67" s="20" t="str">
        <f ca="1">Master_List!$AW$7</f>
        <v>MRMU</v>
      </c>
      <c r="V67" s="20" t="str">
        <f ca="1">Master_List!$AW$8</f>
        <v>12kV</v>
      </c>
      <c r="W67" s="20" t="str">
        <f ca="1">Master_List!$AW$9</f>
        <v>2S1F</v>
      </c>
      <c r="X67" s="20" t="str">
        <f ca="1">Master_List!$AW$10</f>
        <v>MTM</v>
      </c>
      <c r="Y67" s="20" t="str">
        <f ca="1">Master_List!$AW$11</f>
        <v>HERMETICALLY SEAL</v>
      </c>
      <c r="Z67" s="20" t="str">
        <f ca="1">Master_List!$AW$12</f>
        <v>750kVA</v>
      </c>
      <c r="AA67" s="20" t="str">
        <f ca="1">Master_List!$AW$13</f>
        <v>1317</v>
      </c>
      <c r="AB67" s="20">
        <f ca="1">Master_List!$AW$14</f>
        <v>0</v>
      </c>
      <c r="AC67" s="20">
        <f ca="1">Master_List!$AW$15</f>
        <v>0</v>
      </c>
      <c r="AD67" s="20">
        <f ca="1">Master_List!$AW$16</f>
        <v>0</v>
      </c>
      <c r="AE67" s="20">
        <f ca="1">Master_List!$AW$17</f>
        <v>0</v>
      </c>
      <c r="AF67" s="20" t="str">
        <f ca="1">Master_List!$AW$18</f>
        <v>INDKOM</v>
      </c>
      <c r="AG67" s="20" t="str">
        <f ca="1">Master_List!$AW$19</f>
        <v>J-SLOTTED</v>
      </c>
      <c r="AH67" s="20" t="str">
        <f ca="1">Master_List!$AW$20</f>
        <v>1600A</v>
      </c>
      <c r="AI67" s="20" t="str">
        <f ca="1">Master_List!$AW$21</f>
        <v>LV5080090</v>
      </c>
      <c r="AJ67" s="20" t="str">
        <f ca="1">Master_List!$AW$22</f>
        <v>LVDB TX1</v>
      </c>
      <c r="AK67" s="20">
        <f ca="1">Master_List!$AW$23</f>
        <v>0</v>
      </c>
      <c r="AL67" s="20">
        <f ca="1">Master_List!$AW$24</f>
        <v>0</v>
      </c>
      <c r="AM67" s="20">
        <f ca="1">Master_List!$AW$25</f>
        <v>0</v>
      </c>
      <c r="AN67" s="20">
        <f ca="1">Master_List!$AW$26</f>
        <v>0</v>
      </c>
      <c r="AO67" s="20" t="str">
        <f ca="1">Master_List!$AW$27</f>
        <v>LVDB TX2</v>
      </c>
      <c r="AP67" s="20" t="str">
        <f ca="1">Master_List!$AW$28</f>
        <v>SUNPOWER TECHNOLOGIES</v>
      </c>
      <c r="AQ67" s="20" t="str">
        <f ca="1">Master_List!$AW$29</f>
        <v>SPS 30-10 L</v>
      </c>
      <c r="AR67" s="20" t="str">
        <f ca="1">Master_List!$AW$30</f>
        <v>11193-8527</v>
      </c>
      <c r="AS67" s="20">
        <f ca="1">Master_List!$AW$31</f>
        <v>0</v>
      </c>
      <c r="AT67" s="20">
        <f ca="1">Master_List!$AW$32</f>
        <v>0</v>
      </c>
      <c r="AU67" s="20">
        <f ca="1">Master_List!$AW$33</f>
        <v>0</v>
      </c>
      <c r="AV67" s="20">
        <f ca="1">Master_List!$AW$34</f>
        <v>0</v>
      </c>
      <c r="AW67" s="20">
        <f ca="1">Master_List!$AW$35</f>
        <v>0</v>
      </c>
      <c r="AX67" s="20">
        <f ca="1">Master_List!$AW$36</f>
        <v>0</v>
      </c>
      <c r="AY67" s="20">
        <f ca="1">Master_List!$AW$37</f>
        <v>0</v>
      </c>
      <c r="AZ67" s="20">
        <f ca="1">Master_List!$AW$38</f>
        <v>0</v>
      </c>
      <c r="BA67" s="20">
        <f ca="1">Master_List!$AW$39</f>
        <v>0</v>
      </c>
      <c r="BB67" s="20" t="s">
        <v>2240</v>
      </c>
      <c r="BC67" s="20" t="s">
        <v>2241</v>
      </c>
      <c r="BD67" s="6" t="s">
        <v>1744</v>
      </c>
      <c r="BE67" s="6" t="s">
        <v>1783</v>
      </c>
      <c r="BF67" s="6" t="s">
        <v>1748</v>
      </c>
      <c r="BG67" s="6" t="str">
        <f t="shared" ref="BG67:BG101" si="3">BG66</f>
        <v>C:\Users\aremi\Desktop\REPORT CBM\PO 42289580 - Pahang 11kV SECOND CYCLE AZZAD 2026\RAW MATERIAL\047. TNB BARU (IR+VI)\RAW DATA\IR</v>
      </c>
      <c r="BH67" s="24" t="s">
        <v>593</v>
      </c>
    </row>
    <row r="68" spans="1:60" ht="15" customHeight="1" x14ac:dyDescent="0.25">
      <c r="A68" s="6">
        <v>34</v>
      </c>
      <c r="B68" s="6" t="s">
        <v>1570</v>
      </c>
      <c r="C68" s="6">
        <v>1</v>
      </c>
      <c r="D68" s="6" t="s">
        <v>2249</v>
      </c>
      <c r="E68" s="6">
        <v>34</v>
      </c>
      <c r="F68" s="6" t="str">
        <f ca="1">Master_List!$AW$1</f>
        <v>PERPUSTAKAAN PUSAT</v>
      </c>
      <c r="G68" s="27" t="str">
        <f ca="1">Master_List!$AW$2</f>
        <v>09:30 PM</v>
      </c>
      <c r="H68" s="32" t="str">
        <f ca="1">Master_List!$AW$3</f>
        <v>20/07/2026</v>
      </c>
      <c r="I68" s="28" t="str">
        <f ca="1">Master_List!$AW$4</f>
        <v>28.5</v>
      </c>
      <c r="J68" s="6" t="str">
        <f ca="1">Master_List!$AW$5</f>
        <v>65</v>
      </c>
      <c r="K68" s="6" t="s">
        <v>1573</v>
      </c>
      <c r="L68" s="22">
        <v>1</v>
      </c>
      <c r="M68" s="22" t="s">
        <v>2250</v>
      </c>
      <c r="N68" s="25"/>
      <c r="O68" s="25"/>
      <c r="P68" s="25"/>
      <c r="Q68" s="25"/>
      <c r="R68" s="25"/>
      <c r="S68" s="25"/>
      <c r="T68" s="20" t="str">
        <f ca="1">Master_List!$AW$6</f>
        <v>TOSHIBA</v>
      </c>
      <c r="U68" s="20" t="str">
        <f ca="1">Master_List!$AW$7</f>
        <v>MRMU</v>
      </c>
      <c r="V68" s="20" t="str">
        <f ca="1">Master_List!$AW$8</f>
        <v>12kV</v>
      </c>
      <c r="W68" s="20" t="str">
        <f ca="1">Master_List!$AW$9</f>
        <v>2S1F</v>
      </c>
      <c r="X68" s="20" t="str">
        <f ca="1">Master_List!$AW$10</f>
        <v>MTM</v>
      </c>
      <c r="Y68" s="20" t="str">
        <f ca="1">Master_List!$AW$11</f>
        <v>HERMETICALLY SEAL</v>
      </c>
      <c r="Z68" s="20" t="str">
        <f ca="1">Master_List!$AW$12</f>
        <v>750kVA</v>
      </c>
      <c r="AA68" s="20" t="str">
        <f ca="1">Master_List!$AW$13</f>
        <v>1317</v>
      </c>
      <c r="AB68" s="20">
        <f ca="1">Master_List!$AW$14</f>
        <v>0</v>
      </c>
      <c r="AC68" s="20">
        <f ca="1">Master_List!$AW$15</f>
        <v>0</v>
      </c>
      <c r="AD68" s="20">
        <f ca="1">Master_List!$AW$16</f>
        <v>0</v>
      </c>
      <c r="AE68" s="20">
        <f ca="1">Master_List!$AW$17</f>
        <v>0</v>
      </c>
      <c r="AF68" s="20" t="str">
        <f ca="1">Master_List!$AW$18</f>
        <v>INDKOM</v>
      </c>
      <c r="AG68" s="20" t="str">
        <f ca="1">Master_List!$AW$19</f>
        <v>J-SLOTTED</v>
      </c>
      <c r="AH68" s="20" t="str">
        <f ca="1">Master_List!$AW$20</f>
        <v>1600A</v>
      </c>
      <c r="AI68" s="20" t="str">
        <f ca="1">Master_List!$AW$21</f>
        <v>LV5080090</v>
      </c>
      <c r="AJ68" s="20" t="str">
        <f ca="1">Master_List!$AW$22</f>
        <v>LVDB TX1</v>
      </c>
      <c r="AK68" s="20">
        <f ca="1">Master_List!$AW$23</f>
        <v>0</v>
      </c>
      <c r="AL68" s="20">
        <f ca="1">Master_List!$AW$24</f>
        <v>0</v>
      </c>
      <c r="AM68" s="20">
        <f ca="1">Master_List!$AW$25</f>
        <v>0</v>
      </c>
      <c r="AN68" s="20">
        <f ca="1">Master_List!$AW$26</f>
        <v>0</v>
      </c>
      <c r="AO68" s="20" t="str">
        <f ca="1">Master_List!$AW$27</f>
        <v>LVDB TX2</v>
      </c>
      <c r="AP68" s="20" t="str">
        <f ca="1">Master_List!$AW$28</f>
        <v>SUNPOWER TECHNOLOGIES</v>
      </c>
      <c r="AQ68" s="20" t="str">
        <f ca="1">Master_List!$AW$29</f>
        <v>SPS 30-10 L</v>
      </c>
      <c r="AR68" s="20" t="str">
        <f ca="1">Master_List!$AW$30</f>
        <v>11193-8527</v>
      </c>
      <c r="AS68" s="20">
        <f ca="1">Master_List!$AW$31</f>
        <v>0</v>
      </c>
      <c r="AT68" s="20">
        <f ca="1">Master_List!$AW$32</f>
        <v>0</v>
      </c>
      <c r="AU68" s="20">
        <f ca="1">Master_List!$AW$33</f>
        <v>0</v>
      </c>
      <c r="AV68" s="20">
        <f ca="1">Master_List!$AW$34</f>
        <v>0</v>
      </c>
      <c r="AW68" s="20">
        <f ca="1">Master_List!$AW$35</f>
        <v>0</v>
      </c>
      <c r="AX68" s="20">
        <f ca="1">Master_List!$AW$36</f>
        <v>0</v>
      </c>
      <c r="AY68" s="20">
        <f ca="1">Master_List!$AW$37</f>
        <v>0</v>
      </c>
      <c r="AZ68" s="20">
        <f ca="1">Master_List!$AW$38</f>
        <v>0</v>
      </c>
      <c r="BA68" s="20">
        <f ca="1">Master_List!$AW$39</f>
        <v>0</v>
      </c>
      <c r="BB68" s="20" t="s">
        <v>2240</v>
      </c>
      <c r="BC68" s="20" t="s">
        <v>2241</v>
      </c>
      <c r="BD68" s="6" t="s">
        <v>1744</v>
      </c>
      <c r="BE68" s="6" t="s">
        <v>1784</v>
      </c>
      <c r="BF68" s="6" t="s">
        <v>1746</v>
      </c>
      <c r="BG68" s="6" t="str">
        <f t="shared" si="3"/>
        <v>C:\Users\aremi\Desktop\REPORT CBM\PO 42289580 - Pahang 11kV SECOND CYCLE AZZAD 2026\RAW MATERIAL\047. TNB BARU (IR+VI)\RAW DATA\IR</v>
      </c>
      <c r="BH68" s="24" t="s">
        <v>595</v>
      </c>
    </row>
    <row r="69" spans="1:60" ht="15" customHeight="1" x14ac:dyDescent="0.25">
      <c r="A69" s="6">
        <v>34</v>
      </c>
      <c r="B69" s="6" t="s">
        <v>1570</v>
      </c>
      <c r="C69" s="6">
        <v>1</v>
      </c>
      <c r="D69" s="6" t="s">
        <v>2249</v>
      </c>
      <c r="E69" s="6">
        <v>34</v>
      </c>
      <c r="F69" s="6" t="str">
        <f ca="1">Master_List!$AW$1</f>
        <v>PERPUSTAKAAN PUSAT</v>
      </c>
      <c r="G69" s="27" t="str">
        <f ca="1">Master_List!$AW$2</f>
        <v>09:30 PM</v>
      </c>
      <c r="H69" s="32" t="str">
        <f ca="1">Master_List!$AW$3</f>
        <v>20/07/2026</v>
      </c>
      <c r="I69" s="28" t="str">
        <f ca="1">Master_List!$AW$4</f>
        <v>28.5</v>
      </c>
      <c r="J69" s="6" t="str">
        <f ca="1">Master_List!$AW$5</f>
        <v>65</v>
      </c>
      <c r="K69" s="6" t="s">
        <v>1573</v>
      </c>
      <c r="L69" s="22">
        <v>1</v>
      </c>
      <c r="M69" s="22" t="s">
        <v>2250</v>
      </c>
      <c r="N69" s="25"/>
      <c r="O69" s="25"/>
      <c r="P69" s="25"/>
      <c r="Q69" s="25"/>
      <c r="R69" s="25"/>
      <c r="S69" s="25"/>
      <c r="T69" s="20" t="str">
        <f ca="1">Master_List!$AW$6</f>
        <v>TOSHIBA</v>
      </c>
      <c r="U69" s="20" t="str">
        <f ca="1">Master_List!$AW$7</f>
        <v>MRMU</v>
      </c>
      <c r="V69" s="20" t="str">
        <f ca="1">Master_List!$AW$8</f>
        <v>12kV</v>
      </c>
      <c r="W69" s="20" t="str">
        <f ca="1">Master_List!$AW$9</f>
        <v>2S1F</v>
      </c>
      <c r="X69" s="20" t="str">
        <f ca="1">Master_List!$AW$10</f>
        <v>MTM</v>
      </c>
      <c r="Y69" s="20" t="str">
        <f ca="1">Master_List!$AW$11</f>
        <v>HERMETICALLY SEAL</v>
      </c>
      <c r="Z69" s="20" t="str">
        <f ca="1">Master_List!$AW$12</f>
        <v>750kVA</v>
      </c>
      <c r="AA69" s="20" t="str">
        <f ca="1">Master_List!$AW$13</f>
        <v>1317</v>
      </c>
      <c r="AB69" s="20">
        <f ca="1">Master_List!$AW$14</f>
        <v>0</v>
      </c>
      <c r="AC69" s="20">
        <f ca="1">Master_List!$AW$15</f>
        <v>0</v>
      </c>
      <c r="AD69" s="20">
        <f ca="1">Master_List!$AW$16</f>
        <v>0</v>
      </c>
      <c r="AE69" s="20">
        <f ca="1">Master_List!$AW$17</f>
        <v>0</v>
      </c>
      <c r="AF69" s="20" t="str">
        <f ca="1">Master_List!$AW$18</f>
        <v>INDKOM</v>
      </c>
      <c r="AG69" s="20" t="str">
        <f ca="1">Master_List!$AW$19</f>
        <v>J-SLOTTED</v>
      </c>
      <c r="AH69" s="20" t="str">
        <f ca="1">Master_List!$AW$20</f>
        <v>1600A</v>
      </c>
      <c r="AI69" s="20" t="str">
        <f ca="1">Master_List!$AW$21</f>
        <v>LV5080090</v>
      </c>
      <c r="AJ69" s="20" t="str">
        <f ca="1">Master_List!$AW$22</f>
        <v>LVDB TX1</v>
      </c>
      <c r="AK69" s="20">
        <f ca="1">Master_List!$AW$23</f>
        <v>0</v>
      </c>
      <c r="AL69" s="20">
        <f ca="1">Master_List!$AW$24</f>
        <v>0</v>
      </c>
      <c r="AM69" s="20">
        <f ca="1">Master_List!$AW$25</f>
        <v>0</v>
      </c>
      <c r="AN69" s="20">
        <f ca="1">Master_List!$AW$26</f>
        <v>0</v>
      </c>
      <c r="AO69" s="20" t="str">
        <f ca="1">Master_List!$AW$27</f>
        <v>LVDB TX2</v>
      </c>
      <c r="AP69" s="20" t="str">
        <f ca="1">Master_List!$AW$28</f>
        <v>SUNPOWER TECHNOLOGIES</v>
      </c>
      <c r="AQ69" s="20" t="str">
        <f ca="1">Master_List!$AW$29</f>
        <v>SPS 30-10 L</v>
      </c>
      <c r="AR69" s="20" t="str">
        <f ca="1">Master_List!$AW$30</f>
        <v>11193-8527</v>
      </c>
      <c r="AS69" s="20">
        <f ca="1">Master_List!$AW$31</f>
        <v>0</v>
      </c>
      <c r="AT69" s="20">
        <f ca="1">Master_List!$AW$32</f>
        <v>0</v>
      </c>
      <c r="AU69" s="20">
        <f ca="1">Master_List!$AW$33</f>
        <v>0</v>
      </c>
      <c r="AV69" s="20">
        <f ca="1">Master_List!$AW$34</f>
        <v>0</v>
      </c>
      <c r="AW69" s="20">
        <f ca="1">Master_List!$AW$35</f>
        <v>0</v>
      </c>
      <c r="AX69" s="20">
        <f ca="1">Master_List!$AW$36</f>
        <v>0</v>
      </c>
      <c r="AY69" s="20">
        <f ca="1">Master_List!$AW$37</f>
        <v>0</v>
      </c>
      <c r="AZ69" s="20">
        <f ca="1">Master_List!$AW$38</f>
        <v>0</v>
      </c>
      <c r="BA69" s="20">
        <f ca="1">Master_List!$AW$39</f>
        <v>0</v>
      </c>
      <c r="BB69" s="20" t="s">
        <v>2240</v>
      </c>
      <c r="BC69" s="20" t="s">
        <v>2241</v>
      </c>
      <c r="BD69" s="6" t="s">
        <v>1744</v>
      </c>
      <c r="BE69" s="6" t="s">
        <v>1784</v>
      </c>
      <c r="BF69" s="6" t="s">
        <v>1748</v>
      </c>
      <c r="BG69" s="6" t="str">
        <f t="shared" si="3"/>
        <v>C:\Users\aremi\Desktop\REPORT CBM\PO 42289580 - Pahang 11kV SECOND CYCLE AZZAD 2026\RAW MATERIAL\047. TNB BARU (IR+VI)\RAW DATA\IR</v>
      </c>
      <c r="BH69" s="24" t="s">
        <v>596</v>
      </c>
    </row>
    <row r="70" spans="1:60" ht="15" customHeight="1" x14ac:dyDescent="0.25">
      <c r="A70" s="6">
        <v>35</v>
      </c>
      <c r="B70" s="6" t="s">
        <v>1574</v>
      </c>
      <c r="C70" s="6">
        <v>1</v>
      </c>
      <c r="D70" s="6" t="s">
        <v>2251</v>
      </c>
      <c r="E70" s="6">
        <v>35</v>
      </c>
      <c r="F70" s="6" t="str">
        <f ca="1">Master_List!$AW$1</f>
        <v>PERPUSTAKAAN PUSAT</v>
      </c>
      <c r="G70" s="27" t="str">
        <f ca="1">Master_List!$AW$2</f>
        <v>09:30 PM</v>
      </c>
      <c r="H70" s="32" t="str">
        <f ca="1">Master_List!$AW$3</f>
        <v>20/07/2026</v>
      </c>
      <c r="I70" s="28" t="str">
        <f ca="1">Master_List!$AW$4</f>
        <v>28.5</v>
      </c>
      <c r="J70" s="6" t="str">
        <f ca="1">Master_List!$AW$5</f>
        <v>65</v>
      </c>
      <c r="K70" s="6" t="s">
        <v>1453</v>
      </c>
      <c r="L70" s="22">
        <v>2</v>
      </c>
      <c r="M70" s="25"/>
      <c r="N70" s="25"/>
      <c r="O70" s="25"/>
      <c r="P70" s="25"/>
      <c r="Q70" s="25"/>
      <c r="R70" s="25"/>
      <c r="S70" s="25"/>
      <c r="T70" s="20" t="str">
        <f ca="1">Master_List!$AW$6</f>
        <v>TOSHIBA</v>
      </c>
      <c r="U70" s="20" t="str">
        <f ca="1">Master_List!$AW$7</f>
        <v>MRMU</v>
      </c>
      <c r="V70" s="20" t="str">
        <f ca="1">Master_List!$AW$8</f>
        <v>12kV</v>
      </c>
      <c r="W70" s="20" t="str">
        <f ca="1">Master_List!$AW$9</f>
        <v>2S1F</v>
      </c>
      <c r="X70" s="20" t="str">
        <f ca="1">Master_List!$AW$10</f>
        <v>MTM</v>
      </c>
      <c r="Y70" s="20" t="str">
        <f ca="1">Master_List!$AW$11</f>
        <v>HERMETICALLY SEAL</v>
      </c>
      <c r="Z70" s="20" t="str">
        <f ca="1">Master_List!$AW$12</f>
        <v>750kVA</v>
      </c>
      <c r="AA70" s="20" t="str">
        <f ca="1">Master_List!$AW$13</f>
        <v>1317</v>
      </c>
      <c r="AB70" s="20">
        <f ca="1">Master_List!$AW$14</f>
        <v>0</v>
      </c>
      <c r="AC70" s="20">
        <f ca="1">Master_List!$AW$15</f>
        <v>0</v>
      </c>
      <c r="AD70" s="20">
        <f ca="1">Master_List!$AW$16</f>
        <v>0</v>
      </c>
      <c r="AE70" s="20">
        <f ca="1">Master_List!$AW$17</f>
        <v>0</v>
      </c>
      <c r="AF70" s="20" t="str">
        <f ca="1">Master_List!$AW$18</f>
        <v>INDKOM</v>
      </c>
      <c r="AG70" s="20" t="str">
        <f ca="1">Master_List!$AW$19</f>
        <v>J-SLOTTED</v>
      </c>
      <c r="AH70" s="20" t="str">
        <f ca="1">Master_List!$AW$20</f>
        <v>1600A</v>
      </c>
      <c r="AI70" s="20" t="str">
        <f ca="1">Master_List!$AW$21</f>
        <v>LV5080090</v>
      </c>
      <c r="AJ70" s="20" t="str">
        <f ca="1">Master_List!$AW$22</f>
        <v>LVDB TX1</v>
      </c>
      <c r="AK70" s="20">
        <f ca="1">Master_List!$AW$23</f>
        <v>0</v>
      </c>
      <c r="AL70" s="20">
        <f ca="1">Master_List!$AW$24</f>
        <v>0</v>
      </c>
      <c r="AM70" s="20">
        <f ca="1">Master_List!$AW$25</f>
        <v>0</v>
      </c>
      <c r="AN70" s="20">
        <f ca="1">Master_List!$AW$26</f>
        <v>0</v>
      </c>
      <c r="AO70" s="20" t="str">
        <f ca="1">Master_List!$AW$27</f>
        <v>LVDB TX2</v>
      </c>
      <c r="AP70" s="20" t="str">
        <f ca="1">Master_List!$AW$28</f>
        <v>SUNPOWER TECHNOLOGIES</v>
      </c>
      <c r="AQ70" s="20" t="str">
        <f ca="1">Master_List!$AW$29</f>
        <v>SPS 30-10 L</v>
      </c>
      <c r="AR70" s="20" t="str">
        <f ca="1">Master_List!$AW$30</f>
        <v>11193-8527</v>
      </c>
      <c r="AS70" s="20">
        <f ca="1">Master_List!$AW$31</f>
        <v>0</v>
      </c>
      <c r="AT70" s="20">
        <f ca="1">Master_List!$AW$32</f>
        <v>0</v>
      </c>
      <c r="AU70" s="20">
        <f ca="1">Master_List!$AW$33</f>
        <v>0</v>
      </c>
      <c r="AV70" s="20">
        <f ca="1">Master_List!$AW$34</f>
        <v>0</v>
      </c>
      <c r="AW70" s="20">
        <f ca="1">Master_List!$AW$35</f>
        <v>0</v>
      </c>
      <c r="AX70" s="20">
        <f ca="1">Master_List!$AW$36</f>
        <v>0</v>
      </c>
      <c r="AY70" s="20">
        <f ca="1">Master_List!$AW$37</f>
        <v>0</v>
      </c>
      <c r="AZ70" s="20">
        <f ca="1">Master_List!$AW$38</f>
        <v>0</v>
      </c>
      <c r="BA70" s="20">
        <f ca="1">Master_List!$AW$39</f>
        <v>0</v>
      </c>
      <c r="BB70" s="20" t="s">
        <v>2240</v>
      </c>
      <c r="BC70" s="20" t="s">
        <v>2241</v>
      </c>
      <c r="BD70" s="6" t="s">
        <v>1744</v>
      </c>
      <c r="BE70" s="6" t="s">
        <v>1785</v>
      </c>
      <c r="BF70" s="6" t="s">
        <v>1746</v>
      </c>
      <c r="BG70" s="6" t="str">
        <f t="shared" si="3"/>
        <v>C:\Users\aremi\Desktop\REPORT CBM\PO 42289580 - Pahang 11kV SECOND CYCLE AZZAD 2026\RAW MATERIAL\047. TNB BARU (IR+VI)\RAW DATA\IR</v>
      </c>
      <c r="BH70" s="24" t="s">
        <v>597</v>
      </c>
    </row>
    <row r="71" spans="1:60" ht="15" customHeight="1" x14ac:dyDescent="0.25">
      <c r="A71" s="6">
        <v>35</v>
      </c>
      <c r="B71" s="6" t="s">
        <v>1574</v>
      </c>
      <c r="C71" s="6">
        <v>1</v>
      </c>
      <c r="D71" s="6" t="s">
        <v>2251</v>
      </c>
      <c r="E71" s="6">
        <v>35</v>
      </c>
      <c r="F71" s="6" t="str">
        <f ca="1">Master_List!$AW$1</f>
        <v>PERPUSTAKAAN PUSAT</v>
      </c>
      <c r="G71" s="27" t="str">
        <f ca="1">Master_List!$AW$2</f>
        <v>09:30 PM</v>
      </c>
      <c r="H71" s="32" t="str">
        <f ca="1">Master_List!$AW$3</f>
        <v>20/07/2026</v>
      </c>
      <c r="I71" s="28" t="str">
        <f ca="1">Master_List!$AW$4</f>
        <v>28.5</v>
      </c>
      <c r="J71" s="6" t="str">
        <f ca="1">Master_List!$AW$5</f>
        <v>65</v>
      </c>
      <c r="K71" s="6" t="s">
        <v>1453</v>
      </c>
      <c r="L71" s="22">
        <v>2</v>
      </c>
      <c r="M71" s="25"/>
      <c r="N71" s="25"/>
      <c r="O71" s="25"/>
      <c r="P71" s="25"/>
      <c r="Q71" s="25"/>
      <c r="R71" s="25"/>
      <c r="S71" s="25"/>
      <c r="T71" s="20" t="str">
        <f ca="1">Master_List!$AW$6</f>
        <v>TOSHIBA</v>
      </c>
      <c r="U71" s="20" t="str">
        <f ca="1">Master_List!$AW$7</f>
        <v>MRMU</v>
      </c>
      <c r="V71" s="20" t="str">
        <f ca="1">Master_List!$AW$8</f>
        <v>12kV</v>
      </c>
      <c r="W71" s="20" t="str">
        <f ca="1">Master_List!$AW$9</f>
        <v>2S1F</v>
      </c>
      <c r="X71" s="20" t="str">
        <f ca="1">Master_List!$AW$10</f>
        <v>MTM</v>
      </c>
      <c r="Y71" s="20" t="str">
        <f ca="1">Master_List!$AW$11</f>
        <v>HERMETICALLY SEAL</v>
      </c>
      <c r="Z71" s="20" t="str">
        <f ca="1">Master_List!$AW$12</f>
        <v>750kVA</v>
      </c>
      <c r="AA71" s="20" t="str">
        <f ca="1">Master_List!$AW$13</f>
        <v>1317</v>
      </c>
      <c r="AB71" s="20">
        <f ca="1">Master_List!$AW$14</f>
        <v>0</v>
      </c>
      <c r="AC71" s="20">
        <f ca="1">Master_List!$AW$15</f>
        <v>0</v>
      </c>
      <c r="AD71" s="20">
        <f ca="1">Master_List!$AW$16</f>
        <v>0</v>
      </c>
      <c r="AE71" s="20">
        <f ca="1">Master_List!$AW$17</f>
        <v>0</v>
      </c>
      <c r="AF71" s="20" t="str">
        <f ca="1">Master_List!$AW$18</f>
        <v>INDKOM</v>
      </c>
      <c r="AG71" s="20" t="str">
        <f ca="1">Master_List!$AW$19</f>
        <v>J-SLOTTED</v>
      </c>
      <c r="AH71" s="20" t="str">
        <f ca="1">Master_List!$AW$20</f>
        <v>1600A</v>
      </c>
      <c r="AI71" s="20" t="str">
        <f ca="1">Master_List!$AW$21</f>
        <v>LV5080090</v>
      </c>
      <c r="AJ71" s="20" t="str">
        <f ca="1">Master_List!$AW$22</f>
        <v>LVDB TX1</v>
      </c>
      <c r="AK71" s="20">
        <f ca="1">Master_List!$AW$23</f>
        <v>0</v>
      </c>
      <c r="AL71" s="20">
        <f ca="1">Master_List!$AW$24</f>
        <v>0</v>
      </c>
      <c r="AM71" s="20">
        <f ca="1">Master_List!$AW$25</f>
        <v>0</v>
      </c>
      <c r="AN71" s="20">
        <f ca="1">Master_List!$AW$26</f>
        <v>0</v>
      </c>
      <c r="AO71" s="20" t="str">
        <f ca="1">Master_List!$AW$27</f>
        <v>LVDB TX2</v>
      </c>
      <c r="AP71" s="20" t="str">
        <f ca="1">Master_List!$AW$28</f>
        <v>SUNPOWER TECHNOLOGIES</v>
      </c>
      <c r="AQ71" s="20" t="str">
        <f ca="1">Master_List!$AW$29</f>
        <v>SPS 30-10 L</v>
      </c>
      <c r="AR71" s="20" t="str">
        <f ca="1">Master_List!$AW$30</f>
        <v>11193-8527</v>
      </c>
      <c r="AS71" s="20">
        <f ca="1">Master_List!$AW$31</f>
        <v>0</v>
      </c>
      <c r="AT71" s="20">
        <f ca="1">Master_List!$AW$32</f>
        <v>0</v>
      </c>
      <c r="AU71" s="20">
        <f ca="1">Master_List!$AW$33</f>
        <v>0</v>
      </c>
      <c r="AV71" s="20">
        <f ca="1">Master_List!$AW$34</f>
        <v>0</v>
      </c>
      <c r="AW71" s="20">
        <f ca="1">Master_List!$AW$35</f>
        <v>0</v>
      </c>
      <c r="AX71" s="20">
        <f ca="1">Master_List!$AW$36</f>
        <v>0</v>
      </c>
      <c r="AY71" s="20">
        <f ca="1">Master_List!$AW$37</f>
        <v>0</v>
      </c>
      <c r="AZ71" s="20">
        <f ca="1">Master_List!$AW$38</f>
        <v>0</v>
      </c>
      <c r="BA71" s="20">
        <f ca="1">Master_List!$AW$39</f>
        <v>0</v>
      </c>
      <c r="BB71" s="20" t="s">
        <v>2240</v>
      </c>
      <c r="BC71" s="20" t="s">
        <v>2241</v>
      </c>
      <c r="BD71" s="6" t="s">
        <v>1744</v>
      </c>
      <c r="BE71" s="6" t="s">
        <v>1785</v>
      </c>
      <c r="BF71" s="6" t="s">
        <v>1748</v>
      </c>
      <c r="BG71" s="6" t="str">
        <f t="shared" si="3"/>
        <v>C:\Users\aremi\Desktop\REPORT CBM\PO 42289580 - Pahang 11kV SECOND CYCLE AZZAD 2026\RAW MATERIAL\047. TNB BARU (IR+VI)\RAW DATA\IR</v>
      </c>
      <c r="BH71" s="24" t="s">
        <v>598</v>
      </c>
    </row>
    <row r="72" spans="1:60" ht="15" customHeight="1" x14ac:dyDescent="0.25">
      <c r="A72" s="6">
        <v>36</v>
      </c>
      <c r="B72" s="6" t="s">
        <v>1574</v>
      </c>
      <c r="C72" s="6">
        <v>1</v>
      </c>
      <c r="D72" s="6" t="s">
        <v>2251</v>
      </c>
      <c r="E72" s="6">
        <v>36</v>
      </c>
      <c r="F72" s="6" t="str">
        <f ca="1">Master_List!$AW$1</f>
        <v>PERPUSTAKAAN PUSAT</v>
      </c>
      <c r="G72" s="27" t="str">
        <f ca="1">Master_List!$AW$2</f>
        <v>09:30 PM</v>
      </c>
      <c r="H72" s="32" t="str">
        <f ca="1">Master_List!$AW$3</f>
        <v>20/07/2026</v>
      </c>
      <c r="I72" s="28" t="str">
        <f ca="1">Master_List!$AW$4</f>
        <v>28.5</v>
      </c>
      <c r="J72" s="6" t="str">
        <f ca="1">Master_List!$AW$5</f>
        <v>65</v>
      </c>
      <c r="K72" s="6" t="s">
        <v>1497</v>
      </c>
      <c r="L72" s="22">
        <v>2</v>
      </c>
      <c r="M72" s="25"/>
      <c r="N72" s="25"/>
      <c r="O72" s="25"/>
      <c r="P72" s="25"/>
      <c r="Q72" s="25"/>
      <c r="R72" s="25"/>
      <c r="S72" s="25"/>
      <c r="T72" s="20" t="str">
        <f ca="1">Master_List!$AW$6</f>
        <v>TOSHIBA</v>
      </c>
      <c r="U72" s="20" t="str">
        <f ca="1">Master_List!$AW$7</f>
        <v>MRMU</v>
      </c>
      <c r="V72" s="20" t="str">
        <f ca="1">Master_List!$AW$8</f>
        <v>12kV</v>
      </c>
      <c r="W72" s="20" t="str">
        <f ca="1">Master_List!$AW$9</f>
        <v>2S1F</v>
      </c>
      <c r="X72" s="20" t="str">
        <f ca="1">Master_List!$AW$10</f>
        <v>MTM</v>
      </c>
      <c r="Y72" s="20" t="str">
        <f ca="1">Master_List!$AW$11</f>
        <v>HERMETICALLY SEAL</v>
      </c>
      <c r="Z72" s="20" t="str">
        <f ca="1">Master_List!$AW$12</f>
        <v>750kVA</v>
      </c>
      <c r="AA72" s="20" t="str">
        <f ca="1">Master_List!$AW$13</f>
        <v>1317</v>
      </c>
      <c r="AB72" s="20">
        <f ca="1">Master_List!$AW$14</f>
        <v>0</v>
      </c>
      <c r="AC72" s="20">
        <f ca="1">Master_List!$AW$15</f>
        <v>0</v>
      </c>
      <c r="AD72" s="20">
        <f ca="1">Master_List!$AW$16</f>
        <v>0</v>
      </c>
      <c r="AE72" s="20">
        <f ca="1">Master_List!$AW$17</f>
        <v>0</v>
      </c>
      <c r="AF72" s="20" t="str">
        <f ca="1">Master_List!$AW$18</f>
        <v>INDKOM</v>
      </c>
      <c r="AG72" s="20" t="str">
        <f ca="1">Master_List!$AW$19</f>
        <v>J-SLOTTED</v>
      </c>
      <c r="AH72" s="20" t="str">
        <f ca="1">Master_List!$AW$20</f>
        <v>1600A</v>
      </c>
      <c r="AI72" s="20" t="str">
        <f ca="1">Master_List!$AW$21</f>
        <v>LV5080090</v>
      </c>
      <c r="AJ72" s="20" t="str">
        <f ca="1">Master_List!$AW$22</f>
        <v>LVDB TX1</v>
      </c>
      <c r="AK72" s="20">
        <f ca="1">Master_List!$AW$23</f>
        <v>0</v>
      </c>
      <c r="AL72" s="20">
        <f ca="1">Master_List!$AW$24</f>
        <v>0</v>
      </c>
      <c r="AM72" s="20">
        <f ca="1">Master_List!$AW$25</f>
        <v>0</v>
      </c>
      <c r="AN72" s="20">
        <f ca="1">Master_List!$AW$26</f>
        <v>0</v>
      </c>
      <c r="AO72" s="20" t="str">
        <f ca="1">Master_List!$AW$27</f>
        <v>LVDB TX2</v>
      </c>
      <c r="AP72" s="20" t="str">
        <f ca="1">Master_List!$AW$28</f>
        <v>SUNPOWER TECHNOLOGIES</v>
      </c>
      <c r="AQ72" s="20" t="str">
        <f ca="1">Master_List!$AW$29</f>
        <v>SPS 30-10 L</v>
      </c>
      <c r="AR72" s="20" t="str">
        <f ca="1">Master_List!$AW$30</f>
        <v>11193-8527</v>
      </c>
      <c r="AS72" s="20">
        <f ca="1">Master_List!$AW$31</f>
        <v>0</v>
      </c>
      <c r="AT72" s="20">
        <f ca="1">Master_List!$AW$32</f>
        <v>0</v>
      </c>
      <c r="AU72" s="20">
        <f ca="1">Master_List!$AW$33</f>
        <v>0</v>
      </c>
      <c r="AV72" s="20">
        <f ca="1">Master_List!$AW$34</f>
        <v>0</v>
      </c>
      <c r="AW72" s="20">
        <f ca="1">Master_List!$AW$35</f>
        <v>0</v>
      </c>
      <c r="AX72" s="20">
        <f ca="1">Master_List!$AW$36</f>
        <v>0</v>
      </c>
      <c r="AY72" s="20">
        <f ca="1">Master_List!$AW$37</f>
        <v>0</v>
      </c>
      <c r="AZ72" s="20">
        <f ca="1">Master_List!$AW$38</f>
        <v>0</v>
      </c>
      <c r="BA72" s="20">
        <f ca="1">Master_List!$AW$39</f>
        <v>0</v>
      </c>
      <c r="BB72" s="20" t="s">
        <v>2240</v>
      </c>
      <c r="BC72" s="20" t="s">
        <v>2241</v>
      </c>
      <c r="BD72" s="6" t="s">
        <v>1744</v>
      </c>
      <c r="BE72" s="6" t="s">
        <v>1786</v>
      </c>
      <c r="BF72" s="6" t="s">
        <v>1746</v>
      </c>
      <c r="BG72" s="6" t="str">
        <f t="shared" si="3"/>
        <v>C:\Users\aremi\Desktop\REPORT CBM\PO 42289580 - Pahang 11kV SECOND CYCLE AZZAD 2026\RAW MATERIAL\047. TNB BARU (IR+VI)\RAW DATA\IR</v>
      </c>
      <c r="BH72" s="24" t="s">
        <v>599</v>
      </c>
    </row>
    <row r="73" spans="1:60" ht="15" customHeight="1" x14ac:dyDescent="0.25">
      <c r="A73" s="6">
        <v>36</v>
      </c>
      <c r="B73" s="6" t="s">
        <v>1574</v>
      </c>
      <c r="C73" s="6">
        <v>1</v>
      </c>
      <c r="D73" s="6" t="s">
        <v>2251</v>
      </c>
      <c r="E73" s="6">
        <v>36</v>
      </c>
      <c r="F73" s="6" t="str">
        <f ca="1">Master_List!$AW$1</f>
        <v>PERPUSTAKAAN PUSAT</v>
      </c>
      <c r="G73" s="27" t="str">
        <f ca="1">Master_List!$AW$2</f>
        <v>09:30 PM</v>
      </c>
      <c r="H73" s="32" t="str">
        <f ca="1">Master_List!$AW$3</f>
        <v>20/07/2026</v>
      </c>
      <c r="I73" s="28" t="str">
        <f ca="1">Master_List!$AW$4</f>
        <v>28.5</v>
      </c>
      <c r="J73" s="6" t="str">
        <f ca="1">Master_List!$AW$5</f>
        <v>65</v>
      </c>
      <c r="K73" s="6" t="s">
        <v>1497</v>
      </c>
      <c r="L73" s="22">
        <v>2</v>
      </c>
      <c r="M73" s="25"/>
      <c r="N73" s="25"/>
      <c r="O73" s="25"/>
      <c r="P73" s="25"/>
      <c r="Q73" s="25"/>
      <c r="R73" s="25"/>
      <c r="S73" s="25"/>
      <c r="T73" s="20" t="str">
        <f ca="1">Master_List!$AW$6</f>
        <v>TOSHIBA</v>
      </c>
      <c r="U73" s="20" t="str">
        <f ca="1">Master_List!$AW$7</f>
        <v>MRMU</v>
      </c>
      <c r="V73" s="20" t="str">
        <f ca="1">Master_List!$AW$8</f>
        <v>12kV</v>
      </c>
      <c r="W73" s="20" t="str">
        <f ca="1">Master_List!$AW$9</f>
        <v>2S1F</v>
      </c>
      <c r="X73" s="20" t="str">
        <f ca="1">Master_List!$AW$10</f>
        <v>MTM</v>
      </c>
      <c r="Y73" s="20" t="str">
        <f ca="1">Master_List!$AW$11</f>
        <v>HERMETICALLY SEAL</v>
      </c>
      <c r="Z73" s="20" t="str">
        <f ca="1">Master_List!$AW$12</f>
        <v>750kVA</v>
      </c>
      <c r="AA73" s="20" t="str">
        <f ca="1">Master_List!$AW$13</f>
        <v>1317</v>
      </c>
      <c r="AB73" s="20">
        <f ca="1">Master_List!$AW$14</f>
        <v>0</v>
      </c>
      <c r="AC73" s="20">
        <f ca="1">Master_List!$AW$15</f>
        <v>0</v>
      </c>
      <c r="AD73" s="20">
        <f ca="1">Master_List!$AW$16</f>
        <v>0</v>
      </c>
      <c r="AE73" s="20">
        <f ca="1">Master_List!$AW$17</f>
        <v>0</v>
      </c>
      <c r="AF73" s="20" t="str">
        <f ca="1">Master_List!$AW$18</f>
        <v>INDKOM</v>
      </c>
      <c r="AG73" s="20" t="str">
        <f ca="1">Master_List!$AW$19</f>
        <v>J-SLOTTED</v>
      </c>
      <c r="AH73" s="20" t="str">
        <f ca="1">Master_List!$AW$20</f>
        <v>1600A</v>
      </c>
      <c r="AI73" s="20" t="str">
        <f ca="1">Master_List!$AW$21</f>
        <v>LV5080090</v>
      </c>
      <c r="AJ73" s="20" t="str">
        <f ca="1">Master_List!$AW$22</f>
        <v>LVDB TX1</v>
      </c>
      <c r="AK73" s="20">
        <f ca="1">Master_List!$AW$23</f>
        <v>0</v>
      </c>
      <c r="AL73" s="20">
        <f ca="1">Master_List!$AW$24</f>
        <v>0</v>
      </c>
      <c r="AM73" s="20">
        <f ca="1">Master_List!$AW$25</f>
        <v>0</v>
      </c>
      <c r="AN73" s="20">
        <f ca="1">Master_List!$AW$26</f>
        <v>0</v>
      </c>
      <c r="AO73" s="20" t="str">
        <f ca="1">Master_List!$AW$27</f>
        <v>LVDB TX2</v>
      </c>
      <c r="AP73" s="20" t="str">
        <f ca="1">Master_List!$AW$28</f>
        <v>SUNPOWER TECHNOLOGIES</v>
      </c>
      <c r="AQ73" s="20" t="str">
        <f ca="1">Master_List!$AW$29</f>
        <v>SPS 30-10 L</v>
      </c>
      <c r="AR73" s="20" t="str">
        <f ca="1">Master_List!$AW$30</f>
        <v>11193-8527</v>
      </c>
      <c r="AS73" s="20">
        <f ca="1">Master_List!$AW$31</f>
        <v>0</v>
      </c>
      <c r="AT73" s="20">
        <f ca="1">Master_List!$AW$32</f>
        <v>0</v>
      </c>
      <c r="AU73" s="20">
        <f ca="1">Master_List!$AW$33</f>
        <v>0</v>
      </c>
      <c r="AV73" s="20">
        <f ca="1">Master_List!$AW$34</f>
        <v>0</v>
      </c>
      <c r="AW73" s="20">
        <f ca="1">Master_List!$AW$35</f>
        <v>0</v>
      </c>
      <c r="AX73" s="20">
        <f ca="1">Master_List!$AW$36</f>
        <v>0</v>
      </c>
      <c r="AY73" s="20">
        <f ca="1">Master_List!$AW$37</f>
        <v>0</v>
      </c>
      <c r="AZ73" s="20">
        <f ca="1">Master_List!$AW$38</f>
        <v>0</v>
      </c>
      <c r="BA73" s="20">
        <f ca="1">Master_List!$AW$39</f>
        <v>0</v>
      </c>
      <c r="BB73" s="20" t="s">
        <v>2240</v>
      </c>
      <c r="BC73" s="20" t="s">
        <v>2241</v>
      </c>
      <c r="BD73" s="6" t="s">
        <v>1744</v>
      </c>
      <c r="BE73" s="6" t="s">
        <v>1786</v>
      </c>
      <c r="BF73" s="6" t="s">
        <v>1748</v>
      </c>
      <c r="BG73" s="6" t="str">
        <f t="shared" si="3"/>
        <v>C:\Users\aremi\Desktop\REPORT CBM\PO 42289580 - Pahang 11kV SECOND CYCLE AZZAD 2026\RAW MATERIAL\047. TNB BARU (IR+VI)\RAW DATA\IR</v>
      </c>
      <c r="BH73" s="24" t="s">
        <v>600</v>
      </c>
    </row>
    <row r="74" spans="1:60" ht="15" customHeight="1" x14ac:dyDescent="0.25">
      <c r="A74" s="6">
        <v>37</v>
      </c>
      <c r="B74" s="6" t="s">
        <v>1574</v>
      </c>
      <c r="C74" s="6">
        <v>1</v>
      </c>
      <c r="D74" s="6" t="s">
        <v>2252</v>
      </c>
      <c r="E74" s="6">
        <v>37</v>
      </c>
      <c r="F74" s="6" t="str">
        <f ca="1">Master_List!$AW$1</f>
        <v>PERPUSTAKAAN PUSAT</v>
      </c>
      <c r="G74" s="27" t="str">
        <f ca="1">Master_List!$AW$2</f>
        <v>09:30 PM</v>
      </c>
      <c r="H74" s="32" t="str">
        <f ca="1">Master_List!$AW$3</f>
        <v>20/07/2026</v>
      </c>
      <c r="I74" s="28" t="str">
        <f ca="1">Master_List!$AW$4</f>
        <v>28.5</v>
      </c>
      <c r="J74" s="6" t="str">
        <f ca="1">Master_List!$AW$5</f>
        <v>65</v>
      </c>
      <c r="K74" s="6" t="s">
        <v>1571</v>
      </c>
      <c r="L74" s="22">
        <v>2</v>
      </c>
      <c r="M74" s="22" t="s">
        <v>2248</v>
      </c>
      <c r="N74" s="25"/>
      <c r="O74" s="25"/>
      <c r="P74" s="25"/>
      <c r="Q74" s="25"/>
      <c r="R74" s="25"/>
      <c r="S74" s="25"/>
      <c r="T74" s="20" t="str">
        <f ca="1">Master_List!$AW$6</f>
        <v>TOSHIBA</v>
      </c>
      <c r="U74" s="20" t="str">
        <f ca="1">Master_List!$AW$7</f>
        <v>MRMU</v>
      </c>
      <c r="V74" s="20" t="str">
        <f ca="1">Master_List!$AW$8</f>
        <v>12kV</v>
      </c>
      <c r="W74" s="20" t="str">
        <f ca="1">Master_List!$AW$9</f>
        <v>2S1F</v>
      </c>
      <c r="X74" s="20" t="str">
        <f ca="1">Master_List!$AW$10</f>
        <v>MTM</v>
      </c>
      <c r="Y74" s="20" t="str">
        <f ca="1">Master_List!$AW$11</f>
        <v>HERMETICALLY SEAL</v>
      </c>
      <c r="Z74" s="20" t="str">
        <f ca="1">Master_List!$AW$12</f>
        <v>750kVA</v>
      </c>
      <c r="AA74" s="20" t="str">
        <f ca="1">Master_List!$AW$13</f>
        <v>1317</v>
      </c>
      <c r="AB74" s="20">
        <f ca="1">Master_List!$AW$14</f>
        <v>0</v>
      </c>
      <c r="AC74" s="20">
        <f ca="1">Master_List!$AW$15</f>
        <v>0</v>
      </c>
      <c r="AD74" s="20">
        <f ca="1">Master_List!$AW$16</f>
        <v>0</v>
      </c>
      <c r="AE74" s="20">
        <f ca="1">Master_List!$AW$17</f>
        <v>0</v>
      </c>
      <c r="AF74" s="20" t="str">
        <f ca="1">Master_List!$AW$18</f>
        <v>INDKOM</v>
      </c>
      <c r="AG74" s="20" t="str">
        <f ca="1">Master_List!$AW$19</f>
        <v>J-SLOTTED</v>
      </c>
      <c r="AH74" s="20" t="str">
        <f ca="1">Master_List!$AW$20</f>
        <v>1600A</v>
      </c>
      <c r="AI74" s="20" t="str">
        <f ca="1">Master_List!$AW$21</f>
        <v>LV5080090</v>
      </c>
      <c r="AJ74" s="20" t="str">
        <f ca="1">Master_List!$AW$22</f>
        <v>LVDB TX1</v>
      </c>
      <c r="AK74" s="20">
        <f ca="1">Master_List!$AW$23</f>
        <v>0</v>
      </c>
      <c r="AL74" s="20">
        <f ca="1">Master_List!$AW$24</f>
        <v>0</v>
      </c>
      <c r="AM74" s="20">
        <f ca="1">Master_List!$AW$25</f>
        <v>0</v>
      </c>
      <c r="AN74" s="20">
        <f ca="1">Master_List!$AW$26</f>
        <v>0</v>
      </c>
      <c r="AO74" s="20" t="str">
        <f ca="1">Master_List!$AW$27</f>
        <v>LVDB TX2</v>
      </c>
      <c r="AP74" s="20" t="str">
        <f ca="1">Master_List!$AW$28</f>
        <v>SUNPOWER TECHNOLOGIES</v>
      </c>
      <c r="AQ74" s="20" t="str">
        <f ca="1">Master_List!$AW$29</f>
        <v>SPS 30-10 L</v>
      </c>
      <c r="AR74" s="20" t="str">
        <f ca="1">Master_List!$AW$30</f>
        <v>11193-8527</v>
      </c>
      <c r="AS74" s="20">
        <f ca="1">Master_List!$AW$31</f>
        <v>0</v>
      </c>
      <c r="AT74" s="20">
        <f ca="1">Master_List!$AW$32</f>
        <v>0</v>
      </c>
      <c r="AU74" s="20">
        <f ca="1">Master_List!$AW$33</f>
        <v>0</v>
      </c>
      <c r="AV74" s="20">
        <f ca="1">Master_List!$AW$34</f>
        <v>0</v>
      </c>
      <c r="AW74" s="20">
        <f ca="1">Master_List!$AW$35</f>
        <v>0</v>
      </c>
      <c r="AX74" s="20">
        <f ca="1">Master_List!$AW$36</f>
        <v>0</v>
      </c>
      <c r="AY74" s="20">
        <f ca="1">Master_List!$AW$37</f>
        <v>0</v>
      </c>
      <c r="AZ74" s="20">
        <f ca="1">Master_List!$AW$38</f>
        <v>0</v>
      </c>
      <c r="BA74" s="20">
        <f ca="1">Master_List!$AW$39</f>
        <v>0</v>
      </c>
      <c r="BB74" s="20" t="s">
        <v>2240</v>
      </c>
      <c r="BC74" s="20" t="s">
        <v>2241</v>
      </c>
      <c r="BD74" s="6" t="s">
        <v>1744</v>
      </c>
      <c r="BE74" s="6" t="s">
        <v>1787</v>
      </c>
      <c r="BF74" s="6" t="s">
        <v>1746</v>
      </c>
      <c r="BG74" s="6" t="str">
        <f t="shared" si="3"/>
        <v>C:\Users\aremi\Desktop\REPORT CBM\PO 42289580 - Pahang 11kV SECOND CYCLE AZZAD 2026\RAW MATERIAL\047. TNB BARU (IR+VI)\RAW DATA\IR</v>
      </c>
      <c r="BH74" s="24" t="s">
        <v>601</v>
      </c>
    </row>
    <row r="75" spans="1:60" ht="15" customHeight="1" x14ac:dyDescent="0.25">
      <c r="A75" s="6">
        <v>37</v>
      </c>
      <c r="B75" s="6" t="s">
        <v>1574</v>
      </c>
      <c r="C75" s="6">
        <v>1</v>
      </c>
      <c r="D75" s="6" t="s">
        <v>2252</v>
      </c>
      <c r="E75" s="6">
        <v>37</v>
      </c>
      <c r="F75" s="6" t="str">
        <f ca="1">Master_List!$AW$1</f>
        <v>PERPUSTAKAAN PUSAT</v>
      </c>
      <c r="G75" s="27" t="str">
        <f ca="1">Master_List!$AW$2</f>
        <v>09:30 PM</v>
      </c>
      <c r="H75" s="32" t="str">
        <f ca="1">Master_List!$AW$3</f>
        <v>20/07/2026</v>
      </c>
      <c r="I75" s="28" t="str">
        <f ca="1">Master_List!$AW$4</f>
        <v>28.5</v>
      </c>
      <c r="J75" s="6" t="str">
        <f ca="1">Master_List!$AW$5</f>
        <v>65</v>
      </c>
      <c r="K75" s="6" t="s">
        <v>1571</v>
      </c>
      <c r="L75" s="22">
        <v>2</v>
      </c>
      <c r="M75" s="22" t="s">
        <v>2248</v>
      </c>
      <c r="N75" s="25"/>
      <c r="O75" s="25"/>
      <c r="P75" s="25"/>
      <c r="Q75" s="25"/>
      <c r="R75" s="25"/>
      <c r="S75" s="25"/>
      <c r="T75" s="20" t="str">
        <f ca="1">Master_List!$AW$6</f>
        <v>TOSHIBA</v>
      </c>
      <c r="U75" s="20" t="str">
        <f ca="1">Master_List!$AW$7</f>
        <v>MRMU</v>
      </c>
      <c r="V75" s="20" t="str">
        <f ca="1">Master_List!$AW$8</f>
        <v>12kV</v>
      </c>
      <c r="W75" s="20" t="str">
        <f ca="1">Master_List!$AW$9</f>
        <v>2S1F</v>
      </c>
      <c r="X75" s="20" t="str">
        <f ca="1">Master_List!$AW$10</f>
        <v>MTM</v>
      </c>
      <c r="Y75" s="20" t="str">
        <f ca="1">Master_List!$AW$11</f>
        <v>HERMETICALLY SEAL</v>
      </c>
      <c r="Z75" s="20" t="str">
        <f ca="1">Master_List!$AW$12</f>
        <v>750kVA</v>
      </c>
      <c r="AA75" s="20" t="str">
        <f ca="1">Master_List!$AW$13</f>
        <v>1317</v>
      </c>
      <c r="AB75" s="20">
        <f ca="1">Master_List!$AW$14</f>
        <v>0</v>
      </c>
      <c r="AC75" s="20">
        <f ca="1">Master_List!$AW$15</f>
        <v>0</v>
      </c>
      <c r="AD75" s="20">
        <f ca="1">Master_List!$AW$16</f>
        <v>0</v>
      </c>
      <c r="AE75" s="20">
        <f ca="1">Master_List!$AW$17</f>
        <v>0</v>
      </c>
      <c r="AF75" s="20" t="str">
        <f ca="1">Master_List!$AW$18</f>
        <v>INDKOM</v>
      </c>
      <c r="AG75" s="20" t="str">
        <f ca="1">Master_List!$AW$19</f>
        <v>J-SLOTTED</v>
      </c>
      <c r="AH75" s="20" t="str">
        <f ca="1">Master_List!$AW$20</f>
        <v>1600A</v>
      </c>
      <c r="AI75" s="20" t="str">
        <f ca="1">Master_List!$AW$21</f>
        <v>LV5080090</v>
      </c>
      <c r="AJ75" s="20" t="str">
        <f ca="1">Master_List!$AW$22</f>
        <v>LVDB TX1</v>
      </c>
      <c r="AK75" s="20">
        <f ca="1">Master_List!$AW$23</f>
        <v>0</v>
      </c>
      <c r="AL75" s="20">
        <f ca="1">Master_List!$AW$24</f>
        <v>0</v>
      </c>
      <c r="AM75" s="20">
        <f ca="1">Master_List!$AW$25</f>
        <v>0</v>
      </c>
      <c r="AN75" s="20">
        <f ca="1">Master_List!$AW$26</f>
        <v>0</v>
      </c>
      <c r="AO75" s="20" t="str">
        <f ca="1">Master_List!$AW$27</f>
        <v>LVDB TX2</v>
      </c>
      <c r="AP75" s="20" t="str">
        <f ca="1">Master_List!$AW$28</f>
        <v>SUNPOWER TECHNOLOGIES</v>
      </c>
      <c r="AQ75" s="20" t="str">
        <f ca="1">Master_List!$AW$29</f>
        <v>SPS 30-10 L</v>
      </c>
      <c r="AR75" s="20" t="str">
        <f ca="1">Master_List!$AW$30</f>
        <v>11193-8527</v>
      </c>
      <c r="AS75" s="20">
        <f ca="1">Master_List!$AW$31</f>
        <v>0</v>
      </c>
      <c r="AT75" s="20">
        <f ca="1">Master_List!$AW$32</f>
        <v>0</v>
      </c>
      <c r="AU75" s="20">
        <f ca="1">Master_List!$AW$33</f>
        <v>0</v>
      </c>
      <c r="AV75" s="20">
        <f ca="1">Master_List!$AW$34</f>
        <v>0</v>
      </c>
      <c r="AW75" s="20">
        <f ca="1">Master_List!$AW$35</f>
        <v>0</v>
      </c>
      <c r="AX75" s="20">
        <f ca="1">Master_List!$AW$36</f>
        <v>0</v>
      </c>
      <c r="AY75" s="20">
        <f ca="1">Master_List!$AW$37</f>
        <v>0</v>
      </c>
      <c r="AZ75" s="20">
        <f ca="1">Master_List!$AW$38</f>
        <v>0</v>
      </c>
      <c r="BA75" s="20">
        <f ca="1">Master_List!$AW$39</f>
        <v>0</v>
      </c>
      <c r="BB75" s="20" t="s">
        <v>2240</v>
      </c>
      <c r="BC75" s="20" t="s">
        <v>2241</v>
      </c>
      <c r="BD75" s="6" t="s">
        <v>1744</v>
      </c>
      <c r="BE75" s="6" t="s">
        <v>1787</v>
      </c>
      <c r="BF75" s="6" t="s">
        <v>1748</v>
      </c>
      <c r="BG75" s="6" t="str">
        <f t="shared" si="3"/>
        <v>C:\Users\aremi\Desktop\REPORT CBM\PO 42289580 - Pahang 11kV SECOND CYCLE AZZAD 2026\RAW MATERIAL\047. TNB BARU (IR+VI)\RAW DATA\IR</v>
      </c>
      <c r="BH75" s="24" t="s">
        <v>602</v>
      </c>
    </row>
    <row r="76" spans="1:60" ht="15" customHeight="1" x14ac:dyDescent="0.25">
      <c r="A76" s="6">
        <v>38</v>
      </c>
      <c r="B76" s="6" t="s">
        <v>1574</v>
      </c>
      <c r="C76" s="6">
        <v>1</v>
      </c>
      <c r="D76" s="6" t="s">
        <v>2252</v>
      </c>
      <c r="E76" s="6">
        <v>38</v>
      </c>
      <c r="F76" s="6" t="str">
        <f ca="1">Master_List!$AW$1</f>
        <v>PERPUSTAKAAN PUSAT</v>
      </c>
      <c r="G76" s="27" t="str">
        <f ca="1">Master_List!$AW$2</f>
        <v>09:30 PM</v>
      </c>
      <c r="H76" s="32" t="str">
        <f ca="1">Master_List!$AW$3</f>
        <v>20/07/2026</v>
      </c>
      <c r="I76" s="28" t="str">
        <f ca="1">Master_List!$AW$4</f>
        <v>28.5</v>
      </c>
      <c r="J76" s="6" t="str">
        <f ca="1">Master_List!$AW$5</f>
        <v>65</v>
      </c>
      <c r="K76" s="6" t="s">
        <v>1572</v>
      </c>
      <c r="L76" s="22">
        <v>2</v>
      </c>
      <c r="M76" s="22" t="s">
        <v>2248</v>
      </c>
      <c r="N76" s="25"/>
      <c r="O76" s="25"/>
      <c r="P76" s="25"/>
      <c r="Q76" s="25"/>
      <c r="R76" s="25"/>
      <c r="S76" s="25"/>
      <c r="T76" s="20" t="str">
        <f ca="1">Master_List!$AW$6</f>
        <v>TOSHIBA</v>
      </c>
      <c r="U76" s="20" t="str">
        <f ca="1">Master_List!$AW$7</f>
        <v>MRMU</v>
      </c>
      <c r="V76" s="20" t="str">
        <f ca="1">Master_List!$AW$8</f>
        <v>12kV</v>
      </c>
      <c r="W76" s="20" t="str">
        <f ca="1">Master_List!$AW$9</f>
        <v>2S1F</v>
      </c>
      <c r="X76" s="20" t="str">
        <f ca="1">Master_List!$AW$10</f>
        <v>MTM</v>
      </c>
      <c r="Y76" s="20" t="str">
        <f ca="1">Master_List!$AW$11</f>
        <v>HERMETICALLY SEAL</v>
      </c>
      <c r="Z76" s="20" t="str">
        <f ca="1">Master_List!$AW$12</f>
        <v>750kVA</v>
      </c>
      <c r="AA76" s="20" t="str">
        <f ca="1">Master_List!$AW$13</f>
        <v>1317</v>
      </c>
      <c r="AB76" s="20">
        <f ca="1">Master_List!$AW$14</f>
        <v>0</v>
      </c>
      <c r="AC76" s="20">
        <f ca="1">Master_List!$AW$15</f>
        <v>0</v>
      </c>
      <c r="AD76" s="20">
        <f ca="1">Master_List!$AW$16</f>
        <v>0</v>
      </c>
      <c r="AE76" s="20">
        <f ca="1">Master_List!$AW$17</f>
        <v>0</v>
      </c>
      <c r="AF76" s="20" t="str">
        <f ca="1">Master_List!$AW$18</f>
        <v>INDKOM</v>
      </c>
      <c r="AG76" s="20" t="str">
        <f ca="1">Master_List!$AW$19</f>
        <v>J-SLOTTED</v>
      </c>
      <c r="AH76" s="20" t="str">
        <f ca="1">Master_List!$AW$20</f>
        <v>1600A</v>
      </c>
      <c r="AI76" s="20" t="str">
        <f ca="1">Master_List!$AW$21</f>
        <v>LV5080090</v>
      </c>
      <c r="AJ76" s="20" t="str">
        <f ca="1">Master_List!$AW$22</f>
        <v>LVDB TX1</v>
      </c>
      <c r="AK76" s="20">
        <f ca="1">Master_List!$AW$23</f>
        <v>0</v>
      </c>
      <c r="AL76" s="20">
        <f ca="1">Master_List!$AW$24</f>
        <v>0</v>
      </c>
      <c r="AM76" s="20">
        <f ca="1">Master_List!$AW$25</f>
        <v>0</v>
      </c>
      <c r="AN76" s="20">
        <f ca="1">Master_List!$AW$26</f>
        <v>0</v>
      </c>
      <c r="AO76" s="20" t="str">
        <f ca="1">Master_List!$AW$27</f>
        <v>LVDB TX2</v>
      </c>
      <c r="AP76" s="20" t="str">
        <f ca="1">Master_List!$AW$28</f>
        <v>SUNPOWER TECHNOLOGIES</v>
      </c>
      <c r="AQ76" s="20" t="str">
        <f ca="1">Master_List!$AW$29</f>
        <v>SPS 30-10 L</v>
      </c>
      <c r="AR76" s="20" t="str">
        <f ca="1">Master_List!$AW$30</f>
        <v>11193-8527</v>
      </c>
      <c r="AS76" s="20">
        <f ca="1">Master_List!$AW$31</f>
        <v>0</v>
      </c>
      <c r="AT76" s="20">
        <f ca="1">Master_List!$AW$32</f>
        <v>0</v>
      </c>
      <c r="AU76" s="20">
        <f ca="1">Master_List!$AW$33</f>
        <v>0</v>
      </c>
      <c r="AV76" s="20">
        <f ca="1">Master_List!$AW$34</f>
        <v>0</v>
      </c>
      <c r="AW76" s="20">
        <f ca="1">Master_List!$AW$35</f>
        <v>0</v>
      </c>
      <c r="AX76" s="20">
        <f ca="1">Master_List!$AW$36</f>
        <v>0</v>
      </c>
      <c r="AY76" s="20">
        <f ca="1">Master_List!$AW$37</f>
        <v>0</v>
      </c>
      <c r="AZ76" s="20">
        <f ca="1">Master_List!$AW$38</f>
        <v>0</v>
      </c>
      <c r="BA76" s="20">
        <f ca="1">Master_List!$AW$39</f>
        <v>0</v>
      </c>
      <c r="BB76" s="20" t="s">
        <v>2240</v>
      </c>
      <c r="BC76" s="20" t="s">
        <v>2241</v>
      </c>
      <c r="BD76" s="6" t="s">
        <v>1744</v>
      </c>
      <c r="BE76" s="6" t="s">
        <v>1788</v>
      </c>
      <c r="BF76" s="6" t="s">
        <v>1746</v>
      </c>
      <c r="BG76" s="6" t="str">
        <f t="shared" si="3"/>
        <v>C:\Users\aremi\Desktop\REPORT CBM\PO 42289580 - Pahang 11kV SECOND CYCLE AZZAD 2026\RAW MATERIAL\047. TNB BARU (IR+VI)\RAW DATA\IR</v>
      </c>
      <c r="BH76" s="24" t="s">
        <v>603</v>
      </c>
    </row>
    <row r="77" spans="1:60" ht="15" customHeight="1" x14ac:dyDescent="0.25">
      <c r="A77" s="6">
        <v>38</v>
      </c>
      <c r="B77" s="6" t="s">
        <v>1574</v>
      </c>
      <c r="C77" s="6">
        <v>1</v>
      </c>
      <c r="D77" s="6" t="s">
        <v>2252</v>
      </c>
      <c r="E77" s="6">
        <v>38</v>
      </c>
      <c r="F77" s="6" t="str">
        <f ca="1">Master_List!$AW$1</f>
        <v>PERPUSTAKAAN PUSAT</v>
      </c>
      <c r="G77" s="27" t="str">
        <f ca="1">Master_List!$AW$2</f>
        <v>09:30 PM</v>
      </c>
      <c r="H77" s="32" t="str">
        <f ca="1">Master_List!$AW$3</f>
        <v>20/07/2026</v>
      </c>
      <c r="I77" s="28" t="str">
        <f ca="1">Master_List!$AW$4</f>
        <v>28.5</v>
      </c>
      <c r="J77" s="6" t="str">
        <f ca="1">Master_List!$AW$5</f>
        <v>65</v>
      </c>
      <c r="K77" s="6" t="s">
        <v>1572</v>
      </c>
      <c r="L77" s="22">
        <v>2</v>
      </c>
      <c r="M77" s="22" t="s">
        <v>2248</v>
      </c>
      <c r="N77" s="25"/>
      <c r="O77" s="25"/>
      <c r="P77" s="25"/>
      <c r="Q77" s="25"/>
      <c r="R77" s="25"/>
      <c r="S77" s="25"/>
      <c r="T77" s="20" t="str">
        <f ca="1">Master_List!$AW$6</f>
        <v>TOSHIBA</v>
      </c>
      <c r="U77" s="20" t="str">
        <f ca="1">Master_List!$AW$7</f>
        <v>MRMU</v>
      </c>
      <c r="V77" s="20" t="str">
        <f ca="1">Master_List!$AW$8</f>
        <v>12kV</v>
      </c>
      <c r="W77" s="20" t="str">
        <f ca="1">Master_List!$AW$9</f>
        <v>2S1F</v>
      </c>
      <c r="X77" s="20" t="str">
        <f ca="1">Master_List!$AW$10</f>
        <v>MTM</v>
      </c>
      <c r="Y77" s="20" t="str">
        <f ca="1">Master_List!$AW$11</f>
        <v>HERMETICALLY SEAL</v>
      </c>
      <c r="Z77" s="20" t="str">
        <f ca="1">Master_List!$AW$12</f>
        <v>750kVA</v>
      </c>
      <c r="AA77" s="20" t="str">
        <f ca="1">Master_List!$AW$13</f>
        <v>1317</v>
      </c>
      <c r="AB77" s="20">
        <f ca="1">Master_List!$AW$14</f>
        <v>0</v>
      </c>
      <c r="AC77" s="20">
        <f ca="1">Master_List!$AW$15</f>
        <v>0</v>
      </c>
      <c r="AD77" s="20">
        <f ca="1">Master_List!$AW$16</f>
        <v>0</v>
      </c>
      <c r="AE77" s="20">
        <f ca="1">Master_List!$AW$17</f>
        <v>0</v>
      </c>
      <c r="AF77" s="20" t="str">
        <f ca="1">Master_List!$AW$18</f>
        <v>INDKOM</v>
      </c>
      <c r="AG77" s="20" t="str">
        <f ca="1">Master_List!$AW$19</f>
        <v>J-SLOTTED</v>
      </c>
      <c r="AH77" s="20" t="str">
        <f ca="1">Master_List!$AW$20</f>
        <v>1600A</v>
      </c>
      <c r="AI77" s="20" t="str">
        <f ca="1">Master_List!$AW$21</f>
        <v>LV5080090</v>
      </c>
      <c r="AJ77" s="20" t="str">
        <f ca="1">Master_List!$AW$22</f>
        <v>LVDB TX1</v>
      </c>
      <c r="AK77" s="20">
        <f ca="1">Master_List!$AW$23</f>
        <v>0</v>
      </c>
      <c r="AL77" s="20">
        <f ca="1">Master_List!$AW$24</f>
        <v>0</v>
      </c>
      <c r="AM77" s="20">
        <f ca="1">Master_List!$AW$25</f>
        <v>0</v>
      </c>
      <c r="AN77" s="20">
        <f ca="1">Master_List!$AW$26</f>
        <v>0</v>
      </c>
      <c r="AO77" s="20" t="str">
        <f ca="1">Master_List!$AW$27</f>
        <v>LVDB TX2</v>
      </c>
      <c r="AP77" s="20" t="str">
        <f ca="1">Master_List!$AW$28</f>
        <v>SUNPOWER TECHNOLOGIES</v>
      </c>
      <c r="AQ77" s="20" t="str">
        <f ca="1">Master_List!$AW$29</f>
        <v>SPS 30-10 L</v>
      </c>
      <c r="AR77" s="20" t="str">
        <f ca="1">Master_List!$AW$30</f>
        <v>11193-8527</v>
      </c>
      <c r="AS77" s="20">
        <f ca="1">Master_List!$AW$31</f>
        <v>0</v>
      </c>
      <c r="AT77" s="20">
        <f ca="1">Master_List!$AW$32</f>
        <v>0</v>
      </c>
      <c r="AU77" s="20">
        <f ca="1">Master_List!$AW$33</f>
        <v>0</v>
      </c>
      <c r="AV77" s="20">
        <f ca="1">Master_List!$AW$34</f>
        <v>0</v>
      </c>
      <c r="AW77" s="20">
        <f ca="1">Master_List!$AW$35</f>
        <v>0</v>
      </c>
      <c r="AX77" s="20">
        <f ca="1">Master_List!$AW$36</f>
        <v>0</v>
      </c>
      <c r="AY77" s="20">
        <f ca="1">Master_List!$AW$37</f>
        <v>0</v>
      </c>
      <c r="AZ77" s="20">
        <f ca="1">Master_List!$AW$38</f>
        <v>0</v>
      </c>
      <c r="BA77" s="20">
        <f ca="1">Master_List!$AW$39</f>
        <v>0</v>
      </c>
      <c r="BB77" s="20" t="s">
        <v>2240</v>
      </c>
      <c r="BC77" s="20" t="s">
        <v>2241</v>
      </c>
      <c r="BD77" s="6" t="s">
        <v>1744</v>
      </c>
      <c r="BE77" s="6" t="s">
        <v>1788</v>
      </c>
      <c r="BF77" s="6" t="s">
        <v>1748</v>
      </c>
      <c r="BG77" s="6" t="str">
        <f t="shared" si="3"/>
        <v>C:\Users\aremi\Desktop\REPORT CBM\PO 42289580 - Pahang 11kV SECOND CYCLE AZZAD 2026\RAW MATERIAL\047. TNB BARU (IR+VI)\RAW DATA\IR</v>
      </c>
      <c r="BH77" s="24" t="s">
        <v>604</v>
      </c>
    </row>
    <row r="78" spans="1:60" ht="15" customHeight="1" x14ac:dyDescent="0.25">
      <c r="A78" s="6">
        <v>39</v>
      </c>
      <c r="B78" s="6" t="s">
        <v>1574</v>
      </c>
      <c r="C78" s="6">
        <v>1</v>
      </c>
      <c r="D78" s="6" t="s">
        <v>2252</v>
      </c>
      <c r="E78" s="6">
        <v>39</v>
      </c>
      <c r="F78" s="6" t="str">
        <f ca="1">Master_List!$AW$1</f>
        <v>PERPUSTAKAAN PUSAT</v>
      </c>
      <c r="G78" s="27" t="str">
        <f ca="1">Master_List!$AW$2</f>
        <v>09:30 PM</v>
      </c>
      <c r="H78" s="32" t="str">
        <f ca="1">Master_List!$AW$3</f>
        <v>20/07/2026</v>
      </c>
      <c r="I78" s="28" t="str">
        <f ca="1">Master_List!$AW$4</f>
        <v>28.5</v>
      </c>
      <c r="J78" s="6" t="str">
        <f ca="1">Master_List!$AW$5</f>
        <v>65</v>
      </c>
      <c r="K78" s="6" t="s">
        <v>1573</v>
      </c>
      <c r="L78" s="22">
        <v>2</v>
      </c>
      <c r="M78" s="22" t="s">
        <v>2248</v>
      </c>
      <c r="N78" s="25"/>
      <c r="O78" s="25"/>
      <c r="P78" s="25"/>
      <c r="Q78" s="25"/>
      <c r="R78" s="25"/>
      <c r="S78" s="25"/>
      <c r="T78" s="20" t="str">
        <f ca="1">Master_List!$AW$6</f>
        <v>TOSHIBA</v>
      </c>
      <c r="U78" s="20" t="str">
        <f ca="1">Master_List!$AW$7</f>
        <v>MRMU</v>
      </c>
      <c r="V78" s="20" t="str">
        <f ca="1">Master_List!$AW$8</f>
        <v>12kV</v>
      </c>
      <c r="W78" s="20" t="str">
        <f ca="1">Master_List!$AW$9</f>
        <v>2S1F</v>
      </c>
      <c r="X78" s="20" t="str">
        <f ca="1">Master_List!$AW$10</f>
        <v>MTM</v>
      </c>
      <c r="Y78" s="20" t="str">
        <f ca="1">Master_List!$AW$11</f>
        <v>HERMETICALLY SEAL</v>
      </c>
      <c r="Z78" s="20" t="str">
        <f ca="1">Master_List!$AW$12</f>
        <v>750kVA</v>
      </c>
      <c r="AA78" s="20" t="str">
        <f ca="1">Master_List!$AW$13</f>
        <v>1317</v>
      </c>
      <c r="AB78" s="20">
        <f ca="1">Master_List!$AW$14</f>
        <v>0</v>
      </c>
      <c r="AC78" s="20">
        <f ca="1">Master_List!$AW$15</f>
        <v>0</v>
      </c>
      <c r="AD78" s="20">
        <f ca="1">Master_List!$AW$16</f>
        <v>0</v>
      </c>
      <c r="AE78" s="20">
        <f ca="1">Master_List!$AW$17</f>
        <v>0</v>
      </c>
      <c r="AF78" s="20" t="str">
        <f ca="1">Master_List!$AW$18</f>
        <v>INDKOM</v>
      </c>
      <c r="AG78" s="20" t="str">
        <f ca="1">Master_List!$AW$19</f>
        <v>J-SLOTTED</v>
      </c>
      <c r="AH78" s="20" t="str">
        <f ca="1">Master_List!$AW$20</f>
        <v>1600A</v>
      </c>
      <c r="AI78" s="20" t="str">
        <f ca="1">Master_List!$AW$21</f>
        <v>LV5080090</v>
      </c>
      <c r="AJ78" s="20" t="str">
        <f ca="1">Master_List!$AW$22</f>
        <v>LVDB TX1</v>
      </c>
      <c r="AK78" s="20">
        <f ca="1">Master_List!$AW$23</f>
        <v>0</v>
      </c>
      <c r="AL78" s="20">
        <f ca="1">Master_List!$AW$24</f>
        <v>0</v>
      </c>
      <c r="AM78" s="20">
        <f ca="1">Master_List!$AW$25</f>
        <v>0</v>
      </c>
      <c r="AN78" s="20">
        <f ca="1">Master_List!$AW$26</f>
        <v>0</v>
      </c>
      <c r="AO78" s="20" t="str">
        <f ca="1">Master_List!$AW$27</f>
        <v>LVDB TX2</v>
      </c>
      <c r="AP78" s="20" t="str">
        <f ca="1">Master_List!$AW$28</f>
        <v>SUNPOWER TECHNOLOGIES</v>
      </c>
      <c r="AQ78" s="20" t="str">
        <f ca="1">Master_List!$AW$29</f>
        <v>SPS 30-10 L</v>
      </c>
      <c r="AR78" s="20" t="str">
        <f ca="1">Master_List!$AW$30</f>
        <v>11193-8527</v>
      </c>
      <c r="AS78" s="20">
        <f ca="1">Master_List!$AW$31</f>
        <v>0</v>
      </c>
      <c r="AT78" s="20">
        <f ca="1">Master_List!$AW$32</f>
        <v>0</v>
      </c>
      <c r="AU78" s="20">
        <f ca="1">Master_List!$AW$33</f>
        <v>0</v>
      </c>
      <c r="AV78" s="20">
        <f ca="1">Master_List!$AW$34</f>
        <v>0</v>
      </c>
      <c r="AW78" s="20">
        <f ca="1">Master_List!$AW$35</f>
        <v>0</v>
      </c>
      <c r="AX78" s="20">
        <f ca="1">Master_List!$AW$36</f>
        <v>0</v>
      </c>
      <c r="AY78" s="20">
        <f ca="1">Master_List!$AW$37</f>
        <v>0</v>
      </c>
      <c r="AZ78" s="20">
        <f ca="1">Master_List!$AW$38</f>
        <v>0</v>
      </c>
      <c r="BA78" s="20">
        <f ca="1">Master_List!$AW$39</f>
        <v>0</v>
      </c>
      <c r="BB78" s="20" t="s">
        <v>2240</v>
      </c>
      <c r="BC78" s="20" t="s">
        <v>2241</v>
      </c>
      <c r="BD78" s="6" t="s">
        <v>1744</v>
      </c>
      <c r="BE78" s="6" t="s">
        <v>1789</v>
      </c>
      <c r="BF78" s="6" t="s">
        <v>1746</v>
      </c>
      <c r="BG78" s="6" t="str">
        <f t="shared" si="3"/>
        <v>C:\Users\aremi\Desktop\REPORT CBM\PO 42289580 - Pahang 11kV SECOND CYCLE AZZAD 2026\RAW MATERIAL\047. TNB BARU (IR+VI)\RAW DATA\IR</v>
      </c>
      <c r="BH78" s="24" t="s">
        <v>605</v>
      </c>
    </row>
    <row r="79" spans="1:60" ht="15" customHeight="1" x14ac:dyDescent="0.25">
      <c r="A79" s="6">
        <v>39</v>
      </c>
      <c r="B79" s="6" t="s">
        <v>1574</v>
      </c>
      <c r="C79" s="6">
        <v>1</v>
      </c>
      <c r="D79" s="6" t="s">
        <v>2253</v>
      </c>
      <c r="E79" s="6">
        <v>39</v>
      </c>
      <c r="F79" s="6" t="str">
        <f ca="1">Master_List!$AW$1</f>
        <v>PERPUSTAKAAN PUSAT</v>
      </c>
      <c r="G79" s="27" t="str">
        <f ca="1">Master_List!$AW$2</f>
        <v>09:30 PM</v>
      </c>
      <c r="H79" s="32" t="str">
        <f ca="1">Master_List!$AW$3</f>
        <v>20/07/2026</v>
      </c>
      <c r="I79" s="28" t="str">
        <f ca="1">Master_List!$AW$4</f>
        <v>28.5</v>
      </c>
      <c r="J79" s="6" t="str">
        <f ca="1">Master_List!$AW$5</f>
        <v>65</v>
      </c>
      <c r="K79" s="6" t="s">
        <v>1573</v>
      </c>
      <c r="L79" s="22">
        <v>2</v>
      </c>
      <c r="M79" s="22" t="s">
        <v>2248</v>
      </c>
      <c r="N79" s="25"/>
      <c r="O79" s="25"/>
      <c r="P79" s="25"/>
      <c r="Q79" s="25"/>
      <c r="R79" s="25"/>
      <c r="S79" s="25"/>
      <c r="T79" s="20" t="str">
        <f ca="1">Master_List!$AW$6</f>
        <v>TOSHIBA</v>
      </c>
      <c r="U79" s="20" t="str">
        <f ca="1">Master_List!$AW$7</f>
        <v>MRMU</v>
      </c>
      <c r="V79" s="20" t="str">
        <f ca="1">Master_List!$AW$8</f>
        <v>12kV</v>
      </c>
      <c r="W79" s="20" t="str">
        <f ca="1">Master_List!$AW$9</f>
        <v>2S1F</v>
      </c>
      <c r="X79" s="20" t="str">
        <f ca="1">Master_List!$AW$10</f>
        <v>MTM</v>
      </c>
      <c r="Y79" s="20" t="str">
        <f ca="1">Master_List!$AW$11</f>
        <v>HERMETICALLY SEAL</v>
      </c>
      <c r="Z79" s="20" t="str">
        <f ca="1">Master_List!$AW$12</f>
        <v>750kVA</v>
      </c>
      <c r="AA79" s="20" t="str">
        <f ca="1">Master_List!$AW$13</f>
        <v>1317</v>
      </c>
      <c r="AB79" s="20">
        <f ca="1">Master_List!$AW$14</f>
        <v>0</v>
      </c>
      <c r="AC79" s="20">
        <f ca="1">Master_List!$AW$15</f>
        <v>0</v>
      </c>
      <c r="AD79" s="20">
        <f ca="1">Master_List!$AW$16</f>
        <v>0</v>
      </c>
      <c r="AE79" s="20">
        <f ca="1">Master_List!$AW$17</f>
        <v>0</v>
      </c>
      <c r="AF79" s="20" t="str">
        <f ca="1">Master_List!$AW$18</f>
        <v>INDKOM</v>
      </c>
      <c r="AG79" s="20" t="str">
        <f ca="1">Master_List!$AW$19</f>
        <v>J-SLOTTED</v>
      </c>
      <c r="AH79" s="20" t="str">
        <f ca="1">Master_List!$AW$20</f>
        <v>1600A</v>
      </c>
      <c r="AI79" s="20" t="str">
        <f ca="1">Master_List!$AW$21</f>
        <v>LV5080090</v>
      </c>
      <c r="AJ79" s="20" t="str">
        <f ca="1">Master_List!$AW$22</f>
        <v>LVDB TX1</v>
      </c>
      <c r="AK79" s="20">
        <f ca="1">Master_List!$AW$23</f>
        <v>0</v>
      </c>
      <c r="AL79" s="20">
        <f ca="1">Master_List!$AW$24</f>
        <v>0</v>
      </c>
      <c r="AM79" s="20">
        <f ca="1">Master_List!$AW$25</f>
        <v>0</v>
      </c>
      <c r="AN79" s="20">
        <f ca="1">Master_List!$AW$26</f>
        <v>0</v>
      </c>
      <c r="AO79" s="20" t="str">
        <f ca="1">Master_List!$AW$27</f>
        <v>LVDB TX2</v>
      </c>
      <c r="AP79" s="20" t="str">
        <f ca="1">Master_List!$AW$28</f>
        <v>SUNPOWER TECHNOLOGIES</v>
      </c>
      <c r="AQ79" s="20" t="str">
        <f ca="1">Master_List!$AW$29</f>
        <v>SPS 30-10 L</v>
      </c>
      <c r="AR79" s="20" t="str">
        <f ca="1">Master_List!$AW$30</f>
        <v>11193-8527</v>
      </c>
      <c r="AS79" s="20">
        <f ca="1">Master_List!$AW$31</f>
        <v>0</v>
      </c>
      <c r="AT79" s="20">
        <f ca="1">Master_List!$AW$32</f>
        <v>0</v>
      </c>
      <c r="AU79" s="20">
        <f ca="1">Master_List!$AW$33</f>
        <v>0</v>
      </c>
      <c r="AV79" s="20">
        <f ca="1">Master_List!$AW$34</f>
        <v>0</v>
      </c>
      <c r="AW79" s="20">
        <f ca="1">Master_List!$AW$35</f>
        <v>0</v>
      </c>
      <c r="AX79" s="20">
        <f ca="1">Master_List!$AW$36</f>
        <v>0</v>
      </c>
      <c r="AY79" s="20">
        <f ca="1">Master_List!$AW$37</f>
        <v>0</v>
      </c>
      <c r="AZ79" s="20">
        <f ca="1">Master_List!$AW$38</f>
        <v>0</v>
      </c>
      <c r="BA79" s="20">
        <f ca="1">Master_List!$AW$39</f>
        <v>0</v>
      </c>
      <c r="BB79" s="20" t="s">
        <v>2240</v>
      </c>
      <c r="BC79" s="20" t="s">
        <v>2241</v>
      </c>
      <c r="BD79" s="6" t="s">
        <v>1744</v>
      </c>
      <c r="BE79" s="6" t="s">
        <v>1789</v>
      </c>
      <c r="BF79" s="6" t="s">
        <v>1748</v>
      </c>
      <c r="BG79" s="6" t="str">
        <f t="shared" si="3"/>
        <v>C:\Users\aremi\Desktop\REPORT CBM\PO 42289580 - Pahang 11kV SECOND CYCLE AZZAD 2026\RAW MATERIAL\047. TNB BARU (IR+VI)\RAW DATA\IR</v>
      </c>
      <c r="BH79" s="24" t="s">
        <v>606</v>
      </c>
    </row>
    <row r="80" spans="1:60" ht="15" customHeight="1" x14ac:dyDescent="0.25">
      <c r="A80" s="6">
        <v>40</v>
      </c>
      <c r="B80" s="6" t="s">
        <v>1574</v>
      </c>
      <c r="C80" s="6">
        <v>1</v>
      </c>
      <c r="D80" s="6" t="s">
        <v>2253</v>
      </c>
      <c r="E80" s="6">
        <v>40</v>
      </c>
      <c r="F80" s="6" t="str">
        <f ca="1">Master_List!$AW$1</f>
        <v>PERPUSTAKAAN PUSAT</v>
      </c>
      <c r="G80" s="27" t="str">
        <f ca="1">Master_List!$AW$2</f>
        <v>09:30 PM</v>
      </c>
      <c r="H80" s="32" t="str">
        <f ca="1">Master_List!$AW$3</f>
        <v>20/07/2026</v>
      </c>
      <c r="I80" s="28" t="str">
        <f ca="1">Master_List!$AW$4</f>
        <v>28.5</v>
      </c>
      <c r="J80" s="6" t="str">
        <f ca="1">Master_List!$AW$5</f>
        <v>65</v>
      </c>
      <c r="K80" s="6" t="s">
        <v>1571</v>
      </c>
      <c r="L80" s="22">
        <v>2</v>
      </c>
      <c r="M80" s="22" t="s">
        <v>2250</v>
      </c>
      <c r="N80" s="25"/>
      <c r="O80" s="25"/>
      <c r="P80" s="25"/>
      <c r="Q80" s="25"/>
      <c r="R80" s="25"/>
      <c r="S80" s="25"/>
      <c r="T80" s="20" t="str">
        <f ca="1">Master_List!$AW$6</f>
        <v>TOSHIBA</v>
      </c>
      <c r="U80" s="20" t="str">
        <f ca="1">Master_List!$AW$7</f>
        <v>MRMU</v>
      </c>
      <c r="V80" s="20" t="str">
        <f ca="1">Master_List!$AW$8</f>
        <v>12kV</v>
      </c>
      <c r="W80" s="20" t="str">
        <f ca="1">Master_List!$AW$9</f>
        <v>2S1F</v>
      </c>
      <c r="X80" s="20" t="str">
        <f ca="1">Master_List!$AW$10</f>
        <v>MTM</v>
      </c>
      <c r="Y80" s="20" t="str">
        <f ca="1">Master_List!$AW$11</f>
        <v>HERMETICALLY SEAL</v>
      </c>
      <c r="Z80" s="20" t="str">
        <f ca="1">Master_List!$AW$12</f>
        <v>750kVA</v>
      </c>
      <c r="AA80" s="20" t="str">
        <f ca="1">Master_List!$AW$13</f>
        <v>1317</v>
      </c>
      <c r="AB80" s="20">
        <f ca="1">Master_List!$AW$14</f>
        <v>0</v>
      </c>
      <c r="AC80" s="20">
        <f ca="1">Master_List!$AW$15</f>
        <v>0</v>
      </c>
      <c r="AD80" s="20">
        <f ca="1">Master_List!$AW$16</f>
        <v>0</v>
      </c>
      <c r="AE80" s="20">
        <f ca="1">Master_List!$AW$17</f>
        <v>0</v>
      </c>
      <c r="AF80" s="20" t="str">
        <f ca="1">Master_List!$AW$18</f>
        <v>INDKOM</v>
      </c>
      <c r="AG80" s="20" t="str">
        <f ca="1">Master_List!$AW$19</f>
        <v>J-SLOTTED</v>
      </c>
      <c r="AH80" s="20" t="str">
        <f ca="1">Master_List!$AW$20</f>
        <v>1600A</v>
      </c>
      <c r="AI80" s="20" t="str">
        <f ca="1">Master_List!$AW$21</f>
        <v>LV5080090</v>
      </c>
      <c r="AJ80" s="20" t="str">
        <f ca="1">Master_List!$AW$22</f>
        <v>LVDB TX1</v>
      </c>
      <c r="AK80" s="20">
        <f ca="1">Master_List!$AW$23</f>
        <v>0</v>
      </c>
      <c r="AL80" s="20">
        <f ca="1">Master_List!$AW$24</f>
        <v>0</v>
      </c>
      <c r="AM80" s="20">
        <f ca="1">Master_List!$AW$25</f>
        <v>0</v>
      </c>
      <c r="AN80" s="20">
        <f ca="1">Master_List!$AW$26</f>
        <v>0</v>
      </c>
      <c r="AO80" s="20" t="str">
        <f ca="1">Master_List!$AW$27</f>
        <v>LVDB TX2</v>
      </c>
      <c r="AP80" s="20" t="str">
        <f ca="1">Master_List!$AW$28</f>
        <v>SUNPOWER TECHNOLOGIES</v>
      </c>
      <c r="AQ80" s="20" t="str">
        <f ca="1">Master_List!$AW$29</f>
        <v>SPS 30-10 L</v>
      </c>
      <c r="AR80" s="20" t="str">
        <f ca="1">Master_List!$AW$30</f>
        <v>11193-8527</v>
      </c>
      <c r="AS80" s="20">
        <f ca="1">Master_List!$AW$31</f>
        <v>0</v>
      </c>
      <c r="AT80" s="20">
        <f ca="1">Master_List!$AW$32</f>
        <v>0</v>
      </c>
      <c r="AU80" s="20">
        <f ca="1">Master_List!$AW$33</f>
        <v>0</v>
      </c>
      <c r="AV80" s="20">
        <f ca="1">Master_List!$AW$34</f>
        <v>0</v>
      </c>
      <c r="AW80" s="20">
        <f ca="1">Master_List!$AW$35</f>
        <v>0</v>
      </c>
      <c r="AX80" s="20">
        <f ca="1">Master_List!$AW$36</f>
        <v>0</v>
      </c>
      <c r="AY80" s="20">
        <f ca="1">Master_List!$AW$37</f>
        <v>0</v>
      </c>
      <c r="AZ80" s="20">
        <f ca="1">Master_List!$AW$38</f>
        <v>0</v>
      </c>
      <c r="BA80" s="20">
        <f ca="1">Master_List!$AW$39</f>
        <v>0</v>
      </c>
      <c r="BB80" s="20" t="s">
        <v>2240</v>
      </c>
      <c r="BC80" s="20" t="s">
        <v>2241</v>
      </c>
      <c r="BD80" s="6" t="s">
        <v>1744</v>
      </c>
      <c r="BE80" s="6" t="s">
        <v>1790</v>
      </c>
      <c r="BF80" s="6" t="s">
        <v>1746</v>
      </c>
      <c r="BG80" s="6" t="str">
        <f t="shared" si="3"/>
        <v>C:\Users\aremi\Desktop\REPORT CBM\PO 42289580 - Pahang 11kV SECOND CYCLE AZZAD 2026\RAW MATERIAL\047. TNB BARU (IR+VI)\RAW DATA\IR</v>
      </c>
      <c r="BH80" s="24" t="s">
        <v>607</v>
      </c>
    </row>
    <row r="81" spans="1:60" ht="15" customHeight="1" x14ac:dyDescent="0.25">
      <c r="A81" s="6">
        <v>40</v>
      </c>
      <c r="B81" s="6" t="s">
        <v>1574</v>
      </c>
      <c r="C81" s="6">
        <v>1</v>
      </c>
      <c r="D81" s="6" t="s">
        <v>2253</v>
      </c>
      <c r="E81" s="6">
        <v>40</v>
      </c>
      <c r="F81" s="6" t="str">
        <f ca="1">Master_List!$AW$1</f>
        <v>PERPUSTAKAAN PUSAT</v>
      </c>
      <c r="G81" s="27" t="str">
        <f ca="1">Master_List!$AW$2</f>
        <v>09:30 PM</v>
      </c>
      <c r="H81" s="32" t="str">
        <f ca="1">Master_List!$AW$3</f>
        <v>20/07/2026</v>
      </c>
      <c r="I81" s="28" t="str">
        <f ca="1">Master_List!$AW$4</f>
        <v>28.5</v>
      </c>
      <c r="J81" s="6" t="str">
        <f ca="1">Master_List!$AW$5</f>
        <v>65</v>
      </c>
      <c r="K81" s="6" t="s">
        <v>1571</v>
      </c>
      <c r="L81" s="22">
        <v>2</v>
      </c>
      <c r="M81" s="22" t="s">
        <v>2250</v>
      </c>
      <c r="N81" s="25"/>
      <c r="O81" s="25"/>
      <c r="P81" s="25"/>
      <c r="Q81" s="25"/>
      <c r="R81" s="25"/>
      <c r="S81" s="25"/>
      <c r="T81" s="20" t="str">
        <f ca="1">Master_List!$AW$6</f>
        <v>TOSHIBA</v>
      </c>
      <c r="U81" s="20" t="str">
        <f ca="1">Master_List!$AW$7</f>
        <v>MRMU</v>
      </c>
      <c r="V81" s="20" t="str">
        <f ca="1">Master_List!$AW$8</f>
        <v>12kV</v>
      </c>
      <c r="W81" s="20" t="str">
        <f ca="1">Master_List!$AW$9</f>
        <v>2S1F</v>
      </c>
      <c r="X81" s="20" t="str">
        <f ca="1">Master_List!$AW$10</f>
        <v>MTM</v>
      </c>
      <c r="Y81" s="20" t="str">
        <f ca="1">Master_List!$AW$11</f>
        <v>HERMETICALLY SEAL</v>
      </c>
      <c r="Z81" s="20" t="str">
        <f ca="1">Master_List!$AW$12</f>
        <v>750kVA</v>
      </c>
      <c r="AA81" s="20" t="str">
        <f ca="1">Master_List!$AW$13</f>
        <v>1317</v>
      </c>
      <c r="AB81" s="20">
        <f ca="1">Master_List!$AW$14</f>
        <v>0</v>
      </c>
      <c r="AC81" s="20">
        <f ca="1">Master_List!$AW$15</f>
        <v>0</v>
      </c>
      <c r="AD81" s="20">
        <f ca="1">Master_List!$AW$16</f>
        <v>0</v>
      </c>
      <c r="AE81" s="20">
        <f ca="1">Master_List!$AW$17</f>
        <v>0</v>
      </c>
      <c r="AF81" s="20" t="str">
        <f ca="1">Master_List!$AW$18</f>
        <v>INDKOM</v>
      </c>
      <c r="AG81" s="20" t="str">
        <f ca="1">Master_List!$AW$19</f>
        <v>J-SLOTTED</v>
      </c>
      <c r="AH81" s="20" t="str">
        <f ca="1">Master_List!$AW$20</f>
        <v>1600A</v>
      </c>
      <c r="AI81" s="20" t="str">
        <f ca="1">Master_List!$AW$21</f>
        <v>LV5080090</v>
      </c>
      <c r="AJ81" s="20" t="str">
        <f ca="1">Master_List!$AW$22</f>
        <v>LVDB TX1</v>
      </c>
      <c r="AK81" s="20">
        <f ca="1">Master_List!$AW$23</f>
        <v>0</v>
      </c>
      <c r="AL81" s="20">
        <f ca="1">Master_List!$AW$24</f>
        <v>0</v>
      </c>
      <c r="AM81" s="20">
        <f ca="1">Master_List!$AW$25</f>
        <v>0</v>
      </c>
      <c r="AN81" s="20">
        <f ca="1">Master_List!$AW$26</f>
        <v>0</v>
      </c>
      <c r="AO81" s="20" t="str">
        <f ca="1">Master_List!$AW$27</f>
        <v>LVDB TX2</v>
      </c>
      <c r="AP81" s="20" t="str">
        <f ca="1">Master_List!$AW$28</f>
        <v>SUNPOWER TECHNOLOGIES</v>
      </c>
      <c r="AQ81" s="20" t="str">
        <f ca="1">Master_List!$AW$29</f>
        <v>SPS 30-10 L</v>
      </c>
      <c r="AR81" s="20" t="str">
        <f ca="1">Master_List!$AW$30</f>
        <v>11193-8527</v>
      </c>
      <c r="AS81" s="20">
        <f ca="1">Master_List!$AW$31</f>
        <v>0</v>
      </c>
      <c r="AT81" s="20">
        <f ca="1">Master_List!$AW$32</f>
        <v>0</v>
      </c>
      <c r="AU81" s="20">
        <f ca="1">Master_List!$AW$33</f>
        <v>0</v>
      </c>
      <c r="AV81" s="20">
        <f ca="1">Master_List!$AW$34</f>
        <v>0</v>
      </c>
      <c r="AW81" s="20">
        <f ca="1">Master_List!$AW$35</f>
        <v>0</v>
      </c>
      <c r="AX81" s="20">
        <f ca="1">Master_List!$AW$36</f>
        <v>0</v>
      </c>
      <c r="AY81" s="20">
        <f ca="1">Master_List!$AW$37</f>
        <v>0</v>
      </c>
      <c r="AZ81" s="20">
        <f ca="1">Master_List!$AW$38</f>
        <v>0</v>
      </c>
      <c r="BA81" s="20">
        <f ca="1">Master_List!$AW$39</f>
        <v>0</v>
      </c>
      <c r="BB81" s="20" t="s">
        <v>2240</v>
      </c>
      <c r="BC81" s="20" t="s">
        <v>2241</v>
      </c>
      <c r="BD81" s="6" t="s">
        <v>1744</v>
      </c>
      <c r="BE81" s="6" t="s">
        <v>1790</v>
      </c>
      <c r="BF81" s="6" t="s">
        <v>1748</v>
      </c>
      <c r="BG81" s="6" t="str">
        <f t="shared" si="3"/>
        <v>C:\Users\aremi\Desktop\REPORT CBM\PO 42289580 - Pahang 11kV SECOND CYCLE AZZAD 2026\RAW MATERIAL\047. TNB BARU (IR+VI)\RAW DATA\IR</v>
      </c>
      <c r="BH81" s="24" t="s">
        <v>608</v>
      </c>
    </row>
    <row r="82" spans="1:60" ht="15" customHeight="1" x14ac:dyDescent="0.25">
      <c r="A82" s="6">
        <v>41</v>
      </c>
      <c r="B82" s="6" t="s">
        <v>1574</v>
      </c>
      <c r="C82" s="6">
        <v>1</v>
      </c>
      <c r="D82" s="6" t="s">
        <v>2253</v>
      </c>
      <c r="E82" s="6">
        <v>41</v>
      </c>
      <c r="F82" s="6" t="str">
        <f ca="1">Master_List!$AW$1</f>
        <v>PERPUSTAKAAN PUSAT</v>
      </c>
      <c r="G82" s="27" t="str">
        <f ca="1">Master_List!$AW$2</f>
        <v>09:30 PM</v>
      </c>
      <c r="H82" s="32" t="str">
        <f ca="1">Master_List!$AW$3</f>
        <v>20/07/2026</v>
      </c>
      <c r="I82" s="28" t="str">
        <f ca="1">Master_List!$AW$4</f>
        <v>28.5</v>
      </c>
      <c r="J82" s="6" t="str">
        <f ca="1">Master_List!$AW$5</f>
        <v>65</v>
      </c>
      <c r="K82" s="6" t="s">
        <v>1572</v>
      </c>
      <c r="L82" s="22">
        <v>2</v>
      </c>
      <c r="M82" s="22" t="s">
        <v>2250</v>
      </c>
      <c r="N82" s="25"/>
      <c r="O82" s="25"/>
      <c r="P82" s="25"/>
      <c r="Q82" s="25"/>
      <c r="R82" s="25"/>
      <c r="S82" s="25"/>
      <c r="T82" s="20" t="str">
        <f ca="1">Master_List!$AW$6</f>
        <v>TOSHIBA</v>
      </c>
      <c r="U82" s="20" t="str">
        <f ca="1">Master_List!$AW$7</f>
        <v>MRMU</v>
      </c>
      <c r="V82" s="20" t="str">
        <f ca="1">Master_List!$AW$8</f>
        <v>12kV</v>
      </c>
      <c r="W82" s="20" t="str">
        <f ca="1">Master_List!$AW$9</f>
        <v>2S1F</v>
      </c>
      <c r="X82" s="20" t="str">
        <f ca="1">Master_List!$AW$10</f>
        <v>MTM</v>
      </c>
      <c r="Y82" s="20" t="str">
        <f ca="1">Master_List!$AW$11</f>
        <v>HERMETICALLY SEAL</v>
      </c>
      <c r="Z82" s="20" t="str">
        <f ca="1">Master_List!$AW$12</f>
        <v>750kVA</v>
      </c>
      <c r="AA82" s="20" t="str">
        <f ca="1">Master_List!$AW$13</f>
        <v>1317</v>
      </c>
      <c r="AB82" s="20">
        <f ca="1">Master_List!$AW$14</f>
        <v>0</v>
      </c>
      <c r="AC82" s="20">
        <f ca="1">Master_List!$AW$15</f>
        <v>0</v>
      </c>
      <c r="AD82" s="20">
        <f ca="1">Master_List!$AW$16</f>
        <v>0</v>
      </c>
      <c r="AE82" s="20">
        <f ca="1">Master_List!$AW$17</f>
        <v>0</v>
      </c>
      <c r="AF82" s="20" t="str">
        <f ca="1">Master_List!$AW$18</f>
        <v>INDKOM</v>
      </c>
      <c r="AG82" s="20" t="str">
        <f ca="1">Master_List!$AW$19</f>
        <v>J-SLOTTED</v>
      </c>
      <c r="AH82" s="20" t="str">
        <f ca="1">Master_List!$AW$20</f>
        <v>1600A</v>
      </c>
      <c r="AI82" s="20" t="str">
        <f ca="1">Master_List!$AW$21</f>
        <v>LV5080090</v>
      </c>
      <c r="AJ82" s="20" t="str">
        <f ca="1">Master_List!$AW$22</f>
        <v>LVDB TX1</v>
      </c>
      <c r="AK82" s="20">
        <f ca="1">Master_List!$AW$23</f>
        <v>0</v>
      </c>
      <c r="AL82" s="20">
        <f ca="1">Master_List!$AW$24</f>
        <v>0</v>
      </c>
      <c r="AM82" s="20">
        <f ca="1">Master_List!$AW$25</f>
        <v>0</v>
      </c>
      <c r="AN82" s="20">
        <f ca="1">Master_List!$AW$26</f>
        <v>0</v>
      </c>
      <c r="AO82" s="20" t="str">
        <f ca="1">Master_List!$AW$27</f>
        <v>LVDB TX2</v>
      </c>
      <c r="AP82" s="20" t="str">
        <f ca="1">Master_List!$AW$28</f>
        <v>SUNPOWER TECHNOLOGIES</v>
      </c>
      <c r="AQ82" s="20" t="str">
        <f ca="1">Master_List!$AW$29</f>
        <v>SPS 30-10 L</v>
      </c>
      <c r="AR82" s="20" t="str">
        <f ca="1">Master_List!$AW$30</f>
        <v>11193-8527</v>
      </c>
      <c r="AS82" s="20">
        <f ca="1">Master_List!$AW$31</f>
        <v>0</v>
      </c>
      <c r="AT82" s="20">
        <f ca="1">Master_List!$AW$32</f>
        <v>0</v>
      </c>
      <c r="AU82" s="20">
        <f ca="1">Master_List!$AW$33</f>
        <v>0</v>
      </c>
      <c r="AV82" s="20">
        <f ca="1">Master_List!$AW$34</f>
        <v>0</v>
      </c>
      <c r="AW82" s="20">
        <f ca="1">Master_List!$AW$35</f>
        <v>0</v>
      </c>
      <c r="AX82" s="20">
        <f ca="1">Master_List!$AW$36</f>
        <v>0</v>
      </c>
      <c r="AY82" s="20">
        <f ca="1">Master_List!$AW$37</f>
        <v>0</v>
      </c>
      <c r="AZ82" s="20">
        <f ca="1">Master_List!$AW$38</f>
        <v>0</v>
      </c>
      <c r="BA82" s="20">
        <f ca="1">Master_List!$AW$39</f>
        <v>0</v>
      </c>
      <c r="BB82" s="20" t="s">
        <v>2240</v>
      </c>
      <c r="BC82" s="20" t="s">
        <v>2241</v>
      </c>
      <c r="BD82" s="6" t="s">
        <v>1744</v>
      </c>
      <c r="BE82" s="6" t="s">
        <v>1791</v>
      </c>
      <c r="BF82" s="6" t="s">
        <v>1746</v>
      </c>
      <c r="BG82" s="6" t="str">
        <f t="shared" si="3"/>
        <v>C:\Users\aremi\Desktop\REPORT CBM\PO 42289580 - Pahang 11kV SECOND CYCLE AZZAD 2026\RAW MATERIAL\047. TNB BARU (IR+VI)\RAW DATA\IR</v>
      </c>
      <c r="BH82" s="24" t="s">
        <v>609</v>
      </c>
    </row>
    <row r="83" spans="1:60" ht="15" customHeight="1" x14ac:dyDescent="0.25">
      <c r="A83" s="6">
        <v>41</v>
      </c>
      <c r="B83" s="6" t="s">
        <v>1574</v>
      </c>
      <c r="C83" s="6">
        <v>1</v>
      </c>
      <c r="D83" s="6" t="s">
        <v>2253</v>
      </c>
      <c r="E83" s="6">
        <v>41</v>
      </c>
      <c r="F83" s="6" t="str">
        <f ca="1">Master_List!$AW$1</f>
        <v>PERPUSTAKAAN PUSAT</v>
      </c>
      <c r="G83" s="27" t="str">
        <f ca="1">Master_List!$AW$2</f>
        <v>09:30 PM</v>
      </c>
      <c r="H83" s="32" t="str">
        <f ca="1">Master_List!$AW$3</f>
        <v>20/07/2026</v>
      </c>
      <c r="I83" s="28" t="str">
        <f ca="1">Master_List!$AW$4</f>
        <v>28.5</v>
      </c>
      <c r="J83" s="6" t="str">
        <f ca="1">Master_List!$AW$5</f>
        <v>65</v>
      </c>
      <c r="K83" s="6" t="s">
        <v>1572</v>
      </c>
      <c r="L83" s="22">
        <v>2</v>
      </c>
      <c r="M83" s="22" t="s">
        <v>2250</v>
      </c>
      <c r="N83" s="25"/>
      <c r="O83" s="25"/>
      <c r="P83" s="25"/>
      <c r="Q83" s="25"/>
      <c r="R83" s="25"/>
      <c r="S83" s="25"/>
      <c r="T83" s="20" t="str">
        <f ca="1">Master_List!$AW$6</f>
        <v>TOSHIBA</v>
      </c>
      <c r="U83" s="20" t="str">
        <f ca="1">Master_List!$AW$7</f>
        <v>MRMU</v>
      </c>
      <c r="V83" s="20" t="str">
        <f ca="1">Master_List!$AW$8</f>
        <v>12kV</v>
      </c>
      <c r="W83" s="20" t="str">
        <f ca="1">Master_List!$AW$9</f>
        <v>2S1F</v>
      </c>
      <c r="X83" s="20" t="str">
        <f ca="1">Master_List!$AW$10</f>
        <v>MTM</v>
      </c>
      <c r="Y83" s="20" t="str">
        <f ca="1">Master_List!$AW$11</f>
        <v>HERMETICALLY SEAL</v>
      </c>
      <c r="Z83" s="20" t="str">
        <f ca="1">Master_List!$AW$12</f>
        <v>750kVA</v>
      </c>
      <c r="AA83" s="20" t="str">
        <f ca="1">Master_List!$AW$13</f>
        <v>1317</v>
      </c>
      <c r="AB83" s="20">
        <f ca="1">Master_List!$AW$14</f>
        <v>0</v>
      </c>
      <c r="AC83" s="20">
        <f ca="1">Master_List!$AW$15</f>
        <v>0</v>
      </c>
      <c r="AD83" s="20">
        <f ca="1">Master_List!$AW$16</f>
        <v>0</v>
      </c>
      <c r="AE83" s="20">
        <f ca="1">Master_List!$AW$17</f>
        <v>0</v>
      </c>
      <c r="AF83" s="20" t="str">
        <f ca="1">Master_List!$AW$18</f>
        <v>INDKOM</v>
      </c>
      <c r="AG83" s="20" t="str">
        <f ca="1">Master_List!$AW$19</f>
        <v>J-SLOTTED</v>
      </c>
      <c r="AH83" s="20" t="str">
        <f ca="1">Master_List!$AW$20</f>
        <v>1600A</v>
      </c>
      <c r="AI83" s="20" t="str">
        <f ca="1">Master_List!$AW$21</f>
        <v>LV5080090</v>
      </c>
      <c r="AJ83" s="20" t="str">
        <f ca="1">Master_List!$AW$22</f>
        <v>LVDB TX1</v>
      </c>
      <c r="AK83" s="20">
        <f ca="1">Master_List!$AW$23</f>
        <v>0</v>
      </c>
      <c r="AL83" s="20">
        <f ca="1">Master_List!$AW$24</f>
        <v>0</v>
      </c>
      <c r="AM83" s="20">
        <f ca="1">Master_List!$AW$25</f>
        <v>0</v>
      </c>
      <c r="AN83" s="20">
        <f ca="1">Master_List!$AW$26</f>
        <v>0</v>
      </c>
      <c r="AO83" s="20" t="str">
        <f ca="1">Master_List!$AW$27</f>
        <v>LVDB TX2</v>
      </c>
      <c r="AP83" s="20" t="str">
        <f ca="1">Master_List!$AW$28</f>
        <v>SUNPOWER TECHNOLOGIES</v>
      </c>
      <c r="AQ83" s="20" t="str">
        <f ca="1">Master_List!$AW$29</f>
        <v>SPS 30-10 L</v>
      </c>
      <c r="AR83" s="20" t="str">
        <f ca="1">Master_List!$AW$30</f>
        <v>11193-8527</v>
      </c>
      <c r="AS83" s="20">
        <f ca="1">Master_List!$AW$31</f>
        <v>0</v>
      </c>
      <c r="AT83" s="20">
        <f ca="1">Master_List!$AW$32</f>
        <v>0</v>
      </c>
      <c r="AU83" s="20">
        <f ca="1">Master_List!$AW$33</f>
        <v>0</v>
      </c>
      <c r="AV83" s="20">
        <f ca="1">Master_List!$AW$34</f>
        <v>0</v>
      </c>
      <c r="AW83" s="20">
        <f ca="1">Master_List!$AW$35</f>
        <v>0</v>
      </c>
      <c r="AX83" s="20">
        <f ca="1">Master_List!$AW$36</f>
        <v>0</v>
      </c>
      <c r="AY83" s="20">
        <f ca="1">Master_List!$AW$37</f>
        <v>0</v>
      </c>
      <c r="AZ83" s="20">
        <f ca="1">Master_List!$AW$38</f>
        <v>0</v>
      </c>
      <c r="BA83" s="20">
        <f ca="1">Master_List!$AW$39</f>
        <v>0</v>
      </c>
      <c r="BB83" s="20" t="s">
        <v>2240</v>
      </c>
      <c r="BC83" s="20" t="s">
        <v>2241</v>
      </c>
      <c r="BD83" s="6" t="s">
        <v>1744</v>
      </c>
      <c r="BE83" s="6" t="s">
        <v>1791</v>
      </c>
      <c r="BF83" s="6" t="s">
        <v>1748</v>
      </c>
      <c r="BG83" s="6" t="str">
        <f t="shared" si="3"/>
        <v>C:\Users\aremi\Desktop\REPORT CBM\PO 42289580 - Pahang 11kV SECOND CYCLE AZZAD 2026\RAW MATERIAL\047. TNB BARU (IR+VI)\RAW DATA\IR</v>
      </c>
      <c r="BH83" s="24" t="s">
        <v>610</v>
      </c>
    </row>
    <row r="84" spans="1:60" ht="15" customHeight="1" x14ac:dyDescent="0.25">
      <c r="A84" s="6">
        <v>42</v>
      </c>
      <c r="B84" s="6" t="s">
        <v>1574</v>
      </c>
      <c r="C84" s="6">
        <v>1</v>
      </c>
      <c r="D84" s="6" t="s">
        <v>2253</v>
      </c>
      <c r="E84" s="6">
        <v>42</v>
      </c>
      <c r="F84" s="6" t="str">
        <f ca="1">Master_List!$AW$1</f>
        <v>PERPUSTAKAAN PUSAT</v>
      </c>
      <c r="G84" s="27" t="str">
        <f ca="1">Master_List!$AW$2</f>
        <v>09:30 PM</v>
      </c>
      <c r="H84" s="32" t="str">
        <f ca="1">Master_List!$AW$3</f>
        <v>20/07/2026</v>
      </c>
      <c r="I84" s="28" t="str">
        <f ca="1">Master_List!$AW$4</f>
        <v>28.5</v>
      </c>
      <c r="J84" s="6" t="str">
        <f ca="1">Master_List!$AW$5</f>
        <v>65</v>
      </c>
      <c r="K84" s="6" t="s">
        <v>1573</v>
      </c>
      <c r="L84" s="22">
        <v>2</v>
      </c>
      <c r="M84" s="22" t="s">
        <v>2250</v>
      </c>
      <c r="N84" s="25"/>
      <c r="O84" s="25"/>
      <c r="P84" s="25"/>
      <c r="Q84" s="25"/>
      <c r="R84" s="25"/>
      <c r="S84" s="25"/>
      <c r="T84" s="20" t="str">
        <f ca="1">Master_List!$AW$6</f>
        <v>TOSHIBA</v>
      </c>
      <c r="U84" s="20" t="str">
        <f ca="1">Master_List!$AW$7</f>
        <v>MRMU</v>
      </c>
      <c r="V84" s="20" t="str">
        <f ca="1">Master_List!$AW$8</f>
        <v>12kV</v>
      </c>
      <c r="W84" s="20" t="str">
        <f ca="1">Master_List!$AW$9</f>
        <v>2S1F</v>
      </c>
      <c r="X84" s="20" t="str">
        <f ca="1">Master_List!$AW$10</f>
        <v>MTM</v>
      </c>
      <c r="Y84" s="20" t="str">
        <f ca="1">Master_List!$AW$11</f>
        <v>HERMETICALLY SEAL</v>
      </c>
      <c r="Z84" s="20" t="str">
        <f ca="1">Master_List!$AW$12</f>
        <v>750kVA</v>
      </c>
      <c r="AA84" s="20" t="str">
        <f ca="1">Master_List!$AW$13</f>
        <v>1317</v>
      </c>
      <c r="AB84" s="20">
        <f ca="1">Master_List!$AW$14</f>
        <v>0</v>
      </c>
      <c r="AC84" s="20">
        <f ca="1">Master_List!$AW$15</f>
        <v>0</v>
      </c>
      <c r="AD84" s="20">
        <f ca="1">Master_List!$AW$16</f>
        <v>0</v>
      </c>
      <c r="AE84" s="20">
        <f ca="1">Master_List!$AW$17</f>
        <v>0</v>
      </c>
      <c r="AF84" s="20" t="str">
        <f ca="1">Master_List!$AW$18</f>
        <v>INDKOM</v>
      </c>
      <c r="AG84" s="20" t="str">
        <f ca="1">Master_List!$AW$19</f>
        <v>J-SLOTTED</v>
      </c>
      <c r="AH84" s="20" t="str">
        <f ca="1">Master_List!$AW$20</f>
        <v>1600A</v>
      </c>
      <c r="AI84" s="20" t="str">
        <f ca="1">Master_List!$AW$21</f>
        <v>LV5080090</v>
      </c>
      <c r="AJ84" s="20" t="str">
        <f ca="1">Master_List!$AW$22</f>
        <v>LVDB TX1</v>
      </c>
      <c r="AK84" s="20">
        <f ca="1">Master_List!$AW$23</f>
        <v>0</v>
      </c>
      <c r="AL84" s="20">
        <f ca="1">Master_List!$AW$24</f>
        <v>0</v>
      </c>
      <c r="AM84" s="20">
        <f ca="1">Master_List!$AW$25</f>
        <v>0</v>
      </c>
      <c r="AN84" s="20">
        <f ca="1">Master_List!$AW$26</f>
        <v>0</v>
      </c>
      <c r="AO84" s="20" t="str">
        <f ca="1">Master_List!$AW$27</f>
        <v>LVDB TX2</v>
      </c>
      <c r="AP84" s="20" t="str">
        <f ca="1">Master_List!$AW$28</f>
        <v>SUNPOWER TECHNOLOGIES</v>
      </c>
      <c r="AQ84" s="20" t="str">
        <f ca="1">Master_List!$AW$29</f>
        <v>SPS 30-10 L</v>
      </c>
      <c r="AR84" s="20" t="str">
        <f ca="1">Master_List!$AW$30</f>
        <v>11193-8527</v>
      </c>
      <c r="AS84" s="20">
        <f ca="1">Master_List!$AW$31</f>
        <v>0</v>
      </c>
      <c r="AT84" s="20">
        <f ca="1">Master_List!$AW$32</f>
        <v>0</v>
      </c>
      <c r="AU84" s="20">
        <f ca="1">Master_List!$AW$33</f>
        <v>0</v>
      </c>
      <c r="AV84" s="20">
        <f ca="1">Master_List!$AW$34</f>
        <v>0</v>
      </c>
      <c r="AW84" s="20">
        <f ca="1">Master_List!$AW$35</f>
        <v>0</v>
      </c>
      <c r="AX84" s="20">
        <f ca="1">Master_List!$AW$36</f>
        <v>0</v>
      </c>
      <c r="AY84" s="20">
        <f ca="1">Master_List!$AW$37</f>
        <v>0</v>
      </c>
      <c r="AZ84" s="20">
        <f ca="1">Master_List!$AW$38</f>
        <v>0</v>
      </c>
      <c r="BA84" s="20">
        <f ca="1">Master_List!$AW$39</f>
        <v>0</v>
      </c>
      <c r="BB84" s="20" t="s">
        <v>2240</v>
      </c>
      <c r="BC84" s="20" t="s">
        <v>2241</v>
      </c>
      <c r="BD84" s="6" t="s">
        <v>1744</v>
      </c>
      <c r="BE84" s="6" t="s">
        <v>1792</v>
      </c>
      <c r="BF84" s="6" t="s">
        <v>1746</v>
      </c>
      <c r="BG84" s="6" t="str">
        <f t="shared" si="3"/>
        <v>C:\Users\aremi\Desktop\REPORT CBM\PO 42289580 - Pahang 11kV SECOND CYCLE AZZAD 2026\RAW MATERIAL\047. TNB BARU (IR+VI)\RAW DATA\IR</v>
      </c>
      <c r="BH84" s="24" t="s">
        <v>612</v>
      </c>
    </row>
    <row r="85" spans="1:60" ht="15" customHeight="1" x14ac:dyDescent="0.25">
      <c r="A85" s="6">
        <v>42</v>
      </c>
      <c r="B85" s="6" t="s">
        <v>1574</v>
      </c>
      <c r="C85" s="6">
        <v>1</v>
      </c>
      <c r="D85" s="6" t="s">
        <v>2253</v>
      </c>
      <c r="E85" s="6">
        <v>42</v>
      </c>
      <c r="F85" s="6" t="str">
        <f ca="1">Master_List!$AW$1</f>
        <v>PERPUSTAKAAN PUSAT</v>
      </c>
      <c r="G85" s="27" t="str">
        <f ca="1">Master_List!$AW$2</f>
        <v>09:30 PM</v>
      </c>
      <c r="H85" s="32" t="str">
        <f ca="1">Master_List!$AW$3</f>
        <v>20/07/2026</v>
      </c>
      <c r="I85" s="28" t="str">
        <f ca="1">Master_List!$AW$4</f>
        <v>28.5</v>
      </c>
      <c r="J85" s="6" t="str">
        <f ca="1">Master_List!$AW$5</f>
        <v>65</v>
      </c>
      <c r="K85" s="6" t="s">
        <v>1573</v>
      </c>
      <c r="L85" s="22">
        <v>2</v>
      </c>
      <c r="M85" s="22" t="s">
        <v>2250</v>
      </c>
      <c r="N85" s="25"/>
      <c r="O85" s="25"/>
      <c r="P85" s="25"/>
      <c r="Q85" s="25"/>
      <c r="R85" s="25"/>
      <c r="S85" s="25"/>
      <c r="T85" s="20" t="str">
        <f ca="1">Master_List!$AW$6</f>
        <v>TOSHIBA</v>
      </c>
      <c r="U85" s="20" t="str">
        <f ca="1">Master_List!$AW$7</f>
        <v>MRMU</v>
      </c>
      <c r="V85" s="20" t="str">
        <f ca="1">Master_List!$AW$8</f>
        <v>12kV</v>
      </c>
      <c r="W85" s="20" t="str">
        <f ca="1">Master_List!$AW$9</f>
        <v>2S1F</v>
      </c>
      <c r="X85" s="20" t="str">
        <f ca="1">Master_List!$AW$10</f>
        <v>MTM</v>
      </c>
      <c r="Y85" s="20" t="str">
        <f ca="1">Master_List!$AW$11</f>
        <v>HERMETICALLY SEAL</v>
      </c>
      <c r="Z85" s="20" t="str">
        <f ca="1">Master_List!$AW$12</f>
        <v>750kVA</v>
      </c>
      <c r="AA85" s="20" t="str">
        <f ca="1">Master_List!$AW$13</f>
        <v>1317</v>
      </c>
      <c r="AB85" s="20">
        <f ca="1">Master_List!$AW$14</f>
        <v>0</v>
      </c>
      <c r="AC85" s="20">
        <f ca="1">Master_List!$AW$15</f>
        <v>0</v>
      </c>
      <c r="AD85" s="20">
        <f ca="1">Master_List!$AW$16</f>
        <v>0</v>
      </c>
      <c r="AE85" s="20">
        <f ca="1">Master_List!$AW$17</f>
        <v>0</v>
      </c>
      <c r="AF85" s="20" t="str">
        <f ca="1">Master_List!$AW$18</f>
        <v>INDKOM</v>
      </c>
      <c r="AG85" s="20" t="str">
        <f ca="1">Master_List!$AW$19</f>
        <v>J-SLOTTED</v>
      </c>
      <c r="AH85" s="20" t="str">
        <f ca="1">Master_List!$AW$20</f>
        <v>1600A</v>
      </c>
      <c r="AI85" s="20" t="str">
        <f ca="1">Master_List!$AW$21</f>
        <v>LV5080090</v>
      </c>
      <c r="AJ85" s="20" t="str">
        <f ca="1">Master_List!$AW$22</f>
        <v>LVDB TX1</v>
      </c>
      <c r="AK85" s="20">
        <f ca="1">Master_List!$AW$23</f>
        <v>0</v>
      </c>
      <c r="AL85" s="20">
        <f ca="1">Master_List!$AW$24</f>
        <v>0</v>
      </c>
      <c r="AM85" s="20">
        <f ca="1">Master_List!$AW$25</f>
        <v>0</v>
      </c>
      <c r="AN85" s="20">
        <f ca="1">Master_List!$AW$26</f>
        <v>0</v>
      </c>
      <c r="AO85" s="20" t="str">
        <f ca="1">Master_List!$AW$27</f>
        <v>LVDB TX2</v>
      </c>
      <c r="AP85" s="20" t="str">
        <f ca="1">Master_List!$AW$28</f>
        <v>SUNPOWER TECHNOLOGIES</v>
      </c>
      <c r="AQ85" s="20" t="str">
        <f ca="1">Master_List!$AW$29</f>
        <v>SPS 30-10 L</v>
      </c>
      <c r="AR85" s="20" t="str">
        <f ca="1">Master_List!$AW$30</f>
        <v>11193-8527</v>
      </c>
      <c r="AS85" s="20">
        <f ca="1">Master_List!$AW$31</f>
        <v>0</v>
      </c>
      <c r="AT85" s="20">
        <f ca="1">Master_List!$AW$32</f>
        <v>0</v>
      </c>
      <c r="AU85" s="20">
        <f ca="1">Master_List!$AW$33</f>
        <v>0</v>
      </c>
      <c r="AV85" s="20">
        <f ca="1">Master_List!$AW$34</f>
        <v>0</v>
      </c>
      <c r="AW85" s="20">
        <f ca="1">Master_List!$AW$35</f>
        <v>0</v>
      </c>
      <c r="AX85" s="20">
        <f ca="1">Master_List!$AW$36</f>
        <v>0</v>
      </c>
      <c r="AY85" s="20">
        <f ca="1">Master_List!$AW$37</f>
        <v>0</v>
      </c>
      <c r="AZ85" s="20">
        <f ca="1">Master_List!$AW$38</f>
        <v>0</v>
      </c>
      <c r="BA85" s="20">
        <f ca="1">Master_List!$AW$39</f>
        <v>0</v>
      </c>
      <c r="BB85" s="20" t="s">
        <v>2240</v>
      </c>
      <c r="BC85" s="20" t="s">
        <v>2241</v>
      </c>
      <c r="BD85" s="6" t="s">
        <v>1744</v>
      </c>
      <c r="BE85" s="6" t="s">
        <v>1792</v>
      </c>
      <c r="BF85" s="6" t="s">
        <v>1748</v>
      </c>
      <c r="BG85" s="6" t="str">
        <f t="shared" si="3"/>
        <v>C:\Users\aremi\Desktop\REPORT CBM\PO 42289580 - Pahang 11kV SECOND CYCLE AZZAD 2026\RAW MATERIAL\047. TNB BARU (IR+VI)\RAW DATA\IR</v>
      </c>
      <c r="BH85" s="24" t="s">
        <v>613</v>
      </c>
    </row>
    <row r="86" spans="1:60" ht="15" customHeight="1" x14ac:dyDescent="0.25">
      <c r="A86" s="6">
        <v>43</v>
      </c>
      <c r="B86" s="6" t="s">
        <v>1575</v>
      </c>
      <c r="C86" s="6">
        <v>1</v>
      </c>
      <c r="D86" s="6" t="s">
        <v>2254</v>
      </c>
      <c r="E86" s="6">
        <v>43</v>
      </c>
      <c r="F86" s="6" t="str">
        <f ca="1">Master_List!$AW$1</f>
        <v>PERPUSTAKAAN PUSAT</v>
      </c>
      <c r="G86" s="27" t="str">
        <f ca="1">Master_List!$AW$2</f>
        <v>09:30 PM</v>
      </c>
      <c r="H86" s="32" t="str">
        <f ca="1">Master_List!$AW$3</f>
        <v>20/07/2026</v>
      </c>
      <c r="I86" s="28" t="str">
        <f ca="1">Master_List!$AW$4</f>
        <v>28.5</v>
      </c>
      <c r="J86" s="6" t="str">
        <f ca="1">Master_List!$AW$5</f>
        <v>65</v>
      </c>
      <c r="K86" s="6" t="s">
        <v>1453</v>
      </c>
      <c r="L86" s="22" t="s">
        <v>2246</v>
      </c>
      <c r="M86" s="25"/>
      <c r="N86" s="25"/>
      <c r="O86" s="25"/>
      <c r="P86" s="25"/>
      <c r="Q86" s="25"/>
      <c r="R86" s="25"/>
      <c r="S86" s="25"/>
      <c r="T86" s="20" t="str">
        <f ca="1">Master_List!$AW$6</f>
        <v>TOSHIBA</v>
      </c>
      <c r="U86" s="20" t="str">
        <f ca="1">Master_List!$AW$7</f>
        <v>MRMU</v>
      </c>
      <c r="V86" s="20" t="str">
        <f ca="1">Master_List!$AW$8</f>
        <v>12kV</v>
      </c>
      <c r="W86" s="20" t="str">
        <f ca="1">Master_List!$AW$9</f>
        <v>2S1F</v>
      </c>
      <c r="X86" s="20" t="str">
        <f ca="1">Master_List!$AW$10</f>
        <v>MTM</v>
      </c>
      <c r="Y86" s="20" t="str">
        <f ca="1">Master_List!$AW$11</f>
        <v>HERMETICALLY SEAL</v>
      </c>
      <c r="Z86" s="20" t="str">
        <f ca="1">Master_List!$AW$12</f>
        <v>750kVA</v>
      </c>
      <c r="AA86" s="20" t="str">
        <f ca="1">Master_List!$AW$13</f>
        <v>1317</v>
      </c>
      <c r="AB86" s="20">
        <f ca="1">Master_List!$AW$14</f>
        <v>0</v>
      </c>
      <c r="AC86" s="20">
        <f ca="1">Master_List!$AW$15</f>
        <v>0</v>
      </c>
      <c r="AD86" s="20">
        <f ca="1">Master_List!$AW$16</f>
        <v>0</v>
      </c>
      <c r="AE86" s="20">
        <f ca="1">Master_List!$AW$17</f>
        <v>0</v>
      </c>
      <c r="AF86" s="20" t="str">
        <f ca="1">Master_List!$AW$18</f>
        <v>INDKOM</v>
      </c>
      <c r="AG86" s="20" t="str">
        <f ca="1">Master_List!$AW$19</f>
        <v>J-SLOTTED</v>
      </c>
      <c r="AH86" s="20" t="str">
        <f ca="1">Master_List!$AW$20</f>
        <v>1600A</v>
      </c>
      <c r="AI86" s="20" t="str">
        <f ca="1">Master_List!$AW$21</f>
        <v>LV5080090</v>
      </c>
      <c r="AJ86" s="20" t="str">
        <f ca="1">Master_List!$AW$22</f>
        <v>LVDB TX1</v>
      </c>
      <c r="AK86" s="20">
        <f ca="1">Master_List!$AW$23</f>
        <v>0</v>
      </c>
      <c r="AL86" s="20">
        <f ca="1">Master_List!$AW$24</f>
        <v>0</v>
      </c>
      <c r="AM86" s="20">
        <f ca="1">Master_List!$AW$25</f>
        <v>0</v>
      </c>
      <c r="AN86" s="20">
        <f ca="1">Master_List!$AW$26</f>
        <v>0</v>
      </c>
      <c r="AO86" s="20" t="str">
        <f ca="1">Master_List!$AW$27</f>
        <v>LVDB TX2</v>
      </c>
      <c r="AP86" s="20" t="str">
        <f ca="1">Master_List!$AW$28</f>
        <v>SUNPOWER TECHNOLOGIES</v>
      </c>
      <c r="AQ86" s="20" t="str">
        <f ca="1">Master_List!$AW$29</f>
        <v>SPS 30-10 L</v>
      </c>
      <c r="AR86" s="20" t="str">
        <f ca="1">Master_List!$AW$30</f>
        <v>11193-8527</v>
      </c>
      <c r="AS86" s="20">
        <f ca="1">Master_List!$AW$31</f>
        <v>0</v>
      </c>
      <c r="AT86" s="20">
        <f ca="1">Master_List!$AW$32</f>
        <v>0</v>
      </c>
      <c r="AU86" s="20">
        <f ca="1">Master_List!$AW$33</f>
        <v>0</v>
      </c>
      <c r="AV86" s="20">
        <f ca="1">Master_List!$AW$34</f>
        <v>0</v>
      </c>
      <c r="AW86" s="20">
        <f ca="1">Master_List!$AW$35</f>
        <v>0</v>
      </c>
      <c r="AX86" s="20">
        <f ca="1">Master_List!$AW$36</f>
        <v>0</v>
      </c>
      <c r="AY86" s="20">
        <f ca="1">Master_List!$AW$37</f>
        <v>0</v>
      </c>
      <c r="AZ86" s="20">
        <f ca="1">Master_List!$AW$38</f>
        <v>0</v>
      </c>
      <c r="BA86" s="20">
        <f ca="1">Master_List!$AW$39</f>
        <v>0</v>
      </c>
      <c r="BB86" s="20" t="s">
        <v>2240</v>
      </c>
      <c r="BC86" s="20" t="s">
        <v>2241</v>
      </c>
      <c r="BD86" s="6" t="s">
        <v>1744</v>
      </c>
      <c r="BE86" s="6" t="s">
        <v>1793</v>
      </c>
      <c r="BF86" s="6" t="s">
        <v>1746</v>
      </c>
      <c r="BG86" s="6" t="str">
        <f t="shared" si="3"/>
        <v>C:\Users\aremi\Desktop\REPORT CBM\PO 42289580 - Pahang 11kV SECOND CYCLE AZZAD 2026\RAW MATERIAL\047. TNB BARU (IR+VI)\RAW DATA\IR</v>
      </c>
      <c r="BH86" s="24" t="s">
        <v>614</v>
      </c>
    </row>
    <row r="87" spans="1:60" ht="15" customHeight="1" x14ac:dyDescent="0.25">
      <c r="A87" s="6">
        <v>43</v>
      </c>
      <c r="B87" s="6" t="s">
        <v>1575</v>
      </c>
      <c r="C87" s="6">
        <v>1</v>
      </c>
      <c r="D87" s="6" t="s">
        <v>2254</v>
      </c>
      <c r="E87" s="6">
        <v>43</v>
      </c>
      <c r="F87" s="6" t="str">
        <f ca="1">Master_List!$AW$1</f>
        <v>PERPUSTAKAAN PUSAT</v>
      </c>
      <c r="G87" s="27" t="str">
        <f ca="1">Master_List!$AW$2</f>
        <v>09:30 PM</v>
      </c>
      <c r="H87" s="32" t="str">
        <f ca="1">Master_List!$AW$3</f>
        <v>20/07/2026</v>
      </c>
      <c r="I87" s="28" t="str">
        <f ca="1">Master_List!$AW$4</f>
        <v>28.5</v>
      </c>
      <c r="J87" s="6" t="str">
        <f ca="1">Master_List!$AW$5</f>
        <v>65</v>
      </c>
      <c r="K87" s="6" t="s">
        <v>1453</v>
      </c>
      <c r="L87" s="22" t="s">
        <v>2246</v>
      </c>
      <c r="M87" s="25"/>
      <c r="N87" s="25"/>
      <c r="O87" s="25"/>
      <c r="P87" s="25"/>
      <c r="Q87" s="25"/>
      <c r="R87" s="25"/>
      <c r="S87" s="25"/>
      <c r="T87" s="20" t="str">
        <f ca="1">Master_List!$AW$6</f>
        <v>TOSHIBA</v>
      </c>
      <c r="U87" s="20" t="str">
        <f ca="1">Master_List!$AW$7</f>
        <v>MRMU</v>
      </c>
      <c r="V87" s="20" t="str">
        <f ca="1">Master_List!$AW$8</f>
        <v>12kV</v>
      </c>
      <c r="W87" s="20" t="str">
        <f ca="1">Master_List!$AW$9</f>
        <v>2S1F</v>
      </c>
      <c r="X87" s="20" t="str">
        <f ca="1">Master_List!$AW$10</f>
        <v>MTM</v>
      </c>
      <c r="Y87" s="20" t="str">
        <f ca="1">Master_List!$AW$11</f>
        <v>HERMETICALLY SEAL</v>
      </c>
      <c r="Z87" s="20" t="str">
        <f ca="1">Master_List!$AW$12</f>
        <v>750kVA</v>
      </c>
      <c r="AA87" s="20" t="str">
        <f ca="1">Master_List!$AW$13</f>
        <v>1317</v>
      </c>
      <c r="AB87" s="20">
        <f ca="1">Master_List!$AW$14</f>
        <v>0</v>
      </c>
      <c r="AC87" s="20">
        <f ca="1">Master_List!$AW$15</f>
        <v>0</v>
      </c>
      <c r="AD87" s="20">
        <f ca="1">Master_List!$AW$16</f>
        <v>0</v>
      </c>
      <c r="AE87" s="20">
        <f ca="1">Master_List!$AW$17</f>
        <v>0</v>
      </c>
      <c r="AF87" s="20" t="str">
        <f ca="1">Master_List!$AW$18</f>
        <v>INDKOM</v>
      </c>
      <c r="AG87" s="20" t="str">
        <f ca="1">Master_List!$AW$19</f>
        <v>J-SLOTTED</v>
      </c>
      <c r="AH87" s="20" t="str">
        <f ca="1">Master_List!$AW$20</f>
        <v>1600A</v>
      </c>
      <c r="AI87" s="20" t="str">
        <f ca="1">Master_List!$AW$21</f>
        <v>LV5080090</v>
      </c>
      <c r="AJ87" s="20" t="str">
        <f ca="1">Master_List!$AW$22</f>
        <v>LVDB TX1</v>
      </c>
      <c r="AK87" s="20">
        <f ca="1">Master_List!$AW$23</f>
        <v>0</v>
      </c>
      <c r="AL87" s="20">
        <f ca="1">Master_List!$AW$24</f>
        <v>0</v>
      </c>
      <c r="AM87" s="20">
        <f ca="1">Master_List!$AW$25</f>
        <v>0</v>
      </c>
      <c r="AN87" s="20">
        <f ca="1">Master_List!$AW$26</f>
        <v>0</v>
      </c>
      <c r="AO87" s="20" t="str">
        <f ca="1">Master_List!$AW$27</f>
        <v>LVDB TX2</v>
      </c>
      <c r="AP87" s="20" t="str">
        <f ca="1">Master_List!$AW$28</f>
        <v>SUNPOWER TECHNOLOGIES</v>
      </c>
      <c r="AQ87" s="20" t="str">
        <f ca="1">Master_List!$AW$29</f>
        <v>SPS 30-10 L</v>
      </c>
      <c r="AR87" s="20" t="str">
        <f ca="1">Master_List!$AW$30</f>
        <v>11193-8527</v>
      </c>
      <c r="AS87" s="20">
        <f ca="1">Master_List!$AW$31</f>
        <v>0</v>
      </c>
      <c r="AT87" s="20">
        <f ca="1">Master_List!$AW$32</f>
        <v>0</v>
      </c>
      <c r="AU87" s="20">
        <f ca="1">Master_List!$AW$33</f>
        <v>0</v>
      </c>
      <c r="AV87" s="20">
        <f ca="1">Master_List!$AW$34</f>
        <v>0</v>
      </c>
      <c r="AW87" s="20">
        <f ca="1">Master_List!$AW$35</f>
        <v>0</v>
      </c>
      <c r="AX87" s="20">
        <f ca="1">Master_List!$AW$36</f>
        <v>0</v>
      </c>
      <c r="AY87" s="20">
        <f ca="1">Master_List!$AW$37</f>
        <v>0</v>
      </c>
      <c r="AZ87" s="20">
        <f ca="1">Master_List!$AW$38</f>
        <v>0</v>
      </c>
      <c r="BA87" s="20">
        <f ca="1">Master_List!$AW$39</f>
        <v>0</v>
      </c>
      <c r="BB87" s="20" t="s">
        <v>2240</v>
      </c>
      <c r="BC87" s="20" t="s">
        <v>2241</v>
      </c>
      <c r="BD87" s="6" t="s">
        <v>1744</v>
      </c>
      <c r="BE87" s="6" t="s">
        <v>1793</v>
      </c>
      <c r="BF87" s="6" t="s">
        <v>1748</v>
      </c>
      <c r="BG87" s="6" t="str">
        <f t="shared" si="3"/>
        <v>C:\Users\aremi\Desktop\REPORT CBM\PO 42289580 - Pahang 11kV SECOND CYCLE AZZAD 2026\RAW MATERIAL\047. TNB BARU (IR+VI)\RAW DATA\IR</v>
      </c>
      <c r="BH87" s="24" t="s">
        <v>615</v>
      </c>
    </row>
    <row r="88" spans="1:60" ht="15" customHeight="1" x14ac:dyDescent="0.25">
      <c r="A88" s="6">
        <v>44</v>
      </c>
      <c r="B88" s="6" t="s">
        <v>1576</v>
      </c>
      <c r="C88" s="6">
        <v>1</v>
      </c>
      <c r="D88" s="6" t="s">
        <v>2255</v>
      </c>
      <c r="E88" s="6">
        <v>44</v>
      </c>
      <c r="F88" s="6" t="str">
        <f ca="1">Master_List!$AW$1</f>
        <v>PERPUSTAKAAN PUSAT</v>
      </c>
      <c r="G88" s="27" t="str">
        <f ca="1">Master_List!$AW$2</f>
        <v>09:30 PM</v>
      </c>
      <c r="H88" s="32" t="str">
        <f ca="1">Master_List!$AW$3</f>
        <v>20/07/2026</v>
      </c>
      <c r="I88" s="28" t="str">
        <f ca="1">Master_List!$AW$4</f>
        <v>28.5</v>
      </c>
      <c r="J88" s="6" t="str">
        <f ca="1">Master_List!$AW$5</f>
        <v>65</v>
      </c>
      <c r="K88" s="6" t="s">
        <v>1453</v>
      </c>
      <c r="L88" s="22" t="s">
        <v>2246</v>
      </c>
      <c r="M88" s="25"/>
      <c r="N88" s="25"/>
      <c r="O88" s="25"/>
      <c r="P88" s="25"/>
      <c r="Q88" s="25"/>
      <c r="R88" s="25"/>
      <c r="S88" s="25"/>
      <c r="T88" s="20" t="str">
        <f ca="1">Master_List!$AW$6</f>
        <v>TOSHIBA</v>
      </c>
      <c r="U88" s="20" t="str">
        <f ca="1">Master_List!$AW$7</f>
        <v>MRMU</v>
      </c>
      <c r="V88" s="20" t="str">
        <f ca="1">Master_List!$AW$8</f>
        <v>12kV</v>
      </c>
      <c r="W88" s="20" t="str">
        <f ca="1">Master_List!$AW$9</f>
        <v>2S1F</v>
      </c>
      <c r="X88" s="20" t="str">
        <f ca="1">Master_List!$AW$10</f>
        <v>MTM</v>
      </c>
      <c r="Y88" s="20" t="str">
        <f ca="1">Master_List!$AW$11</f>
        <v>HERMETICALLY SEAL</v>
      </c>
      <c r="Z88" s="20" t="str">
        <f ca="1">Master_List!$AW$12</f>
        <v>750kVA</v>
      </c>
      <c r="AA88" s="20" t="str">
        <f ca="1">Master_List!$AW$13</f>
        <v>1317</v>
      </c>
      <c r="AB88" s="20">
        <f ca="1">Master_List!$AW$14</f>
        <v>0</v>
      </c>
      <c r="AC88" s="20">
        <f ca="1">Master_List!$AW$15</f>
        <v>0</v>
      </c>
      <c r="AD88" s="20">
        <f ca="1">Master_List!$AW$16</f>
        <v>0</v>
      </c>
      <c r="AE88" s="20">
        <f ca="1">Master_List!$AW$17</f>
        <v>0</v>
      </c>
      <c r="AF88" s="20" t="str">
        <f ca="1">Master_List!$AW$18</f>
        <v>INDKOM</v>
      </c>
      <c r="AG88" s="20" t="str">
        <f ca="1">Master_List!$AW$19</f>
        <v>J-SLOTTED</v>
      </c>
      <c r="AH88" s="20" t="str">
        <f ca="1">Master_List!$AW$20</f>
        <v>1600A</v>
      </c>
      <c r="AI88" s="20" t="str">
        <f ca="1">Master_List!$AW$21</f>
        <v>LV5080090</v>
      </c>
      <c r="AJ88" s="20" t="str">
        <f ca="1">Master_List!$AW$22</f>
        <v>LVDB TX1</v>
      </c>
      <c r="AK88" s="20">
        <f ca="1">Master_List!$AW$23</f>
        <v>0</v>
      </c>
      <c r="AL88" s="20">
        <f ca="1">Master_List!$AW$24</f>
        <v>0</v>
      </c>
      <c r="AM88" s="20">
        <f ca="1">Master_List!$AW$25</f>
        <v>0</v>
      </c>
      <c r="AN88" s="20">
        <f ca="1">Master_List!$AW$26</f>
        <v>0</v>
      </c>
      <c r="AO88" s="20" t="str">
        <f ca="1">Master_List!$AW$27</f>
        <v>LVDB TX2</v>
      </c>
      <c r="AP88" s="20" t="str">
        <f ca="1">Master_List!$AW$28</f>
        <v>SUNPOWER TECHNOLOGIES</v>
      </c>
      <c r="AQ88" s="20" t="str">
        <f ca="1">Master_List!$AW$29</f>
        <v>SPS 30-10 L</v>
      </c>
      <c r="AR88" s="20" t="str">
        <f ca="1">Master_List!$AW$30</f>
        <v>11193-8527</v>
      </c>
      <c r="AS88" s="20">
        <f ca="1">Master_List!$AW$31</f>
        <v>0</v>
      </c>
      <c r="AT88" s="20">
        <f ca="1">Master_List!$AW$32</f>
        <v>0</v>
      </c>
      <c r="AU88" s="20">
        <f ca="1">Master_List!$AW$33</f>
        <v>0</v>
      </c>
      <c r="AV88" s="20">
        <f ca="1">Master_List!$AW$34</f>
        <v>0</v>
      </c>
      <c r="AW88" s="20">
        <f ca="1">Master_List!$AW$35</f>
        <v>0</v>
      </c>
      <c r="AX88" s="20">
        <f ca="1">Master_List!$AW$36</f>
        <v>0</v>
      </c>
      <c r="AY88" s="20">
        <f ca="1">Master_List!$AW$37</f>
        <v>0</v>
      </c>
      <c r="AZ88" s="20">
        <f ca="1">Master_List!$AW$38</f>
        <v>0</v>
      </c>
      <c r="BA88" s="20">
        <f ca="1">Master_List!$AW$39</f>
        <v>0</v>
      </c>
      <c r="BB88" s="20" t="s">
        <v>2240</v>
      </c>
      <c r="BC88" s="20" t="s">
        <v>2241</v>
      </c>
      <c r="BD88" s="6" t="s">
        <v>1744</v>
      </c>
      <c r="BE88" s="6" t="s">
        <v>1794</v>
      </c>
      <c r="BF88" s="6" t="s">
        <v>1746</v>
      </c>
      <c r="BG88" s="6" t="str">
        <f t="shared" si="3"/>
        <v>C:\Users\aremi\Desktop\REPORT CBM\PO 42289580 - Pahang 11kV SECOND CYCLE AZZAD 2026\RAW MATERIAL\047. TNB BARU (IR+VI)\RAW DATA\IR</v>
      </c>
      <c r="BH88" s="24" t="s">
        <v>616</v>
      </c>
    </row>
    <row r="89" spans="1:60" ht="15" customHeight="1" x14ac:dyDescent="0.25">
      <c r="A89" s="6">
        <v>44</v>
      </c>
      <c r="B89" s="6" t="s">
        <v>1576</v>
      </c>
      <c r="C89" s="6">
        <v>1</v>
      </c>
      <c r="D89" s="6" t="s">
        <v>2255</v>
      </c>
      <c r="E89" s="6">
        <v>44</v>
      </c>
      <c r="F89" s="6" t="str">
        <f ca="1">Master_List!$AW$1</f>
        <v>PERPUSTAKAAN PUSAT</v>
      </c>
      <c r="G89" s="27" t="str">
        <f ca="1">Master_List!$AW$2</f>
        <v>09:30 PM</v>
      </c>
      <c r="H89" s="32" t="str">
        <f ca="1">Master_List!$AW$3</f>
        <v>20/07/2026</v>
      </c>
      <c r="I89" s="28" t="str">
        <f ca="1">Master_List!$AW$4</f>
        <v>28.5</v>
      </c>
      <c r="J89" s="6" t="str">
        <f ca="1">Master_List!$AW$5</f>
        <v>65</v>
      </c>
      <c r="K89" s="6" t="s">
        <v>1453</v>
      </c>
      <c r="L89" s="22" t="s">
        <v>2246</v>
      </c>
      <c r="M89" s="25"/>
      <c r="N89" s="25"/>
      <c r="O89" s="25"/>
      <c r="P89" s="25"/>
      <c r="Q89" s="25"/>
      <c r="R89" s="25"/>
      <c r="S89" s="25"/>
      <c r="T89" s="20" t="str">
        <f ca="1">Master_List!$AW$6</f>
        <v>TOSHIBA</v>
      </c>
      <c r="U89" s="20" t="str">
        <f ca="1">Master_List!$AW$7</f>
        <v>MRMU</v>
      </c>
      <c r="V89" s="20" t="str">
        <f ca="1">Master_List!$AW$8</f>
        <v>12kV</v>
      </c>
      <c r="W89" s="20" t="str">
        <f ca="1">Master_List!$AW$9</f>
        <v>2S1F</v>
      </c>
      <c r="X89" s="20" t="str">
        <f ca="1">Master_List!$AW$10</f>
        <v>MTM</v>
      </c>
      <c r="Y89" s="20" t="str">
        <f ca="1">Master_List!$AW$11</f>
        <v>HERMETICALLY SEAL</v>
      </c>
      <c r="Z89" s="20" t="str">
        <f ca="1">Master_List!$AW$12</f>
        <v>750kVA</v>
      </c>
      <c r="AA89" s="20" t="str">
        <f ca="1">Master_List!$AW$13</f>
        <v>1317</v>
      </c>
      <c r="AB89" s="20">
        <f ca="1">Master_List!$AW$14</f>
        <v>0</v>
      </c>
      <c r="AC89" s="20">
        <f ca="1">Master_List!$AW$15</f>
        <v>0</v>
      </c>
      <c r="AD89" s="20">
        <f ca="1">Master_List!$AW$16</f>
        <v>0</v>
      </c>
      <c r="AE89" s="20">
        <f ca="1">Master_List!$AW$17</f>
        <v>0</v>
      </c>
      <c r="AF89" s="20" t="str">
        <f ca="1">Master_List!$AW$18</f>
        <v>INDKOM</v>
      </c>
      <c r="AG89" s="20" t="str">
        <f ca="1">Master_List!$AW$19</f>
        <v>J-SLOTTED</v>
      </c>
      <c r="AH89" s="20" t="str">
        <f ca="1">Master_List!$AW$20</f>
        <v>1600A</v>
      </c>
      <c r="AI89" s="20" t="str">
        <f ca="1">Master_List!$AW$21</f>
        <v>LV5080090</v>
      </c>
      <c r="AJ89" s="20" t="str">
        <f ca="1">Master_List!$AW$22</f>
        <v>LVDB TX1</v>
      </c>
      <c r="AK89" s="20">
        <f ca="1">Master_List!$AW$23</f>
        <v>0</v>
      </c>
      <c r="AL89" s="20">
        <f ca="1">Master_List!$AW$24</f>
        <v>0</v>
      </c>
      <c r="AM89" s="20">
        <f ca="1">Master_List!$AW$25</f>
        <v>0</v>
      </c>
      <c r="AN89" s="20">
        <f ca="1">Master_List!$AW$26</f>
        <v>0</v>
      </c>
      <c r="AO89" s="20" t="str">
        <f ca="1">Master_List!$AW$27</f>
        <v>LVDB TX2</v>
      </c>
      <c r="AP89" s="20" t="str">
        <f ca="1">Master_List!$AW$28</f>
        <v>SUNPOWER TECHNOLOGIES</v>
      </c>
      <c r="AQ89" s="20" t="str">
        <f ca="1">Master_List!$AW$29</f>
        <v>SPS 30-10 L</v>
      </c>
      <c r="AR89" s="20" t="str">
        <f ca="1">Master_List!$AW$30</f>
        <v>11193-8527</v>
      </c>
      <c r="AS89" s="20">
        <f ca="1">Master_List!$AW$31</f>
        <v>0</v>
      </c>
      <c r="AT89" s="20">
        <f ca="1">Master_List!$AW$32</f>
        <v>0</v>
      </c>
      <c r="AU89" s="20">
        <f ca="1">Master_List!$AW$33</f>
        <v>0</v>
      </c>
      <c r="AV89" s="20">
        <f ca="1">Master_List!$AW$34</f>
        <v>0</v>
      </c>
      <c r="AW89" s="20">
        <f ca="1">Master_List!$AW$35</f>
        <v>0</v>
      </c>
      <c r="AX89" s="20">
        <f ca="1">Master_List!$AW$36</f>
        <v>0</v>
      </c>
      <c r="AY89" s="20">
        <f ca="1">Master_List!$AW$37</f>
        <v>0</v>
      </c>
      <c r="AZ89" s="20">
        <f ca="1">Master_List!$AW$38</f>
        <v>0</v>
      </c>
      <c r="BA89" s="20">
        <f ca="1">Master_List!$AW$39</f>
        <v>0</v>
      </c>
      <c r="BB89" s="20" t="s">
        <v>2240</v>
      </c>
      <c r="BC89" s="20" t="s">
        <v>2241</v>
      </c>
      <c r="BD89" s="6" t="s">
        <v>1744</v>
      </c>
      <c r="BE89" s="6" t="s">
        <v>1794</v>
      </c>
      <c r="BF89" s="6" t="s">
        <v>1748</v>
      </c>
      <c r="BG89" s="6" t="str">
        <f t="shared" si="3"/>
        <v>C:\Users\aremi\Desktop\REPORT CBM\PO 42289580 - Pahang 11kV SECOND CYCLE AZZAD 2026\RAW MATERIAL\047. TNB BARU (IR+VI)\RAW DATA\IR</v>
      </c>
      <c r="BH89" s="24" t="s">
        <v>617</v>
      </c>
    </row>
    <row r="90" spans="1:60" ht="15" customHeight="1" x14ac:dyDescent="0.25">
      <c r="A90" s="6">
        <v>45</v>
      </c>
      <c r="B90" s="6" t="s">
        <v>1577</v>
      </c>
      <c r="C90" s="6">
        <v>1</v>
      </c>
      <c r="D90" s="21" t="s">
        <v>2256</v>
      </c>
      <c r="E90" s="6">
        <v>45</v>
      </c>
      <c r="F90" s="6" t="str">
        <f ca="1">Master_List!$AW$1</f>
        <v>PERPUSTAKAAN PUSAT</v>
      </c>
      <c r="G90" s="27" t="str">
        <f ca="1">Master_List!$AW$2</f>
        <v>09:30 PM</v>
      </c>
      <c r="H90" s="32" t="str">
        <f ca="1">Master_List!$AW$3</f>
        <v>20/07/2026</v>
      </c>
      <c r="I90" s="28" t="str">
        <f ca="1">Master_List!$AW$4</f>
        <v>28.5</v>
      </c>
      <c r="J90" s="6" t="str">
        <f ca="1">Master_List!$AW$5</f>
        <v>65</v>
      </c>
      <c r="K90" s="6" t="s">
        <v>1453</v>
      </c>
      <c r="L90" s="22" t="s">
        <v>2246</v>
      </c>
      <c r="M90" s="25"/>
      <c r="N90" s="25"/>
      <c r="O90" s="25"/>
      <c r="P90" s="25"/>
      <c r="Q90" s="25"/>
      <c r="R90" s="25"/>
      <c r="S90" s="25"/>
      <c r="T90" s="20" t="str">
        <f ca="1">Master_List!$AW$6</f>
        <v>TOSHIBA</v>
      </c>
      <c r="U90" s="20" t="str">
        <f ca="1">Master_List!$AW$7</f>
        <v>MRMU</v>
      </c>
      <c r="V90" s="20" t="str">
        <f ca="1">Master_List!$AW$8</f>
        <v>12kV</v>
      </c>
      <c r="W90" s="20" t="str">
        <f ca="1">Master_List!$AW$9</f>
        <v>2S1F</v>
      </c>
      <c r="X90" s="20" t="str">
        <f ca="1">Master_List!$AW$10</f>
        <v>MTM</v>
      </c>
      <c r="Y90" s="20" t="str">
        <f ca="1">Master_List!$AW$11</f>
        <v>HERMETICALLY SEAL</v>
      </c>
      <c r="Z90" s="20" t="str">
        <f ca="1">Master_List!$AW$12</f>
        <v>750kVA</v>
      </c>
      <c r="AA90" s="20" t="str">
        <f ca="1">Master_List!$AW$13</f>
        <v>1317</v>
      </c>
      <c r="AB90" s="20">
        <f ca="1">Master_List!$AW$14</f>
        <v>0</v>
      </c>
      <c r="AC90" s="20">
        <f ca="1">Master_List!$AW$15</f>
        <v>0</v>
      </c>
      <c r="AD90" s="20">
        <f ca="1">Master_List!$AW$16</f>
        <v>0</v>
      </c>
      <c r="AE90" s="20">
        <f ca="1">Master_List!$AW$17</f>
        <v>0</v>
      </c>
      <c r="AF90" s="20" t="str">
        <f ca="1">Master_List!$AW$18</f>
        <v>INDKOM</v>
      </c>
      <c r="AG90" s="20" t="str">
        <f ca="1">Master_List!$AW$19</f>
        <v>J-SLOTTED</v>
      </c>
      <c r="AH90" s="20" t="str">
        <f ca="1">Master_List!$AW$20</f>
        <v>1600A</v>
      </c>
      <c r="AI90" s="20" t="str">
        <f ca="1">Master_List!$AW$21</f>
        <v>LV5080090</v>
      </c>
      <c r="AJ90" s="20" t="str">
        <f ca="1">Master_List!$AW$22</f>
        <v>LVDB TX1</v>
      </c>
      <c r="AK90" s="20">
        <f ca="1">Master_List!$AW$23</f>
        <v>0</v>
      </c>
      <c r="AL90" s="20">
        <f ca="1">Master_List!$AW$24</f>
        <v>0</v>
      </c>
      <c r="AM90" s="20">
        <f ca="1">Master_List!$AW$25</f>
        <v>0</v>
      </c>
      <c r="AN90" s="20">
        <f ca="1">Master_List!$AW$26</f>
        <v>0</v>
      </c>
      <c r="AO90" s="20" t="str">
        <f ca="1">Master_List!$AW$27</f>
        <v>LVDB TX2</v>
      </c>
      <c r="AP90" s="20" t="str">
        <f ca="1">Master_List!$AW$28</f>
        <v>SUNPOWER TECHNOLOGIES</v>
      </c>
      <c r="AQ90" s="20" t="str">
        <f ca="1">Master_List!$AW$29</f>
        <v>SPS 30-10 L</v>
      </c>
      <c r="AR90" s="20" t="str">
        <f ca="1">Master_List!$AW$30</f>
        <v>11193-8527</v>
      </c>
      <c r="AS90" s="20">
        <f ca="1">Master_List!$AW$31</f>
        <v>0</v>
      </c>
      <c r="AT90" s="20">
        <f ca="1">Master_List!$AW$32</f>
        <v>0</v>
      </c>
      <c r="AU90" s="20">
        <f ca="1">Master_List!$AW$33</f>
        <v>0</v>
      </c>
      <c r="AV90" s="20">
        <f ca="1">Master_List!$AW$34</f>
        <v>0</v>
      </c>
      <c r="AW90" s="20">
        <f ca="1">Master_List!$AW$35</f>
        <v>0</v>
      </c>
      <c r="AX90" s="20">
        <f ca="1">Master_List!$AW$36</f>
        <v>0</v>
      </c>
      <c r="AY90" s="20">
        <f ca="1">Master_List!$AW$37</f>
        <v>0</v>
      </c>
      <c r="AZ90" s="20">
        <f ca="1">Master_List!$AW$38</f>
        <v>0</v>
      </c>
      <c r="BA90" s="20">
        <f ca="1">Master_List!$AW$39</f>
        <v>0</v>
      </c>
      <c r="BB90" s="20" t="s">
        <v>2240</v>
      </c>
      <c r="BC90" s="20" t="s">
        <v>2241</v>
      </c>
      <c r="BD90" s="6" t="s">
        <v>1744</v>
      </c>
      <c r="BE90" s="6" t="s">
        <v>1795</v>
      </c>
      <c r="BF90" s="6" t="s">
        <v>1746</v>
      </c>
      <c r="BG90" s="6" t="str">
        <f t="shared" si="3"/>
        <v>C:\Users\aremi\Desktop\REPORT CBM\PO 42289580 - Pahang 11kV SECOND CYCLE AZZAD 2026\RAW MATERIAL\047. TNB BARU (IR+VI)\RAW DATA\IR</v>
      </c>
      <c r="BH90" s="24" t="s">
        <v>618</v>
      </c>
    </row>
    <row r="91" spans="1:60" ht="15" customHeight="1" x14ac:dyDescent="0.25">
      <c r="A91" s="6">
        <v>45</v>
      </c>
      <c r="B91" s="6" t="s">
        <v>1577</v>
      </c>
      <c r="C91" s="6">
        <v>1</v>
      </c>
      <c r="D91" s="21" t="s">
        <v>2256</v>
      </c>
      <c r="E91" s="6">
        <v>45</v>
      </c>
      <c r="F91" s="6" t="str">
        <f ca="1">Master_List!$AW$1</f>
        <v>PERPUSTAKAAN PUSAT</v>
      </c>
      <c r="G91" s="27" t="str">
        <f ca="1">Master_List!$AW$2</f>
        <v>09:30 PM</v>
      </c>
      <c r="H91" s="32" t="str">
        <f ca="1">Master_List!$AW$3</f>
        <v>20/07/2026</v>
      </c>
      <c r="I91" s="28" t="str">
        <f ca="1">Master_List!$AW$4</f>
        <v>28.5</v>
      </c>
      <c r="J91" s="6" t="str">
        <f ca="1">Master_List!$AW$5</f>
        <v>65</v>
      </c>
      <c r="K91" s="6" t="s">
        <v>1453</v>
      </c>
      <c r="L91" s="22" t="s">
        <v>2246</v>
      </c>
      <c r="M91" s="25"/>
      <c r="N91" s="25"/>
      <c r="O91" s="25"/>
      <c r="P91" s="25"/>
      <c r="Q91" s="25"/>
      <c r="R91" s="25"/>
      <c r="S91" s="25"/>
      <c r="T91" s="20" t="str">
        <f ca="1">Master_List!$AW$6</f>
        <v>TOSHIBA</v>
      </c>
      <c r="U91" s="20" t="str">
        <f ca="1">Master_List!$AW$7</f>
        <v>MRMU</v>
      </c>
      <c r="V91" s="20" t="str">
        <f ca="1">Master_List!$AW$8</f>
        <v>12kV</v>
      </c>
      <c r="W91" s="20" t="str">
        <f ca="1">Master_List!$AW$9</f>
        <v>2S1F</v>
      </c>
      <c r="X91" s="20" t="str">
        <f ca="1">Master_List!$AW$10</f>
        <v>MTM</v>
      </c>
      <c r="Y91" s="20" t="str">
        <f ca="1">Master_List!$AW$11</f>
        <v>HERMETICALLY SEAL</v>
      </c>
      <c r="Z91" s="20" t="str">
        <f ca="1">Master_List!$AW$12</f>
        <v>750kVA</v>
      </c>
      <c r="AA91" s="20" t="str">
        <f ca="1">Master_List!$AW$13</f>
        <v>1317</v>
      </c>
      <c r="AB91" s="20">
        <f ca="1">Master_List!$AW$14</f>
        <v>0</v>
      </c>
      <c r="AC91" s="20">
        <f ca="1">Master_List!$AW$15</f>
        <v>0</v>
      </c>
      <c r="AD91" s="20">
        <f ca="1">Master_List!$AW$16</f>
        <v>0</v>
      </c>
      <c r="AE91" s="20">
        <f ca="1">Master_List!$AW$17</f>
        <v>0</v>
      </c>
      <c r="AF91" s="20" t="str">
        <f ca="1">Master_List!$AW$18</f>
        <v>INDKOM</v>
      </c>
      <c r="AG91" s="20" t="str">
        <f ca="1">Master_List!$AW$19</f>
        <v>J-SLOTTED</v>
      </c>
      <c r="AH91" s="20" t="str">
        <f ca="1">Master_List!$AW$20</f>
        <v>1600A</v>
      </c>
      <c r="AI91" s="20" t="str">
        <f ca="1">Master_List!$AW$21</f>
        <v>LV5080090</v>
      </c>
      <c r="AJ91" s="20" t="str">
        <f ca="1">Master_List!$AW$22</f>
        <v>LVDB TX1</v>
      </c>
      <c r="AK91" s="20">
        <f ca="1">Master_List!$AW$23</f>
        <v>0</v>
      </c>
      <c r="AL91" s="20">
        <f ca="1">Master_List!$AW$24</f>
        <v>0</v>
      </c>
      <c r="AM91" s="20">
        <f ca="1">Master_List!$AW$25</f>
        <v>0</v>
      </c>
      <c r="AN91" s="20">
        <f ca="1">Master_List!$AW$26</f>
        <v>0</v>
      </c>
      <c r="AO91" s="20" t="str">
        <f ca="1">Master_List!$AW$27</f>
        <v>LVDB TX2</v>
      </c>
      <c r="AP91" s="20" t="str">
        <f ca="1">Master_List!$AW$28</f>
        <v>SUNPOWER TECHNOLOGIES</v>
      </c>
      <c r="AQ91" s="20" t="str">
        <f ca="1">Master_List!$AW$29</f>
        <v>SPS 30-10 L</v>
      </c>
      <c r="AR91" s="20" t="str">
        <f ca="1">Master_List!$AW$30</f>
        <v>11193-8527</v>
      </c>
      <c r="AS91" s="20">
        <f ca="1">Master_List!$AW$31</f>
        <v>0</v>
      </c>
      <c r="AT91" s="20">
        <f ca="1">Master_List!$AW$32</f>
        <v>0</v>
      </c>
      <c r="AU91" s="20">
        <f ca="1">Master_List!$AW$33</f>
        <v>0</v>
      </c>
      <c r="AV91" s="20">
        <f ca="1">Master_List!$AW$34</f>
        <v>0</v>
      </c>
      <c r="AW91" s="20">
        <f ca="1">Master_List!$AW$35</f>
        <v>0</v>
      </c>
      <c r="AX91" s="20">
        <f ca="1">Master_List!$AW$36</f>
        <v>0</v>
      </c>
      <c r="AY91" s="20">
        <f ca="1">Master_List!$AW$37</f>
        <v>0</v>
      </c>
      <c r="AZ91" s="20">
        <f ca="1">Master_List!$AW$38</f>
        <v>0</v>
      </c>
      <c r="BA91" s="20">
        <f ca="1">Master_List!$AW$39</f>
        <v>0</v>
      </c>
      <c r="BB91" s="20" t="s">
        <v>2240</v>
      </c>
      <c r="BC91" s="20" t="s">
        <v>2241</v>
      </c>
      <c r="BD91" s="6" t="s">
        <v>1744</v>
      </c>
      <c r="BE91" s="6" t="s">
        <v>1795</v>
      </c>
      <c r="BF91" s="6" t="s">
        <v>1748</v>
      </c>
      <c r="BG91" s="6" t="str">
        <f t="shared" si="3"/>
        <v>C:\Users\aremi\Desktop\REPORT CBM\PO 42289580 - Pahang 11kV SECOND CYCLE AZZAD 2026\RAW MATERIAL\047. TNB BARU (IR+VI)\RAW DATA\IR</v>
      </c>
      <c r="BH91" s="24" t="s">
        <v>619</v>
      </c>
    </row>
    <row r="92" spans="1:60" ht="15" customHeight="1" x14ac:dyDescent="0.25">
      <c r="A92" s="6">
        <v>46</v>
      </c>
      <c r="B92" s="6" t="s">
        <v>1578</v>
      </c>
      <c r="C92" s="6">
        <v>1</v>
      </c>
      <c r="D92" s="6" t="s">
        <v>2257</v>
      </c>
      <c r="E92" s="6">
        <v>46</v>
      </c>
      <c r="F92" s="6" t="str">
        <f ca="1">Master_List!$AW$1</f>
        <v>PERPUSTAKAAN PUSAT</v>
      </c>
      <c r="G92" s="27" t="str">
        <f ca="1">Master_List!$AW$2</f>
        <v>09:30 PM</v>
      </c>
      <c r="H92" s="32" t="str">
        <f ca="1">Master_List!$AW$3</f>
        <v>20/07/2026</v>
      </c>
      <c r="I92" s="28" t="str">
        <f ca="1">Master_List!$AW$4</f>
        <v>28.5</v>
      </c>
      <c r="J92" s="6" t="str">
        <f ca="1">Master_List!$AW$5</f>
        <v>65</v>
      </c>
      <c r="K92" s="6" t="s">
        <v>1453</v>
      </c>
      <c r="L92" s="22" t="s">
        <v>2246</v>
      </c>
      <c r="M92" s="25"/>
      <c r="N92" s="25"/>
      <c r="O92" s="25"/>
      <c r="P92" s="25"/>
      <c r="Q92" s="25"/>
      <c r="R92" s="25"/>
      <c r="S92" s="25"/>
      <c r="T92" s="20" t="str">
        <f ca="1">Master_List!$AW$6</f>
        <v>TOSHIBA</v>
      </c>
      <c r="U92" s="20" t="str">
        <f ca="1">Master_List!$AW$7</f>
        <v>MRMU</v>
      </c>
      <c r="V92" s="20" t="str">
        <f ca="1">Master_List!$AW$8</f>
        <v>12kV</v>
      </c>
      <c r="W92" s="20" t="str">
        <f ca="1">Master_List!$AW$9</f>
        <v>2S1F</v>
      </c>
      <c r="X92" s="20" t="str">
        <f ca="1">Master_List!$AW$10</f>
        <v>MTM</v>
      </c>
      <c r="Y92" s="20" t="str">
        <f ca="1">Master_List!$AW$11</f>
        <v>HERMETICALLY SEAL</v>
      </c>
      <c r="Z92" s="20" t="str">
        <f ca="1">Master_List!$AW$12</f>
        <v>750kVA</v>
      </c>
      <c r="AA92" s="20" t="str">
        <f ca="1">Master_List!$AW$13</f>
        <v>1317</v>
      </c>
      <c r="AB92" s="20">
        <f ca="1">Master_List!$AW$14</f>
        <v>0</v>
      </c>
      <c r="AC92" s="20">
        <f ca="1">Master_List!$AW$15</f>
        <v>0</v>
      </c>
      <c r="AD92" s="20">
        <f ca="1">Master_List!$AW$16</f>
        <v>0</v>
      </c>
      <c r="AE92" s="20">
        <f ca="1">Master_List!$AW$17</f>
        <v>0</v>
      </c>
      <c r="AF92" s="20" t="str">
        <f ca="1">Master_List!$AW$18</f>
        <v>INDKOM</v>
      </c>
      <c r="AG92" s="20" t="str">
        <f ca="1">Master_List!$AW$19</f>
        <v>J-SLOTTED</v>
      </c>
      <c r="AH92" s="20" t="str">
        <f ca="1">Master_List!$AW$20</f>
        <v>1600A</v>
      </c>
      <c r="AI92" s="20" t="str">
        <f ca="1">Master_List!$AW$21</f>
        <v>LV5080090</v>
      </c>
      <c r="AJ92" s="20" t="str">
        <f ca="1">Master_List!$AW$22</f>
        <v>LVDB TX1</v>
      </c>
      <c r="AK92" s="20">
        <f ca="1">Master_List!$AW$23</f>
        <v>0</v>
      </c>
      <c r="AL92" s="20">
        <f ca="1">Master_List!$AW$24</f>
        <v>0</v>
      </c>
      <c r="AM92" s="20">
        <f ca="1">Master_List!$AW$25</f>
        <v>0</v>
      </c>
      <c r="AN92" s="20">
        <f ca="1">Master_List!$AW$26</f>
        <v>0</v>
      </c>
      <c r="AO92" s="20" t="str">
        <f ca="1">Master_List!$AW$27</f>
        <v>LVDB TX2</v>
      </c>
      <c r="AP92" s="20" t="str">
        <f ca="1">Master_List!$AW$28</f>
        <v>SUNPOWER TECHNOLOGIES</v>
      </c>
      <c r="AQ92" s="20" t="str">
        <f ca="1">Master_List!$AW$29</f>
        <v>SPS 30-10 L</v>
      </c>
      <c r="AR92" s="20" t="str">
        <f ca="1">Master_List!$AW$30</f>
        <v>11193-8527</v>
      </c>
      <c r="AS92" s="20">
        <f ca="1">Master_List!$AW$31</f>
        <v>0</v>
      </c>
      <c r="AT92" s="20">
        <f ca="1">Master_List!$AW$32</f>
        <v>0</v>
      </c>
      <c r="AU92" s="20">
        <f ca="1">Master_List!$AW$33</f>
        <v>0</v>
      </c>
      <c r="AV92" s="20">
        <f ca="1">Master_List!$AW$34</f>
        <v>0</v>
      </c>
      <c r="AW92" s="20">
        <f ca="1">Master_List!$AW$35</f>
        <v>0</v>
      </c>
      <c r="AX92" s="20">
        <f ca="1">Master_List!$AW$36</f>
        <v>0</v>
      </c>
      <c r="AY92" s="20">
        <f ca="1">Master_List!$AW$37</f>
        <v>0</v>
      </c>
      <c r="AZ92" s="20">
        <f ca="1">Master_List!$AW$38</f>
        <v>0</v>
      </c>
      <c r="BA92" s="20">
        <f ca="1">Master_List!$AW$39</f>
        <v>0</v>
      </c>
      <c r="BB92" s="20" t="s">
        <v>2240</v>
      </c>
      <c r="BC92" s="20" t="s">
        <v>2241</v>
      </c>
      <c r="BD92" s="6" t="s">
        <v>1744</v>
      </c>
      <c r="BE92" s="6" t="s">
        <v>1796</v>
      </c>
      <c r="BF92" s="6" t="s">
        <v>1746</v>
      </c>
      <c r="BG92" s="6" t="str">
        <f t="shared" si="3"/>
        <v>C:\Users\aremi\Desktop\REPORT CBM\PO 42289580 - Pahang 11kV SECOND CYCLE AZZAD 2026\RAW MATERIAL\047. TNB BARU (IR+VI)\RAW DATA\IR</v>
      </c>
      <c r="BH92" s="24" t="s">
        <v>620</v>
      </c>
    </row>
    <row r="93" spans="1:60" ht="15" customHeight="1" x14ac:dyDescent="0.25">
      <c r="A93" s="6">
        <v>46</v>
      </c>
      <c r="B93" s="6" t="s">
        <v>1578</v>
      </c>
      <c r="C93" s="6">
        <v>1</v>
      </c>
      <c r="D93" s="6" t="s">
        <v>2257</v>
      </c>
      <c r="E93" s="6">
        <v>46</v>
      </c>
      <c r="F93" s="6" t="str">
        <f ca="1">Master_List!$AW$1</f>
        <v>PERPUSTAKAAN PUSAT</v>
      </c>
      <c r="G93" s="27" t="str">
        <f ca="1">Master_List!$AW$2</f>
        <v>09:30 PM</v>
      </c>
      <c r="H93" s="32" t="str">
        <f ca="1">Master_List!$AW$3</f>
        <v>20/07/2026</v>
      </c>
      <c r="I93" s="28" t="str">
        <f ca="1">Master_List!$AW$4</f>
        <v>28.5</v>
      </c>
      <c r="J93" s="6" t="str">
        <f ca="1">Master_List!$AW$5</f>
        <v>65</v>
      </c>
      <c r="K93" s="6" t="s">
        <v>1453</v>
      </c>
      <c r="L93" s="22" t="s">
        <v>2246</v>
      </c>
      <c r="M93" s="25"/>
      <c r="N93" s="25"/>
      <c r="O93" s="25"/>
      <c r="P93" s="25"/>
      <c r="Q93" s="25"/>
      <c r="R93" s="25"/>
      <c r="S93" s="25"/>
      <c r="T93" s="20" t="str">
        <f ca="1">Master_List!$AW$6</f>
        <v>TOSHIBA</v>
      </c>
      <c r="U93" s="20" t="str">
        <f ca="1">Master_List!$AW$7</f>
        <v>MRMU</v>
      </c>
      <c r="V93" s="20" t="str">
        <f ca="1">Master_List!$AW$8</f>
        <v>12kV</v>
      </c>
      <c r="W93" s="20" t="str">
        <f ca="1">Master_List!$AW$9</f>
        <v>2S1F</v>
      </c>
      <c r="X93" s="20" t="str">
        <f ca="1">Master_List!$AW$10</f>
        <v>MTM</v>
      </c>
      <c r="Y93" s="20" t="str">
        <f ca="1">Master_List!$AW$11</f>
        <v>HERMETICALLY SEAL</v>
      </c>
      <c r="Z93" s="20" t="str">
        <f ca="1">Master_List!$AW$12</f>
        <v>750kVA</v>
      </c>
      <c r="AA93" s="20" t="str">
        <f ca="1">Master_List!$AW$13</f>
        <v>1317</v>
      </c>
      <c r="AB93" s="20">
        <f ca="1">Master_List!$AW$14</f>
        <v>0</v>
      </c>
      <c r="AC93" s="20">
        <f ca="1">Master_List!$AW$15</f>
        <v>0</v>
      </c>
      <c r="AD93" s="20">
        <f ca="1">Master_List!$AW$16</f>
        <v>0</v>
      </c>
      <c r="AE93" s="20">
        <f ca="1">Master_List!$AW$17</f>
        <v>0</v>
      </c>
      <c r="AF93" s="20" t="str">
        <f ca="1">Master_List!$AW$18</f>
        <v>INDKOM</v>
      </c>
      <c r="AG93" s="20" t="str">
        <f ca="1">Master_List!$AW$19</f>
        <v>J-SLOTTED</v>
      </c>
      <c r="AH93" s="20" t="str">
        <f ca="1">Master_List!$AW$20</f>
        <v>1600A</v>
      </c>
      <c r="AI93" s="20" t="str">
        <f ca="1">Master_List!$AW$21</f>
        <v>LV5080090</v>
      </c>
      <c r="AJ93" s="20" t="str">
        <f ca="1">Master_List!$AW$22</f>
        <v>LVDB TX1</v>
      </c>
      <c r="AK93" s="20">
        <f ca="1">Master_List!$AW$23</f>
        <v>0</v>
      </c>
      <c r="AL93" s="20">
        <f ca="1">Master_List!$AW$24</f>
        <v>0</v>
      </c>
      <c r="AM93" s="20">
        <f ca="1">Master_List!$AW$25</f>
        <v>0</v>
      </c>
      <c r="AN93" s="20">
        <f ca="1">Master_List!$AW$26</f>
        <v>0</v>
      </c>
      <c r="AO93" s="20" t="str">
        <f ca="1">Master_List!$AW$27</f>
        <v>LVDB TX2</v>
      </c>
      <c r="AP93" s="20" t="str">
        <f ca="1">Master_List!$AW$28</f>
        <v>SUNPOWER TECHNOLOGIES</v>
      </c>
      <c r="AQ93" s="20" t="str">
        <f ca="1">Master_List!$AW$29</f>
        <v>SPS 30-10 L</v>
      </c>
      <c r="AR93" s="20" t="str">
        <f ca="1">Master_List!$AW$30</f>
        <v>11193-8527</v>
      </c>
      <c r="AS93" s="20">
        <f ca="1">Master_List!$AW$31</f>
        <v>0</v>
      </c>
      <c r="AT93" s="20">
        <f ca="1">Master_List!$AW$32</f>
        <v>0</v>
      </c>
      <c r="AU93" s="20">
        <f ca="1">Master_List!$AW$33</f>
        <v>0</v>
      </c>
      <c r="AV93" s="20">
        <f ca="1">Master_List!$AW$34</f>
        <v>0</v>
      </c>
      <c r="AW93" s="20">
        <f ca="1">Master_List!$AW$35</f>
        <v>0</v>
      </c>
      <c r="AX93" s="20">
        <f ca="1">Master_List!$AW$36</f>
        <v>0</v>
      </c>
      <c r="AY93" s="20">
        <f ca="1">Master_List!$AW$37</f>
        <v>0</v>
      </c>
      <c r="AZ93" s="20">
        <f ca="1">Master_List!$AW$38</f>
        <v>0</v>
      </c>
      <c r="BA93" s="20">
        <f ca="1">Master_List!$AW$39</f>
        <v>0</v>
      </c>
      <c r="BB93" s="20" t="s">
        <v>2240</v>
      </c>
      <c r="BC93" s="20" t="s">
        <v>2241</v>
      </c>
      <c r="BD93" s="6" t="s">
        <v>1744</v>
      </c>
      <c r="BE93" s="6" t="s">
        <v>1796</v>
      </c>
      <c r="BF93" s="6" t="s">
        <v>1748</v>
      </c>
      <c r="BG93" s="6" t="str">
        <f t="shared" si="3"/>
        <v>C:\Users\aremi\Desktop\REPORT CBM\PO 42289580 - Pahang 11kV SECOND CYCLE AZZAD 2026\RAW MATERIAL\047. TNB BARU (IR+VI)\RAW DATA\IR</v>
      </c>
      <c r="BH93" s="24" t="s">
        <v>621</v>
      </c>
    </row>
    <row r="94" spans="1:60" ht="15" customHeight="1" x14ac:dyDescent="0.25">
      <c r="A94" s="6">
        <v>47</v>
      </c>
      <c r="B94" s="6" t="s">
        <v>1519</v>
      </c>
      <c r="C94" s="6">
        <v>1</v>
      </c>
      <c r="D94" s="6" t="s">
        <v>2258</v>
      </c>
      <c r="E94" s="6">
        <v>47</v>
      </c>
      <c r="F94" s="6" t="str">
        <f ca="1">Master_List!$AW$1</f>
        <v>PERPUSTAKAAN PUSAT</v>
      </c>
      <c r="G94" s="27" t="str">
        <f ca="1">Master_List!$AW$2</f>
        <v>09:30 PM</v>
      </c>
      <c r="H94" s="32" t="str">
        <f ca="1">Master_List!$AW$3</f>
        <v>20/07/2026</v>
      </c>
      <c r="I94" s="28" t="str">
        <f ca="1">Master_List!$AW$4</f>
        <v>28.5</v>
      </c>
      <c r="J94" s="6" t="str">
        <f ca="1">Master_List!$AW$5</f>
        <v>65</v>
      </c>
      <c r="K94" s="6" t="s">
        <v>1453</v>
      </c>
      <c r="L94" s="22" t="s">
        <v>2246</v>
      </c>
      <c r="M94" s="25"/>
      <c r="N94" s="25"/>
      <c r="O94" s="25"/>
      <c r="P94" s="25"/>
      <c r="Q94" s="25"/>
      <c r="R94" s="25"/>
      <c r="S94" s="25"/>
      <c r="T94" s="20" t="str">
        <f ca="1">Master_List!$AW$6</f>
        <v>TOSHIBA</v>
      </c>
      <c r="U94" s="20" t="str">
        <f ca="1">Master_List!$AW$7</f>
        <v>MRMU</v>
      </c>
      <c r="V94" s="20" t="str">
        <f ca="1">Master_List!$AW$8</f>
        <v>12kV</v>
      </c>
      <c r="W94" s="20" t="str">
        <f ca="1">Master_List!$AW$9</f>
        <v>2S1F</v>
      </c>
      <c r="X94" s="20" t="str">
        <f ca="1">Master_List!$AW$10</f>
        <v>MTM</v>
      </c>
      <c r="Y94" s="20" t="str">
        <f ca="1">Master_List!$AW$11</f>
        <v>HERMETICALLY SEAL</v>
      </c>
      <c r="Z94" s="20" t="str">
        <f ca="1">Master_List!$AW$12</f>
        <v>750kVA</v>
      </c>
      <c r="AA94" s="20" t="str">
        <f ca="1">Master_List!$AW$13</f>
        <v>1317</v>
      </c>
      <c r="AB94" s="20">
        <f ca="1">Master_List!$AW$14</f>
        <v>0</v>
      </c>
      <c r="AC94" s="20">
        <f ca="1">Master_List!$AW$15</f>
        <v>0</v>
      </c>
      <c r="AD94" s="20">
        <f ca="1">Master_List!$AW$16</f>
        <v>0</v>
      </c>
      <c r="AE94" s="20">
        <f ca="1">Master_List!$AW$17</f>
        <v>0</v>
      </c>
      <c r="AF94" s="20" t="str">
        <f ca="1">Master_List!$AW$18</f>
        <v>INDKOM</v>
      </c>
      <c r="AG94" s="20" t="str">
        <f ca="1">Master_List!$AW$19</f>
        <v>J-SLOTTED</v>
      </c>
      <c r="AH94" s="20" t="str">
        <f ca="1">Master_List!$AW$20</f>
        <v>1600A</v>
      </c>
      <c r="AI94" s="20" t="str">
        <f ca="1">Master_List!$AW$21</f>
        <v>LV5080090</v>
      </c>
      <c r="AJ94" s="20" t="str">
        <f ca="1">Master_List!$AW$22</f>
        <v>LVDB TX1</v>
      </c>
      <c r="AK94" s="20">
        <f ca="1">Master_List!$AW$23</f>
        <v>0</v>
      </c>
      <c r="AL94" s="20">
        <f ca="1">Master_List!$AW$24</f>
        <v>0</v>
      </c>
      <c r="AM94" s="20">
        <f ca="1">Master_List!$AW$25</f>
        <v>0</v>
      </c>
      <c r="AN94" s="20">
        <f ca="1">Master_List!$AW$26</f>
        <v>0</v>
      </c>
      <c r="AO94" s="20" t="str">
        <f ca="1">Master_List!$AW$27</f>
        <v>LVDB TX2</v>
      </c>
      <c r="AP94" s="20" t="str">
        <f ca="1">Master_List!$AW$28</f>
        <v>SUNPOWER TECHNOLOGIES</v>
      </c>
      <c r="AQ94" s="20" t="str">
        <f ca="1">Master_List!$AW$29</f>
        <v>SPS 30-10 L</v>
      </c>
      <c r="AR94" s="20" t="str">
        <f ca="1">Master_List!$AW$30</f>
        <v>11193-8527</v>
      </c>
      <c r="AS94" s="20">
        <f ca="1">Master_List!$AW$31</f>
        <v>0</v>
      </c>
      <c r="AT94" s="20">
        <f ca="1">Master_List!$AW$32</f>
        <v>0</v>
      </c>
      <c r="AU94" s="20">
        <f ca="1">Master_List!$AW$33</f>
        <v>0</v>
      </c>
      <c r="AV94" s="20">
        <f ca="1">Master_List!$AW$34</f>
        <v>0</v>
      </c>
      <c r="AW94" s="20">
        <f ca="1">Master_List!$AW$35</f>
        <v>0</v>
      </c>
      <c r="AX94" s="20">
        <f ca="1">Master_List!$AW$36</f>
        <v>0</v>
      </c>
      <c r="AY94" s="20">
        <f ca="1">Master_List!$AW$37</f>
        <v>0</v>
      </c>
      <c r="AZ94" s="20">
        <f ca="1">Master_List!$AW$38</f>
        <v>0</v>
      </c>
      <c r="BA94" s="20">
        <f ca="1">Master_List!$AW$39</f>
        <v>0</v>
      </c>
      <c r="BB94" s="20" t="s">
        <v>2240</v>
      </c>
      <c r="BC94" s="20" t="s">
        <v>2241</v>
      </c>
      <c r="BD94" s="6" t="s">
        <v>1744</v>
      </c>
      <c r="BE94" s="6" t="s">
        <v>1797</v>
      </c>
      <c r="BF94" s="6" t="s">
        <v>1746</v>
      </c>
      <c r="BG94" s="6" t="str">
        <f t="shared" si="3"/>
        <v>C:\Users\aremi\Desktop\REPORT CBM\PO 42289580 - Pahang 11kV SECOND CYCLE AZZAD 2026\RAW MATERIAL\047. TNB BARU (IR+VI)\RAW DATA\IR</v>
      </c>
      <c r="BH94" s="24" t="s">
        <v>622</v>
      </c>
    </row>
    <row r="95" spans="1:60" ht="15" customHeight="1" x14ac:dyDescent="0.25">
      <c r="A95" s="6">
        <v>47</v>
      </c>
      <c r="B95" s="6" t="s">
        <v>1519</v>
      </c>
      <c r="C95" s="6">
        <v>1</v>
      </c>
      <c r="D95" s="6" t="s">
        <v>2258</v>
      </c>
      <c r="E95" s="6">
        <v>47</v>
      </c>
      <c r="F95" s="6" t="str">
        <f ca="1">Master_List!$AW$1</f>
        <v>PERPUSTAKAAN PUSAT</v>
      </c>
      <c r="G95" s="27" t="str">
        <f ca="1">Master_List!$AW$2</f>
        <v>09:30 PM</v>
      </c>
      <c r="H95" s="32" t="str">
        <f ca="1">Master_List!$AW$3</f>
        <v>20/07/2026</v>
      </c>
      <c r="I95" s="28" t="str">
        <f ca="1">Master_List!$AW$4</f>
        <v>28.5</v>
      </c>
      <c r="J95" s="6" t="str">
        <f ca="1">Master_List!$AW$5</f>
        <v>65</v>
      </c>
      <c r="K95" s="6" t="s">
        <v>1453</v>
      </c>
      <c r="L95" s="22" t="s">
        <v>2246</v>
      </c>
      <c r="M95" s="25"/>
      <c r="N95" s="25"/>
      <c r="O95" s="25"/>
      <c r="P95" s="25"/>
      <c r="Q95" s="25"/>
      <c r="R95" s="25"/>
      <c r="S95" s="25"/>
      <c r="T95" s="20" t="str">
        <f ca="1">Master_List!$AW$6</f>
        <v>TOSHIBA</v>
      </c>
      <c r="U95" s="20" t="str">
        <f ca="1">Master_List!$AW$7</f>
        <v>MRMU</v>
      </c>
      <c r="V95" s="20" t="str">
        <f ca="1">Master_List!$AW$8</f>
        <v>12kV</v>
      </c>
      <c r="W95" s="20" t="str">
        <f ca="1">Master_List!$AW$9</f>
        <v>2S1F</v>
      </c>
      <c r="X95" s="20" t="str">
        <f ca="1">Master_List!$AW$10</f>
        <v>MTM</v>
      </c>
      <c r="Y95" s="20" t="str">
        <f ca="1">Master_List!$AW$11</f>
        <v>HERMETICALLY SEAL</v>
      </c>
      <c r="Z95" s="20" t="str">
        <f ca="1">Master_List!$AW$12</f>
        <v>750kVA</v>
      </c>
      <c r="AA95" s="20" t="str">
        <f ca="1">Master_List!$AW$13</f>
        <v>1317</v>
      </c>
      <c r="AB95" s="20">
        <f ca="1">Master_List!$AW$14</f>
        <v>0</v>
      </c>
      <c r="AC95" s="20">
        <f ca="1">Master_List!$AW$15</f>
        <v>0</v>
      </c>
      <c r="AD95" s="20">
        <f ca="1">Master_List!$AW$16</f>
        <v>0</v>
      </c>
      <c r="AE95" s="20">
        <f ca="1">Master_List!$AW$17</f>
        <v>0</v>
      </c>
      <c r="AF95" s="20" t="str">
        <f ca="1">Master_List!$AW$18</f>
        <v>INDKOM</v>
      </c>
      <c r="AG95" s="20" t="str">
        <f ca="1">Master_List!$AW$19</f>
        <v>J-SLOTTED</v>
      </c>
      <c r="AH95" s="20" t="str">
        <f ca="1">Master_List!$AW$20</f>
        <v>1600A</v>
      </c>
      <c r="AI95" s="20" t="str">
        <f ca="1">Master_List!$AW$21</f>
        <v>LV5080090</v>
      </c>
      <c r="AJ95" s="20" t="str">
        <f ca="1">Master_List!$AW$22</f>
        <v>LVDB TX1</v>
      </c>
      <c r="AK95" s="20">
        <f ca="1">Master_List!$AW$23</f>
        <v>0</v>
      </c>
      <c r="AL95" s="20">
        <f ca="1">Master_List!$AW$24</f>
        <v>0</v>
      </c>
      <c r="AM95" s="20">
        <f ca="1">Master_List!$AW$25</f>
        <v>0</v>
      </c>
      <c r="AN95" s="20">
        <f ca="1">Master_List!$AW$26</f>
        <v>0</v>
      </c>
      <c r="AO95" s="20" t="str">
        <f ca="1">Master_List!$AW$27</f>
        <v>LVDB TX2</v>
      </c>
      <c r="AP95" s="20" t="str">
        <f ca="1">Master_List!$AW$28</f>
        <v>SUNPOWER TECHNOLOGIES</v>
      </c>
      <c r="AQ95" s="20" t="str">
        <f ca="1">Master_List!$AW$29</f>
        <v>SPS 30-10 L</v>
      </c>
      <c r="AR95" s="20" t="str">
        <f ca="1">Master_List!$AW$30</f>
        <v>11193-8527</v>
      </c>
      <c r="AS95" s="20">
        <f ca="1">Master_List!$AW$31</f>
        <v>0</v>
      </c>
      <c r="AT95" s="20">
        <f ca="1">Master_List!$AW$32</f>
        <v>0</v>
      </c>
      <c r="AU95" s="20">
        <f ca="1">Master_List!$AW$33</f>
        <v>0</v>
      </c>
      <c r="AV95" s="20">
        <f ca="1">Master_List!$AW$34</f>
        <v>0</v>
      </c>
      <c r="AW95" s="20">
        <f ca="1">Master_List!$AW$35</f>
        <v>0</v>
      </c>
      <c r="AX95" s="20">
        <f ca="1">Master_List!$AW$36</f>
        <v>0</v>
      </c>
      <c r="AY95" s="20">
        <f ca="1">Master_List!$AW$37</f>
        <v>0</v>
      </c>
      <c r="AZ95" s="20">
        <f ca="1">Master_List!$AW$38</f>
        <v>0</v>
      </c>
      <c r="BA95" s="20">
        <f ca="1">Master_List!$AW$39</f>
        <v>0</v>
      </c>
      <c r="BB95" s="20" t="s">
        <v>2240</v>
      </c>
      <c r="BC95" s="20" t="s">
        <v>2241</v>
      </c>
      <c r="BD95" s="6" t="s">
        <v>1744</v>
      </c>
      <c r="BE95" s="6" t="s">
        <v>1797</v>
      </c>
      <c r="BF95" s="6" t="s">
        <v>1748</v>
      </c>
      <c r="BG95" s="6" t="str">
        <f t="shared" si="3"/>
        <v>C:\Users\aremi\Desktop\REPORT CBM\PO 42289580 - Pahang 11kV SECOND CYCLE AZZAD 2026\RAW MATERIAL\047. TNB BARU (IR+VI)\RAW DATA\IR</v>
      </c>
      <c r="BH95" s="24" t="s">
        <v>623</v>
      </c>
    </row>
    <row r="96" spans="1:60" ht="15" customHeight="1" x14ac:dyDescent="0.25">
      <c r="A96" s="6">
        <v>48</v>
      </c>
      <c r="B96" s="6" t="s">
        <v>1522</v>
      </c>
      <c r="C96" s="6">
        <v>1</v>
      </c>
      <c r="D96" s="6" t="s">
        <v>2259</v>
      </c>
      <c r="E96" s="6">
        <v>48</v>
      </c>
      <c r="F96" s="6" t="str">
        <f ca="1">Master_List!$AW$1</f>
        <v>PERPUSTAKAAN PUSAT</v>
      </c>
      <c r="G96" s="27" t="str">
        <f ca="1">Master_List!$AW$2</f>
        <v>09:30 PM</v>
      </c>
      <c r="H96" s="32" t="str">
        <f ca="1">Master_List!$AW$3</f>
        <v>20/07/2026</v>
      </c>
      <c r="I96" s="28" t="str">
        <f ca="1">Master_List!$AW$4</f>
        <v>28.5</v>
      </c>
      <c r="J96" s="6" t="str">
        <f ca="1">Master_List!$AW$5</f>
        <v>65</v>
      </c>
      <c r="K96" s="6" t="s">
        <v>1453</v>
      </c>
      <c r="L96" s="22" t="s">
        <v>2246</v>
      </c>
      <c r="M96" s="25"/>
      <c r="N96" s="25"/>
      <c r="O96" s="25"/>
      <c r="P96" s="25"/>
      <c r="Q96" s="25"/>
      <c r="R96" s="25"/>
      <c r="S96" s="25"/>
      <c r="T96" s="20" t="str">
        <f ca="1">Master_List!$AW$6</f>
        <v>TOSHIBA</v>
      </c>
      <c r="U96" s="20" t="str">
        <f ca="1">Master_List!$AW$7</f>
        <v>MRMU</v>
      </c>
      <c r="V96" s="20" t="str">
        <f ca="1">Master_List!$AW$8</f>
        <v>12kV</v>
      </c>
      <c r="W96" s="20" t="str">
        <f ca="1">Master_List!$AW$9</f>
        <v>2S1F</v>
      </c>
      <c r="X96" s="20" t="str">
        <f ca="1">Master_List!$AW$10</f>
        <v>MTM</v>
      </c>
      <c r="Y96" s="20" t="str">
        <f ca="1">Master_List!$AW$11</f>
        <v>HERMETICALLY SEAL</v>
      </c>
      <c r="Z96" s="20" t="str">
        <f ca="1">Master_List!$AW$12</f>
        <v>750kVA</v>
      </c>
      <c r="AA96" s="20" t="str">
        <f ca="1">Master_List!$AW$13</f>
        <v>1317</v>
      </c>
      <c r="AB96" s="20">
        <f ca="1">Master_List!$AW$14</f>
        <v>0</v>
      </c>
      <c r="AC96" s="20">
        <f ca="1">Master_List!$AW$15</f>
        <v>0</v>
      </c>
      <c r="AD96" s="20">
        <f ca="1">Master_List!$AW$16</f>
        <v>0</v>
      </c>
      <c r="AE96" s="20">
        <f ca="1">Master_List!$AW$17</f>
        <v>0</v>
      </c>
      <c r="AF96" s="20" t="str">
        <f ca="1">Master_List!$AW$18</f>
        <v>INDKOM</v>
      </c>
      <c r="AG96" s="20" t="str">
        <f ca="1">Master_List!$AW$19</f>
        <v>J-SLOTTED</v>
      </c>
      <c r="AH96" s="20" t="str">
        <f ca="1">Master_List!$AW$20</f>
        <v>1600A</v>
      </c>
      <c r="AI96" s="20" t="str">
        <f ca="1">Master_List!$AW$21</f>
        <v>LV5080090</v>
      </c>
      <c r="AJ96" s="20" t="str">
        <f ca="1">Master_List!$AW$22</f>
        <v>LVDB TX1</v>
      </c>
      <c r="AK96" s="20">
        <f ca="1">Master_List!$AW$23</f>
        <v>0</v>
      </c>
      <c r="AL96" s="20">
        <f ca="1">Master_List!$AW$24</f>
        <v>0</v>
      </c>
      <c r="AM96" s="20">
        <f ca="1">Master_List!$AW$25</f>
        <v>0</v>
      </c>
      <c r="AN96" s="20">
        <f ca="1">Master_List!$AW$26</f>
        <v>0</v>
      </c>
      <c r="AO96" s="20" t="str">
        <f ca="1">Master_List!$AW$27</f>
        <v>LVDB TX2</v>
      </c>
      <c r="AP96" s="20" t="str">
        <f ca="1">Master_List!$AW$28</f>
        <v>SUNPOWER TECHNOLOGIES</v>
      </c>
      <c r="AQ96" s="20" t="str">
        <f ca="1">Master_List!$AW$29</f>
        <v>SPS 30-10 L</v>
      </c>
      <c r="AR96" s="20" t="str">
        <f ca="1">Master_List!$AW$30</f>
        <v>11193-8527</v>
      </c>
      <c r="AS96" s="20">
        <f ca="1">Master_List!$AW$31</f>
        <v>0</v>
      </c>
      <c r="AT96" s="20">
        <f ca="1">Master_List!$AW$32</f>
        <v>0</v>
      </c>
      <c r="AU96" s="20">
        <f ca="1">Master_List!$AW$33</f>
        <v>0</v>
      </c>
      <c r="AV96" s="20">
        <f ca="1">Master_List!$AW$34</f>
        <v>0</v>
      </c>
      <c r="AW96" s="20">
        <f ca="1">Master_List!$AW$35</f>
        <v>0</v>
      </c>
      <c r="AX96" s="20">
        <f ca="1">Master_List!$AW$36</f>
        <v>0</v>
      </c>
      <c r="AY96" s="20">
        <f ca="1">Master_List!$AW$37</f>
        <v>0</v>
      </c>
      <c r="AZ96" s="20">
        <f ca="1">Master_List!$AW$38</f>
        <v>0</v>
      </c>
      <c r="BA96" s="20">
        <f ca="1">Master_List!$AW$39</f>
        <v>0</v>
      </c>
      <c r="BB96" s="20" t="s">
        <v>2240</v>
      </c>
      <c r="BC96" s="20" t="s">
        <v>2241</v>
      </c>
      <c r="BD96" s="6" t="s">
        <v>1744</v>
      </c>
      <c r="BE96" s="6" t="s">
        <v>1798</v>
      </c>
      <c r="BF96" s="6" t="s">
        <v>1746</v>
      </c>
      <c r="BG96" s="6" t="str">
        <f t="shared" si="3"/>
        <v>C:\Users\aremi\Desktop\REPORT CBM\PO 42289580 - Pahang 11kV SECOND CYCLE AZZAD 2026\RAW MATERIAL\047. TNB BARU (IR+VI)\RAW DATA\IR</v>
      </c>
      <c r="BH96" s="24" t="s">
        <v>624</v>
      </c>
    </row>
    <row r="97" spans="1:60" ht="15" customHeight="1" x14ac:dyDescent="0.25">
      <c r="A97" s="6">
        <v>48</v>
      </c>
      <c r="B97" s="6" t="s">
        <v>1522</v>
      </c>
      <c r="C97" s="6">
        <v>1</v>
      </c>
      <c r="D97" s="6" t="s">
        <v>2259</v>
      </c>
      <c r="E97" s="6">
        <v>48</v>
      </c>
      <c r="F97" s="6" t="str">
        <f ca="1">Master_List!$AW$1</f>
        <v>PERPUSTAKAAN PUSAT</v>
      </c>
      <c r="G97" s="27" t="str">
        <f ca="1">Master_List!$AW$2</f>
        <v>09:30 PM</v>
      </c>
      <c r="H97" s="32" t="str">
        <f ca="1">Master_List!$AW$3</f>
        <v>20/07/2026</v>
      </c>
      <c r="I97" s="28" t="str">
        <f ca="1">Master_List!$AW$4</f>
        <v>28.5</v>
      </c>
      <c r="J97" s="6" t="str">
        <f ca="1">Master_List!$AW$5</f>
        <v>65</v>
      </c>
      <c r="K97" s="6" t="s">
        <v>1453</v>
      </c>
      <c r="L97" s="22" t="s">
        <v>2246</v>
      </c>
      <c r="M97" s="25"/>
      <c r="N97" s="25"/>
      <c r="O97" s="25"/>
      <c r="P97" s="25"/>
      <c r="Q97" s="25"/>
      <c r="R97" s="25"/>
      <c r="S97" s="25"/>
      <c r="T97" s="20" t="str">
        <f ca="1">Master_List!$AW$6</f>
        <v>TOSHIBA</v>
      </c>
      <c r="U97" s="20" t="str">
        <f ca="1">Master_List!$AW$7</f>
        <v>MRMU</v>
      </c>
      <c r="V97" s="20" t="str">
        <f ca="1">Master_List!$AW$8</f>
        <v>12kV</v>
      </c>
      <c r="W97" s="20" t="str">
        <f ca="1">Master_List!$AW$9</f>
        <v>2S1F</v>
      </c>
      <c r="X97" s="20" t="str">
        <f ca="1">Master_List!$AW$10</f>
        <v>MTM</v>
      </c>
      <c r="Y97" s="20" t="str">
        <f ca="1">Master_List!$AW$11</f>
        <v>HERMETICALLY SEAL</v>
      </c>
      <c r="Z97" s="20" t="str">
        <f ca="1">Master_List!$AW$12</f>
        <v>750kVA</v>
      </c>
      <c r="AA97" s="20" t="str">
        <f ca="1">Master_List!$AW$13</f>
        <v>1317</v>
      </c>
      <c r="AB97" s="20">
        <f ca="1">Master_List!$AW$14</f>
        <v>0</v>
      </c>
      <c r="AC97" s="20">
        <f ca="1">Master_List!$AW$15</f>
        <v>0</v>
      </c>
      <c r="AD97" s="20">
        <f ca="1">Master_List!$AW$16</f>
        <v>0</v>
      </c>
      <c r="AE97" s="20">
        <f ca="1">Master_List!$AW$17</f>
        <v>0</v>
      </c>
      <c r="AF97" s="20" t="str">
        <f ca="1">Master_List!$AW$18</f>
        <v>INDKOM</v>
      </c>
      <c r="AG97" s="20" t="str">
        <f ca="1">Master_List!$AW$19</f>
        <v>J-SLOTTED</v>
      </c>
      <c r="AH97" s="20" t="str">
        <f ca="1">Master_List!$AW$20</f>
        <v>1600A</v>
      </c>
      <c r="AI97" s="20" t="str">
        <f ca="1">Master_List!$AW$21</f>
        <v>LV5080090</v>
      </c>
      <c r="AJ97" s="20" t="str">
        <f ca="1">Master_List!$AW$22</f>
        <v>LVDB TX1</v>
      </c>
      <c r="AK97" s="20">
        <f ca="1">Master_List!$AW$23</f>
        <v>0</v>
      </c>
      <c r="AL97" s="20">
        <f ca="1">Master_List!$AW$24</f>
        <v>0</v>
      </c>
      <c r="AM97" s="20">
        <f ca="1">Master_List!$AW$25</f>
        <v>0</v>
      </c>
      <c r="AN97" s="20">
        <f ca="1">Master_List!$AW$26</f>
        <v>0</v>
      </c>
      <c r="AO97" s="20" t="str">
        <f ca="1">Master_List!$AW$27</f>
        <v>LVDB TX2</v>
      </c>
      <c r="AP97" s="20" t="str">
        <f ca="1">Master_List!$AW$28</f>
        <v>SUNPOWER TECHNOLOGIES</v>
      </c>
      <c r="AQ97" s="20" t="str">
        <f ca="1">Master_List!$AW$29</f>
        <v>SPS 30-10 L</v>
      </c>
      <c r="AR97" s="20" t="str">
        <f ca="1">Master_List!$AW$30</f>
        <v>11193-8527</v>
      </c>
      <c r="AS97" s="20">
        <f ca="1">Master_List!$AW$31</f>
        <v>0</v>
      </c>
      <c r="AT97" s="20">
        <f ca="1">Master_List!$AW$32</f>
        <v>0</v>
      </c>
      <c r="AU97" s="20">
        <f ca="1">Master_List!$AW$33</f>
        <v>0</v>
      </c>
      <c r="AV97" s="20">
        <f ca="1">Master_List!$AW$34</f>
        <v>0</v>
      </c>
      <c r="AW97" s="20">
        <f ca="1">Master_List!$AW$35</f>
        <v>0</v>
      </c>
      <c r="AX97" s="20">
        <f ca="1">Master_List!$AW$36</f>
        <v>0</v>
      </c>
      <c r="AY97" s="20">
        <f ca="1">Master_List!$AW$37</f>
        <v>0</v>
      </c>
      <c r="AZ97" s="20">
        <f ca="1">Master_List!$AW$38</f>
        <v>0</v>
      </c>
      <c r="BA97" s="20">
        <f ca="1">Master_List!$AW$39</f>
        <v>0</v>
      </c>
      <c r="BB97" s="20" t="s">
        <v>2240</v>
      </c>
      <c r="BC97" s="20" t="s">
        <v>2241</v>
      </c>
      <c r="BD97" s="6" t="s">
        <v>1744</v>
      </c>
      <c r="BE97" s="6" t="s">
        <v>1798</v>
      </c>
      <c r="BF97" s="6" t="s">
        <v>1748</v>
      </c>
      <c r="BG97" s="6" t="str">
        <f t="shared" si="3"/>
        <v>C:\Users\aremi\Desktop\REPORT CBM\PO 42289580 - Pahang 11kV SECOND CYCLE AZZAD 2026\RAW MATERIAL\047. TNB BARU (IR+VI)\RAW DATA\IR</v>
      </c>
      <c r="BH97" s="24" t="s">
        <v>625</v>
      </c>
    </row>
    <row r="98" spans="1:60" ht="15" customHeight="1" x14ac:dyDescent="0.25">
      <c r="A98" s="6">
        <v>49</v>
      </c>
      <c r="B98" s="6" t="s">
        <v>1579</v>
      </c>
      <c r="C98" s="6">
        <v>1</v>
      </c>
      <c r="D98" s="6" t="s">
        <v>2260</v>
      </c>
      <c r="E98" s="6">
        <v>49</v>
      </c>
      <c r="F98" s="6" t="str">
        <f ca="1">Master_List!$AW$1</f>
        <v>PERPUSTAKAAN PUSAT</v>
      </c>
      <c r="G98" s="27" t="str">
        <f ca="1">Master_List!$AW$2</f>
        <v>09:30 PM</v>
      </c>
      <c r="H98" s="32" t="str">
        <f ca="1">Master_List!$AW$3</f>
        <v>20/07/2026</v>
      </c>
      <c r="I98" s="28" t="str">
        <f ca="1">Master_List!$AW$4</f>
        <v>28.5</v>
      </c>
      <c r="J98" s="6" t="str">
        <f ca="1">Master_List!$AW$5</f>
        <v>65</v>
      </c>
      <c r="K98" s="6" t="s">
        <v>1453</v>
      </c>
      <c r="L98" s="22" t="s">
        <v>2246</v>
      </c>
      <c r="M98" s="25"/>
      <c r="N98" s="25"/>
      <c r="O98" s="25"/>
      <c r="P98" s="25"/>
      <c r="Q98" s="25"/>
      <c r="R98" s="25"/>
      <c r="S98" s="25"/>
      <c r="T98" s="20" t="str">
        <f ca="1">Master_List!$AW$6</f>
        <v>TOSHIBA</v>
      </c>
      <c r="U98" s="20" t="str">
        <f ca="1">Master_List!$AW$7</f>
        <v>MRMU</v>
      </c>
      <c r="V98" s="20" t="str">
        <f ca="1">Master_List!$AW$8</f>
        <v>12kV</v>
      </c>
      <c r="W98" s="20" t="str">
        <f ca="1">Master_List!$AW$9</f>
        <v>2S1F</v>
      </c>
      <c r="X98" s="20" t="str">
        <f ca="1">Master_List!$AW$10</f>
        <v>MTM</v>
      </c>
      <c r="Y98" s="20" t="str">
        <f ca="1">Master_List!$AW$11</f>
        <v>HERMETICALLY SEAL</v>
      </c>
      <c r="Z98" s="20" t="str">
        <f ca="1">Master_List!$AW$12</f>
        <v>750kVA</v>
      </c>
      <c r="AA98" s="20" t="str">
        <f ca="1">Master_List!$AW$13</f>
        <v>1317</v>
      </c>
      <c r="AB98" s="20">
        <f ca="1">Master_List!$AW$14</f>
        <v>0</v>
      </c>
      <c r="AC98" s="20">
        <f ca="1">Master_List!$AW$15</f>
        <v>0</v>
      </c>
      <c r="AD98" s="20">
        <f ca="1">Master_List!$AW$16</f>
        <v>0</v>
      </c>
      <c r="AE98" s="20">
        <f ca="1">Master_List!$AW$17</f>
        <v>0</v>
      </c>
      <c r="AF98" s="20" t="str">
        <f ca="1">Master_List!$AW$18</f>
        <v>INDKOM</v>
      </c>
      <c r="AG98" s="20" t="str">
        <f ca="1">Master_List!$AW$19</f>
        <v>J-SLOTTED</v>
      </c>
      <c r="AH98" s="20" t="str">
        <f ca="1">Master_List!$AW$20</f>
        <v>1600A</v>
      </c>
      <c r="AI98" s="20" t="str">
        <f ca="1">Master_List!$AW$21</f>
        <v>LV5080090</v>
      </c>
      <c r="AJ98" s="20" t="str">
        <f ca="1">Master_List!$AW$22</f>
        <v>LVDB TX1</v>
      </c>
      <c r="AK98" s="20">
        <f ca="1">Master_List!$AW$23</f>
        <v>0</v>
      </c>
      <c r="AL98" s="20">
        <f ca="1">Master_List!$AW$24</f>
        <v>0</v>
      </c>
      <c r="AM98" s="20">
        <f ca="1">Master_List!$AW$25</f>
        <v>0</v>
      </c>
      <c r="AN98" s="20">
        <f ca="1">Master_List!$AW$26</f>
        <v>0</v>
      </c>
      <c r="AO98" s="20" t="str">
        <f ca="1">Master_List!$AW$27</f>
        <v>LVDB TX2</v>
      </c>
      <c r="AP98" s="20" t="str">
        <f ca="1">Master_List!$AW$28</f>
        <v>SUNPOWER TECHNOLOGIES</v>
      </c>
      <c r="AQ98" s="20" t="str">
        <f ca="1">Master_List!$AW$29</f>
        <v>SPS 30-10 L</v>
      </c>
      <c r="AR98" s="20" t="str">
        <f ca="1">Master_List!$AW$30</f>
        <v>11193-8527</v>
      </c>
      <c r="AS98" s="20">
        <f ca="1">Master_List!$AW$31</f>
        <v>0</v>
      </c>
      <c r="AT98" s="20">
        <f ca="1">Master_List!$AW$32</f>
        <v>0</v>
      </c>
      <c r="AU98" s="20">
        <f ca="1">Master_List!$AW$33</f>
        <v>0</v>
      </c>
      <c r="AV98" s="20">
        <f ca="1">Master_List!$AW$34</f>
        <v>0</v>
      </c>
      <c r="AW98" s="20">
        <f ca="1">Master_List!$AW$35</f>
        <v>0</v>
      </c>
      <c r="AX98" s="20">
        <f ca="1">Master_List!$AW$36</f>
        <v>0</v>
      </c>
      <c r="AY98" s="20">
        <f ca="1">Master_List!$AW$37</f>
        <v>0</v>
      </c>
      <c r="AZ98" s="20">
        <f ca="1">Master_List!$AW$38</f>
        <v>0</v>
      </c>
      <c r="BA98" s="20">
        <f ca="1">Master_List!$AW$39</f>
        <v>0</v>
      </c>
      <c r="BB98" s="20" t="s">
        <v>2240</v>
      </c>
      <c r="BC98" s="20" t="s">
        <v>2241</v>
      </c>
      <c r="BD98" s="6" t="s">
        <v>1744</v>
      </c>
      <c r="BE98" s="6" t="s">
        <v>1799</v>
      </c>
      <c r="BF98" s="6" t="s">
        <v>1746</v>
      </c>
      <c r="BG98" s="6" t="str">
        <f t="shared" si="3"/>
        <v>C:\Users\aremi\Desktop\REPORT CBM\PO 42289580 - Pahang 11kV SECOND CYCLE AZZAD 2026\RAW MATERIAL\047. TNB BARU (IR+VI)\RAW DATA\IR</v>
      </c>
      <c r="BH98" s="24" t="s">
        <v>626</v>
      </c>
    </row>
    <row r="99" spans="1:60" ht="15" customHeight="1" x14ac:dyDescent="0.25">
      <c r="A99" s="6">
        <v>49</v>
      </c>
      <c r="B99" s="6" t="s">
        <v>1579</v>
      </c>
      <c r="C99" s="6">
        <v>1</v>
      </c>
      <c r="D99" s="6" t="s">
        <v>2260</v>
      </c>
      <c r="E99" s="6">
        <v>49</v>
      </c>
      <c r="F99" s="6" t="str">
        <f ca="1">Master_List!$AW$1</f>
        <v>PERPUSTAKAAN PUSAT</v>
      </c>
      <c r="G99" s="27" t="str">
        <f ca="1">Master_List!$AW$2</f>
        <v>09:30 PM</v>
      </c>
      <c r="H99" s="32" t="str">
        <f ca="1">Master_List!$AW$3</f>
        <v>20/07/2026</v>
      </c>
      <c r="I99" s="28" t="str">
        <f ca="1">Master_List!$AW$4</f>
        <v>28.5</v>
      </c>
      <c r="J99" s="6" t="str">
        <f ca="1">Master_List!$AW$5</f>
        <v>65</v>
      </c>
      <c r="K99" s="6" t="s">
        <v>1453</v>
      </c>
      <c r="L99" s="22" t="s">
        <v>2246</v>
      </c>
      <c r="M99" s="25"/>
      <c r="N99" s="25"/>
      <c r="O99" s="25"/>
      <c r="P99" s="25"/>
      <c r="Q99" s="25"/>
      <c r="R99" s="25"/>
      <c r="S99" s="25"/>
      <c r="T99" s="20" t="str">
        <f ca="1">Master_List!$AW$6</f>
        <v>TOSHIBA</v>
      </c>
      <c r="U99" s="20" t="str">
        <f ca="1">Master_List!$AW$7</f>
        <v>MRMU</v>
      </c>
      <c r="V99" s="20" t="str">
        <f ca="1">Master_List!$AW$8</f>
        <v>12kV</v>
      </c>
      <c r="W99" s="20" t="str">
        <f ca="1">Master_List!$AW$9</f>
        <v>2S1F</v>
      </c>
      <c r="X99" s="20" t="str">
        <f ca="1">Master_List!$AW$10</f>
        <v>MTM</v>
      </c>
      <c r="Y99" s="20" t="str">
        <f ca="1">Master_List!$AW$11</f>
        <v>HERMETICALLY SEAL</v>
      </c>
      <c r="Z99" s="20" t="str">
        <f ca="1">Master_List!$AW$12</f>
        <v>750kVA</v>
      </c>
      <c r="AA99" s="20" t="str">
        <f ca="1">Master_List!$AW$13</f>
        <v>1317</v>
      </c>
      <c r="AB99" s="20">
        <f ca="1">Master_List!$AW$14</f>
        <v>0</v>
      </c>
      <c r="AC99" s="20">
        <f ca="1">Master_List!$AW$15</f>
        <v>0</v>
      </c>
      <c r="AD99" s="20">
        <f ca="1">Master_List!$AW$16</f>
        <v>0</v>
      </c>
      <c r="AE99" s="20">
        <f ca="1">Master_List!$AW$17</f>
        <v>0</v>
      </c>
      <c r="AF99" s="20" t="str">
        <f ca="1">Master_List!$AW$18</f>
        <v>INDKOM</v>
      </c>
      <c r="AG99" s="20" t="str">
        <f ca="1">Master_List!$AW$19</f>
        <v>J-SLOTTED</v>
      </c>
      <c r="AH99" s="20" t="str">
        <f ca="1">Master_List!$AW$20</f>
        <v>1600A</v>
      </c>
      <c r="AI99" s="20" t="str">
        <f ca="1">Master_List!$AW$21</f>
        <v>LV5080090</v>
      </c>
      <c r="AJ99" s="20" t="str">
        <f ca="1">Master_List!$AW$22</f>
        <v>LVDB TX1</v>
      </c>
      <c r="AK99" s="20">
        <f ca="1">Master_List!$AW$23</f>
        <v>0</v>
      </c>
      <c r="AL99" s="20">
        <f ca="1">Master_List!$AW$24</f>
        <v>0</v>
      </c>
      <c r="AM99" s="20">
        <f ca="1">Master_List!$AW$25</f>
        <v>0</v>
      </c>
      <c r="AN99" s="20">
        <f ca="1">Master_List!$AW$26</f>
        <v>0</v>
      </c>
      <c r="AO99" s="20" t="str">
        <f ca="1">Master_List!$AW$27</f>
        <v>LVDB TX2</v>
      </c>
      <c r="AP99" s="20" t="str">
        <f ca="1">Master_List!$AW$28</f>
        <v>SUNPOWER TECHNOLOGIES</v>
      </c>
      <c r="AQ99" s="20" t="str">
        <f ca="1">Master_List!$AW$29</f>
        <v>SPS 30-10 L</v>
      </c>
      <c r="AR99" s="20" t="str">
        <f ca="1">Master_List!$AW$30</f>
        <v>11193-8527</v>
      </c>
      <c r="AS99" s="20">
        <f ca="1">Master_List!$AW$31</f>
        <v>0</v>
      </c>
      <c r="AT99" s="20">
        <f ca="1">Master_List!$AW$32</f>
        <v>0</v>
      </c>
      <c r="AU99" s="20">
        <f ca="1">Master_List!$AW$33</f>
        <v>0</v>
      </c>
      <c r="AV99" s="20">
        <f ca="1">Master_List!$AW$34</f>
        <v>0</v>
      </c>
      <c r="AW99" s="20">
        <f ca="1">Master_List!$AW$35</f>
        <v>0</v>
      </c>
      <c r="AX99" s="20">
        <f ca="1">Master_List!$AW$36</f>
        <v>0</v>
      </c>
      <c r="AY99" s="20">
        <f ca="1">Master_List!$AW$37</f>
        <v>0</v>
      </c>
      <c r="AZ99" s="20">
        <f ca="1">Master_List!$AW$38</f>
        <v>0</v>
      </c>
      <c r="BA99" s="20">
        <f ca="1">Master_List!$AW$39</f>
        <v>0</v>
      </c>
      <c r="BB99" s="20" t="s">
        <v>2240</v>
      </c>
      <c r="BC99" s="20" t="s">
        <v>2241</v>
      </c>
      <c r="BD99" s="6" t="s">
        <v>1744</v>
      </c>
      <c r="BE99" s="6" t="s">
        <v>1799</v>
      </c>
      <c r="BF99" s="6" t="s">
        <v>1748</v>
      </c>
      <c r="BG99" s="6" t="str">
        <f t="shared" si="3"/>
        <v>C:\Users\aremi\Desktop\REPORT CBM\PO 42289580 - Pahang 11kV SECOND CYCLE AZZAD 2026\RAW MATERIAL\047. TNB BARU (IR+VI)\RAW DATA\IR</v>
      </c>
      <c r="BH99" s="24" t="s">
        <v>627</v>
      </c>
    </row>
    <row r="100" spans="1:60" ht="15" customHeight="1" x14ac:dyDescent="0.25">
      <c r="A100" s="6">
        <v>50</v>
      </c>
      <c r="B100" s="6" t="s">
        <v>1580</v>
      </c>
      <c r="C100" s="6">
        <v>1</v>
      </c>
      <c r="D100" s="6" t="s">
        <v>2261</v>
      </c>
      <c r="E100" s="6">
        <v>50</v>
      </c>
      <c r="F100" s="6" t="str">
        <f ca="1">Master_List!$AW$1</f>
        <v>PERPUSTAKAAN PUSAT</v>
      </c>
      <c r="G100" s="27" t="str">
        <f ca="1">Master_List!$AW$2</f>
        <v>09:30 PM</v>
      </c>
      <c r="H100" s="32" t="str">
        <f ca="1">Master_List!$AW$3</f>
        <v>20/07/2026</v>
      </c>
      <c r="I100" s="28" t="str">
        <f ca="1">Master_List!$AW$4</f>
        <v>28.5</v>
      </c>
      <c r="J100" s="6" t="str">
        <f ca="1">Master_List!$AW$5</f>
        <v>65</v>
      </c>
      <c r="K100" s="6" t="s">
        <v>1453</v>
      </c>
      <c r="L100" s="22" t="s">
        <v>2246</v>
      </c>
      <c r="M100" s="25"/>
      <c r="N100" s="25"/>
      <c r="O100" s="25"/>
      <c r="P100" s="25"/>
      <c r="Q100" s="25"/>
      <c r="R100" s="25"/>
      <c r="S100" s="25"/>
      <c r="T100" s="20" t="str">
        <f ca="1">Master_List!$AW$6</f>
        <v>TOSHIBA</v>
      </c>
      <c r="U100" s="20" t="str">
        <f ca="1">Master_List!$AW$7</f>
        <v>MRMU</v>
      </c>
      <c r="V100" s="20" t="str">
        <f ca="1">Master_List!$AW$8</f>
        <v>12kV</v>
      </c>
      <c r="W100" s="20" t="str">
        <f ca="1">Master_List!$AW$9</f>
        <v>2S1F</v>
      </c>
      <c r="X100" s="20" t="str">
        <f ca="1">Master_List!$AW$10</f>
        <v>MTM</v>
      </c>
      <c r="Y100" s="20" t="str">
        <f ca="1">Master_List!$AW$11</f>
        <v>HERMETICALLY SEAL</v>
      </c>
      <c r="Z100" s="20" t="str">
        <f ca="1">Master_List!$AW$12</f>
        <v>750kVA</v>
      </c>
      <c r="AA100" s="20" t="str">
        <f ca="1">Master_List!$AW$13</f>
        <v>1317</v>
      </c>
      <c r="AB100" s="20">
        <f ca="1">Master_List!$AW$14</f>
        <v>0</v>
      </c>
      <c r="AC100" s="20">
        <f ca="1">Master_List!$AW$15</f>
        <v>0</v>
      </c>
      <c r="AD100" s="20">
        <f ca="1">Master_List!$AW$16</f>
        <v>0</v>
      </c>
      <c r="AE100" s="20">
        <f ca="1">Master_List!$AW$17</f>
        <v>0</v>
      </c>
      <c r="AF100" s="20" t="str">
        <f ca="1">Master_List!$AW$18</f>
        <v>INDKOM</v>
      </c>
      <c r="AG100" s="20" t="str">
        <f ca="1">Master_List!$AW$19</f>
        <v>J-SLOTTED</v>
      </c>
      <c r="AH100" s="20" t="str">
        <f ca="1">Master_List!$AW$20</f>
        <v>1600A</v>
      </c>
      <c r="AI100" s="20" t="str">
        <f ca="1">Master_List!$AW$21</f>
        <v>LV5080090</v>
      </c>
      <c r="AJ100" s="20" t="str">
        <f ca="1">Master_List!$AW$22</f>
        <v>LVDB TX1</v>
      </c>
      <c r="AK100" s="20">
        <f ca="1">Master_List!$AW$23</f>
        <v>0</v>
      </c>
      <c r="AL100" s="20">
        <f ca="1">Master_List!$AW$24</f>
        <v>0</v>
      </c>
      <c r="AM100" s="20">
        <f ca="1">Master_List!$AW$25</f>
        <v>0</v>
      </c>
      <c r="AN100" s="20">
        <f ca="1">Master_List!$AW$26</f>
        <v>0</v>
      </c>
      <c r="AO100" s="20" t="str">
        <f ca="1">Master_List!$AW$27</f>
        <v>LVDB TX2</v>
      </c>
      <c r="AP100" s="20" t="str">
        <f ca="1">Master_List!$AW$28</f>
        <v>SUNPOWER TECHNOLOGIES</v>
      </c>
      <c r="AQ100" s="20" t="str">
        <f ca="1">Master_List!$AW$29</f>
        <v>SPS 30-10 L</v>
      </c>
      <c r="AR100" s="20" t="str">
        <f ca="1">Master_List!$AW$30</f>
        <v>11193-8527</v>
      </c>
      <c r="AS100" s="20">
        <f ca="1">Master_List!$AW$31</f>
        <v>0</v>
      </c>
      <c r="AT100" s="20">
        <f ca="1">Master_List!$AW$32</f>
        <v>0</v>
      </c>
      <c r="AU100" s="20">
        <f ca="1">Master_List!$AW$33</f>
        <v>0</v>
      </c>
      <c r="AV100" s="20">
        <f ca="1">Master_List!$AW$34</f>
        <v>0</v>
      </c>
      <c r="AW100" s="20">
        <f ca="1">Master_List!$AW$35</f>
        <v>0</v>
      </c>
      <c r="AX100" s="20">
        <f ca="1">Master_List!$AW$36</f>
        <v>0</v>
      </c>
      <c r="AY100" s="20">
        <f ca="1">Master_List!$AW$37</f>
        <v>0</v>
      </c>
      <c r="AZ100" s="20">
        <f ca="1">Master_List!$AW$38</f>
        <v>0</v>
      </c>
      <c r="BA100" s="20">
        <f ca="1">Master_List!$AW$39</f>
        <v>0</v>
      </c>
      <c r="BB100" s="20" t="s">
        <v>2240</v>
      </c>
      <c r="BC100" s="20" t="s">
        <v>2241</v>
      </c>
      <c r="BD100" s="6" t="s">
        <v>1744</v>
      </c>
      <c r="BE100" s="6" t="s">
        <v>1800</v>
      </c>
      <c r="BF100" s="6" t="s">
        <v>1746</v>
      </c>
      <c r="BG100" s="6" t="str">
        <f t="shared" si="3"/>
        <v>C:\Users\aremi\Desktop\REPORT CBM\PO 42289580 - Pahang 11kV SECOND CYCLE AZZAD 2026\RAW MATERIAL\047. TNB BARU (IR+VI)\RAW DATA\IR</v>
      </c>
      <c r="BH100" s="24" t="s">
        <v>629</v>
      </c>
    </row>
    <row r="101" spans="1:60" ht="15" customHeight="1" x14ac:dyDescent="0.25">
      <c r="A101" s="6">
        <v>50</v>
      </c>
      <c r="B101" s="6" t="s">
        <v>1580</v>
      </c>
      <c r="C101" s="6">
        <v>1</v>
      </c>
      <c r="D101" s="6" t="s">
        <v>2261</v>
      </c>
      <c r="E101" s="6">
        <v>50</v>
      </c>
      <c r="F101" s="6" t="str">
        <f ca="1">Master_List!$AW$1</f>
        <v>PERPUSTAKAAN PUSAT</v>
      </c>
      <c r="G101" s="27" t="str">
        <f ca="1">Master_List!$AW$2</f>
        <v>09:30 PM</v>
      </c>
      <c r="H101" s="32" t="str">
        <f ca="1">Master_List!$AW$3</f>
        <v>20/07/2026</v>
      </c>
      <c r="I101" s="28" t="str">
        <f ca="1">Master_List!$AW$4</f>
        <v>28.5</v>
      </c>
      <c r="J101" s="6" t="str">
        <f ca="1">Master_List!$AW$5</f>
        <v>65</v>
      </c>
      <c r="K101" s="6" t="s">
        <v>1453</v>
      </c>
      <c r="L101" s="22" t="s">
        <v>2246</v>
      </c>
      <c r="M101" s="25"/>
      <c r="N101" s="25"/>
      <c r="O101" s="25"/>
      <c r="P101" s="25"/>
      <c r="Q101" s="25"/>
      <c r="R101" s="25"/>
      <c r="S101" s="25"/>
      <c r="T101" s="20" t="str">
        <f ca="1">Master_List!$AW$6</f>
        <v>TOSHIBA</v>
      </c>
      <c r="U101" s="20" t="str">
        <f ca="1">Master_List!$AW$7</f>
        <v>MRMU</v>
      </c>
      <c r="V101" s="20" t="str">
        <f ca="1">Master_List!$AW$8</f>
        <v>12kV</v>
      </c>
      <c r="W101" s="20" t="str">
        <f ca="1">Master_List!$AW$9</f>
        <v>2S1F</v>
      </c>
      <c r="X101" s="20" t="str">
        <f ca="1">Master_List!$AW$10</f>
        <v>MTM</v>
      </c>
      <c r="Y101" s="20" t="str">
        <f ca="1">Master_List!$AW$11</f>
        <v>HERMETICALLY SEAL</v>
      </c>
      <c r="Z101" s="20" t="str">
        <f ca="1">Master_List!$AW$12</f>
        <v>750kVA</v>
      </c>
      <c r="AA101" s="20" t="str">
        <f ca="1">Master_List!$AW$13</f>
        <v>1317</v>
      </c>
      <c r="AB101" s="20">
        <f ca="1">Master_List!$AW$14</f>
        <v>0</v>
      </c>
      <c r="AC101" s="20">
        <f ca="1">Master_List!$AW$15</f>
        <v>0</v>
      </c>
      <c r="AD101" s="20">
        <f ca="1">Master_List!$AW$16</f>
        <v>0</v>
      </c>
      <c r="AE101" s="20">
        <f ca="1">Master_List!$AW$17</f>
        <v>0</v>
      </c>
      <c r="AF101" s="20" t="str">
        <f ca="1">Master_List!$AW$18</f>
        <v>INDKOM</v>
      </c>
      <c r="AG101" s="20" t="str">
        <f ca="1">Master_List!$AW$19</f>
        <v>J-SLOTTED</v>
      </c>
      <c r="AH101" s="20" t="str">
        <f ca="1">Master_List!$AW$20</f>
        <v>1600A</v>
      </c>
      <c r="AI101" s="20" t="str">
        <f ca="1">Master_List!$AW$21</f>
        <v>LV5080090</v>
      </c>
      <c r="AJ101" s="20" t="str">
        <f ca="1">Master_List!$AW$22</f>
        <v>LVDB TX1</v>
      </c>
      <c r="AK101" s="20">
        <f ca="1">Master_List!$AW$23</f>
        <v>0</v>
      </c>
      <c r="AL101" s="20">
        <f ca="1">Master_List!$AW$24</f>
        <v>0</v>
      </c>
      <c r="AM101" s="20">
        <f ca="1">Master_List!$AW$25</f>
        <v>0</v>
      </c>
      <c r="AN101" s="20">
        <f ca="1">Master_List!$AW$26</f>
        <v>0</v>
      </c>
      <c r="AO101" s="20" t="str">
        <f ca="1">Master_List!$AW$27</f>
        <v>LVDB TX2</v>
      </c>
      <c r="AP101" s="20" t="str">
        <f ca="1">Master_List!$AW$28</f>
        <v>SUNPOWER TECHNOLOGIES</v>
      </c>
      <c r="AQ101" s="20" t="str">
        <f ca="1">Master_List!$AW$29</f>
        <v>SPS 30-10 L</v>
      </c>
      <c r="AR101" s="20" t="str">
        <f ca="1">Master_List!$AW$30</f>
        <v>11193-8527</v>
      </c>
      <c r="AS101" s="20">
        <f ca="1">Master_List!$AW$31</f>
        <v>0</v>
      </c>
      <c r="AT101" s="20">
        <f ca="1">Master_List!$AW$32</f>
        <v>0</v>
      </c>
      <c r="AU101" s="20">
        <f ca="1">Master_List!$AW$33</f>
        <v>0</v>
      </c>
      <c r="AV101" s="20">
        <f ca="1">Master_List!$AW$34</f>
        <v>0</v>
      </c>
      <c r="AW101" s="20">
        <f ca="1">Master_List!$AW$35</f>
        <v>0</v>
      </c>
      <c r="AX101" s="20">
        <f ca="1">Master_List!$AW$36</f>
        <v>0</v>
      </c>
      <c r="AY101" s="20">
        <f ca="1">Master_List!$AW$37</f>
        <v>0</v>
      </c>
      <c r="AZ101" s="20">
        <f ca="1">Master_List!$AW$38</f>
        <v>0</v>
      </c>
      <c r="BA101" s="20">
        <f ca="1">Master_List!$AW$39</f>
        <v>0</v>
      </c>
      <c r="BB101" s="20" t="s">
        <v>2240</v>
      </c>
      <c r="BC101" s="20" t="s">
        <v>2241</v>
      </c>
      <c r="BD101" s="6" t="s">
        <v>1744</v>
      </c>
      <c r="BE101" s="6" t="s">
        <v>1800</v>
      </c>
      <c r="BF101" s="6" t="s">
        <v>1748</v>
      </c>
      <c r="BG101" s="6" t="str">
        <f t="shared" si="3"/>
        <v>C:\Users\aremi\Desktop\REPORT CBM\PO 42289580 - Pahang 11kV SECOND CYCLE AZZAD 2026\RAW MATERIAL\047. TNB BARU (IR+VI)\RAW DATA\IR</v>
      </c>
      <c r="BH101" s="24" t="s">
        <v>630</v>
      </c>
    </row>
    <row r="102" spans="1:60" ht="15" customHeight="1" x14ac:dyDescent="0.25">
      <c r="A102" s="6">
        <v>51</v>
      </c>
      <c r="B102" s="6"/>
      <c r="C102" s="6">
        <v>1</v>
      </c>
      <c r="D102" s="6"/>
      <c r="E102" s="6">
        <v>51</v>
      </c>
      <c r="F102" s="6" t="str">
        <f ca="1">Master_List!$AW$1</f>
        <v>PERPUSTAKAAN PUSAT</v>
      </c>
      <c r="G102" s="27" t="str">
        <f ca="1">Master_List!$AW$2</f>
        <v>09:30 PM</v>
      </c>
      <c r="H102" s="32" t="str">
        <f ca="1">Master_List!$AW$3</f>
        <v>20/07/2026</v>
      </c>
      <c r="I102" s="28" t="str">
        <f ca="1">Master_List!$AW$4</f>
        <v>28.5</v>
      </c>
      <c r="J102" s="6" t="str">
        <f ca="1">Master_List!$AW$5</f>
        <v>65</v>
      </c>
      <c r="K102" s="6"/>
      <c r="L102" s="22"/>
      <c r="M102" s="22"/>
      <c r="N102" s="25"/>
      <c r="O102" s="25"/>
      <c r="P102" s="25"/>
      <c r="Q102" s="25"/>
      <c r="R102" s="25"/>
      <c r="S102" s="25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6"/>
      <c r="BE102" s="6"/>
      <c r="BF102" s="6"/>
      <c r="BG102" s="6"/>
      <c r="BH102" s="6"/>
    </row>
    <row r="103" spans="1:60" ht="15" customHeight="1" x14ac:dyDescent="0.25">
      <c r="A103" s="6">
        <v>51</v>
      </c>
      <c r="B103" s="6"/>
      <c r="C103" s="6">
        <v>1</v>
      </c>
      <c r="D103" s="6"/>
      <c r="E103" s="6">
        <v>51</v>
      </c>
      <c r="F103" s="6" t="str">
        <f ca="1">Master_List!$AW$1</f>
        <v>PERPUSTAKAAN PUSAT</v>
      </c>
      <c r="G103" s="27" t="str">
        <f ca="1">Master_List!$AW$2</f>
        <v>09:30 PM</v>
      </c>
      <c r="H103" s="32" t="str">
        <f ca="1">Master_List!$AW$3</f>
        <v>20/07/2026</v>
      </c>
      <c r="I103" s="28" t="str">
        <f ca="1">Master_List!$AW$4</f>
        <v>28.5</v>
      </c>
      <c r="J103" s="6" t="str">
        <f ca="1">Master_List!$AW$5</f>
        <v>65</v>
      </c>
      <c r="K103" s="6"/>
      <c r="L103" s="22"/>
      <c r="M103" s="22"/>
      <c r="N103" s="25"/>
      <c r="O103" s="25"/>
      <c r="P103" s="25"/>
      <c r="Q103" s="25"/>
      <c r="R103" s="25"/>
      <c r="S103" s="25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6"/>
      <c r="BE103" s="6"/>
      <c r="BF103" s="6"/>
      <c r="BG103" s="6"/>
      <c r="BH103" s="6"/>
    </row>
    <row r="104" spans="1:60" ht="15" customHeight="1" x14ac:dyDescent="0.25">
      <c r="A104" s="6">
        <v>52</v>
      </c>
      <c r="B104" s="6"/>
      <c r="C104" s="6">
        <v>1</v>
      </c>
      <c r="D104" s="6"/>
      <c r="E104" s="6">
        <v>52</v>
      </c>
      <c r="F104" s="6" t="str">
        <f ca="1">Master_List!$AW$1</f>
        <v>PERPUSTAKAAN PUSAT</v>
      </c>
      <c r="G104" s="27" t="str">
        <f ca="1">Master_List!$AW$2</f>
        <v>09:30 PM</v>
      </c>
      <c r="H104" s="32" t="str">
        <f ca="1">Master_List!$AW$3</f>
        <v>20/07/2026</v>
      </c>
      <c r="I104" s="28" t="str">
        <f ca="1">Master_List!$AW$4</f>
        <v>28.5</v>
      </c>
      <c r="J104" s="6" t="str">
        <f ca="1">Master_List!$AW$5</f>
        <v>65</v>
      </c>
      <c r="K104" s="6"/>
      <c r="L104" s="22"/>
      <c r="M104" s="22"/>
      <c r="N104" s="25"/>
      <c r="O104" s="25"/>
      <c r="P104" s="25"/>
      <c r="Q104" s="25"/>
      <c r="R104" s="25"/>
      <c r="S104" s="25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6"/>
      <c r="BE104" s="6"/>
      <c r="BF104" s="6"/>
      <c r="BG104" s="6"/>
      <c r="BH104" s="6"/>
    </row>
    <row r="105" spans="1:60" ht="15" customHeight="1" x14ac:dyDescent="0.25">
      <c r="A105" s="6">
        <v>52</v>
      </c>
      <c r="B105" s="6"/>
      <c r="C105" s="6">
        <v>1</v>
      </c>
      <c r="D105" s="6"/>
      <c r="E105" s="6">
        <v>52</v>
      </c>
      <c r="F105" s="6" t="str">
        <f ca="1">Master_List!$AW$1</f>
        <v>PERPUSTAKAAN PUSAT</v>
      </c>
      <c r="G105" s="27" t="str">
        <f ca="1">Master_List!$AW$2</f>
        <v>09:30 PM</v>
      </c>
      <c r="H105" s="32" t="str">
        <f ca="1">Master_List!$AW$3</f>
        <v>20/07/2026</v>
      </c>
      <c r="I105" s="28" t="str">
        <f ca="1">Master_List!$AW$4</f>
        <v>28.5</v>
      </c>
      <c r="J105" s="6" t="str">
        <f ca="1">Master_List!$AW$5</f>
        <v>65</v>
      </c>
      <c r="K105" s="6"/>
      <c r="L105" s="22"/>
      <c r="M105" s="22"/>
      <c r="N105" s="25"/>
      <c r="O105" s="25"/>
      <c r="P105" s="25"/>
      <c r="Q105" s="25"/>
      <c r="R105" s="25"/>
      <c r="S105" s="25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6"/>
      <c r="BE105" s="6"/>
      <c r="BF105" s="6"/>
      <c r="BG105" s="6"/>
      <c r="BH105" s="6"/>
    </row>
    <row r="106" spans="1:60" ht="15" customHeight="1" x14ac:dyDescent="0.25">
      <c r="A106" s="6">
        <v>53</v>
      </c>
      <c r="B106" s="6"/>
      <c r="C106" s="6">
        <v>1</v>
      </c>
      <c r="D106" s="6"/>
      <c r="E106" s="6">
        <v>53</v>
      </c>
      <c r="F106" s="6" t="str">
        <f ca="1">Master_List!$AW$1</f>
        <v>PERPUSTAKAAN PUSAT</v>
      </c>
      <c r="G106" s="27" t="str">
        <f ca="1">Master_List!$AW$2</f>
        <v>09:30 PM</v>
      </c>
      <c r="H106" s="32" t="str">
        <f ca="1">Master_List!$AW$3</f>
        <v>20/07/2026</v>
      </c>
      <c r="I106" s="28" t="str">
        <f ca="1">Master_List!$AW$4</f>
        <v>28.5</v>
      </c>
      <c r="J106" s="6" t="str">
        <f ca="1">Master_List!$AW$5</f>
        <v>65</v>
      </c>
      <c r="K106" s="6"/>
      <c r="L106" s="22"/>
      <c r="M106" s="22"/>
      <c r="N106" s="25"/>
      <c r="O106" s="25"/>
      <c r="P106" s="25"/>
      <c r="Q106" s="25"/>
      <c r="R106" s="25"/>
      <c r="S106" s="25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6"/>
      <c r="BE106" s="6"/>
      <c r="BF106" s="6"/>
      <c r="BG106" s="6"/>
      <c r="BH106" s="6"/>
    </row>
    <row r="107" spans="1:60" ht="15" customHeight="1" x14ac:dyDescent="0.25">
      <c r="A107" s="6">
        <v>53</v>
      </c>
      <c r="B107" s="6"/>
      <c r="C107" s="6">
        <v>1</v>
      </c>
      <c r="D107" s="6"/>
      <c r="E107" s="6">
        <v>53</v>
      </c>
      <c r="F107" s="6" t="str">
        <f ca="1">Master_List!$AW$1</f>
        <v>PERPUSTAKAAN PUSAT</v>
      </c>
      <c r="G107" s="27" t="str">
        <f ca="1">Master_List!$AW$2</f>
        <v>09:30 PM</v>
      </c>
      <c r="H107" s="32" t="str">
        <f ca="1">Master_List!$AW$3</f>
        <v>20/07/2026</v>
      </c>
      <c r="I107" s="28" t="str">
        <f ca="1">Master_List!$AW$4</f>
        <v>28.5</v>
      </c>
      <c r="J107" s="6" t="str">
        <f ca="1">Master_List!$AW$5</f>
        <v>65</v>
      </c>
      <c r="K107" s="6"/>
      <c r="L107" s="22"/>
      <c r="M107" s="22"/>
      <c r="N107" s="25"/>
      <c r="O107" s="25"/>
      <c r="P107" s="25"/>
      <c r="Q107" s="25"/>
      <c r="R107" s="25"/>
      <c r="S107" s="25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6"/>
      <c r="BE107" s="6"/>
      <c r="BF107" s="6"/>
      <c r="BG107" s="6"/>
      <c r="BH107" s="6"/>
    </row>
    <row r="108" spans="1:60" ht="15" customHeight="1" x14ac:dyDescent="0.25">
      <c r="A108" s="6">
        <v>54</v>
      </c>
      <c r="B108" s="6"/>
      <c r="C108" s="6">
        <v>1</v>
      </c>
      <c r="D108" s="6"/>
      <c r="E108" s="6">
        <v>54</v>
      </c>
      <c r="F108" s="6" t="str">
        <f ca="1">Master_List!$AW$1</f>
        <v>PERPUSTAKAAN PUSAT</v>
      </c>
      <c r="G108" s="27" t="str">
        <f ca="1">Master_List!$AW$2</f>
        <v>09:30 PM</v>
      </c>
      <c r="H108" s="32" t="str">
        <f ca="1">Master_List!$AW$3</f>
        <v>20/07/2026</v>
      </c>
      <c r="I108" s="28" t="str">
        <f ca="1">Master_List!$AW$4</f>
        <v>28.5</v>
      </c>
      <c r="J108" s="6" t="str">
        <f ca="1">Master_List!$AW$5</f>
        <v>65</v>
      </c>
      <c r="K108" s="6"/>
      <c r="L108" s="22"/>
      <c r="M108" s="22"/>
      <c r="N108" s="25"/>
      <c r="O108" s="25"/>
      <c r="P108" s="25"/>
      <c r="Q108" s="25"/>
      <c r="R108" s="25"/>
      <c r="S108" s="25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6"/>
      <c r="BE108" s="6"/>
      <c r="BF108" s="6"/>
      <c r="BG108" s="6"/>
      <c r="BH108" s="6"/>
    </row>
    <row r="109" spans="1:60" ht="15" customHeight="1" x14ac:dyDescent="0.25">
      <c r="A109" s="6">
        <v>54</v>
      </c>
      <c r="B109" s="6"/>
      <c r="C109" s="6">
        <v>1</v>
      </c>
      <c r="D109" s="6"/>
      <c r="E109" s="6">
        <v>54</v>
      </c>
      <c r="F109" s="6" t="str">
        <f ca="1">Master_List!$AW$1</f>
        <v>PERPUSTAKAAN PUSAT</v>
      </c>
      <c r="G109" s="27" t="str">
        <f ca="1">Master_List!$AW$2</f>
        <v>09:30 PM</v>
      </c>
      <c r="H109" s="32" t="str">
        <f ca="1">Master_List!$AW$3</f>
        <v>20/07/2026</v>
      </c>
      <c r="I109" s="28" t="str">
        <f ca="1">Master_List!$AW$4</f>
        <v>28.5</v>
      </c>
      <c r="J109" s="6" t="str">
        <f ca="1">Master_List!$AW$5</f>
        <v>65</v>
      </c>
      <c r="K109" s="6"/>
      <c r="L109" s="22"/>
      <c r="M109" s="22"/>
      <c r="N109" s="25"/>
      <c r="O109" s="25"/>
      <c r="P109" s="25"/>
      <c r="Q109" s="25"/>
      <c r="R109" s="25"/>
      <c r="S109" s="25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6"/>
      <c r="BE109" s="6"/>
      <c r="BF109" s="6"/>
      <c r="BG109" s="6"/>
      <c r="BH109" s="6"/>
    </row>
    <row r="110" spans="1:60" ht="15" customHeight="1" x14ac:dyDescent="0.25">
      <c r="A110" s="6">
        <v>55</v>
      </c>
      <c r="B110" s="6"/>
      <c r="C110" s="6">
        <v>1</v>
      </c>
      <c r="D110" s="6"/>
      <c r="E110" s="6">
        <v>55</v>
      </c>
      <c r="F110" s="6" t="str">
        <f ca="1">Master_List!$AW$1</f>
        <v>PERPUSTAKAAN PUSAT</v>
      </c>
      <c r="G110" s="27" t="str">
        <f ca="1">Master_List!$AW$2</f>
        <v>09:30 PM</v>
      </c>
      <c r="H110" s="32" t="str">
        <f ca="1">Master_List!$AW$3</f>
        <v>20/07/2026</v>
      </c>
      <c r="I110" s="28" t="str">
        <f ca="1">Master_List!$AW$4</f>
        <v>28.5</v>
      </c>
      <c r="J110" s="6" t="str">
        <f ca="1">Master_List!$AW$5</f>
        <v>65</v>
      </c>
      <c r="K110" s="6"/>
      <c r="L110" s="22"/>
      <c r="M110" s="22"/>
      <c r="N110" s="25"/>
      <c r="O110" s="25"/>
      <c r="P110" s="25"/>
      <c r="Q110" s="25"/>
      <c r="R110" s="25"/>
      <c r="S110" s="25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6"/>
      <c r="BE110" s="6"/>
      <c r="BF110" s="6"/>
      <c r="BG110" s="6"/>
      <c r="BH110" s="6"/>
    </row>
    <row r="111" spans="1:60" ht="15" customHeight="1" x14ac:dyDescent="0.25">
      <c r="A111" s="6">
        <v>55</v>
      </c>
      <c r="B111" s="6"/>
      <c r="C111" s="6">
        <v>1</v>
      </c>
      <c r="D111" s="6"/>
      <c r="E111" s="6">
        <v>55</v>
      </c>
      <c r="F111" s="6" t="str">
        <f ca="1">Master_List!$AW$1</f>
        <v>PERPUSTAKAAN PUSAT</v>
      </c>
      <c r="G111" s="27" t="str">
        <f ca="1">Master_List!$AW$2</f>
        <v>09:30 PM</v>
      </c>
      <c r="H111" s="32" t="str">
        <f ca="1">Master_List!$AW$3</f>
        <v>20/07/2026</v>
      </c>
      <c r="I111" s="28" t="str">
        <f ca="1">Master_List!$AW$4</f>
        <v>28.5</v>
      </c>
      <c r="J111" s="6" t="str">
        <f ca="1">Master_List!$AW$5</f>
        <v>65</v>
      </c>
      <c r="K111" s="6"/>
      <c r="L111" s="22"/>
      <c r="M111" s="22"/>
      <c r="N111" s="25"/>
      <c r="O111" s="25"/>
      <c r="P111" s="25"/>
      <c r="Q111" s="25"/>
      <c r="R111" s="25"/>
      <c r="S111" s="25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6"/>
      <c r="BE111" s="6"/>
      <c r="BF111" s="6"/>
      <c r="BG111" s="6"/>
      <c r="BH111" s="6"/>
    </row>
    <row r="112" spans="1:60" ht="15" customHeight="1" x14ac:dyDescent="0.25">
      <c r="A112" s="6">
        <v>56</v>
      </c>
      <c r="B112" s="6"/>
      <c r="C112" s="6">
        <v>1</v>
      </c>
      <c r="D112" s="6"/>
      <c r="E112" s="6">
        <v>56</v>
      </c>
      <c r="F112" s="6" t="str">
        <f ca="1">Master_List!$AW$1</f>
        <v>PERPUSTAKAAN PUSAT</v>
      </c>
      <c r="G112" s="27" t="str">
        <f ca="1">Master_List!$AW$2</f>
        <v>09:30 PM</v>
      </c>
      <c r="H112" s="32" t="str">
        <f ca="1">Master_List!$AW$3</f>
        <v>20/07/2026</v>
      </c>
      <c r="I112" s="28" t="str">
        <f ca="1">Master_List!$AW$4</f>
        <v>28.5</v>
      </c>
      <c r="J112" s="6" t="str">
        <f ca="1">Master_List!$AW$5</f>
        <v>65</v>
      </c>
      <c r="K112" s="6"/>
      <c r="L112" s="22"/>
      <c r="M112" s="22"/>
      <c r="N112" s="25"/>
      <c r="O112" s="25"/>
      <c r="P112" s="25"/>
      <c r="Q112" s="25"/>
      <c r="R112" s="25"/>
      <c r="S112" s="25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6"/>
      <c r="BE112" s="6"/>
      <c r="BF112" s="6"/>
      <c r="BG112" s="6"/>
      <c r="BH112" s="6"/>
    </row>
    <row r="113" spans="1:60" ht="15" customHeight="1" x14ac:dyDescent="0.25">
      <c r="A113" s="6">
        <v>56</v>
      </c>
      <c r="B113" s="6"/>
      <c r="C113" s="6">
        <v>1</v>
      </c>
      <c r="D113" s="6"/>
      <c r="E113" s="6">
        <v>56</v>
      </c>
      <c r="F113" s="6" t="str">
        <f ca="1">Master_List!$AW$1</f>
        <v>PERPUSTAKAAN PUSAT</v>
      </c>
      <c r="G113" s="27" t="str">
        <f ca="1">Master_List!$AW$2</f>
        <v>09:30 PM</v>
      </c>
      <c r="H113" s="32" t="str">
        <f ca="1">Master_List!$AW$3</f>
        <v>20/07/2026</v>
      </c>
      <c r="I113" s="28" t="str">
        <f ca="1">Master_List!$AW$4</f>
        <v>28.5</v>
      </c>
      <c r="J113" s="6" t="str">
        <f ca="1">Master_List!$AW$5</f>
        <v>65</v>
      </c>
      <c r="K113" s="6"/>
      <c r="L113" s="22"/>
      <c r="M113" s="22"/>
      <c r="N113" s="25"/>
      <c r="O113" s="25"/>
      <c r="P113" s="25"/>
      <c r="Q113" s="25"/>
      <c r="R113" s="25"/>
      <c r="S113" s="25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6"/>
      <c r="BE113" s="6"/>
      <c r="BF113" s="6"/>
      <c r="BG113" s="6"/>
      <c r="BH113" s="6"/>
    </row>
    <row r="114" spans="1:60" ht="15" customHeight="1" x14ac:dyDescent="0.25">
      <c r="A114" s="6">
        <v>57</v>
      </c>
      <c r="B114" s="6"/>
      <c r="C114" s="6">
        <v>1</v>
      </c>
      <c r="D114" s="6"/>
      <c r="E114" s="6">
        <v>57</v>
      </c>
      <c r="F114" s="6" t="str">
        <f ca="1">Master_List!$AW$1</f>
        <v>PERPUSTAKAAN PUSAT</v>
      </c>
      <c r="G114" s="27" t="str">
        <f ca="1">Master_List!$AW$2</f>
        <v>09:30 PM</v>
      </c>
      <c r="H114" s="32" t="str">
        <f ca="1">Master_List!$AW$3</f>
        <v>20/07/2026</v>
      </c>
      <c r="I114" s="28" t="str">
        <f ca="1">Master_List!$AW$4</f>
        <v>28.5</v>
      </c>
      <c r="J114" s="6" t="str">
        <f ca="1">Master_List!$AW$5</f>
        <v>65</v>
      </c>
      <c r="K114" s="6"/>
      <c r="L114" s="22"/>
      <c r="M114" s="25"/>
      <c r="N114" s="25"/>
      <c r="O114" s="25"/>
      <c r="P114" s="25"/>
      <c r="Q114" s="25"/>
      <c r="R114" s="25"/>
      <c r="S114" s="25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6"/>
      <c r="BE114" s="6"/>
      <c r="BF114" s="6"/>
      <c r="BG114" s="6"/>
      <c r="BH114" s="6"/>
    </row>
    <row r="115" spans="1:60" ht="15" customHeight="1" x14ac:dyDescent="0.25">
      <c r="A115" s="6">
        <v>57</v>
      </c>
      <c r="B115" s="6"/>
      <c r="C115" s="6">
        <v>1</v>
      </c>
      <c r="D115" s="6"/>
      <c r="E115" s="6">
        <v>57</v>
      </c>
      <c r="F115" s="6" t="str">
        <f ca="1">Master_List!$AW$1</f>
        <v>PERPUSTAKAAN PUSAT</v>
      </c>
      <c r="G115" s="27" t="str">
        <f ca="1">Master_List!$AW$2</f>
        <v>09:30 PM</v>
      </c>
      <c r="H115" s="32" t="str">
        <f ca="1">Master_List!$AW$3</f>
        <v>20/07/2026</v>
      </c>
      <c r="I115" s="28" t="str">
        <f ca="1">Master_List!$AW$4</f>
        <v>28.5</v>
      </c>
      <c r="J115" s="6" t="str">
        <f ca="1">Master_List!$AW$5</f>
        <v>65</v>
      </c>
      <c r="K115" s="6"/>
      <c r="L115" s="22"/>
      <c r="M115" s="25"/>
      <c r="N115" s="25"/>
      <c r="O115" s="25"/>
      <c r="P115" s="25"/>
      <c r="Q115" s="25"/>
      <c r="R115" s="25"/>
      <c r="S115" s="25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6"/>
      <c r="BE115" s="6"/>
      <c r="BF115" s="6"/>
      <c r="BG115" s="6"/>
      <c r="BH115" s="6"/>
    </row>
    <row r="116" spans="1:60" ht="15" customHeight="1" x14ac:dyDescent="0.25">
      <c r="A116" s="6">
        <v>58</v>
      </c>
      <c r="B116" s="6"/>
      <c r="C116" s="6">
        <v>1</v>
      </c>
      <c r="D116" s="6"/>
      <c r="E116" s="6">
        <v>58</v>
      </c>
      <c r="F116" s="6" t="str">
        <f ca="1">Master_List!$AW$1</f>
        <v>PERPUSTAKAAN PUSAT</v>
      </c>
      <c r="G116" s="27" t="str">
        <f ca="1">Master_List!$AW$2</f>
        <v>09:30 PM</v>
      </c>
      <c r="H116" s="32" t="str">
        <f ca="1">Master_List!$AW$3</f>
        <v>20/07/2026</v>
      </c>
      <c r="I116" s="28" t="str">
        <f ca="1">Master_List!$AW$4</f>
        <v>28.5</v>
      </c>
      <c r="J116" s="6" t="str">
        <f ca="1">Master_List!$AW$5</f>
        <v>65</v>
      </c>
      <c r="K116" s="6"/>
      <c r="L116" s="22"/>
      <c r="M116" s="25"/>
      <c r="N116" s="25"/>
      <c r="O116" s="25"/>
      <c r="P116" s="25"/>
      <c r="Q116" s="25"/>
      <c r="R116" s="25"/>
      <c r="S116" s="25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6"/>
      <c r="BE116" s="6"/>
      <c r="BF116" s="6"/>
      <c r="BG116" s="6"/>
      <c r="BH116" s="6"/>
    </row>
    <row r="117" spans="1:60" ht="15" customHeight="1" x14ac:dyDescent="0.25">
      <c r="A117" s="6">
        <v>58</v>
      </c>
      <c r="B117" s="6"/>
      <c r="C117" s="6">
        <v>1</v>
      </c>
      <c r="D117" s="6"/>
      <c r="E117" s="6">
        <v>58</v>
      </c>
      <c r="F117" s="6" t="str">
        <f ca="1">Master_List!$AW$1</f>
        <v>PERPUSTAKAAN PUSAT</v>
      </c>
      <c r="G117" s="27" t="str">
        <f ca="1">Master_List!$AW$2</f>
        <v>09:30 PM</v>
      </c>
      <c r="H117" s="32" t="str">
        <f ca="1">Master_List!$AW$3</f>
        <v>20/07/2026</v>
      </c>
      <c r="I117" s="28" t="str">
        <f ca="1">Master_List!$AW$4</f>
        <v>28.5</v>
      </c>
      <c r="J117" s="6" t="str">
        <f ca="1">Master_List!$AW$5</f>
        <v>65</v>
      </c>
      <c r="K117" s="6"/>
      <c r="L117" s="22"/>
      <c r="M117" s="25"/>
      <c r="N117" s="25"/>
      <c r="O117" s="25"/>
      <c r="P117" s="25"/>
      <c r="Q117" s="25"/>
      <c r="R117" s="25"/>
      <c r="S117" s="25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6"/>
      <c r="BE117" s="6"/>
      <c r="BF117" s="6"/>
      <c r="BG117" s="6"/>
      <c r="BH117" s="6"/>
    </row>
    <row r="118" spans="1:60" ht="15" customHeight="1" x14ac:dyDescent="0.25">
      <c r="A118" s="6">
        <v>59</v>
      </c>
      <c r="B118" s="6"/>
      <c r="C118" s="6">
        <v>1</v>
      </c>
      <c r="D118" s="6"/>
      <c r="E118" s="6">
        <v>59</v>
      </c>
      <c r="F118" s="6" t="str">
        <f ca="1">Master_List!$AW$1</f>
        <v>PERPUSTAKAAN PUSAT</v>
      </c>
      <c r="G118" s="27" t="str">
        <f ca="1">Master_List!$AW$2</f>
        <v>09:30 PM</v>
      </c>
      <c r="H118" s="32" t="str">
        <f ca="1">Master_List!$AW$3</f>
        <v>20/07/2026</v>
      </c>
      <c r="I118" s="28" t="str">
        <f ca="1">Master_List!$AW$4</f>
        <v>28.5</v>
      </c>
      <c r="J118" s="6" t="str">
        <f ca="1">Master_List!$AW$5</f>
        <v>65</v>
      </c>
      <c r="K118" s="6"/>
      <c r="L118" s="22"/>
      <c r="M118" s="25"/>
      <c r="N118" s="25"/>
      <c r="O118" s="25"/>
      <c r="P118" s="25"/>
      <c r="Q118" s="25"/>
      <c r="R118" s="25"/>
      <c r="S118" s="25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6"/>
      <c r="BE118" s="6"/>
      <c r="BF118" s="6"/>
      <c r="BG118" s="6"/>
      <c r="BH118" s="6"/>
    </row>
    <row r="119" spans="1:60" ht="15" customHeight="1" x14ac:dyDescent="0.25">
      <c r="A119" s="6">
        <v>59</v>
      </c>
      <c r="B119" s="6"/>
      <c r="C119" s="6">
        <v>1</v>
      </c>
      <c r="D119" s="6"/>
      <c r="E119" s="6">
        <v>59</v>
      </c>
      <c r="F119" s="6" t="str">
        <f ca="1">Master_List!$AW$1</f>
        <v>PERPUSTAKAAN PUSAT</v>
      </c>
      <c r="G119" s="27" t="str">
        <f ca="1">Master_List!$AW$2</f>
        <v>09:30 PM</v>
      </c>
      <c r="H119" s="32" t="str">
        <f ca="1">Master_List!$AW$3</f>
        <v>20/07/2026</v>
      </c>
      <c r="I119" s="28" t="str">
        <f ca="1">Master_List!$AW$4</f>
        <v>28.5</v>
      </c>
      <c r="J119" s="6" t="str">
        <f ca="1">Master_List!$AW$5</f>
        <v>65</v>
      </c>
      <c r="K119" s="6"/>
      <c r="L119" s="22"/>
      <c r="M119" s="25"/>
      <c r="N119" s="25"/>
      <c r="O119" s="25"/>
      <c r="P119" s="25"/>
      <c r="Q119" s="25"/>
      <c r="R119" s="25"/>
      <c r="S119" s="25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6"/>
      <c r="BE119" s="6"/>
      <c r="BF119" s="6"/>
      <c r="BG119" s="6"/>
      <c r="BH119" s="6"/>
    </row>
    <row r="120" spans="1:60" ht="15" customHeight="1" x14ac:dyDescent="0.25">
      <c r="A120" s="6">
        <v>60</v>
      </c>
      <c r="B120" s="6"/>
      <c r="C120" s="6">
        <v>1</v>
      </c>
      <c r="D120" s="6"/>
      <c r="E120" s="6">
        <v>60</v>
      </c>
      <c r="F120" s="6" t="str">
        <f ca="1">Master_List!$AW$1</f>
        <v>PERPUSTAKAAN PUSAT</v>
      </c>
      <c r="G120" s="27" t="str">
        <f ca="1">Master_List!$AW$2</f>
        <v>09:30 PM</v>
      </c>
      <c r="H120" s="32" t="str">
        <f ca="1">Master_List!$AW$3</f>
        <v>20/07/2026</v>
      </c>
      <c r="I120" s="28" t="str">
        <f ca="1">Master_List!$AW$4</f>
        <v>28.5</v>
      </c>
      <c r="J120" s="6" t="str">
        <f ca="1">Master_List!$AW$5</f>
        <v>65</v>
      </c>
      <c r="K120" s="6"/>
      <c r="L120" s="22"/>
      <c r="M120" s="25"/>
      <c r="N120" s="25"/>
      <c r="O120" s="25"/>
      <c r="P120" s="25"/>
      <c r="Q120" s="25"/>
      <c r="R120" s="25"/>
      <c r="S120" s="25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6"/>
      <c r="BE120" s="6"/>
      <c r="BF120" s="6"/>
      <c r="BG120" s="6"/>
      <c r="BH120" s="6"/>
    </row>
    <row r="121" spans="1:60" ht="15" customHeight="1" x14ac:dyDescent="0.25">
      <c r="A121" s="6">
        <v>60</v>
      </c>
      <c r="B121" s="6"/>
      <c r="C121" s="6">
        <v>1</v>
      </c>
      <c r="D121" s="6"/>
      <c r="E121" s="6">
        <v>60</v>
      </c>
      <c r="F121" s="6" t="str">
        <f ca="1">Master_List!$AW$1</f>
        <v>PERPUSTAKAAN PUSAT</v>
      </c>
      <c r="G121" s="27" t="str">
        <f ca="1">Master_List!$AW$2</f>
        <v>09:30 PM</v>
      </c>
      <c r="H121" s="32" t="str">
        <f ca="1">Master_List!$AW$3</f>
        <v>20/07/2026</v>
      </c>
      <c r="I121" s="28" t="str">
        <f ca="1">Master_List!$AW$4</f>
        <v>28.5</v>
      </c>
      <c r="J121" s="6" t="str">
        <f ca="1">Master_List!$AW$5</f>
        <v>65</v>
      </c>
      <c r="K121" s="6"/>
      <c r="L121" s="22"/>
      <c r="M121" s="25"/>
      <c r="N121" s="25"/>
      <c r="O121" s="25"/>
      <c r="P121" s="25"/>
      <c r="Q121" s="25"/>
      <c r="R121" s="25"/>
      <c r="S121" s="25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6"/>
      <c r="BE121" s="6"/>
      <c r="BF121" s="6"/>
      <c r="BG121" s="6"/>
      <c r="BH121" s="6"/>
    </row>
    <row r="122" spans="1:60" ht="15" customHeight="1" x14ac:dyDescent="0.25">
      <c r="A122" s="6">
        <v>61</v>
      </c>
      <c r="B122" s="6"/>
      <c r="C122" s="6">
        <v>1</v>
      </c>
      <c r="D122" s="6"/>
      <c r="E122" s="6">
        <v>61</v>
      </c>
      <c r="F122" s="6" t="str">
        <f ca="1">Master_List!$AW$1</f>
        <v>PERPUSTAKAAN PUSAT</v>
      </c>
      <c r="G122" s="27" t="str">
        <f ca="1">Master_List!$AW$2</f>
        <v>09:30 PM</v>
      </c>
      <c r="H122" s="32" t="str">
        <f ca="1">Master_List!$AW$3</f>
        <v>20/07/2026</v>
      </c>
      <c r="I122" s="28" t="str">
        <f ca="1">Master_List!$AW$4</f>
        <v>28.5</v>
      </c>
      <c r="J122" s="6" t="str">
        <f ca="1">Master_List!$AW$5</f>
        <v>65</v>
      </c>
      <c r="K122" s="6"/>
      <c r="L122" s="22"/>
      <c r="M122" s="25"/>
      <c r="N122" s="25"/>
      <c r="O122" s="25"/>
      <c r="P122" s="25"/>
      <c r="Q122" s="25"/>
      <c r="R122" s="25"/>
      <c r="S122" s="25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6"/>
      <c r="BE122" s="6"/>
      <c r="BF122" s="6"/>
      <c r="BG122" s="6"/>
      <c r="BH122" s="6"/>
    </row>
    <row r="123" spans="1:60" ht="15" customHeight="1" x14ac:dyDescent="0.25">
      <c r="A123" s="6">
        <v>61</v>
      </c>
      <c r="B123" s="6"/>
      <c r="C123" s="6">
        <v>1</v>
      </c>
      <c r="D123" s="6"/>
      <c r="E123" s="6">
        <v>61</v>
      </c>
      <c r="F123" s="6" t="str">
        <f ca="1">Master_List!$AW$1</f>
        <v>PERPUSTAKAAN PUSAT</v>
      </c>
      <c r="G123" s="27" t="str">
        <f ca="1">Master_List!$AW$2</f>
        <v>09:30 PM</v>
      </c>
      <c r="H123" s="32" t="str">
        <f ca="1">Master_List!$AW$3</f>
        <v>20/07/2026</v>
      </c>
      <c r="I123" s="28" t="str">
        <f ca="1">Master_List!$AW$4</f>
        <v>28.5</v>
      </c>
      <c r="J123" s="6" t="str">
        <f ca="1">Master_List!$AW$5</f>
        <v>65</v>
      </c>
      <c r="K123" s="6"/>
      <c r="L123" s="22"/>
      <c r="M123" s="25"/>
      <c r="N123" s="25"/>
      <c r="O123" s="25"/>
      <c r="P123" s="25"/>
      <c r="Q123" s="25"/>
      <c r="R123" s="25"/>
      <c r="S123" s="25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6"/>
      <c r="BE123" s="6"/>
      <c r="BF123" s="6"/>
      <c r="BG123" s="6"/>
      <c r="BH123" s="6"/>
    </row>
    <row r="124" spans="1:60" ht="15" customHeight="1" x14ac:dyDescent="0.25">
      <c r="A124" s="6">
        <v>62</v>
      </c>
      <c r="B124" s="6"/>
      <c r="C124" s="6">
        <v>1</v>
      </c>
      <c r="D124" s="6"/>
      <c r="E124" s="6">
        <v>62</v>
      </c>
      <c r="F124" s="6" t="str">
        <f ca="1">Master_List!$AW$1</f>
        <v>PERPUSTAKAAN PUSAT</v>
      </c>
      <c r="G124" s="27" t="str">
        <f ca="1">Master_List!$AW$2</f>
        <v>09:30 PM</v>
      </c>
      <c r="H124" s="32" t="str">
        <f ca="1">Master_List!$AW$3</f>
        <v>20/07/2026</v>
      </c>
      <c r="I124" s="28" t="str">
        <f ca="1">Master_List!$AW$4</f>
        <v>28.5</v>
      </c>
      <c r="J124" s="6" t="str">
        <f ca="1">Master_List!$AW$5</f>
        <v>65</v>
      </c>
      <c r="K124" s="6"/>
      <c r="L124" s="22"/>
      <c r="M124" s="25"/>
      <c r="N124" s="25"/>
      <c r="O124" s="25"/>
      <c r="P124" s="25"/>
      <c r="Q124" s="25"/>
      <c r="R124" s="25"/>
      <c r="S124" s="25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6"/>
      <c r="BE124" s="6"/>
      <c r="BF124" s="6"/>
      <c r="BG124" s="6"/>
      <c r="BH124" s="6"/>
    </row>
    <row r="125" spans="1:60" ht="15" customHeight="1" x14ac:dyDescent="0.25">
      <c r="A125" s="6">
        <v>62</v>
      </c>
      <c r="B125" s="6"/>
      <c r="C125" s="6">
        <v>1</v>
      </c>
      <c r="D125" s="6"/>
      <c r="E125" s="6">
        <v>62</v>
      </c>
      <c r="F125" s="6" t="str">
        <f ca="1">Master_List!$AW$1</f>
        <v>PERPUSTAKAAN PUSAT</v>
      </c>
      <c r="G125" s="27" t="str">
        <f ca="1">Master_List!$AW$2</f>
        <v>09:30 PM</v>
      </c>
      <c r="H125" s="32" t="str">
        <f ca="1">Master_List!$AW$3</f>
        <v>20/07/2026</v>
      </c>
      <c r="I125" s="28" t="str">
        <f ca="1">Master_List!$AW$4</f>
        <v>28.5</v>
      </c>
      <c r="J125" s="6" t="str">
        <f ca="1">Master_List!$AW$5</f>
        <v>65</v>
      </c>
      <c r="K125" s="6"/>
      <c r="L125" s="22"/>
      <c r="M125" s="25"/>
      <c r="N125" s="25"/>
      <c r="O125" s="25"/>
      <c r="P125" s="25"/>
      <c r="Q125" s="25"/>
      <c r="R125" s="25"/>
      <c r="S125" s="25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6"/>
      <c r="BE125" s="6"/>
      <c r="BF125" s="6"/>
      <c r="BG125" s="6"/>
      <c r="BH125" s="6"/>
    </row>
    <row r="126" spans="1:60" ht="15" customHeight="1" x14ac:dyDescent="0.25">
      <c r="A126" s="6">
        <v>63</v>
      </c>
      <c r="B126" s="6"/>
      <c r="C126" s="6">
        <v>1</v>
      </c>
      <c r="D126" s="6"/>
      <c r="E126" s="6">
        <v>63</v>
      </c>
      <c r="F126" s="6" t="str">
        <f ca="1">Master_List!$AW$1</f>
        <v>PERPUSTAKAAN PUSAT</v>
      </c>
      <c r="G126" s="27" t="str">
        <f ca="1">Master_List!$AW$2</f>
        <v>09:30 PM</v>
      </c>
      <c r="H126" s="32" t="str">
        <f ca="1">Master_List!$AW$3</f>
        <v>20/07/2026</v>
      </c>
      <c r="I126" s="28" t="str">
        <f ca="1">Master_List!$AW$4</f>
        <v>28.5</v>
      </c>
      <c r="J126" s="6" t="str">
        <f ca="1">Master_List!$AW$5</f>
        <v>65</v>
      </c>
      <c r="K126" s="6"/>
      <c r="L126" s="22"/>
      <c r="M126" s="25"/>
      <c r="N126" s="25"/>
      <c r="O126" s="25"/>
      <c r="P126" s="25"/>
      <c r="Q126" s="25"/>
      <c r="R126" s="25"/>
      <c r="S126" s="25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6"/>
      <c r="BE126" s="6"/>
      <c r="BF126" s="6"/>
      <c r="BG126" s="6"/>
      <c r="BH126" s="6"/>
    </row>
    <row r="127" spans="1:60" ht="15" customHeight="1" x14ac:dyDescent="0.25">
      <c r="A127" s="6">
        <v>63</v>
      </c>
      <c r="B127" s="6"/>
      <c r="C127" s="6">
        <v>1</v>
      </c>
      <c r="D127" s="6"/>
      <c r="E127" s="6">
        <v>63</v>
      </c>
      <c r="F127" s="6" t="str">
        <f ca="1">Master_List!$AW$1</f>
        <v>PERPUSTAKAAN PUSAT</v>
      </c>
      <c r="G127" s="27" t="str">
        <f ca="1">Master_List!$AW$2</f>
        <v>09:30 PM</v>
      </c>
      <c r="H127" s="32" t="str">
        <f ca="1">Master_List!$AW$3</f>
        <v>20/07/2026</v>
      </c>
      <c r="I127" s="28" t="str">
        <f ca="1">Master_List!$AW$4</f>
        <v>28.5</v>
      </c>
      <c r="J127" s="6" t="str">
        <f ca="1">Master_List!$AW$5</f>
        <v>65</v>
      </c>
      <c r="K127" s="6"/>
      <c r="L127" s="22"/>
      <c r="M127" s="25"/>
      <c r="N127" s="25"/>
      <c r="O127" s="25"/>
      <c r="P127" s="25"/>
      <c r="Q127" s="25"/>
      <c r="R127" s="25"/>
      <c r="S127" s="25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6"/>
      <c r="BE127" s="6"/>
      <c r="BF127" s="6"/>
      <c r="BG127" s="6"/>
      <c r="BH127" s="6"/>
    </row>
    <row r="128" spans="1:60" ht="15" customHeight="1" x14ac:dyDescent="0.25">
      <c r="A128" s="6">
        <v>64</v>
      </c>
      <c r="B128" s="6"/>
      <c r="C128" s="6">
        <v>1</v>
      </c>
      <c r="D128" s="6"/>
      <c r="E128" s="6">
        <v>64</v>
      </c>
      <c r="F128" s="6" t="str">
        <f ca="1">Master_List!$AW$1</f>
        <v>PERPUSTAKAAN PUSAT</v>
      </c>
      <c r="G128" s="27" t="str">
        <f ca="1">Master_List!$AW$2</f>
        <v>09:30 PM</v>
      </c>
      <c r="H128" s="32" t="str">
        <f ca="1">Master_List!$AW$3</f>
        <v>20/07/2026</v>
      </c>
      <c r="I128" s="28" t="str">
        <f ca="1">Master_List!$AW$4</f>
        <v>28.5</v>
      </c>
      <c r="J128" s="6" t="str">
        <f ca="1">Master_List!$AW$5</f>
        <v>65</v>
      </c>
      <c r="K128" s="6"/>
      <c r="L128" s="22"/>
      <c r="M128" s="25"/>
      <c r="N128" s="25"/>
      <c r="O128" s="25"/>
      <c r="P128" s="25"/>
      <c r="Q128" s="25"/>
      <c r="R128" s="25"/>
      <c r="S128" s="25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6"/>
      <c r="BE128" s="6"/>
      <c r="BF128" s="6"/>
      <c r="BG128" s="6"/>
      <c r="BH128" s="6"/>
    </row>
    <row r="129" spans="1:60" ht="15" customHeight="1" x14ac:dyDescent="0.25">
      <c r="A129" s="6">
        <v>64</v>
      </c>
      <c r="B129" s="6"/>
      <c r="C129" s="6">
        <v>1</v>
      </c>
      <c r="D129" s="6"/>
      <c r="E129" s="6">
        <v>64</v>
      </c>
      <c r="F129" s="6" t="str">
        <f ca="1">Master_List!$AW$1</f>
        <v>PERPUSTAKAAN PUSAT</v>
      </c>
      <c r="G129" s="27" t="str">
        <f ca="1">Master_List!$AW$2</f>
        <v>09:30 PM</v>
      </c>
      <c r="H129" s="32" t="str">
        <f ca="1">Master_List!$AW$3</f>
        <v>20/07/2026</v>
      </c>
      <c r="I129" s="28" t="str">
        <f ca="1">Master_List!$AW$4</f>
        <v>28.5</v>
      </c>
      <c r="J129" s="6" t="str">
        <f ca="1">Master_List!$AW$5</f>
        <v>65</v>
      </c>
      <c r="K129" s="6"/>
      <c r="L129" s="22"/>
      <c r="M129" s="25"/>
      <c r="N129" s="25"/>
      <c r="O129" s="25"/>
      <c r="P129" s="25"/>
      <c r="Q129" s="25"/>
      <c r="R129" s="25"/>
      <c r="S129" s="25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6"/>
      <c r="BE129" s="6"/>
      <c r="BF129" s="6"/>
      <c r="BG129" s="6"/>
      <c r="BH129" s="6"/>
    </row>
    <row r="130" spans="1:60" ht="15" customHeight="1" x14ac:dyDescent="0.25">
      <c r="A130" s="6">
        <v>65</v>
      </c>
      <c r="B130" s="6"/>
      <c r="C130" s="6">
        <v>1</v>
      </c>
      <c r="D130" s="6"/>
      <c r="E130" s="6">
        <v>65</v>
      </c>
      <c r="F130" s="6" t="str">
        <f ca="1">Master_List!$AW$1</f>
        <v>PERPUSTAKAAN PUSAT</v>
      </c>
      <c r="G130" s="27" t="str">
        <f ca="1">Master_List!$AW$2</f>
        <v>09:30 PM</v>
      </c>
      <c r="H130" s="32" t="str">
        <f ca="1">Master_List!$AW$3</f>
        <v>20/07/2026</v>
      </c>
      <c r="I130" s="28" t="str">
        <f ca="1">Master_List!$AW$4</f>
        <v>28.5</v>
      </c>
      <c r="J130" s="6" t="str">
        <f ca="1">Master_List!$AW$5</f>
        <v>65</v>
      </c>
      <c r="K130" s="6"/>
      <c r="L130" s="22"/>
      <c r="M130" s="25"/>
      <c r="N130" s="25"/>
      <c r="O130" s="25"/>
      <c r="P130" s="25"/>
      <c r="Q130" s="25"/>
      <c r="R130" s="25"/>
      <c r="S130" s="25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6"/>
      <c r="BE130" s="6"/>
      <c r="BF130" s="6"/>
      <c r="BG130" s="6"/>
      <c r="BH130" s="6"/>
    </row>
    <row r="131" spans="1:60" ht="15" customHeight="1" x14ac:dyDescent="0.25">
      <c r="A131" s="6">
        <v>65</v>
      </c>
      <c r="B131" s="6"/>
      <c r="C131" s="6">
        <v>1</v>
      </c>
      <c r="D131" s="6"/>
      <c r="E131" s="6">
        <v>65</v>
      </c>
      <c r="F131" s="6" t="str">
        <f ca="1">Master_List!$AW$1</f>
        <v>PERPUSTAKAAN PUSAT</v>
      </c>
      <c r="G131" s="27" t="str">
        <f ca="1">Master_List!$AW$2</f>
        <v>09:30 PM</v>
      </c>
      <c r="H131" s="32" t="str">
        <f ca="1">Master_List!$AW$3</f>
        <v>20/07/2026</v>
      </c>
      <c r="I131" s="28" t="str">
        <f ca="1">Master_List!$AW$4</f>
        <v>28.5</v>
      </c>
      <c r="J131" s="6" t="str">
        <f ca="1">Master_List!$AW$5</f>
        <v>65</v>
      </c>
      <c r="K131" s="6"/>
      <c r="L131" s="22"/>
      <c r="M131" s="25"/>
      <c r="N131" s="25"/>
      <c r="O131" s="25"/>
      <c r="P131" s="25"/>
      <c r="Q131" s="25"/>
      <c r="R131" s="25"/>
      <c r="S131" s="25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6"/>
      <c r="BE131" s="6"/>
      <c r="BF131" s="6"/>
      <c r="BG131" s="6"/>
      <c r="BH131" s="6"/>
    </row>
    <row r="132" spans="1:60" ht="15" customHeight="1" x14ac:dyDescent="0.25">
      <c r="A132" s="6">
        <v>66</v>
      </c>
      <c r="B132" s="6"/>
      <c r="C132" s="6">
        <v>1</v>
      </c>
      <c r="D132" s="6"/>
      <c r="E132" s="6">
        <v>66</v>
      </c>
      <c r="F132" s="6" t="str">
        <f ca="1">Master_List!$AW$1</f>
        <v>PERPUSTAKAAN PUSAT</v>
      </c>
      <c r="G132" s="27" t="str">
        <f ca="1">Master_List!$AW$2</f>
        <v>09:30 PM</v>
      </c>
      <c r="H132" s="32" t="str">
        <f ca="1">Master_List!$AW$3</f>
        <v>20/07/2026</v>
      </c>
      <c r="I132" s="28" t="str">
        <f ca="1">Master_List!$AW$4</f>
        <v>28.5</v>
      </c>
      <c r="J132" s="6" t="str">
        <f ca="1">Master_List!$AW$5</f>
        <v>65</v>
      </c>
      <c r="K132" s="6"/>
      <c r="L132" s="22"/>
      <c r="M132" s="25"/>
      <c r="N132" s="25"/>
      <c r="O132" s="25"/>
      <c r="P132" s="25"/>
      <c r="Q132" s="25"/>
      <c r="R132" s="25"/>
      <c r="S132" s="25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6"/>
      <c r="BE132" s="6"/>
      <c r="BF132" s="6"/>
      <c r="BG132" s="6"/>
      <c r="BH132" s="6"/>
    </row>
    <row r="133" spans="1:60" ht="15" customHeight="1" x14ac:dyDescent="0.25">
      <c r="A133" s="6">
        <v>66</v>
      </c>
      <c r="B133" s="6"/>
      <c r="C133" s="6">
        <v>1</v>
      </c>
      <c r="D133" s="6"/>
      <c r="E133" s="6">
        <v>66</v>
      </c>
      <c r="F133" s="6" t="str">
        <f ca="1">Master_List!$AW$1</f>
        <v>PERPUSTAKAAN PUSAT</v>
      </c>
      <c r="G133" s="27" t="str">
        <f ca="1">Master_List!$AW$2</f>
        <v>09:30 PM</v>
      </c>
      <c r="H133" s="32" t="str">
        <f ca="1">Master_List!$AW$3</f>
        <v>20/07/2026</v>
      </c>
      <c r="I133" s="28" t="str">
        <f ca="1">Master_List!$AW$4</f>
        <v>28.5</v>
      </c>
      <c r="J133" s="6" t="str">
        <f ca="1">Master_List!$AW$5</f>
        <v>65</v>
      </c>
      <c r="K133" s="6"/>
      <c r="L133" s="22"/>
      <c r="M133" s="25"/>
      <c r="N133" s="25"/>
      <c r="O133" s="25"/>
      <c r="P133" s="25"/>
      <c r="Q133" s="25"/>
      <c r="R133" s="25"/>
      <c r="S133" s="25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6"/>
      <c r="BE133" s="6"/>
      <c r="BF133" s="6"/>
      <c r="BG133" s="6"/>
      <c r="BH133" s="6"/>
    </row>
    <row r="134" spans="1:60" ht="15" customHeight="1" x14ac:dyDescent="0.25">
      <c r="A134" s="6">
        <v>67</v>
      </c>
      <c r="B134" s="6"/>
      <c r="C134" s="6">
        <v>1</v>
      </c>
      <c r="D134" s="6"/>
      <c r="E134" s="6">
        <v>67</v>
      </c>
      <c r="F134" s="6" t="str">
        <f ca="1">Master_List!$AW$1</f>
        <v>PERPUSTAKAAN PUSAT</v>
      </c>
      <c r="G134" s="27" t="str">
        <f ca="1">Master_List!$AW$2</f>
        <v>09:30 PM</v>
      </c>
      <c r="H134" s="32" t="str">
        <f ca="1">Master_List!$AW$3</f>
        <v>20/07/2026</v>
      </c>
      <c r="I134" s="28" t="str">
        <f ca="1">Master_List!$AW$4</f>
        <v>28.5</v>
      </c>
      <c r="J134" s="6" t="str">
        <f ca="1">Master_List!$AW$5</f>
        <v>65</v>
      </c>
      <c r="K134" s="6"/>
      <c r="L134" s="22"/>
      <c r="M134" s="25"/>
      <c r="N134" s="25"/>
      <c r="O134" s="25"/>
      <c r="P134" s="25"/>
      <c r="Q134" s="25"/>
      <c r="R134" s="25"/>
      <c r="S134" s="25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6"/>
      <c r="BE134" s="6"/>
      <c r="BF134" s="6"/>
      <c r="BG134" s="6"/>
      <c r="BH134" s="6"/>
    </row>
    <row r="135" spans="1:60" ht="15" customHeight="1" x14ac:dyDescent="0.25">
      <c r="A135" s="6">
        <v>67</v>
      </c>
      <c r="B135" s="6"/>
      <c r="C135" s="6">
        <v>1</v>
      </c>
      <c r="D135" s="6"/>
      <c r="E135" s="6">
        <v>67</v>
      </c>
      <c r="F135" s="6" t="str">
        <f ca="1">Master_List!$AW$1</f>
        <v>PERPUSTAKAAN PUSAT</v>
      </c>
      <c r="G135" s="27" t="str">
        <f ca="1">Master_List!$AW$2</f>
        <v>09:30 PM</v>
      </c>
      <c r="H135" s="32" t="str">
        <f ca="1">Master_List!$AW$3</f>
        <v>20/07/2026</v>
      </c>
      <c r="I135" s="28" t="str">
        <f ca="1">Master_List!$AW$4</f>
        <v>28.5</v>
      </c>
      <c r="J135" s="6" t="str">
        <f ca="1">Master_List!$AW$5</f>
        <v>65</v>
      </c>
      <c r="K135" s="6"/>
      <c r="L135" s="22"/>
      <c r="M135" s="25"/>
      <c r="N135" s="25"/>
      <c r="O135" s="25"/>
      <c r="P135" s="25"/>
      <c r="Q135" s="25"/>
      <c r="R135" s="25"/>
      <c r="S135" s="25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6"/>
      <c r="BE135" s="6"/>
      <c r="BF135" s="6"/>
      <c r="BG135" s="6"/>
      <c r="BH135" s="6"/>
    </row>
    <row r="136" spans="1:60" ht="15" customHeight="1" x14ac:dyDescent="0.25">
      <c r="A136" s="6">
        <v>68</v>
      </c>
      <c r="B136" s="6"/>
      <c r="C136" s="6">
        <v>1</v>
      </c>
      <c r="D136" s="6"/>
      <c r="E136" s="6">
        <v>68</v>
      </c>
      <c r="F136" s="6" t="str">
        <f ca="1">Master_List!$AW$1</f>
        <v>PERPUSTAKAAN PUSAT</v>
      </c>
      <c r="G136" s="27" t="str">
        <f ca="1">Master_List!$AW$2</f>
        <v>09:30 PM</v>
      </c>
      <c r="H136" s="32" t="str">
        <f ca="1">Master_List!$AW$3</f>
        <v>20/07/2026</v>
      </c>
      <c r="I136" s="28" t="str">
        <f ca="1">Master_List!$AW$4</f>
        <v>28.5</v>
      </c>
      <c r="J136" s="6" t="str">
        <f ca="1">Master_List!$AW$5</f>
        <v>65</v>
      </c>
      <c r="K136" s="6"/>
      <c r="L136" s="22"/>
      <c r="M136" s="25"/>
      <c r="N136" s="25"/>
      <c r="O136" s="25"/>
      <c r="P136" s="25"/>
      <c r="Q136" s="25"/>
      <c r="R136" s="25"/>
      <c r="S136" s="25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6"/>
      <c r="BE136" s="6"/>
      <c r="BF136" s="6"/>
      <c r="BG136" s="6"/>
      <c r="BH136" s="6"/>
    </row>
    <row r="137" spans="1:60" ht="15" customHeight="1" x14ac:dyDescent="0.25">
      <c r="A137" s="6">
        <v>68</v>
      </c>
      <c r="B137" s="6"/>
      <c r="C137" s="6">
        <v>1</v>
      </c>
      <c r="D137" s="6"/>
      <c r="E137" s="6">
        <v>68</v>
      </c>
      <c r="F137" s="6" t="str">
        <f ca="1">Master_List!$AW$1</f>
        <v>PERPUSTAKAAN PUSAT</v>
      </c>
      <c r="G137" s="27" t="str">
        <f ca="1">Master_List!$AW$2</f>
        <v>09:30 PM</v>
      </c>
      <c r="H137" s="32" t="str">
        <f ca="1">Master_List!$AW$3</f>
        <v>20/07/2026</v>
      </c>
      <c r="I137" s="28" t="str">
        <f ca="1">Master_List!$AW$4</f>
        <v>28.5</v>
      </c>
      <c r="J137" s="6" t="str">
        <f ca="1">Master_List!$AW$5</f>
        <v>65</v>
      </c>
      <c r="K137" s="6"/>
      <c r="L137" s="22"/>
      <c r="M137" s="25"/>
      <c r="N137" s="25"/>
      <c r="O137" s="25"/>
      <c r="P137" s="25"/>
      <c r="Q137" s="25"/>
      <c r="R137" s="25"/>
      <c r="S137" s="25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6"/>
      <c r="BE137" s="6"/>
      <c r="BF137" s="6"/>
      <c r="BG137" s="6"/>
      <c r="BH137" s="6"/>
    </row>
    <row r="138" spans="1:60" ht="15" customHeight="1" x14ac:dyDescent="0.25">
      <c r="A138" s="6">
        <v>69</v>
      </c>
      <c r="B138" s="6"/>
      <c r="C138" s="6">
        <v>1</v>
      </c>
      <c r="D138" s="6"/>
      <c r="E138" s="6">
        <v>69</v>
      </c>
      <c r="F138" s="6" t="str">
        <f ca="1">Master_List!$AW$1</f>
        <v>PERPUSTAKAAN PUSAT</v>
      </c>
      <c r="G138" s="27" t="str">
        <f ca="1">Master_List!$AW$2</f>
        <v>09:30 PM</v>
      </c>
      <c r="H138" s="32" t="str">
        <f ca="1">Master_List!$AW$3</f>
        <v>20/07/2026</v>
      </c>
      <c r="I138" s="28" t="str">
        <f ca="1">Master_List!$AW$4</f>
        <v>28.5</v>
      </c>
      <c r="J138" s="6" t="str">
        <f ca="1">Master_List!$AW$5</f>
        <v>65</v>
      </c>
      <c r="K138" s="6"/>
      <c r="L138" s="22"/>
      <c r="M138" s="25"/>
      <c r="N138" s="25"/>
      <c r="O138" s="25"/>
      <c r="P138" s="25"/>
      <c r="Q138" s="25"/>
      <c r="R138" s="25"/>
      <c r="S138" s="25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6"/>
      <c r="BE138" s="6"/>
      <c r="BF138" s="6"/>
      <c r="BG138" s="6"/>
      <c r="BH138" s="6"/>
    </row>
    <row r="139" spans="1:60" ht="15" customHeight="1" x14ac:dyDescent="0.25">
      <c r="A139" s="6">
        <v>69</v>
      </c>
      <c r="B139" s="6"/>
      <c r="C139" s="6">
        <v>1</v>
      </c>
      <c r="D139" s="6"/>
      <c r="E139" s="6">
        <v>69</v>
      </c>
      <c r="F139" s="6" t="str">
        <f ca="1">Master_List!$AW$1</f>
        <v>PERPUSTAKAAN PUSAT</v>
      </c>
      <c r="G139" s="27" t="str">
        <f ca="1">Master_List!$AW$2</f>
        <v>09:30 PM</v>
      </c>
      <c r="H139" s="32" t="str">
        <f ca="1">Master_List!$AW$3</f>
        <v>20/07/2026</v>
      </c>
      <c r="I139" s="28" t="str">
        <f ca="1">Master_List!$AW$4</f>
        <v>28.5</v>
      </c>
      <c r="J139" s="6" t="str">
        <f ca="1">Master_List!$AW$5</f>
        <v>65</v>
      </c>
      <c r="K139" s="6"/>
      <c r="L139" s="22"/>
      <c r="M139" s="25"/>
      <c r="N139" s="25"/>
      <c r="O139" s="25"/>
      <c r="P139" s="25"/>
      <c r="Q139" s="25"/>
      <c r="R139" s="25"/>
      <c r="S139" s="25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6"/>
      <c r="BE139" s="6"/>
      <c r="BF139" s="6"/>
      <c r="BG139" s="6"/>
      <c r="BH139" s="6"/>
    </row>
    <row r="140" spans="1:60" ht="15" customHeight="1" x14ac:dyDescent="0.25">
      <c r="A140" s="6">
        <v>70</v>
      </c>
      <c r="B140" s="6"/>
      <c r="C140" s="6">
        <v>1</v>
      </c>
      <c r="D140" s="6"/>
      <c r="E140" s="6">
        <v>70</v>
      </c>
      <c r="F140" s="6" t="str">
        <f ca="1">Master_List!$AW$1</f>
        <v>PERPUSTAKAAN PUSAT</v>
      </c>
      <c r="G140" s="27" t="str">
        <f ca="1">Master_List!$AW$2</f>
        <v>09:30 PM</v>
      </c>
      <c r="H140" s="32" t="str">
        <f ca="1">Master_List!$AW$3</f>
        <v>20/07/2026</v>
      </c>
      <c r="I140" s="28" t="str">
        <f ca="1">Master_List!$AW$4</f>
        <v>28.5</v>
      </c>
      <c r="J140" s="6" t="str">
        <f ca="1">Master_List!$AW$5</f>
        <v>65</v>
      </c>
      <c r="K140" s="6"/>
      <c r="L140" s="22"/>
      <c r="M140" s="25"/>
      <c r="N140" s="25"/>
      <c r="O140" s="25"/>
      <c r="P140" s="25"/>
      <c r="Q140" s="25"/>
      <c r="R140" s="25"/>
      <c r="S140" s="25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6"/>
      <c r="BE140" s="6"/>
      <c r="BF140" s="6"/>
      <c r="BG140" s="6"/>
      <c r="BH140" s="6"/>
    </row>
    <row r="141" spans="1:60" ht="15" customHeight="1" x14ac:dyDescent="0.25">
      <c r="A141" s="6">
        <v>70</v>
      </c>
      <c r="B141" s="6"/>
      <c r="C141" s="6">
        <v>1</v>
      </c>
      <c r="D141" s="6"/>
      <c r="E141" s="6">
        <v>70</v>
      </c>
      <c r="F141" s="6" t="str">
        <f ca="1">Master_List!$AW$1</f>
        <v>PERPUSTAKAAN PUSAT</v>
      </c>
      <c r="G141" s="27" t="str">
        <f ca="1">Master_List!$AW$2</f>
        <v>09:30 PM</v>
      </c>
      <c r="H141" s="32" t="str">
        <f ca="1">Master_List!$AW$3</f>
        <v>20/07/2026</v>
      </c>
      <c r="I141" s="28" t="str">
        <f ca="1">Master_List!$AW$4</f>
        <v>28.5</v>
      </c>
      <c r="J141" s="6" t="str">
        <f ca="1">Master_List!$AW$5</f>
        <v>65</v>
      </c>
      <c r="K141" s="6"/>
      <c r="L141" s="22"/>
      <c r="M141" s="25"/>
      <c r="N141" s="25"/>
      <c r="O141" s="25"/>
      <c r="P141" s="25"/>
      <c r="Q141" s="25"/>
      <c r="R141" s="25"/>
      <c r="S141" s="25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6"/>
      <c r="BE141" s="6"/>
      <c r="BF141" s="6"/>
      <c r="BG141" s="6"/>
      <c r="BH141" s="6"/>
    </row>
    <row r="142" spans="1:60" ht="15" customHeight="1" x14ac:dyDescent="0.25">
      <c r="A142" s="6">
        <v>71</v>
      </c>
      <c r="B142" s="6"/>
      <c r="C142" s="6">
        <v>1</v>
      </c>
      <c r="D142" s="6"/>
      <c r="E142" s="6">
        <v>71</v>
      </c>
      <c r="F142" s="6" t="str">
        <f ca="1">Master_List!$AW$1</f>
        <v>PERPUSTAKAAN PUSAT</v>
      </c>
      <c r="G142" s="27" t="str">
        <f ca="1">Master_List!$AW$2</f>
        <v>09:30 PM</v>
      </c>
      <c r="H142" s="32" t="str">
        <f ca="1">Master_List!$AW$3</f>
        <v>20/07/2026</v>
      </c>
      <c r="I142" s="28" t="str">
        <f ca="1">Master_List!$AW$4</f>
        <v>28.5</v>
      </c>
      <c r="J142" s="6" t="str">
        <f ca="1">Master_List!$AW$5</f>
        <v>65</v>
      </c>
      <c r="K142" s="6"/>
      <c r="L142" s="22"/>
      <c r="M142" s="25"/>
      <c r="N142" s="25"/>
      <c r="O142" s="25"/>
      <c r="P142" s="25"/>
      <c r="Q142" s="25"/>
      <c r="R142" s="25"/>
      <c r="S142" s="25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6"/>
      <c r="BE142" s="6"/>
      <c r="BF142" s="6"/>
      <c r="BG142" s="6"/>
      <c r="BH142" s="6"/>
    </row>
    <row r="143" spans="1:60" ht="15" customHeight="1" x14ac:dyDescent="0.25">
      <c r="A143" s="6">
        <v>71</v>
      </c>
      <c r="B143" s="6"/>
      <c r="C143" s="6">
        <v>1</v>
      </c>
      <c r="D143" s="6"/>
      <c r="E143" s="6">
        <v>71</v>
      </c>
      <c r="F143" s="6" t="str">
        <f ca="1">Master_List!$AW$1</f>
        <v>PERPUSTAKAAN PUSAT</v>
      </c>
      <c r="G143" s="27" t="str">
        <f ca="1">Master_List!$AW$2</f>
        <v>09:30 PM</v>
      </c>
      <c r="H143" s="32" t="str">
        <f ca="1">Master_List!$AW$3</f>
        <v>20/07/2026</v>
      </c>
      <c r="I143" s="28" t="str">
        <f ca="1">Master_List!$AW$4</f>
        <v>28.5</v>
      </c>
      <c r="J143" s="6" t="str">
        <f ca="1">Master_List!$AW$5</f>
        <v>65</v>
      </c>
      <c r="K143" s="6"/>
      <c r="L143" s="22"/>
      <c r="M143" s="25"/>
      <c r="N143" s="25"/>
      <c r="O143" s="25"/>
      <c r="P143" s="25"/>
      <c r="Q143" s="25"/>
      <c r="R143" s="25"/>
      <c r="S143" s="25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6"/>
      <c r="BE143" s="6"/>
      <c r="BF143" s="6"/>
      <c r="BG143" s="6"/>
      <c r="BH143" s="6"/>
    </row>
    <row r="144" spans="1:60" ht="15" customHeight="1" x14ac:dyDescent="0.25">
      <c r="A144" s="6">
        <v>72</v>
      </c>
      <c r="B144" s="6"/>
      <c r="C144" s="6">
        <v>1</v>
      </c>
      <c r="D144" s="6"/>
      <c r="E144" s="6">
        <v>72</v>
      </c>
      <c r="F144" s="6" t="str">
        <f ca="1">Master_List!$AW$1</f>
        <v>PERPUSTAKAAN PUSAT</v>
      </c>
      <c r="G144" s="27" t="str">
        <f ca="1">Master_List!$AW$2</f>
        <v>09:30 PM</v>
      </c>
      <c r="H144" s="32" t="str">
        <f ca="1">Master_List!$AW$3</f>
        <v>20/07/2026</v>
      </c>
      <c r="I144" s="28" t="str">
        <f ca="1">Master_List!$AW$4</f>
        <v>28.5</v>
      </c>
      <c r="J144" s="6" t="str">
        <f ca="1">Master_List!$AW$5</f>
        <v>65</v>
      </c>
      <c r="K144" s="6"/>
      <c r="L144" s="22"/>
      <c r="M144" s="25"/>
      <c r="N144" s="25"/>
      <c r="O144" s="25"/>
      <c r="P144" s="25"/>
      <c r="Q144" s="25"/>
      <c r="R144" s="25"/>
      <c r="S144" s="25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6"/>
      <c r="BE144" s="6"/>
      <c r="BF144" s="6"/>
      <c r="BG144" s="6"/>
      <c r="BH144" s="6"/>
    </row>
    <row r="145" spans="1:60" ht="15" customHeight="1" x14ac:dyDescent="0.25">
      <c r="A145" s="6">
        <v>72</v>
      </c>
      <c r="B145" s="6"/>
      <c r="C145" s="6">
        <v>1</v>
      </c>
      <c r="D145" s="6"/>
      <c r="E145" s="6">
        <v>72</v>
      </c>
      <c r="F145" s="6" t="str">
        <f ca="1">Master_List!$AW$1</f>
        <v>PERPUSTAKAAN PUSAT</v>
      </c>
      <c r="G145" s="27" t="str">
        <f ca="1">Master_List!$AW$2</f>
        <v>09:30 PM</v>
      </c>
      <c r="H145" s="32" t="str">
        <f ca="1">Master_List!$AW$3</f>
        <v>20/07/2026</v>
      </c>
      <c r="I145" s="28" t="str">
        <f ca="1">Master_List!$AW$4</f>
        <v>28.5</v>
      </c>
      <c r="J145" s="6" t="str">
        <f ca="1">Master_List!$AW$5</f>
        <v>65</v>
      </c>
      <c r="K145" s="6"/>
      <c r="L145" s="22"/>
      <c r="M145" s="25"/>
      <c r="N145" s="25"/>
      <c r="O145" s="25"/>
      <c r="P145" s="25"/>
      <c r="Q145" s="25"/>
      <c r="R145" s="25"/>
      <c r="S145" s="25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6"/>
      <c r="BE145" s="6"/>
      <c r="BF145" s="6"/>
      <c r="BG145" s="6"/>
      <c r="BH145" s="6"/>
    </row>
    <row r="146" spans="1:60" ht="15" customHeight="1" x14ac:dyDescent="0.25">
      <c r="A146" s="6">
        <v>73</v>
      </c>
      <c r="B146" s="6"/>
      <c r="C146" s="6">
        <v>1</v>
      </c>
      <c r="D146" s="6"/>
      <c r="E146" s="6">
        <v>73</v>
      </c>
      <c r="F146" s="6" t="str">
        <f ca="1">Master_List!$AW$1</f>
        <v>PERPUSTAKAAN PUSAT</v>
      </c>
      <c r="G146" s="27" t="str">
        <f ca="1">Master_List!$AW$2</f>
        <v>09:30 PM</v>
      </c>
      <c r="H146" s="32" t="str">
        <f ca="1">Master_List!$AW$3</f>
        <v>20/07/2026</v>
      </c>
      <c r="I146" s="28" t="str">
        <f ca="1">Master_List!$AW$4</f>
        <v>28.5</v>
      </c>
      <c r="J146" s="6" t="str">
        <f ca="1">Master_List!$AW$5</f>
        <v>65</v>
      </c>
      <c r="K146" s="6"/>
      <c r="L146" s="22"/>
      <c r="M146" s="25"/>
      <c r="N146" s="25"/>
      <c r="O146" s="25"/>
      <c r="P146" s="25"/>
      <c r="Q146" s="25"/>
      <c r="R146" s="25"/>
      <c r="S146" s="25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6"/>
      <c r="BE146" s="6"/>
      <c r="BF146" s="6"/>
      <c r="BG146" s="6"/>
      <c r="BH146" s="6"/>
    </row>
    <row r="147" spans="1:60" ht="15" customHeight="1" x14ac:dyDescent="0.25">
      <c r="A147" s="6">
        <v>73</v>
      </c>
      <c r="B147" s="6"/>
      <c r="C147" s="6">
        <v>1</v>
      </c>
      <c r="D147" s="6"/>
      <c r="E147" s="6">
        <v>73</v>
      </c>
      <c r="F147" s="6" t="str">
        <f ca="1">Master_List!$AW$1</f>
        <v>PERPUSTAKAAN PUSAT</v>
      </c>
      <c r="G147" s="27" t="str">
        <f ca="1">Master_List!$AW$2</f>
        <v>09:30 PM</v>
      </c>
      <c r="H147" s="32" t="str">
        <f ca="1">Master_List!$AW$3</f>
        <v>20/07/2026</v>
      </c>
      <c r="I147" s="28" t="str">
        <f ca="1">Master_List!$AW$4</f>
        <v>28.5</v>
      </c>
      <c r="J147" s="6" t="str">
        <f ca="1">Master_List!$AW$5</f>
        <v>65</v>
      </c>
      <c r="K147" s="6"/>
      <c r="L147" s="22"/>
      <c r="M147" s="25"/>
      <c r="N147" s="25"/>
      <c r="O147" s="25"/>
      <c r="P147" s="25"/>
      <c r="Q147" s="25"/>
      <c r="R147" s="25"/>
      <c r="S147" s="25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6"/>
      <c r="BE147" s="6"/>
      <c r="BF147" s="6"/>
      <c r="BG147" s="6"/>
      <c r="BH147" s="6"/>
    </row>
    <row r="148" spans="1:60" ht="15" customHeight="1" x14ac:dyDescent="0.25">
      <c r="A148" s="6">
        <v>74</v>
      </c>
      <c r="B148" s="6"/>
      <c r="C148" s="6">
        <v>1</v>
      </c>
      <c r="D148" s="6"/>
      <c r="E148" s="6">
        <v>74</v>
      </c>
      <c r="F148" s="6" t="str">
        <f ca="1">Master_List!$AW$1</f>
        <v>PERPUSTAKAAN PUSAT</v>
      </c>
      <c r="G148" s="27" t="str">
        <f ca="1">Master_List!$AW$2</f>
        <v>09:30 PM</v>
      </c>
      <c r="H148" s="32" t="str">
        <f ca="1">Master_List!$AW$3</f>
        <v>20/07/2026</v>
      </c>
      <c r="I148" s="28" t="str">
        <f ca="1">Master_List!$AW$4</f>
        <v>28.5</v>
      </c>
      <c r="J148" s="6" t="str">
        <f ca="1">Master_List!$AW$5</f>
        <v>65</v>
      </c>
      <c r="K148" s="6"/>
      <c r="L148" s="22"/>
      <c r="M148" s="25"/>
      <c r="N148" s="25"/>
      <c r="O148" s="25"/>
      <c r="P148" s="25"/>
      <c r="Q148" s="25"/>
      <c r="R148" s="25"/>
      <c r="S148" s="25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6"/>
      <c r="BE148" s="6"/>
      <c r="BF148" s="6"/>
      <c r="BG148" s="6"/>
      <c r="BH148" s="6"/>
    </row>
    <row r="149" spans="1:60" ht="15" customHeight="1" x14ac:dyDescent="0.25">
      <c r="A149" s="6">
        <v>74</v>
      </c>
      <c r="B149" s="6"/>
      <c r="C149" s="6">
        <v>1</v>
      </c>
      <c r="D149" s="6"/>
      <c r="E149" s="6">
        <v>74</v>
      </c>
      <c r="F149" s="6" t="str">
        <f ca="1">Master_List!$AW$1</f>
        <v>PERPUSTAKAAN PUSAT</v>
      </c>
      <c r="G149" s="27" t="str">
        <f ca="1">Master_List!$AW$2</f>
        <v>09:30 PM</v>
      </c>
      <c r="H149" s="32" t="str">
        <f ca="1">Master_List!$AW$3</f>
        <v>20/07/2026</v>
      </c>
      <c r="I149" s="28" t="str">
        <f ca="1">Master_List!$AW$4</f>
        <v>28.5</v>
      </c>
      <c r="J149" s="6" t="str">
        <f ca="1">Master_List!$AW$5</f>
        <v>65</v>
      </c>
      <c r="K149" s="6"/>
      <c r="L149" s="22"/>
      <c r="M149" s="25"/>
      <c r="N149" s="25"/>
      <c r="O149" s="25"/>
      <c r="P149" s="25"/>
      <c r="Q149" s="25"/>
      <c r="R149" s="25"/>
      <c r="S149" s="25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6"/>
      <c r="BE149" s="6"/>
      <c r="BF149" s="6"/>
      <c r="BG149" s="6"/>
      <c r="BH149" s="6"/>
    </row>
    <row r="150" spans="1:60" ht="15" customHeight="1" x14ac:dyDescent="0.25">
      <c r="A150" s="6">
        <v>75</v>
      </c>
      <c r="B150" s="6"/>
      <c r="C150" s="6">
        <v>1</v>
      </c>
      <c r="D150" s="6"/>
      <c r="E150" s="6">
        <v>75</v>
      </c>
      <c r="F150" s="6" t="str">
        <f ca="1">Master_List!$AW$1</f>
        <v>PERPUSTAKAAN PUSAT</v>
      </c>
      <c r="G150" s="27" t="str">
        <f ca="1">Master_List!$AW$2</f>
        <v>09:30 PM</v>
      </c>
      <c r="H150" s="32" t="str">
        <f ca="1">Master_List!$AW$3</f>
        <v>20/07/2026</v>
      </c>
      <c r="I150" s="28" t="str">
        <f ca="1">Master_List!$AW$4</f>
        <v>28.5</v>
      </c>
      <c r="J150" s="6" t="str">
        <f ca="1">Master_List!$AW$5</f>
        <v>65</v>
      </c>
      <c r="K150" s="6"/>
      <c r="L150" s="22"/>
      <c r="M150" s="25"/>
      <c r="N150" s="25"/>
      <c r="O150" s="25"/>
      <c r="P150" s="25"/>
      <c r="Q150" s="25"/>
      <c r="R150" s="25"/>
      <c r="S150" s="25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6"/>
      <c r="BE150" s="6"/>
      <c r="BF150" s="6"/>
      <c r="BG150" s="6"/>
      <c r="BH150" s="6"/>
    </row>
    <row r="151" spans="1:60" ht="15" customHeight="1" x14ac:dyDescent="0.25">
      <c r="A151" s="6">
        <v>75</v>
      </c>
      <c r="B151" s="6"/>
      <c r="C151" s="6">
        <v>1</v>
      </c>
      <c r="D151" s="6"/>
      <c r="E151" s="6">
        <v>75</v>
      </c>
      <c r="F151" s="6" t="str">
        <f ca="1">Master_List!$AW$1</f>
        <v>PERPUSTAKAAN PUSAT</v>
      </c>
      <c r="G151" s="27" t="str">
        <f ca="1">Master_List!$AW$2</f>
        <v>09:30 PM</v>
      </c>
      <c r="H151" s="32" t="str">
        <f ca="1">Master_List!$AW$3</f>
        <v>20/07/2026</v>
      </c>
      <c r="I151" s="28" t="str">
        <f ca="1">Master_List!$AW$4</f>
        <v>28.5</v>
      </c>
      <c r="J151" s="6" t="str">
        <f ca="1">Master_List!$AW$5</f>
        <v>65</v>
      </c>
      <c r="K151" s="6"/>
      <c r="L151" s="22"/>
      <c r="M151" s="25"/>
      <c r="N151" s="25"/>
      <c r="O151" s="25"/>
      <c r="P151" s="25"/>
      <c r="Q151" s="25"/>
      <c r="R151" s="25"/>
      <c r="S151" s="25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6"/>
      <c r="BE151" s="6"/>
      <c r="BF151" s="6"/>
      <c r="BG151" s="6"/>
      <c r="BH151" s="6"/>
    </row>
    <row r="152" spans="1:60" ht="15" customHeight="1" x14ac:dyDescent="0.25">
      <c r="A152" s="6">
        <v>76</v>
      </c>
      <c r="B152" s="6"/>
      <c r="C152" s="6">
        <v>1</v>
      </c>
      <c r="D152" s="6"/>
      <c r="E152" s="6">
        <v>76</v>
      </c>
      <c r="F152" s="6" t="str">
        <f ca="1">Master_List!$AW$1</f>
        <v>PERPUSTAKAAN PUSAT</v>
      </c>
      <c r="G152" s="27" t="str">
        <f ca="1">Master_List!$AW$2</f>
        <v>09:30 PM</v>
      </c>
      <c r="H152" s="32" t="str">
        <f ca="1">Master_List!$AW$3</f>
        <v>20/07/2026</v>
      </c>
      <c r="I152" s="28" t="str">
        <f ca="1">Master_List!$AW$4</f>
        <v>28.5</v>
      </c>
      <c r="J152" s="6" t="str">
        <f ca="1">Master_List!$AW$5</f>
        <v>65</v>
      </c>
      <c r="K152" s="6"/>
      <c r="L152" s="22"/>
      <c r="M152" s="25"/>
      <c r="N152" s="25"/>
      <c r="O152" s="25"/>
      <c r="P152" s="25"/>
      <c r="Q152" s="25"/>
      <c r="R152" s="25"/>
      <c r="S152" s="25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6"/>
      <c r="BE152" s="6"/>
      <c r="BF152" s="6"/>
      <c r="BG152" s="6"/>
      <c r="BH152" s="6"/>
    </row>
    <row r="153" spans="1:60" ht="15" customHeight="1" x14ac:dyDescent="0.25">
      <c r="A153" s="6">
        <v>76</v>
      </c>
      <c r="B153" s="6"/>
      <c r="C153" s="6">
        <v>1</v>
      </c>
      <c r="D153" s="6"/>
      <c r="E153" s="6">
        <v>76</v>
      </c>
      <c r="F153" s="6" t="str">
        <f ca="1">Master_List!$AW$1</f>
        <v>PERPUSTAKAAN PUSAT</v>
      </c>
      <c r="G153" s="27" t="str">
        <f ca="1">Master_List!$AW$2</f>
        <v>09:30 PM</v>
      </c>
      <c r="H153" s="32" t="str">
        <f ca="1">Master_List!$AW$3</f>
        <v>20/07/2026</v>
      </c>
      <c r="I153" s="28" t="str">
        <f ca="1">Master_List!$AW$4</f>
        <v>28.5</v>
      </c>
      <c r="J153" s="6" t="str">
        <f ca="1">Master_List!$AW$5</f>
        <v>65</v>
      </c>
      <c r="K153" s="6"/>
      <c r="L153" s="22"/>
      <c r="M153" s="25"/>
      <c r="N153" s="25"/>
      <c r="O153" s="25"/>
      <c r="P153" s="25"/>
      <c r="Q153" s="25"/>
      <c r="R153" s="25"/>
      <c r="S153" s="25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6"/>
      <c r="BE153" s="6"/>
      <c r="BF153" s="6"/>
      <c r="BG153" s="6"/>
      <c r="BH153" s="6"/>
    </row>
    <row r="154" spans="1:60" ht="15" customHeight="1" x14ac:dyDescent="0.25">
      <c r="A154" s="6">
        <v>77</v>
      </c>
      <c r="B154" s="6"/>
      <c r="C154" s="6">
        <v>1</v>
      </c>
      <c r="D154" s="6"/>
      <c r="E154" s="6">
        <v>77</v>
      </c>
      <c r="F154" s="6" t="str">
        <f ca="1">Master_List!$AW$1</f>
        <v>PERPUSTAKAAN PUSAT</v>
      </c>
      <c r="G154" s="27" t="str">
        <f ca="1">Master_List!$AW$2</f>
        <v>09:30 PM</v>
      </c>
      <c r="H154" s="32" t="str">
        <f ca="1">Master_List!$AW$3</f>
        <v>20/07/2026</v>
      </c>
      <c r="I154" s="28" t="str">
        <f ca="1">Master_List!$AW$4</f>
        <v>28.5</v>
      </c>
      <c r="J154" s="6" t="str">
        <f ca="1">Master_List!$AW$5</f>
        <v>65</v>
      </c>
      <c r="K154" s="6"/>
      <c r="L154" s="22"/>
      <c r="M154" s="25"/>
      <c r="N154" s="25"/>
      <c r="O154" s="25"/>
      <c r="P154" s="25"/>
      <c r="Q154" s="25"/>
      <c r="R154" s="25"/>
      <c r="S154" s="25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6"/>
      <c r="BE154" s="6"/>
      <c r="BF154" s="6"/>
      <c r="BG154" s="6"/>
      <c r="BH154" s="6"/>
    </row>
    <row r="155" spans="1:60" ht="15" customHeight="1" x14ac:dyDescent="0.25">
      <c r="A155" s="6">
        <v>77</v>
      </c>
      <c r="B155" s="6"/>
      <c r="C155" s="6">
        <v>1</v>
      </c>
      <c r="D155" s="6"/>
      <c r="E155" s="6">
        <v>77</v>
      </c>
      <c r="F155" s="6" t="str">
        <f ca="1">Master_List!$AW$1</f>
        <v>PERPUSTAKAAN PUSAT</v>
      </c>
      <c r="G155" s="27" t="str">
        <f ca="1">Master_List!$AW$2</f>
        <v>09:30 PM</v>
      </c>
      <c r="H155" s="32" t="str">
        <f ca="1">Master_List!$AW$3</f>
        <v>20/07/2026</v>
      </c>
      <c r="I155" s="28" t="str">
        <f ca="1">Master_List!$AW$4</f>
        <v>28.5</v>
      </c>
      <c r="J155" s="6" t="str">
        <f ca="1">Master_List!$AW$5</f>
        <v>65</v>
      </c>
      <c r="K155" s="6"/>
      <c r="L155" s="22"/>
      <c r="M155" s="25"/>
      <c r="N155" s="25"/>
      <c r="O155" s="25"/>
      <c r="P155" s="25"/>
      <c r="Q155" s="25"/>
      <c r="R155" s="25"/>
      <c r="S155" s="25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6"/>
      <c r="BE155" s="6"/>
      <c r="BF155" s="6"/>
      <c r="BG155" s="6"/>
      <c r="BH155" s="6"/>
    </row>
    <row r="156" spans="1:60" ht="15" customHeight="1" x14ac:dyDescent="0.25">
      <c r="A156" s="6">
        <v>78</v>
      </c>
      <c r="B156" s="6"/>
      <c r="C156" s="6">
        <v>1</v>
      </c>
      <c r="D156" s="6"/>
      <c r="E156" s="6">
        <v>78</v>
      </c>
      <c r="F156" s="6" t="str">
        <f ca="1">Master_List!$AW$1</f>
        <v>PERPUSTAKAAN PUSAT</v>
      </c>
      <c r="G156" s="27" t="str">
        <f ca="1">Master_List!$AW$2</f>
        <v>09:30 PM</v>
      </c>
      <c r="H156" s="32" t="str">
        <f ca="1">Master_List!$AW$3</f>
        <v>20/07/2026</v>
      </c>
      <c r="I156" s="28" t="str">
        <f ca="1">Master_List!$AW$4</f>
        <v>28.5</v>
      </c>
      <c r="J156" s="6" t="str">
        <f ca="1">Master_List!$AW$5</f>
        <v>65</v>
      </c>
      <c r="K156" s="6"/>
      <c r="L156" s="22"/>
      <c r="M156" s="25"/>
      <c r="N156" s="25"/>
      <c r="O156" s="25"/>
      <c r="P156" s="25"/>
      <c r="Q156" s="25"/>
      <c r="R156" s="25"/>
      <c r="S156" s="25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6"/>
      <c r="BE156" s="6"/>
      <c r="BF156" s="6"/>
      <c r="BG156" s="6"/>
      <c r="BH156" s="6"/>
    </row>
    <row r="157" spans="1:60" ht="15" customHeight="1" x14ac:dyDescent="0.25">
      <c r="A157" s="6">
        <v>78</v>
      </c>
      <c r="B157" s="6"/>
      <c r="C157" s="6">
        <v>1</v>
      </c>
      <c r="D157" s="6"/>
      <c r="E157" s="6">
        <v>78</v>
      </c>
      <c r="F157" s="6" t="str">
        <f ca="1">Master_List!$AW$1</f>
        <v>PERPUSTAKAAN PUSAT</v>
      </c>
      <c r="G157" s="27" t="str">
        <f ca="1">Master_List!$AW$2</f>
        <v>09:30 PM</v>
      </c>
      <c r="H157" s="32" t="str">
        <f ca="1">Master_List!$AW$3</f>
        <v>20/07/2026</v>
      </c>
      <c r="I157" s="28" t="str">
        <f ca="1">Master_List!$AW$4</f>
        <v>28.5</v>
      </c>
      <c r="J157" s="6" t="str">
        <f ca="1">Master_List!$AW$5</f>
        <v>65</v>
      </c>
      <c r="K157" s="6"/>
      <c r="L157" s="22"/>
      <c r="M157" s="25"/>
      <c r="N157" s="25"/>
      <c r="O157" s="25"/>
      <c r="P157" s="25"/>
      <c r="Q157" s="25"/>
      <c r="R157" s="25"/>
      <c r="S157" s="25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6"/>
      <c r="BE157" s="6"/>
      <c r="BF157" s="6"/>
      <c r="BG157" s="6"/>
      <c r="BH157" s="6"/>
    </row>
    <row r="158" spans="1:60" ht="15" customHeight="1" x14ac:dyDescent="0.25">
      <c r="A158" s="6">
        <v>79</v>
      </c>
      <c r="B158" s="6"/>
      <c r="C158" s="6">
        <v>1</v>
      </c>
      <c r="D158" s="6"/>
      <c r="E158" s="6">
        <v>79</v>
      </c>
      <c r="F158" s="6" t="str">
        <f ca="1">Master_List!$AW$1</f>
        <v>PERPUSTAKAAN PUSAT</v>
      </c>
      <c r="G158" s="27" t="str">
        <f ca="1">Master_List!$AW$2</f>
        <v>09:30 PM</v>
      </c>
      <c r="H158" s="32" t="str">
        <f ca="1">Master_List!$AW$3</f>
        <v>20/07/2026</v>
      </c>
      <c r="I158" s="28" t="str">
        <f ca="1">Master_List!$AW$4</f>
        <v>28.5</v>
      </c>
      <c r="J158" s="6" t="str">
        <f ca="1">Master_List!$AW$5</f>
        <v>65</v>
      </c>
      <c r="K158" s="6"/>
      <c r="L158" s="22"/>
      <c r="M158" s="25"/>
      <c r="N158" s="25"/>
      <c r="O158" s="25"/>
      <c r="P158" s="25"/>
      <c r="Q158" s="25"/>
      <c r="R158" s="25"/>
      <c r="S158" s="25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6"/>
      <c r="BE158" s="6"/>
      <c r="BF158" s="6"/>
      <c r="BG158" s="6"/>
      <c r="BH158" s="6"/>
    </row>
    <row r="159" spans="1:60" ht="15" customHeight="1" x14ac:dyDescent="0.25">
      <c r="A159" s="6">
        <v>79</v>
      </c>
      <c r="B159" s="6"/>
      <c r="C159" s="6">
        <v>1</v>
      </c>
      <c r="D159" s="6"/>
      <c r="E159" s="6">
        <v>79</v>
      </c>
      <c r="F159" s="6" t="str">
        <f ca="1">Master_List!$AW$1</f>
        <v>PERPUSTAKAAN PUSAT</v>
      </c>
      <c r="G159" s="27" t="str">
        <f ca="1">Master_List!$AW$2</f>
        <v>09:30 PM</v>
      </c>
      <c r="H159" s="32" t="str">
        <f ca="1">Master_List!$AW$3</f>
        <v>20/07/2026</v>
      </c>
      <c r="I159" s="28" t="str">
        <f ca="1">Master_List!$AW$4</f>
        <v>28.5</v>
      </c>
      <c r="J159" s="6" t="str">
        <f ca="1">Master_List!$AW$5</f>
        <v>65</v>
      </c>
      <c r="K159" s="6"/>
      <c r="L159" s="22"/>
      <c r="M159" s="25"/>
      <c r="N159" s="25"/>
      <c r="O159" s="25"/>
      <c r="P159" s="25"/>
      <c r="Q159" s="25"/>
      <c r="R159" s="25"/>
      <c r="S159" s="25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6"/>
      <c r="BE159" s="6"/>
      <c r="BF159" s="6"/>
      <c r="BG159" s="6"/>
      <c r="BH159" s="6"/>
    </row>
    <row r="160" spans="1:60" ht="15" customHeight="1" x14ac:dyDescent="0.25">
      <c r="A160" s="6">
        <v>80</v>
      </c>
      <c r="B160" s="6"/>
      <c r="C160" s="6">
        <v>1</v>
      </c>
      <c r="D160" s="6"/>
      <c r="E160" s="6">
        <v>80</v>
      </c>
      <c r="F160" s="6" t="str">
        <f ca="1">Master_List!$AW$1</f>
        <v>PERPUSTAKAAN PUSAT</v>
      </c>
      <c r="G160" s="27" t="str">
        <f ca="1">Master_List!$AW$2</f>
        <v>09:30 PM</v>
      </c>
      <c r="H160" s="32" t="str">
        <f ca="1">Master_List!$AW$3</f>
        <v>20/07/2026</v>
      </c>
      <c r="I160" s="28" t="str">
        <f ca="1">Master_List!$AW$4</f>
        <v>28.5</v>
      </c>
      <c r="J160" s="6" t="str">
        <f ca="1">Master_List!$AW$5</f>
        <v>65</v>
      </c>
      <c r="K160" s="6"/>
      <c r="L160" s="22"/>
      <c r="M160" s="25"/>
      <c r="N160" s="25"/>
      <c r="O160" s="25"/>
      <c r="P160" s="25"/>
      <c r="Q160" s="25"/>
      <c r="R160" s="25"/>
      <c r="S160" s="25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6"/>
      <c r="BE160" s="6"/>
      <c r="BF160" s="6"/>
      <c r="BG160" s="6"/>
      <c r="BH160" s="6"/>
    </row>
    <row r="161" spans="1:60" ht="15" customHeight="1" x14ac:dyDescent="0.25">
      <c r="A161" s="6">
        <v>80</v>
      </c>
      <c r="B161" s="6"/>
      <c r="C161" s="6">
        <v>1</v>
      </c>
      <c r="D161" s="6"/>
      <c r="E161" s="6">
        <v>80</v>
      </c>
      <c r="F161" s="6" t="str">
        <f ca="1">Master_List!$AW$1</f>
        <v>PERPUSTAKAAN PUSAT</v>
      </c>
      <c r="G161" s="27" t="str">
        <f ca="1">Master_List!$AW$2</f>
        <v>09:30 PM</v>
      </c>
      <c r="H161" s="32" t="str">
        <f ca="1">Master_List!$AW$3</f>
        <v>20/07/2026</v>
      </c>
      <c r="I161" s="28" t="str">
        <f ca="1">Master_List!$AW$4</f>
        <v>28.5</v>
      </c>
      <c r="J161" s="6" t="str">
        <f ca="1">Master_List!$AW$5</f>
        <v>65</v>
      </c>
      <c r="K161" s="6"/>
      <c r="L161" s="22"/>
      <c r="M161" s="25"/>
      <c r="N161" s="25"/>
      <c r="O161" s="25"/>
      <c r="P161" s="25"/>
      <c r="Q161" s="25"/>
      <c r="R161" s="25"/>
      <c r="S161" s="25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6"/>
      <c r="BE161" s="6"/>
      <c r="BF161" s="6"/>
      <c r="BG161" s="6"/>
      <c r="BH161" s="6"/>
    </row>
    <row r="162" spans="1:60" ht="15" customHeight="1" x14ac:dyDescent="0.25">
      <c r="A162" s="6">
        <v>81</v>
      </c>
      <c r="B162" s="6"/>
      <c r="C162" s="6">
        <v>1</v>
      </c>
      <c r="D162" s="6"/>
      <c r="E162" s="6">
        <v>81</v>
      </c>
      <c r="F162" s="6" t="str">
        <f ca="1">Master_List!$AW$1</f>
        <v>PERPUSTAKAAN PUSAT</v>
      </c>
      <c r="G162" s="27" t="str">
        <f ca="1">Master_List!$AW$2</f>
        <v>09:30 PM</v>
      </c>
      <c r="H162" s="32" t="str">
        <f ca="1">Master_List!$AW$3</f>
        <v>20/07/2026</v>
      </c>
      <c r="I162" s="28" t="str">
        <f ca="1">Master_List!$AW$4</f>
        <v>28.5</v>
      </c>
      <c r="J162" s="6" t="str">
        <f ca="1">Master_List!$AW$5</f>
        <v>65</v>
      </c>
      <c r="K162" s="6"/>
      <c r="L162" s="22"/>
      <c r="M162" s="25"/>
      <c r="N162" s="25"/>
      <c r="O162" s="25"/>
      <c r="P162" s="25"/>
      <c r="Q162" s="25"/>
      <c r="R162" s="25"/>
      <c r="S162" s="25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6"/>
      <c r="BE162" s="6"/>
      <c r="BF162" s="6"/>
      <c r="BG162" s="6"/>
      <c r="BH162" s="6"/>
    </row>
    <row r="163" spans="1:60" ht="15" customHeight="1" x14ac:dyDescent="0.25">
      <c r="A163" s="6">
        <v>81</v>
      </c>
      <c r="B163" s="6"/>
      <c r="C163" s="6">
        <v>1</v>
      </c>
      <c r="D163" s="6"/>
      <c r="E163" s="6">
        <v>81</v>
      </c>
      <c r="F163" s="6" t="str">
        <f ca="1">Master_List!$AW$1</f>
        <v>PERPUSTAKAAN PUSAT</v>
      </c>
      <c r="G163" s="27" t="str">
        <f ca="1">Master_List!$AW$2</f>
        <v>09:30 PM</v>
      </c>
      <c r="H163" s="32" t="str">
        <f ca="1">Master_List!$AW$3</f>
        <v>20/07/2026</v>
      </c>
      <c r="I163" s="28" t="str">
        <f ca="1">Master_List!$AW$4</f>
        <v>28.5</v>
      </c>
      <c r="J163" s="6" t="str">
        <f ca="1">Master_List!$AW$5</f>
        <v>65</v>
      </c>
      <c r="K163" s="6"/>
      <c r="L163" s="22"/>
      <c r="M163" s="25"/>
      <c r="N163" s="25"/>
      <c r="O163" s="25"/>
      <c r="P163" s="25"/>
      <c r="Q163" s="25"/>
      <c r="R163" s="25"/>
      <c r="S163" s="25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6"/>
      <c r="BE163" s="6"/>
      <c r="BF163" s="6"/>
      <c r="BG163" s="6"/>
      <c r="BH163" s="6"/>
    </row>
    <row r="164" spans="1:60" ht="15" customHeight="1" x14ac:dyDescent="0.25">
      <c r="A164" s="6">
        <v>82</v>
      </c>
      <c r="B164" s="6"/>
      <c r="C164" s="6">
        <v>1</v>
      </c>
      <c r="D164" s="6"/>
      <c r="E164" s="6">
        <v>82</v>
      </c>
      <c r="F164" s="6" t="str">
        <f ca="1">Master_List!$AW$1</f>
        <v>PERPUSTAKAAN PUSAT</v>
      </c>
      <c r="G164" s="27" t="str">
        <f ca="1">Master_List!$AW$2</f>
        <v>09:30 PM</v>
      </c>
      <c r="H164" s="32" t="str">
        <f ca="1">Master_List!$AW$3</f>
        <v>20/07/2026</v>
      </c>
      <c r="I164" s="28" t="str">
        <f ca="1">Master_List!$AW$4</f>
        <v>28.5</v>
      </c>
      <c r="J164" s="6" t="str">
        <f ca="1">Master_List!$AW$5</f>
        <v>65</v>
      </c>
      <c r="K164" s="6"/>
      <c r="L164" s="22"/>
      <c r="M164" s="25"/>
      <c r="N164" s="25"/>
      <c r="O164" s="25"/>
      <c r="P164" s="25"/>
      <c r="Q164" s="25"/>
      <c r="R164" s="25"/>
      <c r="S164" s="25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6"/>
      <c r="BE164" s="6"/>
      <c r="BF164" s="6"/>
      <c r="BG164" s="6"/>
      <c r="BH164" s="6"/>
    </row>
    <row r="165" spans="1:60" ht="15" customHeight="1" x14ac:dyDescent="0.25">
      <c r="A165" s="6">
        <v>82</v>
      </c>
      <c r="B165" s="6"/>
      <c r="C165" s="6">
        <v>1</v>
      </c>
      <c r="D165" s="6"/>
      <c r="E165" s="6">
        <v>82</v>
      </c>
      <c r="F165" s="6" t="str">
        <f ca="1">Master_List!$AW$1</f>
        <v>PERPUSTAKAAN PUSAT</v>
      </c>
      <c r="G165" s="27" t="str">
        <f ca="1">Master_List!$AW$2</f>
        <v>09:30 PM</v>
      </c>
      <c r="H165" s="32" t="str">
        <f ca="1">Master_List!$AW$3</f>
        <v>20/07/2026</v>
      </c>
      <c r="I165" s="28" t="str">
        <f ca="1">Master_List!$AW$4</f>
        <v>28.5</v>
      </c>
      <c r="J165" s="6" t="str">
        <f ca="1">Master_List!$AW$5</f>
        <v>65</v>
      </c>
      <c r="K165" s="6"/>
      <c r="L165" s="22"/>
      <c r="M165" s="25"/>
      <c r="N165" s="25"/>
      <c r="O165" s="25"/>
      <c r="P165" s="25"/>
      <c r="Q165" s="25"/>
      <c r="R165" s="25"/>
      <c r="S165" s="25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6"/>
      <c r="BE165" s="6"/>
      <c r="BF165" s="6"/>
      <c r="BG165" s="6"/>
      <c r="BH165" s="6"/>
    </row>
    <row r="166" spans="1:60" ht="15" customHeight="1" x14ac:dyDescent="0.25">
      <c r="A166" s="6">
        <v>83</v>
      </c>
      <c r="B166" s="6"/>
      <c r="C166" s="6">
        <v>1</v>
      </c>
      <c r="D166" s="6"/>
      <c r="E166" s="6">
        <v>83</v>
      </c>
      <c r="F166" s="6" t="str">
        <f ca="1">Master_List!$AW$1</f>
        <v>PERPUSTAKAAN PUSAT</v>
      </c>
      <c r="G166" s="27" t="str">
        <f ca="1">Master_List!$AW$2</f>
        <v>09:30 PM</v>
      </c>
      <c r="H166" s="32" t="str">
        <f ca="1">Master_List!$AW$3</f>
        <v>20/07/2026</v>
      </c>
      <c r="I166" s="28" t="str">
        <f ca="1">Master_List!$AW$4</f>
        <v>28.5</v>
      </c>
      <c r="J166" s="6" t="str">
        <f ca="1">Master_List!$AW$5</f>
        <v>65</v>
      </c>
      <c r="K166" s="6"/>
      <c r="L166" s="22"/>
      <c r="M166" s="25"/>
      <c r="N166" s="25"/>
      <c r="O166" s="25"/>
      <c r="P166" s="25"/>
      <c r="Q166" s="25"/>
      <c r="R166" s="25"/>
      <c r="S166" s="25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6"/>
      <c r="BE166" s="6"/>
      <c r="BF166" s="6"/>
      <c r="BG166" s="6"/>
      <c r="BH166" s="6"/>
    </row>
    <row r="167" spans="1:60" ht="15" customHeight="1" x14ac:dyDescent="0.25">
      <c r="A167" s="6">
        <v>83</v>
      </c>
      <c r="B167" s="6"/>
      <c r="C167" s="6">
        <v>1</v>
      </c>
      <c r="D167" s="6"/>
      <c r="E167" s="6">
        <v>83</v>
      </c>
      <c r="F167" s="6" t="str">
        <f ca="1">Master_List!$AW$1</f>
        <v>PERPUSTAKAAN PUSAT</v>
      </c>
      <c r="G167" s="27" t="str">
        <f ca="1">Master_List!$AW$2</f>
        <v>09:30 PM</v>
      </c>
      <c r="H167" s="32" t="str">
        <f ca="1">Master_List!$AW$3</f>
        <v>20/07/2026</v>
      </c>
      <c r="I167" s="28" t="str">
        <f ca="1">Master_List!$AW$4</f>
        <v>28.5</v>
      </c>
      <c r="J167" s="6" t="str">
        <f ca="1">Master_List!$AW$5</f>
        <v>65</v>
      </c>
      <c r="K167" s="6"/>
      <c r="L167" s="22"/>
      <c r="M167" s="25"/>
      <c r="N167" s="25"/>
      <c r="O167" s="25"/>
      <c r="P167" s="25"/>
      <c r="Q167" s="25"/>
      <c r="R167" s="25"/>
      <c r="S167" s="25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6"/>
      <c r="BE167" s="6"/>
      <c r="BF167" s="6"/>
      <c r="BG167" s="6"/>
      <c r="BH167" s="6"/>
    </row>
    <row r="168" spans="1:60" ht="15" customHeight="1" x14ac:dyDescent="0.25">
      <c r="A168" s="6">
        <v>84</v>
      </c>
      <c r="B168" s="6"/>
      <c r="C168" s="6">
        <v>1</v>
      </c>
      <c r="D168" s="6"/>
      <c r="E168" s="6">
        <v>84</v>
      </c>
      <c r="F168" s="6" t="str">
        <f ca="1">Master_List!$AW$1</f>
        <v>PERPUSTAKAAN PUSAT</v>
      </c>
      <c r="G168" s="27" t="str">
        <f ca="1">Master_List!$AW$2</f>
        <v>09:30 PM</v>
      </c>
      <c r="H168" s="32" t="str">
        <f ca="1">Master_List!$AW$3</f>
        <v>20/07/2026</v>
      </c>
      <c r="I168" s="28" t="str">
        <f ca="1">Master_List!$AW$4</f>
        <v>28.5</v>
      </c>
      <c r="J168" s="6" t="str">
        <f ca="1">Master_List!$AW$5</f>
        <v>65</v>
      </c>
      <c r="K168" s="6"/>
      <c r="L168" s="22"/>
      <c r="M168" s="25"/>
      <c r="N168" s="25"/>
      <c r="O168" s="25"/>
      <c r="P168" s="25"/>
      <c r="Q168" s="25"/>
      <c r="R168" s="25"/>
      <c r="S168" s="25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6"/>
      <c r="BE168" s="6"/>
      <c r="BF168" s="6"/>
      <c r="BG168" s="6"/>
      <c r="BH168" s="6"/>
    </row>
    <row r="169" spans="1:60" ht="15" customHeight="1" x14ac:dyDescent="0.25">
      <c r="A169" s="6">
        <v>84</v>
      </c>
      <c r="B169" s="6"/>
      <c r="C169" s="6">
        <v>1</v>
      </c>
      <c r="D169" s="6"/>
      <c r="E169" s="6">
        <v>84</v>
      </c>
      <c r="F169" s="6" t="str">
        <f ca="1">Master_List!$AW$1</f>
        <v>PERPUSTAKAAN PUSAT</v>
      </c>
      <c r="G169" s="27" t="str">
        <f ca="1">Master_List!$AW$2</f>
        <v>09:30 PM</v>
      </c>
      <c r="H169" s="32" t="str">
        <f ca="1">Master_List!$AW$3</f>
        <v>20/07/2026</v>
      </c>
      <c r="I169" s="28" t="str">
        <f ca="1">Master_List!$AW$4</f>
        <v>28.5</v>
      </c>
      <c r="J169" s="6" t="str">
        <f ca="1">Master_List!$AW$5</f>
        <v>65</v>
      </c>
      <c r="K169" s="6"/>
      <c r="L169" s="22"/>
      <c r="M169" s="25"/>
      <c r="N169" s="25"/>
      <c r="O169" s="25"/>
      <c r="P169" s="25"/>
      <c r="Q169" s="25"/>
      <c r="R169" s="25"/>
      <c r="S169" s="25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6"/>
      <c r="BE169" s="6"/>
      <c r="BF169" s="6"/>
      <c r="BG169" s="6"/>
      <c r="BH169" s="6"/>
    </row>
    <row r="170" spans="1:60" ht="15" customHeight="1" x14ac:dyDescent="0.25">
      <c r="A170" s="6">
        <v>85</v>
      </c>
      <c r="B170" s="6"/>
      <c r="C170" s="6">
        <v>1</v>
      </c>
      <c r="D170" s="6"/>
      <c r="E170" s="6">
        <v>85</v>
      </c>
      <c r="F170" s="6" t="str">
        <f ca="1">Master_List!$AW$1</f>
        <v>PERPUSTAKAAN PUSAT</v>
      </c>
      <c r="G170" s="27" t="str">
        <f ca="1">Master_List!$AW$2</f>
        <v>09:30 PM</v>
      </c>
      <c r="H170" s="32" t="str">
        <f ca="1">Master_List!$AW$3</f>
        <v>20/07/2026</v>
      </c>
      <c r="I170" s="28" t="str">
        <f ca="1">Master_List!$AW$4</f>
        <v>28.5</v>
      </c>
      <c r="J170" s="6" t="str">
        <f ca="1">Master_List!$AW$5</f>
        <v>65</v>
      </c>
      <c r="K170" s="6"/>
      <c r="L170" s="22"/>
      <c r="M170" s="25"/>
      <c r="N170" s="25"/>
      <c r="O170" s="25"/>
      <c r="P170" s="25"/>
      <c r="Q170" s="25"/>
      <c r="R170" s="25"/>
      <c r="S170" s="25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6"/>
      <c r="BE170" s="6"/>
      <c r="BF170" s="6"/>
      <c r="BG170" s="6"/>
      <c r="BH170" s="6"/>
    </row>
    <row r="171" spans="1:60" ht="15" customHeight="1" x14ac:dyDescent="0.25">
      <c r="A171" s="6">
        <v>85</v>
      </c>
      <c r="B171" s="6"/>
      <c r="C171" s="6">
        <v>1</v>
      </c>
      <c r="D171" s="6"/>
      <c r="E171" s="6">
        <v>85</v>
      </c>
      <c r="F171" s="6" t="str">
        <f ca="1">Master_List!$AW$1</f>
        <v>PERPUSTAKAAN PUSAT</v>
      </c>
      <c r="G171" s="27" t="str">
        <f ca="1">Master_List!$AW$2</f>
        <v>09:30 PM</v>
      </c>
      <c r="H171" s="32" t="str">
        <f ca="1">Master_List!$AW$3</f>
        <v>20/07/2026</v>
      </c>
      <c r="I171" s="28" t="str">
        <f ca="1">Master_List!$AW$4</f>
        <v>28.5</v>
      </c>
      <c r="J171" s="6" t="str">
        <f ca="1">Master_List!$AW$5</f>
        <v>65</v>
      </c>
      <c r="K171" s="6"/>
      <c r="L171" s="22"/>
      <c r="M171" s="25"/>
      <c r="N171" s="25"/>
      <c r="O171" s="25"/>
      <c r="P171" s="25"/>
      <c r="Q171" s="25"/>
      <c r="R171" s="25"/>
      <c r="S171" s="25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6"/>
      <c r="BE171" s="6"/>
      <c r="BF171" s="6"/>
      <c r="BG171" s="6"/>
      <c r="BH171" s="6"/>
    </row>
    <row r="172" spans="1:60" ht="15" customHeight="1" x14ac:dyDescent="0.25">
      <c r="A172" s="6">
        <v>86</v>
      </c>
      <c r="B172" s="6"/>
      <c r="C172" s="6">
        <v>1</v>
      </c>
      <c r="D172" s="6"/>
      <c r="E172" s="6">
        <v>86</v>
      </c>
      <c r="F172" s="6" t="str">
        <f ca="1">Master_List!$AW$1</f>
        <v>PERPUSTAKAAN PUSAT</v>
      </c>
      <c r="G172" s="27" t="str">
        <f ca="1">Master_List!$AW$2</f>
        <v>09:30 PM</v>
      </c>
      <c r="H172" s="32" t="str">
        <f ca="1">Master_List!$AW$3</f>
        <v>20/07/2026</v>
      </c>
      <c r="I172" s="28" t="str">
        <f ca="1">Master_List!$AW$4</f>
        <v>28.5</v>
      </c>
      <c r="J172" s="6" t="str">
        <f ca="1">Master_List!$AW$5</f>
        <v>65</v>
      </c>
      <c r="K172" s="6"/>
      <c r="L172" s="22"/>
      <c r="M172" s="25"/>
      <c r="N172" s="25"/>
      <c r="O172" s="25"/>
      <c r="P172" s="25"/>
      <c r="Q172" s="25"/>
      <c r="R172" s="25"/>
      <c r="S172" s="25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6"/>
      <c r="BE172" s="6"/>
      <c r="BF172" s="6"/>
      <c r="BG172" s="6"/>
      <c r="BH172" s="6"/>
    </row>
    <row r="173" spans="1:60" ht="15" customHeight="1" x14ac:dyDescent="0.25">
      <c r="A173" s="6">
        <v>86</v>
      </c>
      <c r="B173" s="6"/>
      <c r="C173" s="6">
        <v>1</v>
      </c>
      <c r="D173" s="6"/>
      <c r="E173" s="6">
        <v>86</v>
      </c>
      <c r="F173" s="6" t="str">
        <f ca="1">Master_List!$AW$1</f>
        <v>PERPUSTAKAAN PUSAT</v>
      </c>
      <c r="G173" s="27" t="str">
        <f ca="1">Master_List!$AW$2</f>
        <v>09:30 PM</v>
      </c>
      <c r="H173" s="32" t="str">
        <f ca="1">Master_List!$AW$3</f>
        <v>20/07/2026</v>
      </c>
      <c r="I173" s="28" t="str">
        <f ca="1">Master_List!$AW$4</f>
        <v>28.5</v>
      </c>
      <c r="J173" s="6" t="str">
        <f ca="1">Master_List!$AW$5</f>
        <v>65</v>
      </c>
      <c r="K173" s="6"/>
      <c r="L173" s="22"/>
      <c r="M173" s="25"/>
      <c r="N173" s="25"/>
      <c r="O173" s="25"/>
      <c r="P173" s="25"/>
      <c r="Q173" s="25"/>
      <c r="R173" s="25"/>
      <c r="S173" s="25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6"/>
      <c r="BE173" s="6"/>
      <c r="BF173" s="6"/>
      <c r="BG173" s="6"/>
      <c r="BH173" s="6"/>
    </row>
    <row r="174" spans="1:60" ht="15" customHeight="1" x14ac:dyDescent="0.25">
      <c r="A174" s="6">
        <v>87</v>
      </c>
      <c r="B174" s="6"/>
      <c r="C174" s="6">
        <v>1</v>
      </c>
      <c r="D174" s="6"/>
      <c r="E174" s="6">
        <v>87</v>
      </c>
      <c r="F174" s="6" t="str">
        <f ca="1">Master_List!$AW$1</f>
        <v>PERPUSTAKAAN PUSAT</v>
      </c>
      <c r="G174" s="27" t="str">
        <f ca="1">Master_List!$AW$2</f>
        <v>09:30 PM</v>
      </c>
      <c r="H174" s="32" t="str">
        <f ca="1">Master_List!$AW$3</f>
        <v>20/07/2026</v>
      </c>
      <c r="I174" s="28" t="str">
        <f ca="1">Master_List!$AW$4</f>
        <v>28.5</v>
      </c>
      <c r="J174" s="6" t="str">
        <f ca="1">Master_List!$AW$5</f>
        <v>65</v>
      </c>
      <c r="K174" s="6"/>
      <c r="L174" s="22"/>
      <c r="M174" s="25"/>
      <c r="N174" s="25"/>
      <c r="O174" s="25"/>
      <c r="P174" s="25"/>
      <c r="Q174" s="25"/>
      <c r="R174" s="25"/>
      <c r="S174" s="25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6"/>
      <c r="BE174" s="6"/>
      <c r="BF174" s="6"/>
      <c r="BG174" s="6"/>
      <c r="BH174" s="6"/>
    </row>
    <row r="175" spans="1:60" ht="15" customHeight="1" x14ac:dyDescent="0.25">
      <c r="A175" s="6">
        <v>87</v>
      </c>
      <c r="B175" s="6"/>
      <c r="C175" s="6">
        <v>1</v>
      </c>
      <c r="D175" s="6"/>
      <c r="E175" s="6">
        <v>87</v>
      </c>
      <c r="F175" s="6" t="str">
        <f ca="1">Master_List!$AW$1</f>
        <v>PERPUSTAKAAN PUSAT</v>
      </c>
      <c r="G175" s="27" t="str">
        <f ca="1">Master_List!$AW$2</f>
        <v>09:30 PM</v>
      </c>
      <c r="H175" s="32" t="str">
        <f ca="1">Master_List!$AW$3</f>
        <v>20/07/2026</v>
      </c>
      <c r="I175" s="28" t="str">
        <f ca="1">Master_List!$AW$4</f>
        <v>28.5</v>
      </c>
      <c r="J175" s="6" t="str">
        <f ca="1">Master_List!$AW$5</f>
        <v>65</v>
      </c>
      <c r="K175" s="6"/>
      <c r="L175" s="22"/>
      <c r="M175" s="25"/>
      <c r="N175" s="25"/>
      <c r="O175" s="25"/>
      <c r="P175" s="25"/>
      <c r="Q175" s="25"/>
      <c r="R175" s="25"/>
      <c r="S175" s="25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6"/>
      <c r="BE175" s="6"/>
      <c r="BF175" s="6"/>
      <c r="BG175" s="6"/>
      <c r="BH175" s="6"/>
    </row>
    <row r="176" spans="1:60" ht="15" customHeight="1" x14ac:dyDescent="0.25">
      <c r="A176" s="6">
        <v>88</v>
      </c>
      <c r="B176" s="6"/>
      <c r="C176" s="6">
        <v>1</v>
      </c>
      <c r="D176" s="6"/>
      <c r="E176" s="6">
        <v>88</v>
      </c>
      <c r="F176" s="6" t="str">
        <f ca="1">Master_List!$AW$1</f>
        <v>PERPUSTAKAAN PUSAT</v>
      </c>
      <c r="G176" s="27" t="str">
        <f ca="1">Master_List!$AW$2</f>
        <v>09:30 PM</v>
      </c>
      <c r="H176" s="32" t="str">
        <f ca="1">Master_List!$AW$3</f>
        <v>20/07/2026</v>
      </c>
      <c r="I176" s="28" t="str">
        <f ca="1">Master_List!$AW$4</f>
        <v>28.5</v>
      </c>
      <c r="J176" s="6" t="str">
        <f ca="1">Master_List!$AW$5</f>
        <v>65</v>
      </c>
      <c r="K176" s="6"/>
      <c r="L176" s="22"/>
      <c r="M176" s="25"/>
      <c r="N176" s="25"/>
      <c r="O176" s="25"/>
      <c r="P176" s="25"/>
      <c r="Q176" s="25"/>
      <c r="R176" s="25"/>
      <c r="S176" s="25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6"/>
      <c r="BE176" s="6"/>
      <c r="BF176" s="6"/>
      <c r="BG176" s="6"/>
      <c r="BH176" s="6"/>
    </row>
    <row r="177" spans="1:60" ht="15" customHeight="1" x14ac:dyDescent="0.25">
      <c r="A177" s="6">
        <v>88</v>
      </c>
      <c r="B177" s="6"/>
      <c r="C177" s="6">
        <v>1</v>
      </c>
      <c r="D177" s="6"/>
      <c r="E177" s="6">
        <v>88</v>
      </c>
      <c r="F177" s="6" t="str">
        <f ca="1">Master_List!$AW$1</f>
        <v>PERPUSTAKAAN PUSAT</v>
      </c>
      <c r="G177" s="27" t="str">
        <f ca="1">Master_List!$AW$2</f>
        <v>09:30 PM</v>
      </c>
      <c r="H177" s="32" t="str">
        <f ca="1">Master_List!$AW$3</f>
        <v>20/07/2026</v>
      </c>
      <c r="I177" s="28" t="str">
        <f ca="1">Master_List!$AW$4</f>
        <v>28.5</v>
      </c>
      <c r="J177" s="6" t="str">
        <f ca="1">Master_List!$AW$5</f>
        <v>65</v>
      </c>
      <c r="K177" s="6"/>
      <c r="L177" s="22"/>
      <c r="M177" s="25"/>
      <c r="N177" s="25"/>
      <c r="O177" s="25"/>
      <c r="P177" s="25"/>
      <c r="Q177" s="25"/>
      <c r="R177" s="25"/>
      <c r="S177" s="25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6"/>
      <c r="BE177" s="6"/>
      <c r="BF177" s="6"/>
      <c r="BG177" s="6"/>
      <c r="BH177" s="6"/>
    </row>
    <row r="178" spans="1:60" ht="15" customHeight="1" x14ac:dyDescent="0.25">
      <c r="A178" s="6">
        <v>89</v>
      </c>
      <c r="B178" s="6"/>
      <c r="C178" s="6">
        <v>1</v>
      </c>
      <c r="D178" s="6"/>
      <c r="E178" s="6">
        <v>89</v>
      </c>
      <c r="F178" s="6" t="str">
        <f ca="1">Master_List!$AW$1</f>
        <v>PERPUSTAKAAN PUSAT</v>
      </c>
      <c r="G178" s="27" t="str">
        <f ca="1">Master_List!$AW$2</f>
        <v>09:30 PM</v>
      </c>
      <c r="H178" s="32" t="str">
        <f ca="1">Master_List!$AW$3</f>
        <v>20/07/2026</v>
      </c>
      <c r="I178" s="28" t="str">
        <f ca="1">Master_List!$AW$4</f>
        <v>28.5</v>
      </c>
      <c r="J178" s="6" t="str">
        <f ca="1">Master_List!$AW$5</f>
        <v>65</v>
      </c>
      <c r="K178" s="6"/>
      <c r="L178" s="22"/>
      <c r="M178" s="25"/>
      <c r="N178" s="25"/>
      <c r="O178" s="25"/>
      <c r="P178" s="25"/>
      <c r="Q178" s="25"/>
      <c r="R178" s="25"/>
      <c r="S178" s="25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6"/>
      <c r="BE178" s="6"/>
      <c r="BF178" s="6"/>
      <c r="BG178" s="6"/>
      <c r="BH178" s="6"/>
    </row>
    <row r="179" spans="1:60" ht="15" customHeight="1" x14ac:dyDescent="0.25">
      <c r="A179" s="6">
        <v>89</v>
      </c>
      <c r="B179" s="6"/>
      <c r="C179" s="6">
        <v>1</v>
      </c>
      <c r="D179" s="6"/>
      <c r="E179" s="6">
        <v>89</v>
      </c>
      <c r="F179" s="6" t="str">
        <f ca="1">Master_List!$AW$1</f>
        <v>PERPUSTAKAAN PUSAT</v>
      </c>
      <c r="G179" s="27" t="str">
        <f ca="1">Master_List!$AW$2</f>
        <v>09:30 PM</v>
      </c>
      <c r="H179" s="32" t="str">
        <f ca="1">Master_List!$AW$3</f>
        <v>20/07/2026</v>
      </c>
      <c r="I179" s="28" t="str">
        <f ca="1">Master_List!$AW$4</f>
        <v>28.5</v>
      </c>
      <c r="J179" s="6" t="str">
        <f ca="1">Master_List!$AW$5</f>
        <v>65</v>
      </c>
      <c r="K179" s="6"/>
      <c r="L179" s="22"/>
      <c r="M179" s="25"/>
      <c r="N179" s="25"/>
      <c r="O179" s="25"/>
      <c r="P179" s="25"/>
      <c r="Q179" s="25"/>
      <c r="R179" s="25"/>
      <c r="S179" s="25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6"/>
      <c r="BE179" s="6"/>
      <c r="BF179" s="6"/>
      <c r="BG179" s="6"/>
      <c r="BH179" s="6"/>
    </row>
    <row r="180" spans="1:60" ht="15" customHeight="1" x14ac:dyDescent="0.25">
      <c r="A180" s="6">
        <v>90</v>
      </c>
      <c r="B180" s="6"/>
      <c r="C180" s="6">
        <v>1</v>
      </c>
      <c r="D180" s="6"/>
      <c r="E180" s="6">
        <v>90</v>
      </c>
      <c r="F180" s="6" t="str">
        <f ca="1">Master_List!$AW$1</f>
        <v>PERPUSTAKAAN PUSAT</v>
      </c>
      <c r="G180" s="27" t="str">
        <f ca="1">Master_List!$AW$2</f>
        <v>09:30 PM</v>
      </c>
      <c r="H180" s="32" t="str">
        <f ca="1">Master_List!$AW$3</f>
        <v>20/07/2026</v>
      </c>
      <c r="I180" s="28" t="str">
        <f ca="1">Master_List!$AW$4</f>
        <v>28.5</v>
      </c>
      <c r="J180" s="6" t="str">
        <f ca="1">Master_List!$AW$5</f>
        <v>65</v>
      </c>
      <c r="K180" s="6"/>
      <c r="L180" s="22"/>
      <c r="M180" s="25"/>
      <c r="N180" s="25"/>
      <c r="O180" s="25"/>
      <c r="P180" s="25"/>
      <c r="Q180" s="25"/>
      <c r="R180" s="25"/>
      <c r="S180" s="25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6"/>
      <c r="BE180" s="6"/>
      <c r="BF180" s="6"/>
      <c r="BG180" s="6"/>
      <c r="BH180" s="6"/>
    </row>
    <row r="181" spans="1:60" ht="15" customHeight="1" x14ac:dyDescent="0.25">
      <c r="A181" s="6">
        <v>90</v>
      </c>
      <c r="B181" s="6"/>
      <c r="C181" s="6">
        <v>1</v>
      </c>
      <c r="D181" s="6"/>
      <c r="E181" s="6">
        <v>90</v>
      </c>
      <c r="F181" s="6" t="str">
        <f ca="1">Master_List!$AW$1</f>
        <v>PERPUSTAKAAN PUSAT</v>
      </c>
      <c r="G181" s="27" t="str">
        <f ca="1">Master_List!$AW$2</f>
        <v>09:30 PM</v>
      </c>
      <c r="H181" s="32" t="str">
        <f ca="1">Master_List!$AW$3</f>
        <v>20/07/2026</v>
      </c>
      <c r="I181" s="28" t="str">
        <f ca="1">Master_List!$AW$4</f>
        <v>28.5</v>
      </c>
      <c r="J181" s="6" t="str">
        <f ca="1">Master_List!$AW$5</f>
        <v>65</v>
      </c>
      <c r="K181" s="6"/>
      <c r="L181" s="22"/>
      <c r="M181" s="25"/>
      <c r="N181" s="25"/>
      <c r="O181" s="25"/>
      <c r="P181" s="25"/>
      <c r="Q181" s="25"/>
      <c r="R181" s="25"/>
      <c r="S181" s="25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6"/>
      <c r="BE181" s="6"/>
      <c r="BF181" s="6"/>
      <c r="BG181" s="6"/>
      <c r="BH181" s="6"/>
    </row>
    <row r="182" spans="1:60" ht="15" customHeight="1" x14ac:dyDescent="0.25">
      <c r="A182" s="6">
        <v>91</v>
      </c>
      <c r="B182" s="6"/>
      <c r="C182" s="6">
        <v>1</v>
      </c>
      <c r="D182" s="6"/>
      <c r="E182" s="6">
        <v>91</v>
      </c>
      <c r="F182" s="6" t="str">
        <f ca="1">Master_List!$AW$1</f>
        <v>PERPUSTAKAAN PUSAT</v>
      </c>
      <c r="G182" s="27" t="str">
        <f ca="1">Master_List!$AW$2</f>
        <v>09:30 PM</v>
      </c>
      <c r="H182" s="32" t="str">
        <f ca="1">Master_List!$AW$3</f>
        <v>20/07/2026</v>
      </c>
      <c r="I182" s="28" t="str">
        <f ca="1">Master_List!$AW$4</f>
        <v>28.5</v>
      </c>
      <c r="J182" s="6" t="str">
        <f ca="1">Master_List!$AW$5</f>
        <v>65</v>
      </c>
      <c r="K182" s="6"/>
      <c r="L182" s="22"/>
      <c r="M182" s="25"/>
      <c r="N182" s="25"/>
      <c r="O182" s="25"/>
      <c r="P182" s="25"/>
      <c r="Q182" s="25"/>
      <c r="R182" s="25"/>
      <c r="S182" s="25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6"/>
      <c r="BE182" s="6"/>
      <c r="BF182" s="6"/>
      <c r="BG182" s="6"/>
      <c r="BH182" s="6"/>
    </row>
    <row r="183" spans="1:60" ht="15" customHeight="1" x14ac:dyDescent="0.25">
      <c r="A183" s="6">
        <v>91</v>
      </c>
      <c r="B183" s="6"/>
      <c r="C183" s="6">
        <v>1</v>
      </c>
      <c r="D183" s="6"/>
      <c r="E183" s="6">
        <v>91</v>
      </c>
      <c r="F183" s="6" t="str">
        <f ca="1">Master_List!$AW$1</f>
        <v>PERPUSTAKAAN PUSAT</v>
      </c>
      <c r="G183" s="27" t="str">
        <f ca="1">Master_List!$AW$2</f>
        <v>09:30 PM</v>
      </c>
      <c r="H183" s="32" t="str">
        <f ca="1">Master_List!$AW$3</f>
        <v>20/07/2026</v>
      </c>
      <c r="I183" s="28" t="str">
        <f ca="1">Master_List!$AW$4</f>
        <v>28.5</v>
      </c>
      <c r="J183" s="6" t="str">
        <f ca="1">Master_List!$AW$5</f>
        <v>65</v>
      </c>
      <c r="K183" s="6"/>
      <c r="L183" s="22"/>
      <c r="M183" s="25"/>
      <c r="N183" s="25"/>
      <c r="O183" s="25"/>
      <c r="P183" s="25"/>
      <c r="Q183" s="25"/>
      <c r="R183" s="25"/>
      <c r="S183" s="25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6"/>
      <c r="BE183" s="6"/>
      <c r="BF183" s="6"/>
      <c r="BG183" s="6"/>
      <c r="BH183" s="6"/>
    </row>
    <row r="184" spans="1:60" ht="15" customHeight="1" x14ac:dyDescent="0.25">
      <c r="A184" s="6">
        <v>92</v>
      </c>
      <c r="B184" s="6"/>
      <c r="C184" s="6">
        <v>1</v>
      </c>
      <c r="D184" s="6"/>
      <c r="E184" s="6">
        <v>92</v>
      </c>
      <c r="F184" s="6" t="str">
        <f ca="1">Master_List!$AW$1</f>
        <v>PERPUSTAKAAN PUSAT</v>
      </c>
      <c r="G184" s="27" t="str">
        <f ca="1">Master_List!$AW$2</f>
        <v>09:30 PM</v>
      </c>
      <c r="H184" s="32" t="str">
        <f ca="1">Master_List!$AW$3</f>
        <v>20/07/2026</v>
      </c>
      <c r="I184" s="28" t="str">
        <f ca="1">Master_List!$AW$4</f>
        <v>28.5</v>
      </c>
      <c r="J184" s="6" t="str">
        <f ca="1">Master_List!$AW$5</f>
        <v>65</v>
      </c>
      <c r="K184" s="6"/>
      <c r="L184" s="22"/>
      <c r="M184" s="25"/>
      <c r="N184" s="25"/>
      <c r="O184" s="25"/>
      <c r="P184" s="25"/>
      <c r="Q184" s="25"/>
      <c r="R184" s="25"/>
      <c r="S184" s="25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6"/>
      <c r="BE184" s="6"/>
      <c r="BF184" s="6"/>
      <c r="BG184" s="6"/>
      <c r="BH184" s="6"/>
    </row>
    <row r="185" spans="1:60" ht="15" customHeight="1" x14ac:dyDescent="0.25">
      <c r="A185" s="6">
        <v>92</v>
      </c>
      <c r="B185" s="6"/>
      <c r="C185" s="6">
        <v>1</v>
      </c>
      <c r="D185" s="6"/>
      <c r="E185" s="6">
        <v>92</v>
      </c>
      <c r="F185" s="6" t="str">
        <f ca="1">Master_List!$AW$1</f>
        <v>PERPUSTAKAAN PUSAT</v>
      </c>
      <c r="G185" s="27" t="str">
        <f ca="1">Master_List!$AW$2</f>
        <v>09:30 PM</v>
      </c>
      <c r="H185" s="32" t="str">
        <f ca="1">Master_List!$AW$3</f>
        <v>20/07/2026</v>
      </c>
      <c r="I185" s="28" t="str">
        <f ca="1">Master_List!$AW$4</f>
        <v>28.5</v>
      </c>
      <c r="J185" s="6" t="str">
        <f ca="1">Master_List!$AW$5</f>
        <v>65</v>
      </c>
      <c r="K185" s="6"/>
      <c r="L185" s="22"/>
      <c r="M185" s="25"/>
      <c r="N185" s="25"/>
      <c r="O185" s="25"/>
      <c r="P185" s="25"/>
      <c r="Q185" s="25"/>
      <c r="R185" s="25"/>
      <c r="S185" s="25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6"/>
      <c r="BE185" s="6"/>
      <c r="BF185" s="6"/>
      <c r="BG185" s="6"/>
      <c r="BH185" s="6"/>
    </row>
    <row r="186" spans="1:60" ht="15" customHeight="1" x14ac:dyDescent="0.25">
      <c r="A186" s="6">
        <v>93</v>
      </c>
      <c r="B186" s="6"/>
      <c r="C186" s="6">
        <v>1</v>
      </c>
      <c r="D186" s="6"/>
      <c r="E186" s="6">
        <v>93</v>
      </c>
      <c r="F186" s="6" t="str">
        <f ca="1">Master_List!$AW$1</f>
        <v>PERPUSTAKAAN PUSAT</v>
      </c>
      <c r="G186" s="27" t="str">
        <f ca="1">Master_List!$AW$2</f>
        <v>09:30 PM</v>
      </c>
      <c r="H186" s="32" t="str">
        <f ca="1">Master_List!$AW$3</f>
        <v>20/07/2026</v>
      </c>
      <c r="I186" s="28" t="str">
        <f ca="1">Master_List!$AW$4</f>
        <v>28.5</v>
      </c>
      <c r="J186" s="6" t="str">
        <f ca="1">Master_List!$AW$5</f>
        <v>65</v>
      </c>
      <c r="K186" s="6"/>
      <c r="L186" s="22"/>
      <c r="M186" s="25"/>
      <c r="N186" s="25"/>
      <c r="O186" s="25"/>
      <c r="P186" s="25"/>
      <c r="Q186" s="25"/>
      <c r="R186" s="25"/>
      <c r="S186" s="25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6"/>
      <c r="BE186" s="6"/>
      <c r="BF186" s="6"/>
      <c r="BG186" s="6"/>
      <c r="BH186" s="6"/>
    </row>
    <row r="187" spans="1:60" ht="15" customHeight="1" x14ac:dyDescent="0.25">
      <c r="A187" s="6">
        <v>93</v>
      </c>
      <c r="B187" s="6"/>
      <c r="C187" s="6">
        <v>1</v>
      </c>
      <c r="D187" s="6"/>
      <c r="E187" s="6">
        <v>93</v>
      </c>
      <c r="F187" s="6" t="str">
        <f ca="1">Master_List!$AW$1</f>
        <v>PERPUSTAKAAN PUSAT</v>
      </c>
      <c r="G187" s="27" t="str">
        <f ca="1">Master_List!$AW$2</f>
        <v>09:30 PM</v>
      </c>
      <c r="H187" s="32" t="str">
        <f ca="1">Master_List!$AW$3</f>
        <v>20/07/2026</v>
      </c>
      <c r="I187" s="28" t="str">
        <f ca="1">Master_List!$AW$4</f>
        <v>28.5</v>
      </c>
      <c r="J187" s="6" t="str">
        <f ca="1">Master_List!$AW$5</f>
        <v>65</v>
      </c>
      <c r="K187" s="6"/>
      <c r="L187" s="22"/>
      <c r="M187" s="25"/>
      <c r="N187" s="25"/>
      <c r="O187" s="25"/>
      <c r="P187" s="25"/>
      <c r="Q187" s="25"/>
      <c r="R187" s="25"/>
      <c r="S187" s="25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6"/>
      <c r="BE187" s="6"/>
      <c r="BF187" s="6"/>
      <c r="BG187" s="6"/>
      <c r="BH187" s="6"/>
    </row>
    <row r="188" spans="1:60" ht="15" customHeight="1" x14ac:dyDescent="0.25">
      <c r="A188" s="6">
        <v>94</v>
      </c>
      <c r="B188" s="6"/>
      <c r="C188" s="6">
        <v>1</v>
      </c>
      <c r="D188" s="6"/>
      <c r="E188" s="6">
        <v>94</v>
      </c>
      <c r="F188" s="6" t="str">
        <f ca="1">Master_List!$AW$1</f>
        <v>PERPUSTAKAAN PUSAT</v>
      </c>
      <c r="G188" s="27" t="str">
        <f ca="1">Master_List!$AW$2</f>
        <v>09:30 PM</v>
      </c>
      <c r="H188" s="32" t="str">
        <f ca="1">Master_List!$AW$3</f>
        <v>20/07/2026</v>
      </c>
      <c r="I188" s="28" t="str">
        <f ca="1">Master_List!$AW$4</f>
        <v>28.5</v>
      </c>
      <c r="J188" s="6" t="str">
        <f ca="1">Master_List!$AW$5</f>
        <v>65</v>
      </c>
      <c r="K188" s="6"/>
      <c r="L188" s="22"/>
      <c r="M188" s="25"/>
      <c r="N188" s="25"/>
      <c r="O188" s="25"/>
      <c r="P188" s="25"/>
      <c r="Q188" s="25"/>
      <c r="R188" s="25"/>
      <c r="S188" s="25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6"/>
      <c r="BE188" s="6"/>
      <c r="BF188" s="6"/>
      <c r="BG188" s="6"/>
      <c r="BH188" s="6"/>
    </row>
    <row r="189" spans="1:60" ht="15" customHeight="1" x14ac:dyDescent="0.25">
      <c r="A189" s="6">
        <v>94</v>
      </c>
      <c r="B189" s="6"/>
      <c r="C189" s="6">
        <v>1</v>
      </c>
      <c r="D189" s="6"/>
      <c r="E189" s="6">
        <v>94</v>
      </c>
      <c r="F189" s="6" t="str">
        <f ca="1">Master_List!$AW$1</f>
        <v>PERPUSTAKAAN PUSAT</v>
      </c>
      <c r="G189" s="27" t="str">
        <f ca="1">Master_List!$AW$2</f>
        <v>09:30 PM</v>
      </c>
      <c r="H189" s="32" t="str">
        <f ca="1">Master_List!$AW$3</f>
        <v>20/07/2026</v>
      </c>
      <c r="I189" s="28" t="str">
        <f ca="1">Master_List!$AW$4</f>
        <v>28.5</v>
      </c>
      <c r="J189" s="6" t="str">
        <f ca="1">Master_List!$AW$5</f>
        <v>65</v>
      </c>
      <c r="K189" s="6"/>
      <c r="L189" s="22"/>
      <c r="M189" s="25"/>
      <c r="N189" s="25"/>
      <c r="O189" s="25"/>
      <c r="P189" s="25"/>
      <c r="Q189" s="25"/>
      <c r="R189" s="25"/>
      <c r="S189" s="25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6"/>
      <c r="BE189" s="6"/>
      <c r="BF189" s="6"/>
      <c r="BG189" s="6"/>
      <c r="BH189" s="6"/>
    </row>
    <row r="190" spans="1:60" ht="15" customHeight="1" x14ac:dyDescent="0.25">
      <c r="A190" s="6">
        <v>95</v>
      </c>
      <c r="B190" s="6"/>
      <c r="C190" s="6">
        <v>1</v>
      </c>
      <c r="D190" s="6"/>
      <c r="E190" s="6">
        <v>95</v>
      </c>
      <c r="F190" s="6" t="str">
        <f ca="1">Master_List!$AW$1</f>
        <v>PERPUSTAKAAN PUSAT</v>
      </c>
      <c r="G190" s="27" t="str">
        <f ca="1">Master_List!$AW$2</f>
        <v>09:30 PM</v>
      </c>
      <c r="H190" s="32" t="str">
        <f ca="1">Master_List!$AW$3</f>
        <v>20/07/2026</v>
      </c>
      <c r="I190" s="28" t="str">
        <f ca="1">Master_List!$AW$4</f>
        <v>28.5</v>
      </c>
      <c r="J190" s="6" t="str">
        <f ca="1">Master_List!$AW$5</f>
        <v>65</v>
      </c>
      <c r="K190" s="6"/>
      <c r="L190" s="22"/>
      <c r="M190" s="25"/>
      <c r="N190" s="25"/>
      <c r="O190" s="25"/>
      <c r="P190" s="25"/>
      <c r="Q190" s="25"/>
      <c r="R190" s="25"/>
      <c r="S190" s="25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6"/>
      <c r="BE190" s="6"/>
      <c r="BF190" s="6"/>
      <c r="BG190" s="6"/>
      <c r="BH190" s="6"/>
    </row>
    <row r="191" spans="1:60" ht="15" customHeight="1" x14ac:dyDescent="0.25">
      <c r="A191" s="6">
        <v>95</v>
      </c>
      <c r="B191" s="6"/>
      <c r="C191" s="6">
        <v>1</v>
      </c>
      <c r="D191" s="6"/>
      <c r="E191" s="6">
        <v>95</v>
      </c>
      <c r="F191" s="6" t="str">
        <f ca="1">Master_List!$AW$1</f>
        <v>PERPUSTAKAAN PUSAT</v>
      </c>
      <c r="G191" s="27" t="str">
        <f ca="1">Master_List!$AW$2</f>
        <v>09:30 PM</v>
      </c>
      <c r="H191" s="32" t="str">
        <f ca="1">Master_List!$AW$3</f>
        <v>20/07/2026</v>
      </c>
      <c r="I191" s="28" t="str">
        <f ca="1">Master_List!$AW$4</f>
        <v>28.5</v>
      </c>
      <c r="J191" s="6" t="str">
        <f ca="1">Master_List!$AW$5</f>
        <v>65</v>
      </c>
      <c r="K191" s="6"/>
      <c r="L191" s="22"/>
      <c r="M191" s="25"/>
      <c r="N191" s="25"/>
      <c r="O191" s="25"/>
      <c r="P191" s="25"/>
      <c r="Q191" s="25"/>
      <c r="R191" s="25"/>
      <c r="S191" s="25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6"/>
      <c r="BE191" s="6"/>
      <c r="BF191" s="6"/>
      <c r="BG191" s="6"/>
      <c r="BH191" s="6"/>
    </row>
    <row r="192" spans="1:60" ht="15" customHeight="1" x14ac:dyDescent="0.25">
      <c r="A192" s="6">
        <v>96</v>
      </c>
      <c r="B192" s="6"/>
      <c r="C192" s="6">
        <v>1</v>
      </c>
      <c r="D192" s="6"/>
      <c r="E192" s="6">
        <v>96</v>
      </c>
      <c r="F192" s="6" t="str">
        <f ca="1">Master_List!$AW$1</f>
        <v>PERPUSTAKAAN PUSAT</v>
      </c>
      <c r="G192" s="27" t="str">
        <f ca="1">Master_List!$AW$2</f>
        <v>09:30 PM</v>
      </c>
      <c r="H192" s="32" t="str">
        <f ca="1">Master_List!$AW$3</f>
        <v>20/07/2026</v>
      </c>
      <c r="I192" s="28" t="str">
        <f ca="1">Master_List!$AW$4</f>
        <v>28.5</v>
      </c>
      <c r="J192" s="6" t="str">
        <f ca="1">Master_List!$AW$5</f>
        <v>65</v>
      </c>
      <c r="K192" s="6"/>
      <c r="L192" s="22"/>
      <c r="M192" s="25"/>
      <c r="N192" s="25"/>
      <c r="O192" s="25"/>
      <c r="P192" s="25"/>
      <c r="Q192" s="25"/>
      <c r="R192" s="25"/>
      <c r="S192" s="25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6"/>
      <c r="BE192" s="6"/>
      <c r="BF192" s="6"/>
      <c r="BG192" s="6"/>
      <c r="BH192" s="6"/>
    </row>
    <row r="193" spans="1:60" ht="15" customHeight="1" x14ac:dyDescent="0.25">
      <c r="A193" s="6">
        <v>96</v>
      </c>
      <c r="B193" s="6"/>
      <c r="C193" s="6">
        <v>1</v>
      </c>
      <c r="D193" s="6"/>
      <c r="E193" s="6">
        <v>96</v>
      </c>
      <c r="F193" s="6" t="str">
        <f ca="1">Master_List!$AW$1</f>
        <v>PERPUSTAKAAN PUSAT</v>
      </c>
      <c r="G193" s="27" t="str">
        <f ca="1">Master_List!$AW$2</f>
        <v>09:30 PM</v>
      </c>
      <c r="H193" s="32" t="str">
        <f ca="1">Master_List!$AW$3</f>
        <v>20/07/2026</v>
      </c>
      <c r="I193" s="28" t="str">
        <f ca="1">Master_List!$AW$4</f>
        <v>28.5</v>
      </c>
      <c r="J193" s="6" t="str">
        <f ca="1">Master_List!$AW$5</f>
        <v>65</v>
      </c>
      <c r="K193" s="6"/>
      <c r="L193" s="22"/>
      <c r="M193" s="25"/>
      <c r="N193" s="25"/>
      <c r="O193" s="25"/>
      <c r="P193" s="25"/>
      <c r="Q193" s="25"/>
      <c r="R193" s="25"/>
      <c r="S193" s="25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6"/>
      <c r="BE193" s="6"/>
      <c r="BF193" s="6"/>
      <c r="BG193" s="6"/>
      <c r="BH193" s="6"/>
    </row>
    <row r="194" spans="1:60" ht="15" customHeight="1" x14ac:dyDescent="0.25">
      <c r="A194" s="6">
        <v>97</v>
      </c>
      <c r="B194" s="6"/>
      <c r="C194" s="6">
        <v>1</v>
      </c>
      <c r="D194" s="6"/>
      <c r="E194" s="6">
        <v>97</v>
      </c>
      <c r="F194" s="6" t="str">
        <f ca="1">Master_List!$AW$1</f>
        <v>PERPUSTAKAAN PUSAT</v>
      </c>
      <c r="G194" s="27" t="str">
        <f ca="1">Master_List!$AW$2</f>
        <v>09:30 PM</v>
      </c>
      <c r="H194" s="32" t="str">
        <f ca="1">Master_List!$AW$3</f>
        <v>20/07/2026</v>
      </c>
      <c r="I194" s="28" t="str">
        <f ca="1">Master_List!$AW$4</f>
        <v>28.5</v>
      </c>
      <c r="J194" s="6" t="str">
        <f ca="1">Master_List!$AW$5</f>
        <v>65</v>
      </c>
      <c r="K194" s="6"/>
      <c r="L194" s="22"/>
      <c r="M194" s="25"/>
      <c r="N194" s="25"/>
      <c r="O194" s="25"/>
      <c r="P194" s="25"/>
      <c r="Q194" s="25"/>
      <c r="R194" s="25"/>
      <c r="S194" s="25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6"/>
      <c r="BE194" s="6"/>
      <c r="BF194" s="6"/>
      <c r="BG194" s="6"/>
      <c r="BH194" s="6"/>
    </row>
    <row r="195" spans="1:60" ht="15" customHeight="1" x14ac:dyDescent="0.25">
      <c r="A195" s="6">
        <v>97</v>
      </c>
      <c r="B195" s="6"/>
      <c r="C195" s="6">
        <v>1</v>
      </c>
      <c r="D195" s="6"/>
      <c r="E195" s="6">
        <v>97</v>
      </c>
      <c r="F195" s="6" t="str">
        <f ca="1">Master_List!$AW$1</f>
        <v>PERPUSTAKAAN PUSAT</v>
      </c>
      <c r="G195" s="27" t="str">
        <f ca="1">Master_List!$AW$2</f>
        <v>09:30 PM</v>
      </c>
      <c r="H195" s="32" t="str">
        <f ca="1">Master_List!$AW$3</f>
        <v>20/07/2026</v>
      </c>
      <c r="I195" s="28" t="str">
        <f ca="1">Master_List!$AW$4</f>
        <v>28.5</v>
      </c>
      <c r="J195" s="6" t="str">
        <f ca="1">Master_List!$AW$5</f>
        <v>65</v>
      </c>
      <c r="K195" s="6"/>
      <c r="L195" s="22"/>
      <c r="M195" s="25"/>
      <c r="N195" s="25"/>
      <c r="O195" s="25"/>
      <c r="P195" s="25"/>
      <c r="Q195" s="25"/>
      <c r="R195" s="25"/>
      <c r="S195" s="25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6"/>
      <c r="BE195" s="6"/>
      <c r="BF195" s="6"/>
      <c r="BG195" s="6"/>
      <c r="BH195" s="6"/>
    </row>
    <row r="196" spans="1:60" ht="15" customHeight="1" x14ac:dyDescent="0.25">
      <c r="A196" s="6">
        <v>98</v>
      </c>
      <c r="B196" s="6"/>
      <c r="C196" s="6">
        <v>1</v>
      </c>
      <c r="D196" s="6"/>
      <c r="E196" s="6">
        <v>98</v>
      </c>
      <c r="F196" s="6" t="str">
        <f ca="1">Master_List!$AW$1</f>
        <v>PERPUSTAKAAN PUSAT</v>
      </c>
      <c r="G196" s="27" t="str">
        <f ca="1">Master_List!$AW$2</f>
        <v>09:30 PM</v>
      </c>
      <c r="H196" s="32" t="str">
        <f ca="1">Master_List!$AW$3</f>
        <v>20/07/2026</v>
      </c>
      <c r="I196" s="28" t="str">
        <f ca="1">Master_List!$AW$4</f>
        <v>28.5</v>
      </c>
      <c r="J196" s="6" t="str">
        <f ca="1">Master_List!$AW$5</f>
        <v>65</v>
      </c>
      <c r="K196" s="6"/>
      <c r="L196" s="22"/>
      <c r="M196" s="25"/>
      <c r="N196" s="25"/>
      <c r="O196" s="25"/>
      <c r="P196" s="25"/>
      <c r="Q196" s="25"/>
      <c r="R196" s="25"/>
      <c r="S196" s="25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6"/>
      <c r="BE196" s="6"/>
      <c r="BF196" s="6"/>
      <c r="BG196" s="6"/>
      <c r="BH196" s="6"/>
    </row>
    <row r="197" spans="1:60" ht="15" customHeight="1" x14ac:dyDescent="0.25">
      <c r="A197" s="6">
        <v>98</v>
      </c>
      <c r="B197" s="6"/>
      <c r="C197" s="6">
        <v>1</v>
      </c>
      <c r="D197" s="6"/>
      <c r="E197" s="6">
        <v>98</v>
      </c>
      <c r="F197" s="6" t="str">
        <f ca="1">Master_List!$AW$1</f>
        <v>PERPUSTAKAAN PUSAT</v>
      </c>
      <c r="G197" s="27" t="str">
        <f ca="1">Master_List!$AW$2</f>
        <v>09:30 PM</v>
      </c>
      <c r="H197" s="32" t="str">
        <f ca="1">Master_List!$AW$3</f>
        <v>20/07/2026</v>
      </c>
      <c r="I197" s="28" t="str">
        <f ca="1">Master_List!$AW$4</f>
        <v>28.5</v>
      </c>
      <c r="J197" s="6" t="str">
        <f ca="1">Master_List!$AW$5</f>
        <v>65</v>
      </c>
      <c r="K197" s="6"/>
      <c r="L197" s="22"/>
      <c r="M197" s="25"/>
      <c r="N197" s="25"/>
      <c r="O197" s="25"/>
      <c r="P197" s="25"/>
      <c r="Q197" s="25"/>
      <c r="R197" s="25"/>
      <c r="S197" s="25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6"/>
      <c r="BE197" s="6"/>
      <c r="BF197" s="6"/>
      <c r="BG197" s="6"/>
      <c r="BH197" s="6"/>
    </row>
    <row r="198" spans="1:60" ht="15" customHeight="1" x14ac:dyDescent="0.25">
      <c r="A198" s="6">
        <v>99</v>
      </c>
      <c r="B198" s="6"/>
      <c r="C198" s="6">
        <v>1</v>
      </c>
      <c r="D198" s="6"/>
      <c r="E198" s="6">
        <v>99</v>
      </c>
      <c r="F198" s="6" t="str">
        <f ca="1">Master_List!$AW$1</f>
        <v>PERPUSTAKAAN PUSAT</v>
      </c>
      <c r="G198" s="27" t="str">
        <f ca="1">Master_List!$AW$2</f>
        <v>09:30 PM</v>
      </c>
      <c r="H198" s="32" t="str">
        <f ca="1">Master_List!$AW$3</f>
        <v>20/07/2026</v>
      </c>
      <c r="I198" s="28" t="str">
        <f ca="1">Master_List!$AW$4</f>
        <v>28.5</v>
      </c>
      <c r="J198" s="6" t="str">
        <f ca="1">Master_List!$AW$5</f>
        <v>65</v>
      </c>
      <c r="K198" s="6"/>
      <c r="L198" s="22"/>
      <c r="M198" s="25"/>
      <c r="N198" s="25"/>
      <c r="O198" s="25"/>
      <c r="P198" s="25"/>
      <c r="Q198" s="25"/>
      <c r="R198" s="25"/>
      <c r="S198" s="25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6"/>
      <c r="BE198" s="6"/>
      <c r="BF198" s="6"/>
      <c r="BG198" s="6"/>
      <c r="BH198" s="6"/>
    </row>
    <row r="199" spans="1:60" ht="15" customHeight="1" x14ac:dyDescent="0.25">
      <c r="A199" s="6">
        <v>99</v>
      </c>
      <c r="B199" s="6"/>
      <c r="C199" s="6">
        <v>1</v>
      </c>
      <c r="D199" s="6"/>
      <c r="E199" s="6">
        <v>99</v>
      </c>
      <c r="F199" s="6" t="str">
        <f ca="1">Master_List!$AW$1</f>
        <v>PERPUSTAKAAN PUSAT</v>
      </c>
      <c r="G199" s="27" t="str">
        <f ca="1">Master_List!$AW$2</f>
        <v>09:30 PM</v>
      </c>
      <c r="H199" s="32" t="str">
        <f ca="1">Master_List!$AW$3</f>
        <v>20/07/2026</v>
      </c>
      <c r="I199" s="28" t="str">
        <f ca="1">Master_List!$AW$4</f>
        <v>28.5</v>
      </c>
      <c r="J199" s="6" t="str">
        <f ca="1">Master_List!$AW$5</f>
        <v>65</v>
      </c>
      <c r="K199" s="6"/>
      <c r="L199" s="22"/>
      <c r="M199" s="25"/>
      <c r="N199" s="25"/>
      <c r="O199" s="25"/>
      <c r="P199" s="25"/>
      <c r="Q199" s="25"/>
      <c r="R199" s="25"/>
      <c r="S199" s="25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6"/>
      <c r="BE199" s="6"/>
      <c r="BF199" s="6"/>
      <c r="BG199" s="6"/>
      <c r="BH199" s="6"/>
    </row>
    <row r="200" spans="1:60" ht="15" customHeight="1" x14ac:dyDescent="0.25">
      <c r="A200" s="6">
        <v>100</v>
      </c>
      <c r="B200" s="6"/>
      <c r="C200" s="6">
        <v>1</v>
      </c>
      <c r="D200" s="6"/>
      <c r="E200" s="6">
        <v>100</v>
      </c>
      <c r="F200" s="6" t="str">
        <f ca="1">Master_List!$AW$1</f>
        <v>PERPUSTAKAAN PUSAT</v>
      </c>
      <c r="G200" s="27" t="str">
        <f ca="1">Master_List!$AW$2</f>
        <v>09:30 PM</v>
      </c>
      <c r="H200" s="32" t="str">
        <f ca="1">Master_List!$AW$3</f>
        <v>20/07/2026</v>
      </c>
      <c r="I200" s="28" t="str">
        <f ca="1">Master_List!$AW$4</f>
        <v>28.5</v>
      </c>
      <c r="J200" s="6" t="str">
        <f ca="1">Master_List!$AW$5</f>
        <v>65</v>
      </c>
      <c r="K200" s="6"/>
      <c r="L200" s="22"/>
      <c r="M200" s="25"/>
      <c r="N200" s="25"/>
      <c r="O200" s="25"/>
      <c r="P200" s="25"/>
      <c r="Q200" s="25"/>
      <c r="R200" s="25"/>
      <c r="S200" s="25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6"/>
      <c r="BE200" s="6"/>
      <c r="BF200" s="6"/>
      <c r="BG200" s="6"/>
      <c r="BH200" s="6"/>
    </row>
    <row r="201" spans="1:60" thickBot="1" x14ac:dyDescent="0.3">
      <c r="A201" s="6">
        <v>100</v>
      </c>
      <c r="B201" s="6"/>
      <c r="C201" s="6">
        <v>1</v>
      </c>
      <c r="D201" s="6"/>
      <c r="E201" s="6">
        <v>100</v>
      </c>
      <c r="F201" s="6" t="str">
        <f ca="1">Master_List!$AW$1</f>
        <v>PERPUSTAKAAN PUSAT</v>
      </c>
      <c r="G201" s="27" t="str">
        <f ca="1">Master_List!$AW$2</f>
        <v>09:30 PM</v>
      </c>
      <c r="H201" s="32" t="str">
        <f ca="1">Master_List!$AW$3</f>
        <v>20/07/2026</v>
      </c>
      <c r="I201" s="28" t="str">
        <f ca="1">Master_List!$AW$4</f>
        <v>28.5</v>
      </c>
      <c r="J201" s="6" t="str">
        <f ca="1">Master_List!$AW$5</f>
        <v>65</v>
      </c>
      <c r="K201" s="6"/>
      <c r="L201" s="22"/>
      <c r="M201" s="25"/>
      <c r="N201" s="25"/>
      <c r="O201" s="25"/>
      <c r="P201" s="25"/>
      <c r="Q201" s="25"/>
      <c r="R201" s="25"/>
      <c r="S201" s="25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6"/>
      <c r="BE201" s="6"/>
      <c r="BF201" s="6"/>
      <c r="BG201" s="6"/>
      <c r="BH20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201"/>
  <sheetViews>
    <sheetView topLeftCell="A34" workbookViewId="0">
      <selection activeCell="B86" sqref="B86"/>
    </sheetView>
  </sheetViews>
  <sheetFormatPr defaultColWidth="9.140625" defaultRowHeight="13.5" thickBottom="1" x14ac:dyDescent="0.3"/>
  <cols>
    <col min="1" max="1" width="4" style="4" bestFit="1" customWidth="1"/>
    <col min="2" max="2" width="15.5703125" style="4" bestFit="1" customWidth="1"/>
    <col min="3" max="3" width="6.42578125" style="4" bestFit="1" customWidth="1"/>
    <col min="4" max="4" width="27.7109375" style="4" bestFit="1" customWidth="1"/>
    <col min="5" max="5" width="17.42578125" style="4" customWidth="1"/>
    <col min="6" max="6" width="22.5703125" style="4" bestFit="1" customWidth="1"/>
    <col min="7" max="10" width="22.5703125" style="4" customWidth="1"/>
    <col min="11" max="11" width="29" style="4" bestFit="1" customWidth="1"/>
    <col min="12" max="12" width="15.140625" style="40" bestFit="1" customWidth="1"/>
    <col min="13" max="13" width="18" style="41" bestFit="1" customWidth="1"/>
    <col min="14" max="14" width="21.28515625" style="41" bestFit="1" customWidth="1"/>
    <col min="15" max="15" width="24.7109375" style="41" bestFit="1" customWidth="1"/>
    <col min="16" max="16" width="26.140625" style="41" bestFit="1" customWidth="1"/>
    <col min="17" max="17" width="20.7109375" style="41" bestFit="1" customWidth="1"/>
    <col min="18" max="18" width="22.28515625" style="41" bestFit="1" customWidth="1"/>
    <col min="19" max="19" width="23" style="41" bestFit="1" customWidth="1"/>
    <col min="20" max="21" width="18.85546875" style="42" bestFit="1" customWidth="1"/>
    <col min="22" max="22" width="12.5703125" style="42" bestFit="1" customWidth="1"/>
    <col min="23" max="23" width="12.7109375" style="42" bestFit="1" customWidth="1"/>
    <col min="24" max="24" width="18.85546875" style="42" bestFit="1" customWidth="1"/>
    <col min="25" max="25" width="18.7109375" style="42" bestFit="1" customWidth="1"/>
    <col min="26" max="26" width="12.5703125" style="42" bestFit="1" customWidth="1"/>
    <col min="27" max="27" width="12.7109375" style="42" bestFit="1" customWidth="1"/>
    <col min="28" max="28" width="18.5703125" style="42" customWidth="1"/>
    <col min="29" max="29" width="12.42578125" style="42" bestFit="1" customWidth="1"/>
    <col min="30" max="30" width="12.28515625" style="42" bestFit="1" customWidth="1"/>
    <col min="31" max="31" width="17.42578125" style="42" bestFit="1" customWidth="1"/>
    <col min="32" max="32" width="18.5703125" style="42" customWidth="1"/>
    <col min="33" max="33" width="12.42578125" style="42" bestFit="1" customWidth="1"/>
    <col min="34" max="34" width="12.28515625" style="42" bestFit="1" customWidth="1"/>
    <col min="35" max="35" width="17.42578125" style="42" bestFit="1" customWidth="1"/>
    <col min="36" max="36" width="17" style="42" bestFit="1" customWidth="1"/>
    <col min="37" max="37" width="16.42578125" style="42" bestFit="1" customWidth="1"/>
    <col min="38" max="38" width="10.85546875" style="42" bestFit="1" customWidth="1"/>
    <col min="39" max="39" width="16.85546875" style="42" bestFit="1" customWidth="1"/>
    <col min="40" max="41" width="16.85546875" style="42" customWidth="1"/>
    <col min="42" max="42" width="11.7109375" style="42" bestFit="1" customWidth="1"/>
    <col min="43" max="43" width="18" style="42" bestFit="1" customWidth="1"/>
    <col min="44" max="44" width="26" style="42" customWidth="1"/>
    <col min="45" max="53" width="18" style="42" customWidth="1"/>
    <col min="54" max="55" width="18" style="43" customWidth="1"/>
    <col min="56" max="56" width="14.7109375" style="4" bestFit="1" customWidth="1"/>
    <col min="57" max="58" width="16.85546875" style="4" bestFit="1" customWidth="1"/>
    <col min="59" max="59" width="118.42578125" style="4" bestFit="1" customWidth="1"/>
    <col min="60" max="68" width="18" style="4" customWidth="1"/>
    <col min="69" max="69" width="14.7109375" style="4" bestFit="1" customWidth="1"/>
    <col min="70" max="71" width="16.85546875" style="4" bestFit="1" customWidth="1"/>
    <col min="72" max="72" width="89.85546875" style="4" bestFit="1" customWidth="1"/>
    <col min="73" max="74" width="13.5703125" style="4" customWidth="1"/>
    <col min="75" max="76" width="9.140625" style="4" customWidth="1"/>
    <col min="77" max="77" width="17" style="4" bestFit="1" customWidth="1"/>
    <col min="78" max="92" width="9.140625" style="4" customWidth="1"/>
    <col min="93" max="16384" width="9.140625" style="4"/>
  </cols>
  <sheetData>
    <row r="1" spans="1:74" ht="38.25" customHeight="1" x14ac:dyDescent="0.2">
      <c r="A1" s="6" t="s">
        <v>1686</v>
      </c>
      <c r="B1" s="6" t="s">
        <v>1687</v>
      </c>
      <c r="C1" s="6" t="s">
        <v>1688</v>
      </c>
      <c r="D1" s="6" t="s">
        <v>1689</v>
      </c>
      <c r="E1" s="6" t="s">
        <v>1690</v>
      </c>
      <c r="F1" s="6" t="s">
        <v>1691</v>
      </c>
      <c r="G1" s="6" t="s">
        <v>1692</v>
      </c>
      <c r="H1" s="21" t="s">
        <v>1693</v>
      </c>
      <c r="I1" s="21" t="s">
        <v>1694</v>
      </c>
      <c r="J1" s="21" t="s">
        <v>1695</v>
      </c>
      <c r="K1" s="21" t="s">
        <v>1696</v>
      </c>
      <c r="L1" s="21" t="s">
        <v>1697</v>
      </c>
      <c r="M1" s="21" t="s">
        <v>1698</v>
      </c>
      <c r="N1" s="21" t="s">
        <v>1699</v>
      </c>
      <c r="O1" s="21" t="s">
        <v>1700</v>
      </c>
      <c r="P1" s="21" t="s">
        <v>1701</v>
      </c>
      <c r="Q1" s="21" t="s">
        <v>1702</v>
      </c>
      <c r="R1" s="21" t="s">
        <v>1703</v>
      </c>
      <c r="S1" s="21" t="s">
        <v>1704</v>
      </c>
      <c r="T1" s="38" t="s">
        <v>1705</v>
      </c>
      <c r="U1" s="38" t="s">
        <v>1706</v>
      </c>
      <c r="V1" s="38" t="s">
        <v>1707</v>
      </c>
      <c r="W1" s="38" t="s">
        <v>1708</v>
      </c>
      <c r="X1" s="38" t="s">
        <v>1709</v>
      </c>
      <c r="Y1" s="38" t="s">
        <v>1710</v>
      </c>
      <c r="Z1" s="38" t="s">
        <v>1711</v>
      </c>
      <c r="AA1" s="38" t="s">
        <v>1712</v>
      </c>
      <c r="AB1" s="38" t="s">
        <v>1713</v>
      </c>
      <c r="AC1" s="38" t="s">
        <v>1714</v>
      </c>
      <c r="AD1" s="38" t="s">
        <v>1715</v>
      </c>
      <c r="AE1" s="38" t="s">
        <v>1716</v>
      </c>
      <c r="AF1" s="38" t="s">
        <v>1717</v>
      </c>
      <c r="AG1" s="38" t="s">
        <v>1718</v>
      </c>
      <c r="AH1" s="38" t="s">
        <v>1719</v>
      </c>
      <c r="AI1" s="38" t="s">
        <v>1720</v>
      </c>
      <c r="AJ1" s="38" t="s">
        <v>1721</v>
      </c>
      <c r="AK1" s="38" t="s">
        <v>1722</v>
      </c>
      <c r="AL1" s="38" t="s">
        <v>1723</v>
      </c>
      <c r="AM1" s="38" t="s">
        <v>1724</v>
      </c>
      <c r="AN1" s="38" t="s">
        <v>1725</v>
      </c>
      <c r="AO1" s="38" t="s">
        <v>1726</v>
      </c>
      <c r="AP1" s="38" t="s">
        <v>1727</v>
      </c>
      <c r="AQ1" s="38" t="s">
        <v>1728</v>
      </c>
      <c r="AR1" s="38" t="s">
        <v>1729</v>
      </c>
      <c r="AS1" s="38" t="s">
        <v>1730</v>
      </c>
      <c r="AT1" s="38" t="s">
        <v>1731</v>
      </c>
      <c r="AU1" s="38" t="s">
        <v>1732</v>
      </c>
      <c r="AV1" s="38" t="s">
        <v>1733</v>
      </c>
      <c r="AW1" s="38" t="s">
        <v>1734</v>
      </c>
      <c r="AX1" s="38" t="s">
        <v>1735</v>
      </c>
      <c r="AY1" s="38" t="s">
        <v>1736</v>
      </c>
      <c r="AZ1" s="38" t="s">
        <v>1737</v>
      </c>
      <c r="BA1" s="38" t="s">
        <v>1738</v>
      </c>
      <c r="BB1" s="38" t="s">
        <v>2236</v>
      </c>
      <c r="BC1" s="38" t="s">
        <v>2237</v>
      </c>
      <c r="BD1" s="6" t="s">
        <v>1739</v>
      </c>
      <c r="BE1" s="6" t="s">
        <v>1740</v>
      </c>
      <c r="BF1" s="6" t="s">
        <v>527</v>
      </c>
      <c r="BG1" s="6" t="s">
        <v>1741</v>
      </c>
      <c r="BH1" s="23" t="s">
        <v>2238</v>
      </c>
    </row>
    <row r="2" spans="1:74" ht="12.75" customHeight="1" x14ac:dyDescent="0.2">
      <c r="A2" s="6">
        <v>1</v>
      </c>
      <c r="B2" s="6" t="s">
        <v>1529</v>
      </c>
      <c r="C2" s="6">
        <v>1</v>
      </c>
      <c r="D2" s="6" t="s">
        <v>2264</v>
      </c>
      <c r="E2" s="6">
        <v>1</v>
      </c>
      <c r="F2" s="6" t="str">
        <f ca="1">Master_List!$AW$1</f>
        <v>PERPUSTAKAAN PUSAT</v>
      </c>
      <c r="G2" s="27" t="str">
        <f ca="1">Master_List!$AW$2</f>
        <v>09:30 PM</v>
      </c>
      <c r="H2" s="32" t="str">
        <f ca="1">Master_List!$AW$3</f>
        <v>20/07/2026</v>
      </c>
      <c r="I2" s="28" t="str">
        <f ca="1">Master_List!$AW$4</f>
        <v>28.5</v>
      </c>
      <c r="J2" s="6" t="str">
        <f ca="1">Master_List!$AW$5</f>
        <v>65</v>
      </c>
      <c r="K2" s="6" t="s">
        <v>1453</v>
      </c>
      <c r="L2" s="21" t="s">
        <v>2246</v>
      </c>
      <c r="M2" s="21" t="s">
        <v>2246</v>
      </c>
      <c r="N2" s="21" t="s">
        <v>2246</v>
      </c>
      <c r="O2" s="21" t="s">
        <v>2246</v>
      </c>
      <c r="P2" s="21" t="s">
        <v>2246</v>
      </c>
      <c r="Q2" s="21" t="s">
        <v>2246</v>
      </c>
      <c r="R2" s="21" t="s">
        <v>2246</v>
      </c>
      <c r="S2" s="21" t="str">
        <f ca="1">S14</f>
        <v>24DU738_1015</v>
      </c>
      <c r="T2" s="38" t="str">
        <f ca="1">Master_List!$AW$6</f>
        <v>TOSHIBA</v>
      </c>
      <c r="U2" s="38" t="str">
        <f ca="1">Master_List!$AW$7</f>
        <v>MRMU</v>
      </c>
      <c r="V2" s="38" t="str">
        <f ca="1">Master_List!$AW$8</f>
        <v>12kV</v>
      </c>
      <c r="W2" s="38" t="str">
        <f ca="1">Master_List!$AW$9</f>
        <v>2S1F</v>
      </c>
      <c r="X2" s="38" t="str">
        <f ca="1">Master_List!$AW$10</f>
        <v>MTM</v>
      </c>
      <c r="Y2" s="38" t="str">
        <f ca="1">Master_List!$AW$11</f>
        <v>HERMETICALLY SEAL</v>
      </c>
      <c r="Z2" s="38" t="str">
        <f ca="1">Master_List!$AW$12</f>
        <v>750kVA</v>
      </c>
      <c r="AA2" s="38" t="str">
        <f ca="1">Master_List!$AW$13</f>
        <v>1317</v>
      </c>
      <c r="AB2" s="38">
        <f ca="1">Master_List!$AW$14</f>
        <v>0</v>
      </c>
      <c r="AC2" s="38">
        <f ca="1">Master_List!$AW$15</f>
        <v>0</v>
      </c>
      <c r="AD2" s="38">
        <f ca="1">Master_List!$AW$16</f>
        <v>0</v>
      </c>
      <c r="AE2" s="38">
        <f ca="1">Master_List!$AW$17</f>
        <v>0</v>
      </c>
      <c r="AF2" s="38" t="str">
        <f ca="1">Master_List!$AW$18</f>
        <v>INDKOM</v>
      </c>
      <c r="AG2" s="38" t="str">
        <f ca="1">Master_List!$AW$19</f>
        <v>J-SLOTTED</v>
      </c>
      <c r="AH2" s="38" t="str">
        <f ca="1">Master_List!$AW$20</f>
        <v>1600A</v>
      </c>
      <c r="AI2" s="38" t="str">
        <f ca="1">Master_List!$AW$21</f>
        <v>LV5080090</v>
      </c>
      <c r="AJ2" s="38" t="str">
        <f ca="1">Master_List!$AW$22</f>
        <v>LVDB TX1</v>
      </c>
      <c r="AK2" s="38">
        <f ca="1">Master_List!$AW$23</f>
        <v>0</v>
      </c>
      <c r="AL2" s="38">
        <f ca="1">Master_List!$AW$24</f>
        <v>0</v>
      </c>
      <c r="AM2" s="38">
        <f ca="1">Master_List!$AW$25</f>
        <v>0</v>
      </c>
      <c r="AN2" s="38">
        <f ca="1">Master_List!$AW$26</f>
        <v>0</v>
      </c>
      <c r="AO2" s="38" t="str">
        <f ca="1">Master_List!$AW$27</f>
        <v>LVDB TX2</v>
      </c>
      <c r="AP2" s="38" t="str">
        <f ca="1">Master_List!$AW$28</f>
        <v>SUNPOWER TECHNOLOGIES</v>
      </c>
      <c r="AQ2" s="38" t="str">
        <f ca="1">Master_List!$AW$29</f>
        <v>SPS 30-10 L</v>
      </c>
      <c r="AR2" s="38" t="str">
        <f ca="1">Master_List!$AW$30</f>
        <v>11193-8527</v>
      </c>
      <c r="AS2" s="38">
        <f ca="1">Master_List!$AW$31</f>
        <v>0</v>
      </c>
      <c r="AT2" s="38">
        <f ca="1">Master_List!$AW$32</f>
        <v>0</v>
      </c>
      <c r="AU2" s="38">
        <f ca="1">Master_List!$AW$33</f>
        <v>0</v>
      </c>
      <c r="AV2" s="38">
        <f ca="1">Master_List!$AW$34</f>
        <v>0</v>
      </c>
      <c r="AW2" s="38">
        <f ca="1">Master_List!$AW$35</f>
        <v>0</v>
      </c>
      <c r="AX2" s="38">
        <f ca="1">Master_List!$AW$36</f>
        <v>0</v>
      </c>
      <c r="AY2" s="38">
        <f ca="1">Master_List!$AW$37</f>
        <v>0</v>
      </c>
      <c r="AZ2" s="38">
        <f ca="1">Master_List!$AW$38</f>
        <v>0</v>
      </c>
      <c r="BA2" s="38">
        <f ca="1">Master_List!$AW$39</f>
        <v>0</v>
      </c>
      <c r="BB2" s="38" t="s">
        <v>2240</v>
      </c>
      <c r="BC2" s="38" t="s">
        <v>2241</v>
      </c>
      <c r="BD2" s="6" t="s">
        <v>1744</v>
      </c>
      <c r="BE2" s="6" t="s">
        <v>1745</v>
      </c>
      <c r="BF2" s="6" t="s">
        <v>1746</v>
      </c>
      <c r="BG2" s="6" t="str">
        <f>Master_List!AZ1</f>
        <v>C:\Users\aremi\Desktop\REPORT CBM\PO 42289580 - Pahang 11kV SECOND CYCLE AZZAD 2026\RAW MATERIAL\047. TNB BARU (IR+VI)\RAW DATA\IR</v>
      </c>
      <c r="BH2" s="23" t="s">
        <v>535</v>
      </c>
      <c r="BU2" s="3"/>
      <c r="BV2" s="3"/>
    </row>
    <row r="3" spans="1:74" ht="12.75" customHeight="1" x14ac:dyDescent="0.2">
      <c r="A3" s="6">
        <v>1</v>
      </c>
      <c r="B3" s="6" t="s">
        <v>1529</v>
      </c>
      <c r="C3" s="6">
        <v>1</v>
      </c>
      <c r="D3" s="6" t="s">
        <v>2264</v>
      </c>
      <c r="E3" s="6">
        <v>1</v>
      </c>
      <c r="F3" s="6" t="str">
        <f ca="1">Master_List!$AW$1</f>
        <v>PERPUSTAKAAN PUSAT</v>
      </c>
      <c r="G3" s="27" t="str">
        <f ca="1">Master_List!$AW$2</f>
        <v>09:30 PM</v>
      </c>
      <c r="H3" s="32" t="str">
        <f ca="1">Master_List!$AW$3</f>
        <v>20/07/2026</v>
      </c>
      <c r="I3" s="28" t="str">
        <f ca="1">Master_List!$AW$4</f>
        <v>28.5</v>
      </c>
      <c r="J3" s="6" t="str">
        <f ca="1">Master_List!$AW$5</f>
        <v>65</v>
      </c>
      <c r="K3" s="6" t="s">
        <v>1453</v>
      </c>
      <c r="L3" s="21" t="s">
        <v>2246</v>
      </c>
      <c r="M3" s="21" t="s">
        <v>2246</v>
      </c>
      <c r="N3" s="21" t="s">
        <v>2246</v>
      </c>
      <c r="O3" s="21" t="s">
        <v>2246</v>
      </c>
      <c r="P3" s="21" t="s">
        <v>2246</v>
      </c>
      <c r="Q3" s="21" t="s">
        <v>2246</v>
      </c>
      <c r="R3" s="21" t="s">
        <v>2246</v>
      </c>
      <c r="S3" s="21" t="str">
        <f t="shared" ref="S3:S13" ca="1" si="0">S2</f>
        <v>24DU738_1015</v>
      </c>
      <c r="T3" s="38" t="str">
        <f ca="1">Master_List!$AW$6</f>
        <v>TOSHIBA</v>
      </c>
      <c r="U3" s="38" t="str">
        <f ca="1">Master_List!$AW$7</f>
        <v>MRMU</v>
      </c>
      <c r="V3" s="38" t="str">
        <f ca="1">Master_List!$AW$8</f>
        <v>12kV</v>
      </c>
      <c r="W3" s="38" t="str">
        <f ca="1">Master_List!$AW$9</f>
        <v>2S1F</v>
      </c>
      <c r="X3" s="38" t="str">
        <f ca="1">Master_List!$AW$10</f>
        <v>MTM</v>
      </c>
      <c r="Y3" s="38" t="str">
        <f ca="1">Master_List!$AW$11</f>
        <v>HERMETICALLY SEAL</v>
      </c>
      <c r="Z3" s="38" t="str">
        <f ca="1">Master_List!$AW$12</f>
        <v>750kVA</v>
      </c>
      <c r="AA3" s="38" t="str">
        <f ca="1">Master_List!$AW$13</f>
        <v>1317</v>
      </c>
      <c r="AB3" s="38">
        <f ca="1">Master_List!$AW$14</f>
        <v>0</v>
      </c>
      <c r="AC3" s="38">
        <f ca="1">Master_List!$AW$15</f>
        <v>0</v>
      </c>
      <c r="AD3" s="38">
        <f ca="1">Master_List!$AW$16</f>
        <v>0</v>
      </c>
      <c r="AE3" s="38">
        <f ca="1">Master_List!$AW$17</f>
        <v>0</v>
      </c>
      <c r="AF3" s="38" t="str">
        <f ca="1">Master_List!$AW$18</f>
        <v>INDKOM</v>
      </c>
      <c r="AG3" s="38" t="str">
        <f ca="1">Master_List!$AW$19</f>
        <v>J-SLOTTED</v>
      </c>
      <c r="AH3" s="38" t="str">
        <f ca="1">Master_List!$AW$20</f>
        <v>1600A</v>
      </c>
      <c r="AI3" s="38" t="str">
        <f ca="1">Master_List!$AW$21</f>
        <v>LV5080090</v>
      </c>
      <c r="AJ3" s="38" t="str">
        <f ca="1">Master_List!$AW$22</f>
        <v>LVDB TX1</v>
      </c>
      <c r="AK3" s="38">
        <f ca="1">Master_List!$AW$23</f>
        <v>0</v>
      </c>
      <c r="AL3" s="38">
        <f ca="1">Master_List!$AW$24</f>
        <v>0</v>
      </c>
      <c r="AM3" s="38">
        <f ca="1">Master_List!$AW$25</f>
        <v>0</v>
      </c>
      <c r="AN3" s="38">
        <f ca="1">Master_List!$AW$26</f>
        <v>0</v>
      </c>
      <c r="AO3" s="38" t="str">
        <f ca="1">Master_List!$AW$27</f>
        <v>LVDB TX2</v>
      </c>
      <c r="AP3" s="38" t="str">
        <f ca="1">Master_List!$AW$28</f>
        <v>SUNPOWER TECHNOLOGIES</v>
      </c>
      <c r="AQ3" s="38" t="str">
        <f ca="1">Master_List!$AW$29</f>
        <v>SPS 30-10 L</v>
      </c>
      <c r="AR3" s="38" t="str">
        <f ca="1">Master_List!$AW$30</f>
        <v>11193-8527</v>
      </c>
      <c r="AS3" s="38">
        <f ca="1">Master_List!$AW$31</f>
        <v>0</v>
      </c>
      <c r="AT3" s="38">
        <f ca="1">Master_List!$AW$32</f>
        <v>0</v>
      </c>
      <c r="AU3" s="38">
        <f ca="1">Master_List!$AW$33</f>
        <v>0</v>
      </c>
      <c r="AV3" s="38">
        <f ca="1">Master_List!$AW$34</f>
        <v>0</v>
      </c>
      <c r="AW3" s="38">
        <f ca="1">Master_List!$AW$35</f>
        <v>0</v>
      </c>
      <c r="AX3" s="38">
        <f ca="1">Master_List!$AW$36</f>
        <v>0</v>
      </c>
      <c r="AY3" s="38">
        <f ca="1">Master_List!$AW$37</f>
        <v>0</v>
      </c>
      <c r="AZ3" s="38">
        <f ca="1">Master_List!$AW$38</f>
        <v>0</v>
      </c>
      <c r="BA3" s="38">
        <f ca="1">Master_List!$AW$39</f>
        <v>0</v>
      </c>
      <c r="BB3" s="38" t="s">
        <v>2240</v>
      </c>
      <c r="BC3" s="38" t="s">
        <v>2241</v>
      </c>
      <c r="BD3" s="6" t="s">
        <v>1744</v>
      </c>
      <c r="BE3" s="6" t="s">
        <v>1745</v>
      </c>
      <c r="BF3" s="6" t="s">
        <v>1748</v>
      </c>
      <c r="BG3" s="6" t="str">
        <f t="shared" ref="BG3:BG34" si="1">BG2</f>
        <v>C:\Users\aremi\Desktop\REPORT CBM\PO 42289580 - Pahang 11kV SECOND CYCLE AZZAD 2026\RAW MATERIAL\047. TNB BARU (IR+VI)\RAW DATA\IR</v>
      </c>
      <c r="BH3" s="23" t="s">
        <v>537</v>
      </c>
      <c r="BU3" s="3"/>
      <c r="BV3" s="3"/>
    </row>
    <row r="4" spans="1:74" ht="12.75" customHeight="1" x14ac:dyDescent="0.2">
      <c r="A4" s="6">
        <v>2</v>
      </c>
      <c r="B4" s="6" t="s">
        <v>1529</v>
      </c>
      <c r="C4" s="6">
        <v>1</v>
      </c>
      <c r="D4" s="6" t="s">
        <v>2264</v>
      </c>
      <c r="E4" s="6">
        <v>2</v>
      </c>
      <c r="F4" s="6" t="str">
        <f ca="1">Master_List!$AW$1</f>
        <v>PERPUSTAKAAN PUSAT</v>
      </c>
      <c r="G4" s="27" t="str">
        <f ca="1">Master_List!$AW$2</f>
        <v>09:30 PM</v>
      </c>
      <c r="H4" s="32" t="str">
        <f ca="1">Master_List!$AW$3</f>
        <v>20/07/2026</v>
      </c>
      <c r="I4" s="28" t="str">
        <f ca="1">Master_List!$AW$4</f>
        <v>28.5</v>
      </c>
      <c r="J4" s="6" t="str">
        <f ca="1">Master_List!$AW$5</f>
        <v>65</v>
      </c>
      <c r="K4" s="6" t="s">
        <v>1497</v>
      </c>
      <c r="L4" s="21" t="s">
        <v>2246</v>
      </c>
      <c r="M4" s="21" t="s">
        <v>2246</v>
      </c>
      <c r="N4" s="21" t="s">
        <v>2246</v>
      </c>
      <c r="O4" s="21" t="s">
        <v>2246</v>
      </c>
      <c r="P4" s="21" t="s">
        <v>2246</v>
      </c>
      <c r="Q4" s="21" t="s">
        <v>2246</v>
      </c>
      <c r="R4" s="21" t="s">
        <v>2246</v>
      </c>
      <c r="S4" s="21" t="str">
        <f t="shared" ca="1" si="0"/>
        <v>24DU738_1015</v>
      </c>
      <c r="T4" s="38" t="str">
        <f ca="1">Master_List!$AW$6</f>
        <v>TOSHIBA</v>
      </c>
      <c r="U4" s="38" t="str">
        <f ca="1">Master_List!$AW$7</f>
        <v>MRMU</v>
      </c>
      <c r="V4" s="38" t="str">
        <f ca="1">Master_List!$AW$8</f>
        <v>12kV</v>
      </c>
      <c r="W4" s="38" t="str">
        <f ca="1">Master_List!$AW$9</f>
        <v>2S1F</v>
      </c>
      <c r="X4" s="38" t="str">
        <f ca="1">Master_List!$AW$10</f>
        <v>MTM</v>
      </c>
      <c r="Y4" s="38" t="str">
        <f ca="1">Master_List!$AW$11</f>
        <v>HERMETICALLY SEAL</v>
      </c>
      <c r="Z4" s="38" t="str">
        <f ca="1">Master_List!$AW$12</f>
        <v>750kVA</v>
      </c>
      <c r="AA4" s="38" t="str">
        <f ca="1">Master_List!$AW$13</f>
        <v>1317</v>
      </c>
      <c r="AB4" s="38">
        <f ca="1">Master_List!$AW$14</f>
        <v>0</v>
      </c>
      <c r="AC4" s="38">
        <f ca="1">Master_List!$AW$15</f>
        <v>0</v>
      </c>
      <c r="AD4" s="38">
        <f ca="1">Master_List!$AW$16</f>
        <v>0</v>
      </c>
      <c r="AE4" s="38">
        <f ca="1">Master_List!$AW$17</f>
        <v>0</v>
      </c>
      <c r="AF4" s="38" t="str">
        <f ca="1">Master_List!$AW$18</f>
        <v>INDKOM</v>
      </c>
      <c r="AG4" s="38" t="str">
        <f ca="1">Master_List!$AW$19</f>
        <v>J-SLOTTED</v>
      </c>
      <c r="AH4" s="38" t="str">
        <f ca="1">Master_List!$AW$20</f>
        <v>1600A</v>
      </c>
      <c r="AI4" s="38" t="str">
        <f ca="1">Master_List!$AW$21</f>
        <v>LV5080090</v>
      </c>
      <c r="AJ4" s="38" t="str">
        <f ca="1">Master_List!$AW$22</f>
        <v>LVDB TX1</v>
      </c>
      <c r="AK4" s="38">
        <f ca="1">Master_List!$AW$23</f>
        <v>0</v>
      </c>
      <c r="AL4" s="38">
        <f ca="1">Master_List!$AW$24</f>
        <v>0</v>
      </c>
      <c r="AM4" s="38">
        <f ca="1">Master_List!$AW$25</f>
        <v>0</v>
      </c>
      <c r="AN4" s="38">
        <f ca="1">Master_List!$AW$26</f>
        <v>0</v>
      </c>
      <c r="AO4" s="38" t="str">
        <f ca="1">Master_List!$AW$27</f>
        <v>LVDB TX2</v>
      </c>
      <c r="AP4" s="38" t="str">
        <f ca="1">Master_List!$AW$28</f>
        <v>SUNPOWER TECHNOLOGIES</v>
      </c>
      <c r="AQ4" s="38" t="str">
        <f ca="1">Master_List!$AW$29</f>
        <v>SPS 30-10 L</v>
      </c>
      <c r="AR4" s="38" t="str">
        <f ca="1">Master_List!$AW$30</f>
        <v>11193-8527</v>
      </c>
      <c r="AS4" s="38">
        <f ca="1">Master_List!$AW$31</f>
        <v>0</v>
      </c>
      <c r="AT4" s="38">
        <f ca="1">Master_List!$AW$32</f>
        <v>0</v>
      </c>
      <c r="AU4" s="38">
        <f ca="1">Master_List!$AW$33</f>
        <v>0</v>
      </c>
      <c r="AV4" s="38">
        <f ca="1">Master_List!$AW$34</f>
        <v>0</v>
      </c>
      <c r="AW4" s="38">
        <f ca="1">Master_List!$AW$35</f>
        <v>0</v>
      </c>
      <c r="AX4" s="38">
        <f ca="1">Master_List!$AW$36</f>
        <v>0</v>
      </c>
      <c r="AY4" s="38">
        <f ca="1">Master_List!$AW$37</f>
        <v>0</v>
      </c>
      <c r="AZ4" s="38">
        <f ca="1">Master_List!$AW$38</f>
        <v>0</v>
      </c>
      <c r="BA4" s="38">
        <f ca="1">Master_List!$AW$39</f>
        <v>0</v>
      </c>
      <c r="BB4" s="38" t="s">
        <v>2240</v>
      </c>
      <c r="BC4" s="38" t="s">
        <v>2241</v>
      </c>
      <c r="BD4" s="6" t="s">
        <v>1744</v>
      </c>
      <c r="BE4" s="6" t="s">
        <v>1749</v>
      </c>
      <c r="BF4" s="6" t="s">
        <v>1746</v>
      </c>
      <c r="BG4" s="6" t="str">
        <f t="shared" si="1"/>
        <v>C:\Users\aremi\Desktop\REPORT CBM\PO 42289580 - Pahang 11kV SECOND CYCLE AZZAD 2026\RAW MATERIAL\047. TNB BARU (IR+VI)\RAW DATA\IR</v>
      </c>
      <c r="BH4" s="23" t="s">
        <v>539</v>
      </c>
      <c r="BU4" s="3"/>
      <c r="BV4" s="3"/>
    </row>
    <row r="5" spans="1:74" ht="12.75" customHeight="1" x14ac:dyDescent="0.2">
      <c r="A5" s="6">
        <v>2</v>
      </c>
      <c r="B5" s="6" t="s">
        <v>1529</v>
      </c>
      <c r="C5" s="6">
        <v>1</v>
      </c>
      <c r="D5" s="6" t="s">
        <v>2264</v>
      </c>
      <c r="E5" s="6">
        <v>2</v>
      </c>
      <c r="F5" s="6" t="str">
        <f ca="1">Master_List!$AW$1</f>
        <v>PERPUSTAKAAN PUSAT</v>
      </c>
      <c r="G5" s="27" t="str">
        <f ca="1">Master_List!$AW$2</f>
        <v>09:30 PM</v>
      </c>
      <c r="H5" s="32" t="str">
        <f ca="1">Master_List!$AW$3</f>
        <v>20/07/2026</v>
      </c>
      <c r="I5" s="28" t="str">
        <f ca="1">Master_List!$AW$4</f>
        <v>28.5</v>
      </c>
      <c r="J5" s="6" t="str">
        <f ca="1">Master_List!$AW$5</f>
        <v>65</v>
      </c>
      <c r="K5" s="6" t="s">
        <v>1497</v>
      </c>
      <c r="L5" s="21" t="s">
        <v>2246</v>
      </c>
      <c r="M5" s="21" t="s">
        <v>2246</v>
      </c>
      <c r="N5" s="21" t="s">
        <v>2246</v>
      </c>
      <c r="O5" s="21" t="s">
        <v>2246</v>
      </c>
      <c r="P5" s="21" t="s">
        <v>2246</v>
      </c>
      <c r="Q5" s="21" t="s">
        <v>2246</v>
      </c>
      <c r="R5" s="21" t="s">
        <v>2246</v>
      </c>
      <c r="S5" s="21" t="str">
        <f t="shared" ca="1" si="0"/>
        <v>24DU738_1015</v>
      </c>
      <c r="T5" s="38" t="str">
        <f ca="1">Master_List!$AW$6</f>
        <v>TOSHIBA</v>
      </c>
      <c r="U5" s="38" t="str">
        <f ca="1">Master_List!$AW$7</f>
        <v>MRMU</v>
      </c>
      <c r="V5" s="38" t="str">
        <f ca="1">Master_List!$AW$8</f>
        <v>12kV</v>
      </c>
      <c r="W5" s="38" t="str">
        <f ca="1">Master_List!$AW$9</f>
        <v>2S1F</v>
      </c>
      <c r="X5" s="38" t="str">
        <f ca="1">Master_List!$AW$10</f>
        <v>MTM</v>
      </c>
      <c r="Y5" s="38" t="str">
        <f ca="1">Master_List!$AW$11</f>
        <v>HERMETICALLY SEAL</v>
      </c>
      <c r="Z5" s="38" t="str">
        <f ca="1">Master_List!$AW$12</f>
        <v>750kVA</v>
      </c>
      <c r="AA5" s="38" t="str">
        <f ca="1">Master_List!$AW$13</f>
        <v>1317</v>
      </c>
      <c r="AB5" s="38">
        <f ca="1">Master_List!$AW$14</f>
        <v>0</v>
      </c>
      <c r="AC5" s="38">
        <f ca="1">Master_List!$AW$15</f>
        <v>0</v>
      </c>
      <c r="AD5" s="38">
        <f ca="1">Master_List!$AW$16</f>
        <v>0</v>
      </c>
      <c r="AE5" s="38">
        <f ca="1">Master_List!$AW$17</f>
        <v>0</v>
      </c>
      <c r="AF5" s="38" t="str">
        <f ca="1">Master_List!$AW$18</f>
        <v>INDKOM</v>
      </c>
      <c r="AG5" s="38" t="str">
        <f ca="1">Master_List!$AW$19</f>
        <v>J-SLOTTED</v>
      </c>
      <c r="AH5" s="38" t="str">
        <f ca="1">Master_List!$AW$20</f>
        <v>1600A</v>
      </c>
      <c r="AI5" s="38" t="str">
        <f ca="1">Master_List!$AW$21</f>
        <v>LV5080090</v>
      </c>
      <c r="AJ5" s="38" t="str">
        <f ca="1">Master_List!$AW$22</f>
        <v>LVDB TX1</v>
      </c>
      <c r="AK5" s="38">
        <f ca="1">Master_List!$AW$23</f>
        <v>0</v>
      </c>
      <c r="AL5" s="38">
        <f ca="1">Master_List!$AW$24</f>
        <v>0</v>
      </c>
      <c r="AM5" s="38">
        <f ca="1">Master_List!$AW$25</f>
        <v>0</v>
      </c>
      <c r="AN5" s="38">
        <f ca="1">Master_List!$AW$26</f>
        <v>0</v>
      </c>
      <c r="AO5" s="38" t="str">
        <f ca="1">Master_List!$AW$27</f>
        <v>LVDB TX2</v>
      </c>
      <c r="AP5" s="38" t="str">
        <f ca="1">Master_List!$AW$28</f>
        <v>SUNPOWER TECHNOLOGIES</v>
      </c>
      <c r="AQ5" s="38" t="str">
        <f ca="1">Master_List!$AW$29</f>
        <v>SPS 30-10 L</v>
      </c>
      <c r="AR5" s="38" t="str">
        <f ca="1">Master_List!$AW$30</f>
        <v>11193-8527</v>
      </c>
      <c r="AS5" s="38">
        <f ca="1">Master_List!$AW$31</f>
        <v>0</v>
      </c>
      <c r="AT5" s="38">
        <f ca="1">Master_List!$AW$32</f>
        <v>0</v>
      </c>
      <c r="AU5" s="38">
        <f ca="1">Master_List!$AW$33</f>
        <v>0</v>
      </c>
      <c r="AV5" s="38">
        <f ca="1">Master_List!$AW$34</f>
        <v>0</v>
      </c>
      <c r="AW5" s="38">
        <f ca="1">Master_List!$AW$35</f>
        <v>0</v>
      </c>
      <c r="AX5" s="38">
        <f ca="1">Master_List!$AW$36</f>
        <v>0</v>
      </c>
      <c r="AY5" s="38">
        <f ca="1">Master_List!$AW$37</f>
        <v>0</v>
      </c>
      <c r="AZ5" s="38">
        <f ca="1">Master_List!$AW$38</f>
        <v>0</v>
      </c>
      <c r="BA5" s="38">
        <f ca="1">Master_List!$AW$39</f>
        <v>0</v>
      </c>
      <c r="BB5" s="38" t="s">
        <v>2240</v>
      </c>
      <c r="BC5" s="38" t="s">
        <v>2241</v>
      </c>
      <c r="BD5" s="6" t="s">
        <v>1744</v>
      </c>
      <c r="BE5" s="6" t="s">
        <v>1749</v>
      </c>
      <c r="BF5" s="6" t="s">
        <v>1748</v>
      </c>
      <c r="BG5" s="6" t="str">
        <f t="shared" si="1"/>
        <v>C:\Users\aremi\Desktop\REPORT CBM\PO 42289580 - Pahang 11kV SECOND CYCLE AZZAD 2026\RAW MATERIAL\047. TNB BARU (IR+VI)\RAW DATA\IR</v>
      </c>
      <c r="BH5" s="23" t="s">
        <v>540</v>
      </c>
      <c r="BU5" s="3"/>
      <c r="BV5" s="3"/>
    </row>
    <row r="6" spans="1:74" ht="12.75" customHeight="1" x14ac:dyDescent="0.2">
      <c r="A6" s="6">
        <v>3</v>
      </c>
      <c r="B6" s="6" t="s">
        <v>1529</v>
      </c>
      <c r="C6" s="6">
        <v>1</v>
      </c>
      <c r="D6" s="6" t="s">
        <v>2264</v>
      </c>
      <c r="E6" s="6">
        <v>3</v>
      </c>
      <c r="F6" s="6" t="str">
        <f ca="1">Master_List!$AW$1</f>
        <v>PERPUSTAKAAN PUSAT</v>
      </c>
      <c r="G6" s="27" t="str">
        <f ca="1">Master_List!$AW$2</f>
        <v>09:30 PM</v>
      </c>
      <c r="H6" s="32" t="str">
        <f ca="1">Master_List!$AW$3</f>
        <v>20/07/2026</v>
      </c>
      <c r="I6" s="28" t="str">
        <f ca="1">Master_List!$AW$4</f>
        <v>28.5</v>
      </c>
      <c r="J6" s="6" t="str">
        <f ca="1">Master_List!$AW$5</f>
        <v>65</v>
      </c>
      <c r="K6" s="6" t="s">
        <v>1530</v>
      </c>
      <c r="L6" s="21" t="s">
        <v>2246</v>
      </c>
      <c r="M6" s="21" t="s">
        <v>2246</v>
      </c>
      <c r="N6" s="21" t="s">
        <v>2246</v>
      </c>
      <c r="O6" s="21" t="s">
        <v>2246</v>
      </c>
      <c r="P6" s="21" t="s">
        <v>2246</v>
      </c>
      <c r="Q6" s="21" t="s">
        <v>2246</v>
      </c>
      <c r="R6" s="21" t="s">
        <v>2246</v>
      </c>
      <c r="S6" s="21" t="str">
        <f t="shared" ca="1" si="0"/>
        <v>24DU738_1015</v>
      </c>
      <c r="T6" s="38" t="str">
        <f ca="1">Master_List!$AW$6</f>
        <v>TOSHIBA</v>
      </c>
      <c r="U6" s="38" t="str">
        <f ca="1">Master_List!$AW$7</f>
        <v>MRMU</v>
      </c>
      <c r="V6" s="38" t="str">
        <f ca="1">Master_List!$AW$8</f>
        <v>12kV</v>
      </c>
      <c r="W6" s="38" t="str">
        <f ca="1">Master_List!$AW$9</f>
        <v>2S1F</v>
      </c>
      <c r="X6" s="38" t="str">
        <f ca="1">Master_List!$AW$10</f>
        <v>MTM</v>
      </c>
      <c r="Y6" s="38" t="str">
        <f ca="1">Master_List!$AW$11</f>
        <v>HERMETICALLY SEAL</v>
      </c>
      <c r="Z6" s="38" t="str">
        <f ca="1">Master_List!$AW$12</f>
        <v>750kVA</v>
      </c>
      <c r="AA6" s="38" t="str">
        <f ca="1">Master_List!$AW$13</f>
        <v>1317</v>
      </c>
      <c r="AB6" s="38">
        <f ca="1">Master_List!$AW$14</f>
        <v>0</v>
      </c>
      <c r="AC6" s="38">
        <f ca="1">Master_List!$AW$15</f>
        <v>0</v>
      </c>
      <c r="AD6" s="38">
        <f ca="1">Master_List!$AW$16</f>
        <v>0</v>
      </c>
      <c r="AE6" s="38">
        <f ca="1">Master_List!$AW$17</f>
        <v>0</v>
      </c>
      <c r="AF6" s="38" t="str">
        <f ca="1">Master_List!$AW$18</f>
        <v>INDKOM</v>
      </c>
      <c r="AG6" s="38" t="str">
        <f ca="1">Master_List!$AW$19</f>
        <v>J-SLOTTED</v>
      </c>
      <c r="AH6" s="38" t="str">
        <f ca="1">Master_List!$AW$20</f>
        <v>1600A</v>
      </c>
      <c r="AI6" s="38" t="str">
        <f ca="1">Master_List!$AW$21</f>
        <v>LV5080090</v>
      </c>
      <c r="AJ6" s="38" t="str">
        <f ca="1">Master_List!$AW$22</f>
        <v>LVDB TX1</v>
      </c>
      <c r="AK6" s="38">
        <f ca="1">Master_List!$AW$23</f>
        <v>0</v>
      </c>
      <c r="AL6" s="38">
        <f ca="1">Master_List!$AW$24</f>
        <v>0</v>
      </c>
      <c r="AM6" s="38">
        <f ca="1">Master_List!$AW$25</f>
        <v>0</v>
      </c>
      <c r="AN6" s="38">
        <f ca="1">Master_List!$AW$26</f>
        <v>0</v>
      </c>
      <c r="AO6" s="38" t="str">
        <f ca="1">Master_List!$AW$27</f>
        <v>LVDB TX2</v>
      </c>
      <c r="AP6" s="38" t="str">
        <f ca="1">Master_List!$AW$28</f>
        <v>SUNPOWER TECHNOLOGIES</v>
      </c>
      <c r="AQ6" s="38" t="str">
        <f ca="1">Master_List!$AW$29</f>
        <v>SPS 30-10 L</v>
      </c>
      <c r="AR6" s="38" t="str">
        <f ca="1">Master_List!$AW$30</f>
        <v>11193-8527</v>
      </c>
      <c r="AS6" s="38">
        <f ca="1">Master_List!$AW$31</f>
        <v>0</v>
      </c>
      <c r="AT6" s="38">
        <f ca="1">Master_List!$AW$32</f>
        <v>0</v>
      </c>
      <c r="AU6" s="38">
        <f ca="1">Master_List!$AW$33</f>
        <v>0</v>
      </c>
      <c r="AV6" s="38">
        <f ca="1">Master_List!$AW$34</f>
        <v>0</v>
      </c>
      <c r="AW6" s="38">
        <f ca="1">Master_List!$AW$35</f>
        <v>0</v>
      </c>
      <c r="AX6" s="38">
        <f ca="1">Master_List!$AW$36</f>
        <v>0</v>
      </c>
      <c r="AY6" s="38">
        <f ca="1">Master_List!$AW$37</f>
        <v>0</v>
      </c>
      <c r="AZ6" s="38">
        <f ca="1">Master_List!$AW$38</f>
        <v>0</v>
      </c>
      <c r="BA6" s="38">
        <f ca="1">Master_List!$AW$39</f>
        <v>0</v>
      </c>
      <c r="BB6" s="38" t="s">
        <v>2240</v>
      </c>
      <c r="BC6" s="38" t="s">
        <v>2241</v>
      </c>
      <c r="BD6" s="6" t="s">
        <v>1744</v>
      </c>
      <c r="BE6" s="6" t="s">
        <v>1750</v>
      </c>
      <c r="BF6" s="6" t="s">
        <v>1746</v>
      </c>
      <c r="BG6" s="6" t="str">
        <f t="shared" si="1"/>
        <v>C:\Users\aremi\Desktop\REPORT CBM\PO 42289580 - Pahang 11kV SECOND CYCLE AZZAD 2026\RAW MATERIAL\047. TNB BARU (IR+VI)\RAW DATA\IR</v>
      </c>
      <c r="BH6" s="23" t="s">
        <v>542</v>
      </c>
      <c r="BU6" s="3"/>
      <c r="BV6" s="3"/>
    </row>
    <row r="7" spans="1:74" ht="12.75" customHeight="1" x14ac:dyDescent="0.2">
      <c r="A7" s="6">
        <v>3</v>
      </c>
      <c r="B7" s="6" t="s">
        <v>1529</v>
      </c>
      <c r="C7" s="6">
        <v>1</v>
      </c>
      <c r="D7" s="6" t="s">
        <v>2264</v>
      </c>
      <c r="E7" s="6">
        <v>3</v>
      </c>
      <c r="F7" s="6" t="str">
        <f ca="1">Master_List!$AW$1</f>
        <v>PERPUSTAKAAN PUSAT</v>
      </c>
      <c r="G7" s="27" t="str">
        <f ca="1">Master_List!$AW$2</f>
        <v>09:30 PM</v>
      </c>
      <c r="H7" s="32" t="str">
        <f ca="1">Master_List!$AW$3</f>
        <v>20/07/2026</v>
      </c>
      <c r="I7" s="28" t="str">
        <f ca="1">Master_List!$AW$4</f>
        <v>28.5</v>
      </c>
      <c r="J7" s="6" t="str">
        <f ca="1">Master_List!$AW$5</f>
        <v>65</v>
      </c>
      <c r="K7" s="6" t="s">
        <v>1530</v>
      </c>
      <c r="L7" s="21" t="s">
        <v>2246</v>
      </c>
      <c r="M7" s="21" t="s">
        <v>2246</v>
      </c>
      <c r="N7" s="21" t="s">
        <v>2246</v>
      </c>
      <c r="O7" s="21" t="s">
        <v>2246</v>
      </c>
      <c r="P7" s="21" t="s">
        <v>2246</v>
      </c>
      <c r="Q7" s="21" t="s">
        <v>2246</v>
      </c>
      <c r="R7" s="21" t="s">
        <v>2246</v>
      </c>
      <c r="S7" s="21" t="str">
        <f t="shared" ca="1" si="0"/>
        <v>24DU738_1015</v>
      </c>
      <c r="T7" s="38" t="str">
        <f ca="1">Master_List!$AW$6</f>
        <v>TOSHIBA</v>
      </c>
      <c r="U7" s="38" t="str">
        <f ca="1">Master_List!$AW$7</f>
        <v>MRMU</v>
      </c>
      <c r="V7" s="38" t="str">
        <f ca="1">Master_List!$AW$8</f>
        <v>12kV</v>
      </c>
      <c r="W7" s="38" t="str">
        <f ca="1">Master_List!$AW$9</f>
        <v>2S1F</v>
      </c>
      <c r="X7" s="38" t="str">
        <f ca="1">Master_List!$AW$10</f>
        <v>MTM</v>
      </c>
      <c r="Y7" s="38" t="str">
        <f ca="1">Master_List!$AW$11</f>
        <v>HERMETICALLY SEAL</v>
      </c>
      <c r="Z7" s="38" t="str">
        <f ca="1">Master_List!$AW$12</f>
        <v>750kVA</v>
      </c>
      <c r="AA7" s="38" t="str">
        <f ca="1">Master_List!$AW$13</f>
        <v>1317</v>
      </c>
      <c r="AB7" s="38">
        <f ca="1">Master_List!$AW$14</f>
        <v>0</v>
      </c>
      <c r="AC7" s="38">
        <f ca="1">Master_List!$AW$15</f>
        <v>0</v>
      </c>
      <c r="AD7" s="38">
        <f ca="1">Master_List!$AW$16</f>
        <v>0</v>
      </c>
      <c r="AE7" s="38">
        <f ca="1">Master_List!$AW$17</f>
        <v>0</v>
      </c>
      <c r="AF7" s="38" t="str">
        <f ca="1">Master_List!$AW$18</f>
        <v>INDKOM</v>
      </c>
      <c r="AG7" s="38" t="str">
        <f ca="1">Master_List!$AW$19</f>
        <v>J-SLOTTED</v>
      </c>
      <c r="AH7" s="38" t="str">
        <f ca="1">Master_List!$AW$20</f>
        <v>1600A</v>
      </c>
      <c r="AI7" s="38" t="str">
        <f ca="1">Master_List!$AW$21</f>
        <v>LV5080090</v>
      </c>
      <c r="AJ7" s="38" t="str">
        <f ca="1">Master_List!$AW$22</f>
        <v>LVDB TX1</v>
      </c>
      <c r="AK7" s="38">
        <f ca="1">Master_List!$AW$23</f>
        <v>0</v>
      </c>
      <c r="AL7" s="38">
        <f ca="1">Master_List!$AW$24</f>
        <v>0</v>
      </c>
      <c r="AM7" s="38">
        <f ca="1">Master_List!$AW$25</f>
        <v>0</v>
      </c>
      <c r="AN7" s="38">
        <f ca="1">Master_List!$AW$26</f>
        <v>0</v>
      </c>
      <c r="AO7" s="38" t="str">
        <f ca="1">Master_List!$AW$27</f>
        <v>LVDB TX2</v>
      </c>
      <c r="AP7" s="38" t="str">
        <f ca="1">Master_List!$AW$28</f>
        <v>SUNPOWER TECHNOLOGIES</v>
      </c>
      <c r="AQ7" s="38" t="str">
        <f ca="1">Master_List!$AW$29</f>
        <v>SPS 30-10 L</v>
      </c>
      <c r="AR7" s="38" t="str">
        <f ca="1">Master_List!$AW$30</f>
        <v>11193-8527</v>
      </c>
      <c r="AS7" s="38">
        <f ca="1">Master_List!$AW$31</f>
        <v>0</v>
      </c>
      <c r="AT7" s="38">
        <f ca="1">Master_List!$AW$32</f>
        <v>0</v>
      </c>
      <c r="AU7" s="38">
        <f ca="1">Master_List!$AW$33</f>
        <v>0</v>
      </c>
      <c r="AV7" s="38">
        <f ca="1">Master_List!$AW$34</f>
        <v>0</v>
      </c>
      <c r="AW7" s="38">
        <f ca="1">Master_List!$AW$35</f>
        <v>0</v>
      </c>
      <c r="AX7" s="38">
        <f ca="1">Master_List!$AW$36</f>
        <v>0</v>
      </c>
      <c r="AY7" s="38">
        <f ca="1">Master_List!$AW$37</f>
        <v>0</v>
      </c>
      <c r="AZ7" s="38">
        <f ca="1">Master_List!$AW$38</f>
        <v>0</v>
      </c>
      <c r="BA7" s="38">
        <f ca="1">Master_List!$AW$39</f>
        <v>0</v>
      </c>
      <c r="BB7" s="38" t="s">
        <v>2240</v>
      </c>
      <c r="BC7" s="38" t="s">
        <v>2241</v>
      </c>
      <c r="BD7" s="6" t="s">
        <v>1744</v>
      </c>
      <c r="BE7" s="6" t="s">
        <v>1750</v>
      </c>
      <c r="BF7" s="6" t="s">
        <v>1748</v>
      </c>
      <c r="BG7" s="6" t="str">
        <f t="shared" si="1"/>
        <v>C:\Users\aremi\Desktop\REPORT CBM\PO 42289580 - Pahang 11kV SECOND CYCLE AZZAD 2026\RAW MATERIAL\047. TNB BARU (IR+VI)\RAW DATA\IR</v>
      </c>
      <c r="BH7" s="23" t="s">
        <v>543</v>
      </c>
      <c r="BU7" s="3"/>
      <c r="BV7" s="3"/>
    </row>
    <row r="8" spans="1:74" ht="12.75" customHeight="1" x14ac:dyDescent="0.2">
      <c r="A8" s="6">
        <v>4</v>
      </c>
      <c r="B8" s="6" t="s">
        <v>1529</v>
      </c>
      <c r="C8" s="6">
        <v>1</v>
      </c>
      <c r="D8" s="6" t="s">
        <v>2264</v>
      </c>
      <c r="E8" s="6">
        <v>4</v>
      </c>
      <c r="F8" s="6" t="str">
        <f ca="1">Master_List!$AW$1</f>
        <v>PERPUSTAKAAN PUSAT</v>
      </c>
      <c r="G8" s="27" t="str">
        <f ca="1">Master_List!$AW$2</f>
        <v>09:30 PM</v>
      </c>
      <c r="H8" s="32" t="str">
        <f ca="1">Master_List!$AW$3</f>
        <v>20/07/2026</v>
      </c>
      <c r="I8" s="28" t="str">
        <f ca="1">Master_List!$AW$4</f>
        <v>28.5</v>
      </c>
      <c r="J8" s="6" t="str">
        <f ca="1">Master_List!$AW$5</f>
        <v>65</v>
      </c>
      <c r="K8" s="6" t="s">
        <v>1531</v>
      </c>
      <c r="L8" s="21" t="s">
        <v>2246</v>
      </c>
      <c r="M8" s="21" t="s">
        <v>2246</v>
      </c>
      <c r="N8" s="21" t="s">
        <v>2246</v>
      </c>
      <c r="O8" s="21" t="s">
        <v>2246</v>
      </c>
      <c r="P8" s="21" t="s">
        <v>2246</v>
      </c>
      <c r="Q8" s="21" t="s">
        <v>2246</v>
      </c>
      <c r="R8" s="21" t="s">
        <v>2246</v>
      </c>
      <c r="S8" s="21" t="str">
        <f t="shared" ca="1" si="0"/>
        <v>24DU738_1015</v>
      </c>
      <c r="T8" s="38" t="str">
        <f ca="1">Master_List!$AW$6</f>
        <v>TOSHIBA</v>
      </c>
      <c r="U8" s="38" t="str">
        <f ca="1">Master_List!$AW$7</f>
        <v>MRMU</v>
      </c>
      <c r="V8" s="38" t="str">
        <f ca="1">Master_List!$AW$8</f>
        <v>12kV</v>
      </c>
      <c r="W8" s="38" t="str">
        <f ca="1">Master_List!$AW$9</f>
        <v>2S1F</v>
      </c>
      <c r="X8" s="38" t="str">
        <f ca="1">Master_List!$AW$10</f>
        <v>MTM</v>
      </c>
      <c r="Y8" s="38" t="str">
        <f ca="1">Master_List!$AW$11</f>
        <v>HERMETICALLY SEAL</v>
      </c>
      <c r="Z8" s="38" t="str">
        <f ca="1">Master_List!$AW$12</f>
        <v>750kVA</v>
      </c>
      <c r="AA8" s="38" t="str">
        <f ca="1">Master_List!$AW$13</f>
        <v>1317</v>
      </c>
      <c r="AB8" s="38">
        <f ca="1">Master_List!$AW$14</f>
        <v>0</v>
      </c>
      <c r="AC8" s="38">
        <f ca="1">Master_List!$AW$15</f>
        <v>0</v>
      </c>
      <c r="AD8" s="38">
        <f ca="1">Master_List!$AW$16</f>
        <v>0</v>
      </c>
      <c r="AE8" s="38">
        <f ca="1">Master_List!$AW$17</f>
        <v>0</v>
      </c>
      <c r="AF8" s="38" t="str">
        <f ca="1">Master_List!$AW$18</f>
        <v>INDKOM</v>
      </c>
      <c r="AG8" s="38" t="str">
        <f ca="1">Master_List!$AW$19</f>
        <v>J-SLOTTED</v>
      </c>
      <c r="AH8" s="38" t="str">
        <f ca="1">Master_List!$AW$20</f>
        <v>1600A</v>
      </c>
      <c r="AI8" s="38" t="str">
        <f ca="1">Master_List!$AW$21</f>
        <v>LV5080090</v>
      </c>
      <c r="AJ8" s="38" t="str">
        <f ca="1">Master_List!$AW$22</f>
        <v>LVDB TX1</v>
      </c>
      <c r="AK8" s="38">
        <f ca="1">Master_List!$AW$23</f>
        <v>0</v>
      </c>
      <c r="AL8" s="38">
        <f ca="1">Master_List!$AW$24</f>
        <v>0</v>
      </c>
      <c r="AM8" s="38">
        <f ca="1">Master_List!$AW$25</f>
        <v>0</v>
      </c>
      <c r="AN8" s="38">
        <f ca="1">Master_List!$AW$26</f>
        <v>0</v>
      </c>
      <c r="AO8" s="38" t="str">
        <f ca="1">Master_List!$AW$27</f>
        <v>LVDB TX2</v>
      </c>
      <c r="AP8" s="38" t="str">
        <f ca="1">Master_List!$AW$28</f>
        <v>SUNPOWER TECHNOLOGIES</v>
      </c>
      <c r="AQ8" s="38" t="str">
        <f ca="1">Master_List!$AW$29</f>
        <v>SPS 30-10 L</v>
      </c>
      <c r="AR8" s="38" t="str">
        <f ca="1">Master_List!$AW$30</f>
        <v>11193-8527</v>
      </c>
      <c r="AS8" s="38">
        <f ca="1">Master_List!$AW$31</f>
        <v>0</v>
      </c>
      <c r="AT8" s="38">
        <f ca="1">Master_List!$AW$32</f>
        <v>0</v>
      </c>
      <c r="AU8" s="38">
        <f ca="1">Master_List!$AW$33</f>
        <v>0</v>
      </c>
      <c r="AV8" s="38">
        <f ca="1">Master_List!$AW$34</f>
        <v>0</v>
      </c>
      <c r="AW8" s="38">
        <f ca="1">Master_List!$AW$35</f>
        <v>0</v>
      </c>
      <c r="AX8" s="38">
        <f ca="1">Master_List!$AW$36</f>
        <v>0</v>
      </c>
      <c r="AY8" s="38">
        <f ca="1">Master_List!$AW$37</f>
        <v>0</v>
      </c>
      <c r="AZ8" s="38">
        <f ca="1">Master_List!$AW$38</f>
        <v>0</v>
      </c>
      <c r="BA8" s="38">
        <f ca="1">Master_List!$AW$39</f>
        <v>0</v>
      </c>
      <c r="BB8" s="38" t="s">
        <v>2240</v>
      </c>
      <c r="BC8" s="38" t="s">
        <v>2241</v>
      </c>
      <c r="BD8" s="6" t="s">
        <v>1744</v>
      </c>
      <c r="BE8" s="6" t="s">
        <v>1751</v>
      </c>
      <c r="BF8" s="6" t="s">
        <v>1746</v>
      </c>
      <c r="BG8" s="6" t="str">
        <f t="shared" si="1"/>
        <v>C:\Users\aremi\Desktop\REPORT CBM\PO 42289580 - Pahang 11kV SECOND CYCLE AZZAD 2026\RAW MATERIAL\047. TNB BARU (IR+VI)\RAW DATA\IR</v>
      </c>
      <c r="BH8" s="23" t="s">
        <v>545</v>
      </c>
      <c r="BU8" s="3"/>
      <c r="BV8" s="3"/>
    </row>
    <row r="9" spans="1:74" ht="12.75" customHeight="1" x14ac:dyDescent="0.2">
      <c r="A9" s="6">
        <v>4</v>
      </c>
      <c r="B9" s="6" t="s">
        <v>1529</v>
      </c>
      <c r="C9" s="6">
        <v>1</v>
      </c>
      <c r="D9" s="6" t="s">
        <v>2264</v>
      </c>
      <c r="E9" s="6">
        <v>4</v>
      </c>
      <c r="F9" s="6" t="str">
        <f ca="1">Master_List!$AW$1</f>
        <v>PERPUSTAKAAN PUSAT</v>
      </c>
      <c r="G9" s="27" t="str">
        <f ca="1">Master_List!$AW$2</f>
        <v>09:30 PM</v>
      </c>
      <c r="H9" s="32" t="str">
        <f ca="1">Master_List!$AW$3</f>
        <v>20/07/2026</v>
      </c>
      <c r="I9" s="28" t="str">
        <f ca="1">Master_List!$AW$4</f>
        <v>28.5</v>
      </c>
      <c r="J9" s="6" t="str">
        <f ca="1">Master_List!$AW$5</f>
        <v>65</v>
      </c>
      <c r="K9" s="6" t="s">
        <v>1531</v>
      </c>
      <c r="L9" s="21" t="s">
        <v>2246</v>
      </c>
      <c r="M9" s="21" t="s">
        <v>2246</v>
      </c>
      <c r="N9" s="21" t="s">
        <v>2246</v>
      </c>
      <c r="O9" s="21" t="s">
        <v>2246</v>
      </c>
      <c r="P9" s="21" t="s">
        <v>2246</v>
      </c>
      <c r="Q9" s="21" t="s">
        <v>2246</v>
      </c>
      <c r="R9" s="21" t="s">
        <v>2246</v>
      </c>
      <c r="S9" s="21" t="str">
        <f t="shared" ca="1" si="0"/>
        <v>24DU738_1015</v>
      </c>
      <c r="T9" s="38" t="str">
        <f ca="1">Master_List!$AW$6</f>
        <v>TOSHIBA</v>
      </c>
      <c r="U9" s="38" t="str">
        <f ca="1">Master_List!$AW$7</f>
        <v>MRMU</v>
      </c>
      <c r="V9" s="38" t="str">
        <f ca="1">Master_List!$AW$8</f>
        <v>12kV</v>
      </c>
      <c r="W9" s="38" t="str">
        <f ca="1">Master_List!$AW$9</f>
        <v>2S1F</v>
      </c>
      <c r="X9" s="38" t="str">
        <f ca="1">Master_List!$AW$10</f>
        <v>MTM</v>
      </c>
      <c r="Y9" s="38" t="str">
        <f ca="1">Master_List!$AW$11</f>
        <v>HERMETICALLY SEAL</v>
      </c>
      <c r="Z9" s="38" t="str">
        <f ca="1">Master_List!$AW$12</f>
        <v>750kVA</v>
      </c>
      <c r="AA9" s="38" t="str">
        <f ca="1">Master_List!$AW$13</f>
        <v>1317</v>
      </c>
      <c r="AB9" s="38">
        <f ca="1">Master_List!$AW$14</f>
        <v>0</v>
      </c>
      <c r="AC9" s="38">
        <f ca="1">Master_List!$AW$15</f>
        <v>0</v>
      </c>
      <c r="AD9" s="38">
        <f ca="1">Master_List!$AW$16</f>
        <v>0</v>
      </c>
      <c r="AE9" s="38">
        <f ca="1">Master_List!$AW$17</f>
        <v>0</v>
      </c>
      <c r="AF9" s="38" t="str">
        <f ca="1">Master_List!$AW$18</f>
        <v>INDKOM</v>
      </c>
      <c r="AG9" s="38" t="str">
        <f ca="1">Master_List!$AW$19</f>
        <v>J-SLOTTED</v>
      </c>
      <c r="AH9" s="38" t="str">
        <f ca="1">Master_List!$AW$20</f>
        <v>1600A</v>
      </c>
      <c r="AI9" s="38" t="str">
        <f ca="1">Master_List!$AW$21</f>
        <v>LV5080090</v>
      </c>
      <c r="AJ9" s="38" t="str">
        <f ca="1">Master_List!$AW$22</f>
        <v>LVDB TX1</v>
      </c>
      <c r="AK9" s="38">
        <f ca="1">Master_List!$AW$23</f>
        <v>0</v>
      </c>
      <c r="AL9" s="38">
        <f ca="1">Master_List!$AW$24</f>
        <v>0</v>
      </c>
      <c r="AM9" s="38">
        <f ca="1">Master_List!$AW$25</f>
        <v>0</v>
      </c>
      <c r="AN9" s="38">
        <f ca="1">Master_List!$AW$26</f>
        <v>0</v>
      </c>
      <c r="AO9" s="38" t="str">
        <f ca="1">Master_List!$AW$27</f>
        <v>LVDB TX2</v>
      </c>
      <c r="AP9" s="38" t="str">
        <f ca="1">Master_List!$AW$28</f>
        <v>SUNPOWER TECHNOLOGIES</v>
      </c>
      <c r="AQ9" s="38" t="str">
        <f ca="1">Master_List!$AW$29</f>
        <v>SPS 30-10 L</v>
      </c>
      <c r="AR9" s="38" t="str">
        <f ca="1">Master_List!$AW$30</f>
        <v>11193-8527</v>
      </c>
      <c r="AS9" s="38">
        <f ca="1">Master_List!$AW$31</f>
        <v>0</v>
      </c>
      <c r="AT9" s="38">
        <f ca="1">Master_List!$AW$32</f>
        <v>0</v>
      </c>
      <c r="AU9" s="38">
        <f ca="1">Master_List!$AW$33</f>
        <v>0</v>
      </c>
      <c r="AV9" s="38">
        <f ca="1">Master_List!$AW$34</f>
        <v>0</v>
      </c>
      <c r="AW9" s="38">
        <f ca="1">Master_List!$AW$35</f>
        <v>0</v>
      </c>
      <c r="AX9" s="38">
        <f ca="1">Master_List!$AW$36</f>
        <v>0</v>
      </c>
      <c r="AY9" s="38">
        <f ca="1">Master_List!$AW$37</f>
        <v>0</v>
      </c>
      <c r="AZ9" s="38">
        <f ca="1">Master_List!$AW$38</f>
        <v>0</v>
      </c>
      <c r="BA9" s="38">
        <f ca="1">Master_List!$AW$39</f>
        <v>0</v>
      </c>
      <c r="BB9" s="38" t="s">
        <v>2240</v>
      </c>
      <c r="BC9" s="38" t="s">
        <v>2241</v>
      </c>
      <c r="BD9" s="6" t="s">
        <v>1744</v>
      </c>
      <c r="BE9" s="6" t="s">
        <v>1751</v>
      </c>
      <c r="BF9" s="6" t="s">
        <v>1748</v>
      </c>
      <c r="BG9" s="6" t="str">
        <f t="shared" si="1"/>
        <v>C:\Users\aremi\Desktop\REPORT CBM\PO 42289580 - Pahang 11kV SECOND CYCLE AZZAD 2026\RAW MATERIAL\047. TNB BARU (IR+VI)\RAW DATA\IR</v>
      </c>
      <c r="BH9" s="23" t="s">
        <v>546</v>
      </c>
      <c r="BU9" s="3"/>
      <c r="BV9" s="3"/>
    </row>
    <row r="10" spans="1:74" ht="12.75" customHeight="1" x14ac:dyDescent="0.2">
      <c r="A10" s="6">
        <v>5</v>
      </c>
      <c r="B10" s="6" t="s">
        <v>1529</v>
      </c>
      <c r="C10" s="6">
        <v>1</v>
      </c>
      <c r="D10" s="6" t="s">
        <v>2264</v>
      </c>
      <c r="E10" s="6">
        <v>5</v>
      </c>
      <c r="F10" s="6" t="str">
        <f ca="1">Master_List!$AW$1</f>
        <v>PERPUSTAKAAN PUSAT</v>
      </c>
      <c r="G10" s="27" t="str">
        <f ca="1">Master_List!$AW$2</f>
        <v>09:30 PM</v>
      </c>
      <c r="H10" s="32" t="str">
        <f ca="1">Master_List!$AW$3</f>
        <v>20/07/2026</v>
      </c>
      <c r="I10" s="28" t="str">
        <f ca="1">Master_List!$AW$4</f>
        <v>28.5</v>
      </c>
      <c r="J10" s="6" t="str">
        <f ca="1">Master_List!$AW$5</f>
        <v>65</v>
      </c>
      <c r="K10" s="6" t="s">
        <v>1532</v>
      </c>
      <c r="L10" s="21" t="s">
        <v>2246</v>
      </c>
      <c r="M10" s="21" t="s">
        <v>2246</v>
      </c>
      <c r="N10" s="21" t="s">
        <v>2246</v>
      </c>
      <c r="O10" s="21" t="s">
        <v>2246</v>
      </c>
      <c r="P10" s="21" t="s">
        <v>2246</v>
      </c>
      <c r="Q10" s="21" t="s">
        <v>2246</v>
      </c>
      <c r="R10" s="21" t="s">
        <v>2246</v>
      </c>
      <c r="S10" s="21" t="str">
        <f t="shared" ca="1" si="0"/>
        <v>24DU738_1015</v>
      </c>
      <c r="T10" s="38" t="str">
        <f ca="1">Master_List!$AW$6</f>
        <v>TOSHIBA</v>
      </c>
      <c r="U10" s="38" t="str">
        <f ca="1">Master_List!$AW$7</f>
        <v>MRMU</v>
      </c>
      <c r="V10" s="38" t="str">
        <f ca="1">Master_List!$AW$8</f>
        <v>12kV</v>
      </c>
      <c r="W10" s="38" t="str">
        <f ca="1">Master_List!$AW$9</f>
        <v>2S1F</v>
      </c>
      <c r="X10" s="38" t="str">
        <f ca="1">Master_List!$AW$10</f>
        <v>MTM</v>
      </c>
      <c r="Y10" s="38" t="str">
        <f ca="1">Master_List!$AW$11</f>
        <v>HERMETICALLY SEAL</v>
      </c>
      <c r="Z10" s="38" t="str">
        <f ca="1">Master_List!$AW$12</f>
        <v>750kVA</v>
      </c>
      <c r="AA10" s="38" t="str">
        <f ca="1">Master_List!$AW$13</f>
        <v>1317</v>
      </c>
      <c r="AB10" s="38">
        <f ca="1">Master_List!$AW$14</f>
        <v>0</v>
      </c>
      <c r="AC10" s="38">
        <f ca="1">Master_List!$AW$15</f>
        <v>0</v>
      </c>
      <c r="AD10" s="38">
        <f ca="1">Master_List!$AW$16</f>
        <v>0</v>
      </c>
      <c r="AE10" s="38">
        <f ca="1">Master_List!$AW$17</f>
        <v>0</v>
      </c>
      <c r="AF10" s="38" t="str">
        <f ca="1">Master_List!$AW$18</f>
        <v>INDKOM</v>
      </c>
      <c r="AG10" s="38" t="str">
        <f ca="1">Master_List!$AW$19</f>
        <v>J-SLOTTED</v>
      </c>
      <c r="AH10" s="38" t="str">
        <f ca="1">Master_List!$AW$20</f>
        <v>1600A</v>
      </c>
      <c r="AI10" s="38" t="str">
        <f ca="1">Master_List!$AW$21</f>
        <v>LV5080090</v>
      </c>
      <c r="AJ10" s="38" t="str">
        <f ca="1">Master_List!$AW$22</f>
        <v>LVDB TX1</v>
      </c>
      <c r="AK10" s="38">
        <f ca="1">Master_List!$AW$23</f>
        <v>0</v>
      </c>
      <c r="AL10" s="38">
        <f ca="1">Master_List!$AW$24</f>
        <v>0</v>
      </c>
      <c r="AM10" s="38">
        <f ca="1">Master_List!$AW$25</f>
        <v>0</v>
      </c>
      <c r="AN10" s="38">
        <f ca="1">Master_List!$AW$26</f>
        <v>0</v>
      </c>
      <c r="AO10" s="38" t="str">
        <f ca="1">Master_List!$AW$27</f>
        <v>LVDB TX2</v>
      </c>
      <c r="AP10" s="38" t="str">
        <f ca="1">Master_List!$AW$28</f>
        <v>SUNPOWER TECHNOLOGIES</v>
      </c>
      <c r="AQ10" s="38" t="str">
        <f ca="1">Master_List!$AW$29</f>
        <v>SPS 30-10 L</v>
      </c>
      <c r="AR10" s="38" t="str">
        <f ca="1">Master_List!$AW$30</f>
        <v>11193-8527</v>
      </c>
      <c r="AS10" s="38">
        <f ca="1">Master_List!$AW$31</f>
        <v>0</v>
      </c>
      <c r="AT10" s="38">
        <f ca="1">Master_List!$AW$32</f>
        <v>0</v>
      </c>
      <c r="AU10" s="38">
        <f ca="1">Master_List!$AW$33</f>
        <v>0</v>
      </c>
      <c r="AV10" s="38">
        <f ca="1">Master_List!$AW$34</f>
        <v>0</v>
      </c>
      <c r="AW10" s="38">
        <f ca="1">Master_List!$AW$35</f>
        <v>0</v>
      </c>
      <c r="AX10" s="38">
        <f ca="1">Master_List!$AW$36</f>
        <v>0</v>
      </c>
      <c r="AY10" s="38">
        <f ca="1">Master_List!$AW$37</f>
        <v>0</v>
      </c>
      <c r="AZ10" s="38">
        <f ca="1">Master_List!$AW$38</f>
        <v>0</v>
      </c>
      <c r="BA10" s="38">
        <f ca="1">Master_List!$AW$39</f>
        <v>0</v>
      </c>
      <c r="BB10" s="38" t="s">
        <v>2240</v>
      </c>
      <c r="BC10" s="38" t="s">
        <v>2241</v>
      </c>
      <c r="BD10" s="6" t="s">
        <v>1744</v>
      </c>
      <c r="BE10" s="6" t="s">
        <v>1752</v>
      </c>
      <c r="BF10" s="6" t="s">
        <v>1746</v>
      </c>
      <c r="BG10" s="6" t="str">
        <f t="shared" si="1"/>
        <v>C:\Users\aremi\Desktop\REPORT CBM\PO 42289580 - Pahang 11kV SECOND CYCLE AZZAD 2026\RAW MATERIAL\047. TNB BARU (IR+VI)\RAW DATA\IR</v>
      </c>
      <c r="BH10" s="23" t="s">
        <v>548</v>
      </c>
      <c r="BU10" s="3"/>
      <c r="BV10" s="3"/>
    </row>
    <row r="11" spans="1:74" ht="12.75" customHeight="1" x14ac:dyDescent="0.2">
      <c r="A11" s="6">
        <v>5</v>
      </c>
      <c r="B11" s="6" t="s">
        <v>1529</v>
      </c>
      <c r="C11" s="6">
        <v>1</v>
      </c>
      <c r="D11" s="6" t="s">
        <v>2264</v>
      </c>
      <c r="E11" s="6">
        <v>5</v>
      </c>
      <c r="F11" s="6" t="str">
        <f ca="1">Master_List!$AW$1</f>
        <v>PERPUSTAKAAN PUSAT</v>
      </c>
      <c r="G11" s="27" t="str">
        <f ca="1">Master_List!$AW$2</f>
        <v>09:30 PM</v>
      </c>
      <c r="H11" s="32" t="str">
        <f ca="1">Master_List!$AW$3</f>
        <v>20/07/2026</v>
      </c>
      <c r="I11" s="28" t="str">
        <f ca="1">Master_List!$AW$4</f>
        <v>28.5</v>
      </c>
      <c r="J11" s="6" t="str">
        <f ca="1">Master_List!$AW$5</f>
        <v>65</v>
      </c>
      <c r="K11" s="6" t="s">
        <v>1532</v>
      </c>
      <c r="L11" s="21" t="s">
        <v>2246</v>
      </c>
      <c r="M11" s="21" t="s">
        <v>2246</v>
      </c>
      <c r="N11" s="21" t="s">
        <v>2246</v>
      </c>
      <c r="O11" s="21" t="s">
        <v>2246</v>
      </c>
      <c r="P11" s="21" t="s">
        <v>2246</v>
      </c>
      <c r="Q11" s="21" t="s">
        <v>2246</v>
      </c>
      <c r="R11" s="21" t="s">
        <v>2246</v>
      </c>
      <c r="S11" s="21" t="str">
        <f t="shared" ca="1" si="0"/>
        <v>24DU738_1015</v>
      </c>
      <c r="T11" s="38" t="str">
        <f ca="1">Master_List!$AW$6</f>
        <v>TOSHIBA</v>
      </c>
      <c r="U11" s="38" t="str">
        <f ca="1">Master_List!$AW$7</f>
        <v>MRMU</v>
      </c>
      <c r="V11" s="38" t="str">
        <f ca="1">Master_List!$AW$8</f>
        <v>12kV</v>
      </c>
      <c r="W11" s="38" t="str">
        <f ca="1">Master_List!$AW$9</f>
        <v>2S1F</v>
      </c>
      <c r="X11" s="38" t="str">
        <f ca="1">Master_List!$AW$10</f>
        <v>MTM</v>
      </c>
      <c r="Y11" s="38" t="str">
        <f ca="1">Master_List!$AW$11</f>
        <v>HERMETICALLY SEAL</v>
      </c>
      <c r="Z11" s="38" t="str">
        <f ca="1">Master_List!$AW$12</f>
        <v>750kVA</v>
      </c>
      <c r="AA11" s="38" t="str">
        <f ca="1">Master_List!$AW$13</f>
        <v>1317</v>
      </c>
      <c r="AB11" s="38">
        <f ca="1">Master_List!$AW$14</f>
        <v>0</v>
      </c>
      <c r="AC11" s="38">
        <f ca="1">Master_List!$AW$15</f>
        <v>0</v>
      </c>
      <c r="AD11" s="38">
        <f ca="1">Master_List!$AW$16</f>
        <v>0</v>
      </c>
      <c r="AE11" s="38">
        <f ca="1">Master_List!$AW$17</f>
        <v>0</v>
      </c>
      <c r="AF11" s="38" t="str">
        <f ca="1">Master_List!$AW$18</f>
        <v>INDKOM</v>
      </c>
      <c r="AG11" s="38" t="str">
        <f ca="1">Master_List!$AW$19</f>
        <v>J-SLOTTED</v>
      </c>
      <c r="AH11" s="38" t="str">
        <f ca="1">Master_List!$AW$20</f>
        <v>1600A</v>
      </c>
      <c r="AI11" s="38" t="str">
        <f ca="1">Master_List!$AW$21</f>
        <v>LV5080090</v>
      </c>
      <c r="AJ11" s="38" t="str">
        <f ca="1">Master_List!$AW$22</f>
        <v>LVDB TX1</v>
      </c>
      <c r="AK11" s="38">
        <f ca="1">Master_List!$AW$23</f>
        <v>0</v>
      </c>
      <c r="AL11" s="38">
        <f ca="1">Master_List!$AW$24</f>
        <v>0</v>
      </c>
      <c r="AM11" s="38">
        <f ca="1">Master_List!$AW$25</f>
        <v>0</v>
      </c>
      <c r="AN11" s="38">
        <f ca="1">Master_List!$AW$26</f>
        <v>0</v>
      </c>
      <c r="AO11" s="38" t="str">
        <f ca="1">Master_List!$AW$27</f>
        <v>LVDB TX2</v>
      </c>
      <c r="AP11" s="38" t="str">
        <f ca="1">Master_List!$AW$28</f>
        <v>SUNPOWER TECHNOLOGIES</v>
      </c>
      <c r="AQ11" s="38" t="str">
        <f ca="1">Master_List!$AW$29</f>
        <v>SPS 30-10 L</v>
      </c>
      <c r="AR11" s="38" t="str">
        <f ca="1">Master_List!$AW$30</f>
        <v>11193-8527</v>
      </c>
      <c r="AS11" s="38">
        <f ca="1">Master_List!$AW$31</f>
        <v>0</v>
      </c>
      <c r="AT11" s="38">
        <f ca="1">Master_List!$AW$32</f>
        <v>0</v>
      </c>
      <c r="AU11" s="38">
        <f ca="1">Master_List!$AW$33</f>
        <v>0</v>
      </c>
      <c r="AV11" s="38">
        <f ca="1">Master_List!$AW$34</f>
        <v>0</v>
      </c>
      <c r="AW11" s="38">
        <f ca="1">Master_List!$AW$35</f>
        <v>0</v>
      </c>
      <c r="AX11" s="38">
        <f ca="1">Master_List!$AW$36</f>
        <v>0</v>
      </c>
      <c r="AY11" s="38">
        <f ca="1">Master_List!$AW$37</f>
        <v>0</v>
      </c>
      <c r="AZ11" s="38">
        <f ca="1">Master_List!$AW$38</f>
        <v>0</v>
      </c>
      <c r="BA11" s="38">
        <f ca="1">Master_List!$AW$39</f>
        <v>0</v>
      </c>
      <c r="BB11" s="38" t="s">
        <v>2240</v>
      </c>
      <c r="BC11" s="38" t="s">
        <v>2241</v>
      </c>
      <c r="BD11" s="6" t="s">
        <v>1744</v>
      </c>
      <c r="BE11" s="6" t="s">
        <v>1752</v>
      </c>
      <c r="BF11" s="6" t="s">
        <v>1748</v>
      </c>
      <c r="BG11" s="6" t="str">
        <f t="shared" si="1"/>
        <v>C:\Users\aremi\Desktop\REPORT CBM\PO 42289580 - Pahang 11kV SECOND CYCLE AZZAD 2026\RAW MATERIAL\047. TNB BARU (IR+VI)\RAW DATA\IR</v>
      </c>
      <c r="BH11" s="23" t="s">
        <v>549</v>
      </c>
      <c r="BU11" s="3"/>
      <c r="BV11" s="3"/>
    </row>
    <row r="12" spans="1:74" ht="12.75" customHeight="1" x14ac:dyDescent="0.2">
      <c r="A12" s="6">
        <v>6</v>
      </c>
      <c r="B12" s="6" t="s">
        <v>1529</v>
      </c>
      <c r="C12" s="6">
        <v>1</v>
      </c>
      <c r="D12" s="6" t="s">
        <v>2264</v>
      </c>
      <c r="E12" s="6">
        <v>6</v>
      </c>
      <c r="F12" s="6" t="str">
        <f ca="1">Master_List!$AW$1</f>
        <v>PERPUSTAKAAN PUSAT</v>
      </c>
      <c r="G12" s="27" t="str">
        <f ca="1">Master_List!$AW$2</f>
        <v>09:30 PM</v>
      </c>
      <c r="H12" s="32" t="str">
        <f ca="1">Master_List!$AW$3</f>
        <v>20/07/2026</v>
      </c>
      <c r="I12" s="28" t="str">
        <f ca="1">Master_List!$AW$4</f>
        <v>28.5</v>
      </c>
      <c r="J12" s="6" t="str">
        <f ca="1">Master_List!$AW$5</f>
        <v>65</v>
      </c>
      <c r="K12" s="6" t="s">
        <v>1533</v>
      </c>
      <c r="L12" s="21" t="s">
        <v>2246</v>
      </c>
      <c r="M12" s="21" t="s">
        <v>2246</v>
      </c>
      <c r="N12" s="21" t="s">
        <v>2246</v>
      </c>
      <c r="O12" s="21" t="s">
        <v>2246</v>
      </c>
      <c r="P12" s="21" t="s">
        <v>2246</v>
      </c>
      <c r="Q12" s="21" t="s">
        <v>2246</v>
      </c>
      <c r="R12" s="21" t="s">
        <v>2246</v>
      </c>
      <c r="S12" s="21" t="str">
        <f t="shared" ca="1" si="0"/>
        <v>24DU738_1015</v>
      </c>
      <c r="T12" s="38" t="str">
        <f ca="1">Master_List!$AW$6</f>
        <v>TOSHIBA</v>
      </c>
      <c r="U12" s="38" t="str">
        <f ca="1">Master_List!$AW$7</f>
        <v>MRMU</v>
      </c>
      <c r="V12" s="38" t="str">
        <f ca="1">Master_List!$AW$8</f>
        <v>12kV</v>
      </c>
      <c r="W12" s="38" t="str">
        <f ca="1">Master_List!$AW$9</f>
        <v>2S1F</v>
      </c>
      <c r="X12" s="38" t="str">
        <f ca="1">Master_List!$AW$10</f>
        <v>MTM</v>
      </c>
      <c r="Y12" s="38" t="str">
        <f ca="1">Master_List!$AW$11</f>
        <v>HERMETICALLY SEAL</v>
      </c>
      <c r="Z12" s="38" t="str">
        <f ca="1">Master_List!$AW$12</f>
        <v>750kVA</v>
      </c>
      <c r="AA12" s="38" t="str">
        <f ca="1">Master_List!$AW$13</f>
        <v>1317</v>
      </c>
      <c r="AB12" s="38">
        <f ca="1">Master_List!$AW$14</f>
        <v>0</v>
      </c>
      <c r="AC12" s="38">
        <f ca="1">Master_List!$AW$15</f>
        <v>0</v>
      </c>
      <c r="AD12" s="38">
        <f ca="1">Master_List!$AW$16</f>
        <v>0</v>
      </c>
      <c r="AE12" s="38">
        <f ca="1">Master_List!$AW$17</f>
        <v>0</v>
      </c>
      <c r="AF12" s="38" t="str">
        <f ca="1">Master_List!$AW$18</f>
        <v>INDKOM</v>
      </c>
      <c r="AG12" s="38" t="str">
        <f ca="1">Master_List!$AW$19</f>
        <v>J-SLOTTED</v>
      </c>
      <c r="AH12" s="38" t="str">
        <f ca="1">Master_List!$AW$20</f>
        <v>1600A</v>
      </c>
      <c r="AI12" s="38" t="str">
        <f ca="1">Master_List!$AW$21</f>
        <v>LV5080090</v>
      </c>
      <c r="AJ12" s="38" t="str">
        <f ca="1">Master_List!$AW$22</f>
        <v>LVDB TX1</v>
      </c>
      <c r="AK12" s="38">
        <f ca="1">Master_List!$AW$23</f>
        <v>0</v>
      </c>
      <c r="AL12" s="38">
        <f ca="1">Master_List!$AW$24</f>
        <v>0</v>
      </c>
      <c r="AM12" s="38">
        <f ca="1">Master_List!$AW$25</f>
        <v>0</v>
      </c>
      <c r="AN12" s="38">
        <f ca="1">Master_List!$AW$26</f>
        <v>0</v>
      </c>
      <c r="AO12" s="38" t="str">
        <f ca="1">Master_List!$AW$27</f>
        <v>LVDB TX2</v>
      </c>
      <c r="AP12" s="38" t="str">
        <f ca="1">Master_List!$AW$28</f>
        <v>SUNPOWER TECHNOLOGIES</v>
      </c>
      <c r="AQ12" s="38" t="str">
        <f ca="1">Master_List!$AW$29</f>
        <v>SPS 30-10 L</v>
      </c>
      <c r="AR12" s="38" t="str">
        <f ca="1">Master_List!$AW$30</f>
        <v>11193-8527</v>
      </c>
      <c r="AS12" s="38">
        <f ca="1">Master_List!$AW$31</f>
        <v>0</v>
      </c>
      <c r="AT12" s="38">
        <f ca="1">Master_List!$AW$32</f>
        <v>0</v>
      </c>
      <c r="AU12" s="38">
        <f ca="1">Master_List!$AW$33</f>
        <v>0</v>
      </c>
      <c r="AV12" s="38">
        <f ca="1">Master_List!$AW$34</f>
        <v>0</v>
      </c>
      <c r="AW12" s="38">
        <f ca="1">Master_List!$AW$35</f>
        <v>0</v>
      </c>
      <c r="AX12" s="38">
        <f ca="1">Master_List!$AW$36</f>
        <v>0</v>
      </c>
      <c r="AY12" s="38">
        <f ca="1">Master_List!$AW$37</f>
        <v>0</v>
      </c>
      <c r="AZ12" s="38">
        <f ca="1">Master_List!$AW$38</f>
        <v>0</v>
      </c>
      <c r="BA12" s="38">
        <f ca="1">Master_List!$AW$39</f>
        <v>0</v>
      </c>
      <c r="BB12" s="38" t="s">
        <v>2240</v>
      </c>
      <c r="BC12" s="38" t="s">
        <v>2241</v>
      </c>
      <c r="BD12" s="6" t="s">
        <v>1744</v>
      </c>
      <c r="BE12" s="6" t="s">
        <v>1753</v>
      </c>
      <c r="BF12" s="6" t="s">
        <v>1746</v>
      </c>
      <c r="BG12" s="6" t="str">
        <f t="shared" si="1"/>
        <v>C:\Users\aremi\Desktop\REPORT CBM\PO 42289580 - Pahang 11kV SECOND CYCLE AZZAD 2026\RAW MATERIAL\047. TNB BARU (IR+VI)\RAW DATA\IR</v>
      </c>
      <c r="BH12" s="23" t="s">
        <v>551</v>
      </c>
      <c r="BU12" s="3"/>
      <c r="BV12" s="3"/>
    </row>
    <row r="13" spans="1:74" ht="12.75" customHeight="1" x14ac:dyDescent="0.2">
      <c r="A13" s="6">
        <v>6</v>
      </c>
      <c r="B13" s="6" t="s">
        <v>1529</v>
      </c>
      <c r="C13" s="6">
        <v>1</v>
      </c>
      <c r="D13" s="6" t="s">
        <v>2264</v>
      </c>
      <c r="E13" s="6">
        <v>6</v>
      </c>
      <c r="F13" s="6" t="str">
        <f ca="1">Master_List!$AW$1</f>
        <v>PERPUSTAKAAN PUSAT</v>
      </c>
      <c r="G13" s="27" t="str">
        <f ca="1">Master_List!$AW$2</f>
        <v>09:30 PM</v>
      </c>
      <c r="H13" s="32" t="str">
        <f ca="1">Master_List!$AW$3</f>
        <v>20/07/2026</v>
      </c>
      <c r="I13" s="28" t="str">
        <f ca="1">Master_List!$AW$4</f>
        <v>28.5</v>
      </c>
      <c r="J13" s="6" t="str">
        <f ca="1">Master_List!$AW$5</f>
        <v>65</v>
      </c>
      <c r="K13" s="6" t="s">
        <v>1533</v>
      </c>
      <c r="L13" s="21" t="s">
        <v>2246</v>
      </c>
      <c r="M13" s="21" t="s">
        <v>2246</v>
      </c>
      <c r="N13" s="21" t="s">
        <v>2246</v>
      </c>
      <c r="O13" s="21" t="s">
        <v>2246</v>
      </c>
      <c r="P13" s="21" t="s">
        <v>2246</v>
      </c>
      <c r="Q13" s="21" t="s">
        <v>2246</v>
      </c>
      <c r="R13" s="21" t="s">
        <v>2246</v>
      </c>
      <c r="S13" s="21" t="str">
        <f t="shared" ca="1" si="0"/>
        <v>24DU738_1015</v>
      </c>
      <c r="T13" s="38" t="str">
        <f ca="1">Master_List!$AW$6</f>
        <v>TOSHIBA</v>
      </c>
      <c r="U13" s="38" t="str">
        <f ca="1">Master_List!$AW$7</f>
        <v>MRMU</v>
      </c>
      <c r="V13" s="38" t="str">
        <f ca="1">Master_List!$AW$8</f>
        <v>12kV</v>
      </c>
      <c r="W13" s="38" t="str">
        <f ca="1">Master_List!$AW$9</f>
        <v>2S1F</v>
      </c>
      <c r="X13" s="38" t="str">
        <f ca="1">Master_List!$AW$10</f>
        <v>MTM</v>
      </c>
      <c r="Y13" s="38" t="str">
        <f ca="1">Master_List!$AW$11</f>
        <v>HERMETICALLY SEAL</v>
      </c>
      <c r="Z13" s="38" t="str">
        <f ca="1">Master_List!$AW$12</f>
        <v>750kVA</v>
      </c>
      <c r="AA13" s="38" t="str">
        <f ca="1">Master_List!$AW$13</f>
        <v>1317</v>
      </c>
      <c r="AB13" s="38">
        <f ca="1">Master_List!$AW$14</f>
        <v>0</v>
      </c>
      <c r="AC13" s="38">
        <f ca="1">Master_List!$AW$15</f>
        <v>0</v>
      </c>
      <c r="AD13" s="38">
        <f ca="1">Master_List!$AW$16</f>
        <v>0</v>
      </c>
      <c r="AE13" s="38">
        <f ca="1">Master_List!$AW$17</f>
        <v>0</v>
      </c>
      <c r="AF13" s="38" t="str">
        <f ca="1">Master_List!$AW$18</f>
        <v>INDKOM</v>
      </c>
      <c r="AG13" s="38" t="str">
        <f ca="1">Master_List!$AW$19</f>
        <v>J-SLOTTED</v>
      </c>
      <c r="AH13" s="38" t="str">
        <f ca="1">Master_List!$AW$20</f>
        <v>1600A</v>
      </c>
      <c r="AI13" s="38" t="str">
        <f ca="1">Master_List!$AW$21</f>
        <v>LV5080090</v>
      </c>
      <c r="AJ13" s="38" t="str">
        <f ca="1">Master_List!$AW$22</f>
        <v>LVDB TX1</v>
      </c>
      <c r="AK13" s="38">
        <f ca="1">Master_List!$AW$23</f>
        <v>0</v>
      </c>
      <c r="AL13" s="38">
        <f ca="1">Master_List!$AW$24</f>
        <v>0</v>
      </c>
      <c r="AM13" s="38">
        <f ca="1">Master_List!$AW$25</f>
        <v>0</v>
      </c>
      <c r="AN13" s="38">
        <f ca="1">Master_List!$AW$26</f>
        <v>0</v>
      </c>
      <c r="AO13" s="38" t="str">
        <f ca="1">Master_List!$AW$27</f>
        <v>LVDB TX2</v>
      </c>
      <c r="AP13" s="38" t="str">
        <f ca="1">Master_List!$AW$28</f>
        <v>SUNPOWER TECHNOLOGIES</v>
      </c>
      <c r="AQ13" s="38" t="str">
        <f ca="1">Master_List!$AW$29</f>
        <v>SPS 30-10 L</v>
      </c>
      <c r="AR13" s="38" t="str">
        <f ca="1">Master_List!$AW$30</f>
        <v>11193-8527</v>
      </c>
      <c r="AS13" s="38">
        <f ca="1">Master_List!$AW$31</f>
        <v>0</v>
      </c>
      <c r="AT13" s="38">
        <f ca="1">Master_List!$AW$32</f>
        <v>0</v>
      </c>
      <c r="AU13" s="38">
        <f ca="1">Master_List!$AW$33</f>
        <v>0</v>
      </c>
      <c r="AV13" s="38">
        <f ca="1">Master_List!$AW$34</f>
        <v>0</v>
      </c>
      <c r="AW13" s="38">
        <f ca="1">Master_List!$AW$35</f>
        <v>0</v>
      </c>
      <c r="AX13" s="38">
        <f ca="1">Master_List!$AW$36</f>
        <v>0</v>
      </c>
      <c r="AY13" s="38">
        <f ca="1">Master_List!$AW$37</f>
        <v>0</v>
      </c>
      <c r="AZ13" s="38">
        <f ca="1">Master_List!$AW$38</f>
        <v>0</v>
      </c>
      <c r="BA13" s="38">
        <f ca="1">Master_List!$AW$39</f>
        <v>0</v>
      </c>
      <c r="BB13" s="38" t="s">
        <v>2240</v>
      </c>
      <c r="BC13" s="38" t="s">
        <v>2241</v>
      </c>
      <c r="BD13" s="6" t="s">
        <v>1744</v>
      </c>
      <c r="BE13" s="6" t="s">
        <v>1753</v>
      </c>
      <c r="BF13" s="6" t="s">
        <v>1748</v>
      </c>
      <c r="BG13" s="6" t="str">
        <f t="shared" si="1"/>
        <v>C:\Users\aremi\Desktop\REPORT CBM\PO 42289580 - Pahang 11kV SECOND CYCLE AZZAD 2026\RAW MATERIAL\047. TNB BARU (IR+VI)\RAW DATA\IR</v>
      </c>
      <c r="BH13" s="23" t="s">
        <v>552</v>
      </c>
      <c r="BU13" s="3"/>
      <c r="BV13" s="3"/>
    </row>
    <row r="14" spans="1:74" ht="12.75" customHeight="1" x14ac:dyDescent="0.2">
      <c r="A14" s="6">
        <v>7</v>
      </c>
      <c r="B14" s="6" t="s">
        <v>1534</v>
      </c>
      <c r="C14" s="6">
        <v>1</v>
      </c>
      <c r="D14" s="6" t="s">
        <v>2265</v>
      </c>
      <c r="E14" s="6">
        <v>7</v>
      </c>
      <c r="F14" s="6" t="str">
        <f ca="1">Master_List!$AW$1</f>
        <v>PERPUSTAKAAN PUSAT</v>
      </c>
      <c r="G14" s="27" t="str">
        <f ca="1">Master_List!$AW$2</f>
        <v>09:30 PM</v>
      </c>
      <c r="H14" s="32" t="str">
        <f ca="1">Master_List!$AW$3</f>
        <v>20/07/2026</v>
      </c>
      <c r="I14" s="28" t="str">
        <f ca="1">Master_List!$AW$4</f>
        <v>28.5</v>
      </c>
      <c r="J14" s="6" t="str">
        <f ca="1">Master_List!$AW$5</f>
        <v>65</v>
      </c>
      <c r="K14" s="6" t="s">
        <v>576</v>
      </c>
      <c r="L14" s="21" t="str">
        <f ca="1">IFERROR(VLOOKUP(B14, Master_List!$A:$I, 2, FALSE), "-")</f>
        <v>JJB 87616</v>
      </c>
      <c r="M14" s="21" t="str">
        <f ca="1">IFERROR(VLOOKUP(B14, Master_List!$A:$I, 3, FALSE), "-")</f>
        <v>PDT QRTS AGAMA</v>
      </c>
      <c r="N14" s="21" t="str">
        <f ca="1">IFERROR(VLOOKUP(B14, Master_List!$A:$I, 4, FALSE), "-")</f>
        <v>NOT ACCESSIBLE</v>
      </c>
      <c r="O14" s="21" t="str">
        <f ca="1">IFERROR(VLOOKUP(B14, Master_List!$A:$I, 5, FALSE), "-")</f>
        <v>CLOSE</v>
      </c>
      <c r="P14" s="21" t="str">
        <f ca="1">IFERROR(VLOOKUP(B14, Master_List!$A:$I, 6, FALSE), "-")</f>
        <v/>
      </c>
      <c r="Q14" s="21" t="str">
        <f ca="1">IFERROR(VLOOKUP(B14, Master_List!$A:$I, 7, FALSE), "-")</f>
        <v/>
      </c>
      <c r="R14" s="21" t="str">
        <f ca="1">IFERROR(VLOOKUP(B14, Master_List!$A:$I, 8, FALSE), "-")</f>
        <v/>
      </c>
      <c r="S14" s="21" t="str">
        <f ca="1">IFERROR(VLOOKUP(B14, Master_List!$A:$I, 9, FALSE), "-")</f>
        <v>24DU738_1015</v>
      </c>
      <c r="T14" s="38" t="str">
        <f ca="1">Master_List!$AW$6</f>
        <v>TOSHIBA</v>
      </c>
      <c r="U14" s="38" t="str">
        <f ca="1">Master_List!$AW$7</f>
        <v>MRMU</v>
      </c>
      <c r="V14" s="38" t="str">
        <f ca="1">Master_List!$AW$8</f>
        <v>12kV</v>
      </c>
      <c r="W14" s="38" t="str">
        <f ca="1">Master_List!$AW$9</f>
        <v>2S1F</v>
      </c>
      <c r="X14" s="38" t="str">
        <f ca="1">Master_List!$AW$10</f>
        <v>MTM</v>
      </c>
      <c r="Y14" s="38" t="str">
        <f ca="1">Master_List!$AW$11</f>
        <v>HERMETICALLY SEAL</v>
      </c>
      <c r="Z14" s="38" t="str">
        <f ca="1">Master_List!$AW$12</f>
        <v>750kVA</v>
      </c>
      <c r="AA14" s="38" t="str">
        <f ca="1">Master_List!$AW$13</f>
        <v>1317</v>
      </c>
      <c r="AB14" s="38">
        <f ca="1">Master_List!$AW$14</f>
        <v>0</v>
      </c>
      <c r="AC14" s="38">
        <f ca="1">Master_List!$AW$15</f>
        <v>0</v>
      </c>
      <c r="AD14" s="38">
        <f ca="1">Master_List!$AW$16</f>
        <v>0</v>
      </c>
      <c r="AE14" s="38">
        <f ca="1">Master_List!$AW$17</f>
        <v>0</v>
      </c>
      <c r="AF14" s="38" t="str">
        <f ca="1">Master_List!$AW$18</f>
        <v>INDKOM</v>
      </c>
      <c r="AG14" s="38" t="str">
        <f ca="1">Master_List!$AW$19</f>
        <v>J-SLOTTED</v>
      </c>
      <c r="AH14" s="38" t="str">
        <f ca="1">Master_List!$AW$20</f>
        <v>1600A</v>
      </c>
      <c r="AI14" s="38" t="str">
        <f ca="1">Master_List!$AW$21</f>
        <v>LV5080090</v>
      </c>
      <c r="AJ14" s="38" t="str">
        <f ca="1">Master_List!$AW$22</f>
        <v>LVDB TX1</v>
      </c>
      <c r="AK14" s="38">
        <f ca="1">Master_List!$AW$23</f>
        <v>0</v>
      </c>
      <c r="AL14" s="38">
        <f ca="1">Master_List!$AW$24</f>
        <v>0</v>
      </c>
      <c r="AM14" s="38">
        <f ca="1">Master_List!$AW$25</f>
        <v>0</v>
      </c>
      <c r="AN14" s="38">
        <f ca="1">Master_List!$AW$26</f>
        <v>0</v>
      </c>
      <c r="AO14" s="38" t="str">
        <f ca="1">Master_List!$AW$27</f>
        <v>LVDB TX2</v>
      </c>
      <c r="AP14" s="38" t="str">
        <f ca="1">Master_List!$AW$28</f>
        <v>SUNPOWER TECHNOLOGIES</v>
      </c>
      <c r="AQ14" s="38" t="str">
        <f ca="1">Master_List!$AW$29</f>
        <v>SPS 30-10 L</v>
      </c>
      <c r="AR14" s="38" t="str">
        <f ca="1">Master_List!$AW$30</f>
        <v>11193-8527</v>
      </c>
      <c r="AS14" s="38">
        <f ca="1">Master_List!$AW$31</f>
        <v>0</v>
      </c>
      <c r="AT14" s="38">
        <f ca="1">Master_List!$AW$32</f>
        <v>0</v>
      </c>
      <c r="AU14" s="38">
        <f ca="1">Master_List!$AW$33</f>
        <v>0</v>
      </c>
      <c r="AV14" s="38">
        <f ca="1">Master_List!$AW$34</f>
        <v>0</v>
      </c>
      <c r="AW14" s="38">
        <f ca="1">Master_List!$AW$35</f>
        <v>0</v>
      </c>
      <c r="AX14" s="38">
        <f ca="1">Master_List!$AW$36</f>
        <v>0</v>
      </c>
      <c r="AY14" s="38">
        <f ca="1">Master_List!$AW$37</f>
        <v>0</v>
      </c>
      <c r="AZ14" s="38">
        <f ca="1">Master_List!$AW$38</f>
        <v>0</v>
      </c>
      <c r="BA14" s="38">
        <f ca="1">Master_List!$AW$39</f>
        <v>0</v>
      </c>
      <c r="BB14" s="38" t="s">
        <v>2240</v>
      </c>
      <c r="BC14" s="38" t="s">
        <v>2241</v>
      </c>
      <c r="BD14" s="6" t="s">
        <v>1744</v>
      </c>
      <c r="BE14" s="6" t="s">
        <v>1754</v>
      </c>
      <c r="BF14" s="6" t="s">
        <v>1746</v>
      </c>
      <c r="BG14" s="6" t="str">
        <f t="shared" si="1"/>
        <v>C:\Users\aremi\Desktop\REPORT CBM\PO 42289580 - Pahang 11kV SECOND CYCLE AZZAD 2026\RAW MATERIAL\047. TNB BARU (IR+VI)\RAW DATA\IR</v>
      </c>
      <c r="BH14" s="23" t="s">
        <v>554</v>
      </c>
      <c r="BU14" s="3"/>
      <c r="BV14" s="3"/>
    </row>
    <row r="15" spans="1:74" ht="12.75" customHeight="1" x14ac:dyDescent="0.2">
      <c r="A15" s="6">
        <v>7</v>
      </c>
      <c r="B15" s="6" t="s">
        <v>1534</v>
      </c>
      <c r="C15" s="6">
        <v>1</v>
      </c>
      <c r="D15" s="6" t="s">
        <v>2265</v>
      </c>
      <c r="E15" s="6">
        <v>7</v>
      </c>
      <c r="F15" s="6" t="str">
        <f ca="1">Master_List!$AW$1</f>
        <v>PERPUSTAKAAN PUSAT</v>
      </c>
      <c r="G15" s="27" t="str">
        <f ca="1">Master_List!$AW$2</f>
        <v>09:30 PM</v>
      </c>
      <c r="H15" s="32" t="str">
        <f ca="1">Master_List!$AW$3</f>
        <v>20/07/2026</v>
      </c>
      <c r="I15" s="28" t="str">
        <f ca="1">Master_List!$AW$4</f>
        <v>28.5</v>
      </c>
      <c r="J15" s="6" t="str">
        <f ca="1">Master_List!$AW$5</f>
        <v>65</v>
      </c>
      <c r="K15" s="6" t="s">
        <v>576</v>
      </c>
      <c r="L15" s="21" t="str">
        <f ca="1">IFERROR(VLOOKUP(B15, Master_List!$A:$I, 2, FALSE), "-")</f>
        <v>JJB 87616</v>
      </c>
      <c r="M15" s="21" t="str">
        <f ca="1">IFERROR(VLOOKUP(B15, Master_List!$A:$I, 3, FALSE), "-")</f>
        <v>PDT QRTS AGAMA</v>
      </c>
      <c r="N15" s="21" t="str">
        <f ca="1">IFERROR(VLOOKUP(B15, Master_List!$A:$I, 4, FALSE), "-")</f>
        <v>NOT ACCESSIBLE</v>
      </c>
      <c r="O15" s="21" t="str">
        <f ca="1">IFERROR(VLOOKUP(B15, Master_List!$A:$I, 5, FALSE), "-")</f>
        <v>CLOSE</v>
      </c>
      <c r="P15" s="21" t="str">
        <f ca="1">IFERROR(VLOOKUP(B15, Master_List!$A:$I, 6, FALSE), "-")</f>
        <v/>
      </c>
      <c r="Q15" s="21" t="str">
        <f ca="1">IFERROR(VLOOKUP(B15, Master_List!$A:$I, 7, FALSE), "-")</f>
        <v/>
      </c>
      <c r="R15" s="21" t="str">
        <f ca="1">IFERROR(VLOOKUP(B15, Master_List!$A:$I, 8, FALSE), "-")</f>
        <v/>
      </c>
      <c r="S15" s="21" t="str">
        <f ca="1">IFERROR(VLOOKUP(B15, Master_List!$A:$I, 9, FALSE), "-")</f>
        <v>24DU738_1015</v>
      </c>
      <c r="T15" s="38" t="str">
        <f ca="1">Master_List!$AW$6</f>
        <v>TOSHIBA</v>
      </c>
      <c r="U15" s="38" t="str">
        <f ca="1">Master_List!$AW$7</f>
        <v>MRMU</v>
      </c>
      <c r="V15" s="38" t="str">
        <f ca="1">Master_List!$AW$8</f>
        <v>12kV</v>
      </c>
      <c r="W15" s="38" t="str">
        <f ca="1">Master_List!$AW$9</f>
        <v>2S1F</v>
      </c>
      <c r="X15" s="38" t="str">
        <f ca="1">Master_List!$AW$10</f>
        <v>MTM</v>
      </c>
      <c r="Y15" s="38" t="str">
        <f ca="1">Master_List!$AW$11</f>
        <v>HERMETICALLY SEAL</v>
      </c>
      <c r="Z15" s="38" t="str">
        <f ca="1">Master_List!$AW$12</f>
        <v>750kVA</v>
      </c>
      <c r="AA15" s="38" t="str">
        <f ca="1">Master_List!$AW$13</f>
        <v>1317</v>
      </c>
      <c r="AB15" s="38">
        <f ca="1">Master_List!$AW$14</f>
        <v>0</v>
      </c>
      <c r="AC15" s="38">
        <f ca="1">Master_List!$AW$15</f>
        <v>0</v>
      </c>
      <c r="AD15" s="38">
        <f ca="1">Master_List!$AW$16</f>
        <v>0</v>
      </c>
      <c r="AE15" s="38">
        <f ca="1">Master_List!$AW$17</f>
        <v>0</v>
      </c>
      <c r="AF15" s="38" t="str">
        <f ca="1">Master_List!$AW$18</f>
        <v>INDKOM</v>
      </c>
      <c r="AG15" s="38" t="str">
        <f ca="1">Master_List!$AW$19</f>
        <v>J-SLOTTED</v>
      </c>
      <c r="AH15" s="38" t="str">
        <f ca="1">Master_List!$AW$20</f>
        <v>1600A</v>
      </c>
      <c r="AI15" s="38" t="str">
        <f ca="1">Master_List!$AW$21</f>
        <v>LV5080090</v>
      </c>
      <c r="AJ15" s="38" t="str">
        <f ca="1">Master_List!$AW$22</f>
        <v>LVDB TX1</v>
      </c>
      <c r="AK15" s="38">
        <f ca="1">Master_List!$AW$23</f>
        <v>0</v>
      </c>
      <c r="AL15" s="38">
        <f ca="1">Master_List!$AW$24</f>
        <v>0</v>
      </c>
      <c r="AM15" s="38">
        <f ca="1">Master_List!$AW$25</f>
        <v>0</v>
      </c>
      <c r="AN15" s="38">
        <f ca="1">Master_List!$AW$26</f>
        <v>0</v>
      </c>
      <c r="AO15" s="38" t="str">
        <f ca="1">Master_List!$AW$27</f>
        <v>LVDB TX2</v>
      </c>
      <c r="AP15" s="38" t="str">
        <f ca="1">Master_List!$AW$28</f>
        <v>SUNPOWER TECHNOLOGIES</v>
      </c>
      <c r="AQ15" s="38" t="str">
        <f ca="1">Master_List!$AW$29</f>
        <v>SPS 30-10 L</v>
      </c>
      <c r="AR15" s="38" t="str">
        <f ca="1">Master_List!$AW$30</f>
        <v>11193-8527</v>
      </c>
      <c r="AS15" s="38">
        <f ca="1">Master_List!$AW$31</f>
        <v>0</v>
      </c>
      <c r="AT15" s="38">
        <f ca="1">Master_List!$AW$32</f>
        <v>0</v>
      </c>
      <c r="AU15" s="38">
        <f ca="1">Master_List!$AW$33</f>
        <v>0</v>
      </c>
      <c r="AV15" s="38">
        <f ca="1">Master_List!$AW$34</f>
        <v>0</v>
      </c>
      <c r="AW15" s="38">
        <f ca="1">Master_List!$AW$35</f>
        <v>0</v>
      </c>
      <c r="AX15" s="38">
        <f ca="1">Master_List!$AW$36</f>
        <v>0</v>
      </c>
      <c r="AY15" s="38">
        <f ca="1">Master_List!$AW$37</f>
        <v>0</v>
      </c>
      <c r="AZ15" s="38">
        <f ca="1">Master_List!$AW$38</f>
        <v>0</v>
      </c>
      <c r="BA15" s="38">
        <f ca="1">Master_List!$AW$39</f>
        <v>0</v>
      </c>
      <c r="BB15" s="38" t="s">
        <v>2240</v>
      </c>
      <c r="BC15" s="38" t="s">
        <v>2241</v>
      </c>
      <c r="BD15" s="6" t="s">
        <v>1744</v>
      </c>
      <c r="BE15" s="6" t="s">
        <v>1754</v>
      </c>
      <c r="BF15" s="6" t="s">
        <v>1748</v>
      </c>
      <c r="BG15" s="6" t="str">
        <f t="shared" si="1"/>
        <v>C:\Users\aremi\Desktop\REPORT CBM\PO 42289580 - Pahang 11kV SECOND CYCLE AZZAD 2026\RAW MATERIAL\047. TNB BARU (IR+VI)\RAW DATA\IR</v>
      </c>
      <c r="BH15" s="23" t="s">
        <v>555</v>
      </c>
      <c r="BU15" s="3"/>
      <c r="BV15" s="3"/>
    </row>
    <row r="16" spans="1:74" ht="12.75" customHeight="1" x14ac:dyDescent="0.2">
      <c r="A16" s="6">
        <v>8</v>
      </c>
      <c r="B16" s="6" t="s">
        <v>1534</v>
      </c>
      <c r="C16" s="6">
        <v>1</v>
      </c>
      <c r="D16" s="6" t="s">
        <v>2265</v>
      </c>
      <c r="E16" s="6">
        <v>8</v>
      </c>
      <c r="F16" s="6" t="str">
        <f ca="1">Master_List!$AW$1</f>
        <v>PERPUSTAKAAN PUSAT</v>
      </c>
      <c r="G16" s="27" t="str">
        <f ca="1">Master_List!$AW$2</f>
        <v>09:30 PM</v>
      </c>
      <c r="H16" s="32" t="str">
        <f ca="1">Master_List!$AW$3</f>
        <v>20/07/2026</v>
      </c>
      <c r="I16" s="28" t="str">
        <f ca="1">Master_List!$AW$4</f>
        <v>28.5</v>
      </c>
      <c r="J16" s="6" t="str">
        <f ca="1">Master_List!$AW$5</f>
        <v>65</v>
      </c>
      <c r="K16" s="6" t="s">
        <v>585</v>
      </c>
      <c r="L16" s="21" t="str">
        <f ca="1">IFERROR(VLOOKUP(B16, Master_List!$A:$I, 2, FALSE), "-")</f>
        <v>JJB 87616</v>
      </c>
      <c r="M16" s="21" t="str">
        <f ca="1">IFERROR(VLOOKUP(B16, Master_List!$A:$I, 3, FALSE), "-")</f>
        <v>PDT QRTS AGAMA</v>
      </c>
      <c r="N16" s="21" t="str">
        <f ca="1">IFERROR(VLOOKUP(B16, Master_List!$A:$I, 4, FALSE), "-")</f>
        <v>NOT ACCESSIBLE</v>
      </c>
      <c r="O16" s="21" t="str">
        <f ca="1">IFERROR(VLOOKUP(B16, Master_List!$A:$I, 5, FALSE), "-")</f>
        <v>CLOSE</v>
      </c>
      <c r="P16" s="21" t="str">
        <f ca="1">IFERROR(VLOOKUP(B16, Master_List!$A:$I, 6, FALSE), "-")</f>
        <v/>
      </c>
      <c r="Q16" s="21" t="str">
        <f ca="1">IFERROR(VLOOKUP(B16, Master_List!$A:$I, 7, FALSE), "-")</f>
        <v/>
      </c>
      <c r="R16" s="21" t="str">
        <f ca="1">IFERROR(VLOOKUP(B16, Master_List!$A:$I, 8, FALSE), "-")</f>
        <v/>
      </c>
      <c r="S16" s="21" t="str">
        <f ca="1">IFERROR(VLOOKUP(B16, Master_List!$A:$I, 9, FALSE), "-")</f>
        <v>24DU738_1015</v>
      </c>
      <c r="T16" s="38" t="str">
        <f ca="1">Master_List!$AW$6</f>
        <v>TOSHIBA</v>
      </c>
      <c r="U16" s="38" t="str">
        <f ca="1">Master_List!$AW$7</f>
        <v>MRMU</v>
      </c>
      <c r="V16" s="38" t="str">
        <f ca="1">Master_List!$AW$8</f>
        <v>12kV</v>
      </c>
      <c r="W16" s="38" t="str">
        <f ca="1">Master_List!$AW$9</f>
        <v>2S1F</v>
      </c>
      <c r="X16" s="38" t="str">
        <f ca="1">Master_List!$AW$10</f>
        <v>MTM</v>
      </c>
      <c r="Y16" s="38" t="str">
        <f ca="1">Master_List!$AW$11</f>
        <v>HERMETICALLY SEAL</v>
      </c>
      <c r="Z16" s="38" t="str">
        <f ca="1">Master_List!$AW$12</f>
        <v>750kVA</v>
      </c>
      <c r="AA16" s="38" t="str">
        <f ca="1">Master_List!$AW$13</f>
        <v>1317</v>
      </c>
      <c r="AB16" s="38">
        <f ca="1">Master_List!$AW$14</f>
        <v>0</v>
      </c>
      <c r="AC16" s="38">
        <f ca="1">Master_List!$AW$15</f>
        <v>0</v>
      </c>
      <c r="AD16" s="38">
        <f ca="1">Master_List!$AW$16</f>
        <v>0</v>
      </c>
      <c r="AE16" s="38">
        <f ca="1">Master_List!$AW$17</f>
        <v>0</v>
      </c>
      <c r="AF16" s="38" t="str">
        <f ca="1">Master_List!$AW$18</f>
        <v>INDKOM</v>
      </c>
      <c r="AG16" s="38" t="str">
        <f ca="1">Master_List!$AW$19</f>
        <v>J-SLOTTED</v>
      </c>
      <c r="AH16" s="38" t="str">
        <f ca="1">Master_List!$AW$20</f>
        <v>1600A</v>
      </c>
      <c r="AI16" s="38" t="str">
        <f ca="1">Master_List!$AW$21</f>
        <v>LV5080090</v>
      </c>
      <c r="AJ16" s="38" t="str">
        <f ca="1">Master_List!$AW$22</f>
        <v>LVDB TX1</v>
      </c>
      <c r="AK16" s="38">
        <f ca="1">Master_List!$AW$23</f>
        <v>0</v>
      </c>
      <c r="AL16" s="38">
        <f ca="1">Master_List!$AW$24</f>
        <v>0</v>
      </c>
      <c r="AM16" s="38">
        <f ca="1">Master_List!$AW$25</f>
        <v>0</v>
      </c>
      <c r="AN16" s="38">
        <f ca="1">Master_List!$AW$26</f>
        <v>0</v>
      </c>
      <c r="AO16" s="38" t="str">
        <f ca="1">Master_List!$AW$27</f>
        <v>LVDB TX2</v>
      </c>
      <c r="AP16" s="38" t="str">
        <f ca="1">Master_List!$AW$28</f>
        <v>SUNPOWER TECHNOLOGIES</v>
      </c>
      <c r="AQ16" s="38" t="str">
        <f ca="1">Master_List!$AW$29</f>
        <v>SPS 30-10 L</v>
      </c>
      <c r="AR16" s="38" t="str">
        <f ca="1">Master_List!$AW$30</f>
        <v>11193-8527</v>
      </c>
      <c r="AS16" s="38">
        <f ca="1">Master_List!$AW$31</f>
        <v>0</v>
      </c>
      <c r="AT16" s="38">
        <f ca="1">Master_List!$AW$32</f>
        <v>0</v>
      </c>
      <c r="AU16" s="38">
        <f ca="1">Master_List!$AW$33</f>
        <v>0</v>
      </c>
      <c r="AV16" s="38">
        <f ca="1">Master_List!$AW$34</f>
        <v>0</v>
      </c>
      <c r="AW16" s="38">
        <f ca="1">Master_List!$AW$35</f>
        <v>0</v>
      </c>
      <c r="AX16" s="38">
        <f ca="1">Master_List!$AW$36</f>
        <v>0</v>
      </c>
      <c r="AY16" s="38">
        <f ca="1">Master_List!$AW$37</f>
        <v>0</v>
      </c>
      <c r="AZ16" s="38">
        <f ca="1">Master_List!$AW$38</f>
        <v>0</v>
      </c>
      <c r="BA16" s="38">
        <f ca="1">Master_List!$AW$39</f>
        <v>0</v>
      </c>
      <c r="BB16" s="38" t="s">
        <v>2240</v>
      </c>
      <c r="BC16" s="38" t="s">
        <v>2241</v>
      </c>
      <c r="BD16" s="6" t="s">
        <v>1744</v>
      </c>
      <c r="BE16" s="6" t="s">
        <v>1755</v>
      </c>
      <c r="BF16" s="6" t="s">
        <v>1746</v>
      </c>
      <c r="BG16" s="6" t="str">
        <f t="shared" si="1"/>
        <v>C:\Users\aremi\Desktop\REPORT CBM\PO 42289580 - Pahang 11kV SECOND CYCLE AZZAD 2026\RAW MATERIAL\047. TNB BARU (IR+VI)\RAW DATA\IR</v>
      </c>
      <c r="BH16" s="23" t="s">
        <v>557</v>
      </c>
      <c r="BU16" s="3"/>
      <c r="BV16" s="3"/>
    </row>
    <row r="17" spans="1:74" ht="12.75" customHeight="1" x14ac:dyDescent="0.2">
      <c r="A17" s="6">
        <v>8</v>
      </c>
      <c r="B17" s="6" t="s">
        <v>1534</v>
      </c>
      <c r="C17" s="6">
        <v>1</v>
      </c>
      <c r="D17" s="6" t="s">
        <v>2265</v>
      </c>
      <c r="E17" s="6">
        <v>8</v>
      </c>
      <c r="F17" s="6" t="str">
        <f ca="1">Master_List!$AW$1</f>
        <v>PERPUSTAKAAN PUSAT</v>
      </c>
      <c r="G17" s="27" t="str">
        <f ca="1">Master_List!$AW$2</f>
        <v>09:30 PM</v>
      </c>
      <c r="H17" s="32" t="str">
        <f ca="1">Master_List!$AW$3</f>
        <v>20/07/2026</v>
      </c>
      <c r="I17" s="28" t="str">
        <f ca="1">Master_List!$AW$4</f>
        <v>28.5</v>
      </c>
      <c r="J17" s="6" t="str">
        <f ca="1">Master_List!$AW$5</f>
        <v>65</v>
      </c>
      <c r="K17" s="6" t="s">
        <v>585</v>
      </c>
      <c r="L17" s="21" t="str">
        <f ca="1">IFERROR(VLOOKUP(B17, Master_List!$A:$I, 2, FALSE), "-")</f>
        <v>JJB 87616</v>
      </c>
      <c r="M17" s="21" t="str">
        <f ca="1">IFERROR(VLOOKUP(B17, Master_List!$A:$I, 3, FALSE), "-")</f>
        <v>PDT QRTS AGAMA</v>
      </c>
      <c r="N17" s="21" t="str">
        <f ca="1">IFERROR(VLOOKUP(B17, Master_List!$A:$I, 4, FALSE), "-")</f>
        <v>NOT ACCESSIBLE</v>
      </c>
      <c r="O17" s="21" t="str">
        <f ca="1">IFERROR(VLOOKUP(B17, Master_List!$A:$I, 5, FALSE), "-")</f>
        <v>CLOSE</v>
      </c>
      <c r="P17" s="21" t="str">
        <f ca="1">IFERROR(VLOOKUP(B17, Master_List!$A:$I, 6, FALSE), "-")</f>
        <v/>
      </c>
      <c r="Q17" s="21" t="str">
        <f ca="1">IFERROR(VLOOKUP(B17, Master_List!$A:$I, 7, FALSE), "-")</f>
        <v/>
      </c>
      <c r="R17" s="21" t="str">
        <f ca="1">IFERROR(VLOOKUP(B17, Master_List!$A:$I, 8, FALSE), "-")</f>
        <v/>
      </c>
      <c r="S17" s="21" t="str">
        <f ca="1">IFERROR(VLOOKUP(B17, Master_List!$A:$I, 9, FALSE), "-")</f>
        <v>24DU738_1015</v>
      </c>
      <c r="T17" s="38" t="str">
        <f ca="1">Master_List!$AW$6</f>
        <v>TOSHIBA</v>
      </c>
      <c r="U17" s="38" t="str">
        <f ca="1">Master_List!$AW$7</f>
        <v>MRMU</v>
      </c>
      <c r="V17" s="38" t="str">
        <f ca="1">Master_List!$AW$8</f>
        <v>12kV</v>
      </c>
      <c r="W17" s="38" t="str">
        <f ca="1">Master_List!$AW$9</f>
        <v>2S1F</v>
      </c>
      <c r="X17" s="38" t="str">
        <f ca="1">Master_List!$AW$10</f>
        <v>MTM</v>
      </c>
      <c r="Y17" s="38" t="str">
        <f ca="1">Master_List!$AW$11</f>
        <v>HERMETICALLY SEAL</v>
      </c>
      <c r="Z17" s="38" t="str">
        <f ca="1">Master_List!$AW$12</f>
        <v>750kVA</v>
      </c>
      <c r="AA17" s="38" t="str">
        <f ca="1">Master_List!$AW$13</f>
        <v>1317</v>
      </c>
      <c r="AB17" s="38">
        <f ca="1">Master_List!$AW$14</f>
        <v>0</v>
      </c>
      <c r="AC17" s="38">
        <f ca="1">Master_List!$AW$15</f>
        <v>0</v>
      </c>
      <c r="AD17" s="38">
        <f ca="1">Master_List!$AW$16</f>
        <v>0</v>
      </c>
      <c r="AE17" s="38">
        <f ca="1">Master_List!$AW$17</f>
        <v>0</v>
      </c>
      <c r="AF17" s="38" t="str">
        <f ca="1">Master_List!$AW$18</f>
        <v>INDKOM</v>
      </c>
      <c r="AG17" s="38" t="str">
        <f ca="1">Master_List!$AW$19</f>
        <v>J-SLOTTED</v>
      </c>
      <c r="AH17" s="38" t="str">
        <f ca="1">Master_List!$AW$20</f>
        <v>1600A</v>
      </c>
      <c r="AI17" s="38" t="str">
        <f ca="1">Master_List!$AW$21</f>
        <v>LV5080090</v>
      </c>
      <c r="AJ17" s="38" t="str">
        <f ca="1">Master_List!$AW$22</f>
        <v>LVDB TX1</v>
      </c>
      <c r="AK17" s="38">
        <f ca="1">Master_List!$AW$23</f>
        <v>0</v>
      </c>
      <c r="AL17" s="38">
        <f ca="1">Master_List!$AW$24</f>
        <v>0</v>
      </c>
      <c r="AM17" s="38">
        <f ca="1">Master_List!$AW$25</f>
        <v>0</v>
      </c>
      <c r="AN17" s="38">
        <f ca="1">Master_List!$AW$26</f>
        <v>0</v>
      </c>
      <c r="AO17" s="38" t="str">
        <f ca="1">Master_List!$AW$27</f>
        <v>LVDB TX2</v>
      </c>
      <c r="AP17" s="38" t="str">
        <f ca="1">Master_List!$AW$28</f>
        <v>SUNPOWER TECHNOLOGIES</v>
      </c>
      <c r="AQ17" s="38" t="str">
        <f ca="1">Master_List!$AW$29</f>
        <v>SPS 30-10 L</v>
      </c>
      <c r="AR17" s="38" t="str">
        <f ca="1">Master_List!$AW$30</f>
        <v>11193-8527</v>
      </c>
      <c r="AS17" s="38">
        <f ca="1">Master_List!$AW$31</f>
        <v>0</v>
      </c>
      <c r="AT17" s="38">
        <f ca="1">Master_List!$AW$32</f>
        <v>0</v>
      </c>
      <c r="AU17" s="38">
        <f ca="1">Master_List!$AW$33</f>
        <v>0</v>
      </c>
      <c r="AV17" s="38">
        <f ca="1">Master_List!$AW$34</f>
        <v>0</v>
      </c>
      <c r="AW17" s="38">
        <f ca="1">Master_List!$AW$35</f>
        <v>0</v>
      </c>
      <c r="AX17" s="38">
        <f ca="1">Master_List!$AW$36</f>
        <v>0</v>
      </c>
      <c r="AY17" s="38">
        <f ca="1">Master_List!$AW$37</f>
        <v>0</v>
      </c>
      <c r="AZ17" s="38">
        <f ca="1">Master_List!$AW$38</f>
        <v>0</v>
      </c>
      <c r="BA17" s="38">
        <f ca="1">Master_List!$AW$39</f>
        <v>0</v>
      </c>
      <c r="BB17" s="38" t="s">
        <v>2240</v>
      </c>
      <c r="BC17" s="38" t="s">
        <v>2241</v>
      </c>
      <c r="BD17" s="6" t="s">
        <v>1744</v>
      </c>
      <c r="BE17" s="6" t="s">
        <v>1755</v>
      </c>
      <c r="BF17" s="6" t="s">
        <v>1748</v>
      </c>
      <c r="BG17" s="6" t="str">
        <f t="shared" si="1"/>
        <v>C:\Users\aremi\Desktop\REPORT CBM\PO 42289580 - Pahang 11kV SECOND CYCLE AZZAD 2026\RAW MATERIAL\047. TNB BARU (IR+VI)\RAW DATA\IR</v>
      </c>
      <c r="BH17" s="23" t="s">
        <v>558</v>
      </c>
      <c r="BU17" s="3"/>
      <c r="BV17" s="3"/>
    </row>
    <row r="18" spans="1:74" ht="12.75" customHeight="1" x14ac:dyDescent="0.2">
      <c r="A18" s="6">
        <v>9</v>
      </c>
      <c r="B18" s="6" t="s">
        <v>1535</v>
      </c>
      <c r="C18" s="6">
        <v>1</v>
      </c>
      <c r="D18" s="6" t="s">
        <v>2265</v>
      </c>
      <c r="E18" s="6">
        <v>9</v>
      </c>
      <c r="F18" s="6" t="str">
        <f ca="1">Master_List!$AW$1</f>
        <v>PERPUSTAKAAN PUSAT</v>
      </c>
      <c r="G18" s="27" t="str">
        <f ca="1">Master_List!$AW$2</f>
        <v>09:30 PM</v>
      </c>
      <c r="H18" s="32" t="str">
        <f ca="1">Master_List!$AW$3</f>
        <v>20/07/2026</v>
      </c>
      <c r="I18" s="28" t="str">
        <f ca="1">Master_List!$AW$4</f>
        <v>28.5</v>
      </c>
      <c r="J18" s="6" t="str">
        <f ca="1">Master_List!$AW$5</f>
        <v>65</v>
      </c>
      <c r="K18" s="6" t="s">
        <v>576</v>
      </c>
      <c r="L18" s="21" t="str">
        <f ca="1">IFERROR(VLOOKUP(B18, Master_List!$A:$I, 2, FALSE), "-")</f>
        <v>JJB 87617</v>
      </c>
      <c r="M18" s="21" t="str">
        <f ca="1">IFERROR(VLOOKUP(B18, Master_List!$A:$I, 3, FALSE), "-")</f>
        <v>WISMA TNB</v>
      </c>
      <c r="N18" s="21" t="str">
        <f ca="1">IFERROR(VLOOKUP(B18, Master_List!$A:$I, 4, FALSE), "-")</f>
        <v>NOT ACCESSIBLE</v>
      </c>
      <c r="O18" s="21" t="str">
        <f ca="1">IFERROR(VLOOKUP(B18, Master_List!$A:$I, 5, FALSE), "-")</f>
        <v>OPEN</v>
      </c>
      <c r="P18" s="21" t="str">
        <f ca="1">IFERROR(VLOOKUP(B18, Master_List!$A:$I, 6, FALSE), "-")</f>
        <v/>
      </c>
      <c r="Q18" s="21" t="str">
        <f ca="1">IFERROR(VLOOKUP(B18, Master_List!$A:$I, 7, FALSE), "-")</f>
        <v/>
      </c>
      <c r="R18" s="21" t="str">
        <f ca="1">IFERROR(VLOOKUP(B18, Master_List!$A:$I, 8, FALSE), "-")</f>
        <v/>
      </c>
      <c r="S18" s="21" t="str">
        <f ca="1">IFERROR(VLOOKUP(B18, Master_List!$A:$I, 9, FALSE), "-")</f>
        <v>24DU738_1015</v>
      </c>
      <c r="T18" s="38" t="str">
        <f ca="1">Master_List!$AW$6</f>
        <v>TOSHIBA</v>
      </c>
      <c r="U18" s="38" t="str">
        <f ca="1">Master_List!$AW$7</f>
        <v>MRMU</v>
      </c>
      <c r="V18" s="38" t="str">
        <f ca="1">Master_List!$AW$8</f>
        <v>12kV</v>
      </c>
      <c r="W18" s="38" t="str">
        <f ca="1">Master_List!$AW$9</f>
        <v>2S1F</v>
      </c>
      <c r="X18" s="38" t="str">
        <f ca="1">Master_List!$AW$10</f>
        <v>MTM</v>
      </c>
      <c r="Y18" s="38" t="str">
        <f ca="1">Master_List!$AW$11</f>
        <v>HERMETICALLY SEAL</v>
      </c>
      <c r="Z18" s="38" t="str">
        <f ca="1">Master_List!$AW$12</f>
        <v>750kVA</v>
      </c>
      <c r="AA18" s="38" t="str">
        <f ca="1">Master_List!$AW$13</f>
        <v>1317</v>
      </c>
      <c r="AB18" s="38">
        <f ca="1">Master_List!$AW$14</f>
        <v>0</v>
      </c>
      <c r="AC18" s="38">
        <f ca="1">Master_List!$AW$15</f>
        <v>0</v>
      </c>
      <c r="AD18" s="38">
        <f ca="1">Master_List!$AW$16</f>
        <v>0</v>
      </c>
      <c r="AE18" s="38">
        <f ca="1">Master_List!$AW$17</f>
        <v>0</v>
      </c>
      <c r="AF18" s="38" t="str">
        <f ca="1">Master_List!$AW$18</f>
        <v>INDKOM</v>
      </c>
      <c r="AG18" s="38" t="str">
        <f ca="1">Master_List!$AW$19</f>
        <v>J-SLOTTED</v>
      </c>
      <c r="AH18" s="38" t="str">
        <f ca="1">Master_List!$AW$20</f>
        <v>1600A</v>
      </c>
      <c r="AI18" s="38" t="str">
        <f ca="1">Master_List!$AW$21</f>
        <v>LV5080090</v>
      </c>
      <c r="AJ18" s="38" t="str">
        <f ca="1">Master_List!$AW$22</f>
        <v>LVDB TX1</v>
      </c>
      <c r="AK18" s="38">
        <f ca="1">Master_List!$AW$23</f>
        <v>0</v>
      </c>
      <c r="AL18" s="38">
        <f ca="1">Master_List!$AW$24</f>
        <v>0</v>
      </c>
      <c r="AM18" s="38">
        <f ca="1">Master_List!$AW$25</f>
        <v>0</v>
      </c>
      <c r="AN18" s="38">
        <f ca="1">Master_List!$AW$26</f>
        <v>0</v>
      </c>
      <c r="AO18" s="38" t="str">
        <f ca="1">Master_List!$AW$27</f>
        <v>LVDB TX2</v>
      </c>
      <c r="AP18" s="38" t="str">
        <f ca="1">Master_List!$AW$28</f>
        <v>SUNPOWER TECHNOLOGIES</v>
      </c>
      <c r="AQ18" s="38" t="str">
        <f ca="1">Master_List!$AW$29</f>
        <v>SPS 30-10 L</v>
      </c>
      <c r="AR18" s="38" t="str">
        <f ca="1">Master_List!$AW$30</f>
        <v>11193-8527</v>
      </c>
      <c r="AS18" s="38">
        <f ca="1">Master_List!$AW$31</f>
        <v>0</v>
      </c>
      <c r="AT18" s="38">
        <f ca="1">Master_List!$AW$32</f>
        <v>0</v>
      </c>
      <c r="AU18" s="38">
        <f ca="1">Master_List!$AW$33</f>
        <v>0</v>
      </c>
      <c r="AV18" s="38">
        <f ca="1">Master_List!$AW$34</f>
        <v>0</v>
      </c>
      <c r="AW18" s="38">
        <f ca="1">Master_List!$AW$35</f>
        <v>0</v>
      </c>
      <c r="AX18" s="38">
        <f ca="1">Master_List!$AW$36</f>
        <v>0</v>
      </c>
      <c r="AY18" s="38">
        <f ca="1">Master_List!$AW$37</f>
        <v>0</v>
      </c>
      <c r="AZ18" s="38">
        <f ca="1">Master_List!$AW$38</f>
        <v>0</v>
      </c>
      <c r="BA18" s="38">
        <f ca="1">Master_List!$AW$39</f>
        <v>0</v>
      </c>
      <c r="BB18" s="38" t="s">
        <v>2240</v>
      </c>
      <c r="BC18" s="38" t="s">
        <v>2241</v>
      </c>
      <c r="BD18" s="6" t="s">
        <v>1744</v>
      </c>
      <c r="BE18" s="6" t="s">
        <v>1756</v>
      </c>
      <c r="BF18" s="6" t="s">
        <v>1746</v>
      </c>
      <c r="BG18" s="6" t="str">
        <f t="shared" si="1"/>
        <v>C:\Users\aremi\Desktop\REPORT CBM\PO 42289580 - Pahang 11kV SECOND CYCLE AZZAD 2026\RAW MATERIAL\047. TNB BARU (IR+VI)\RAW DATA\IR</v>
      </c>
      <c r="BH18" s="23" t="s">
        <v>559</v>
      </c>
      <c r="BU18" s="3"/>
      <c r="BV18" s="3"/>
    </row>
    <row r="19" spans="1:74" ht="12.75" customHeight="1" x14ac:dyDescent="0.2">
      <c r="A19" s="6">
        <v>9</v>
      </c>
      <c r="B19" s="6" t="s">
        <v>1535</v>
      </c>
      <c r="C19" s="6">
        <v>1</v>
      </c>
      <c r="D19" s="6" t="s">
        <v>2265</v>
      </c>
      <c r="E19" s="6">
        <v>9</v>
      </c>
      <c r="F19" s="6" t="str">
        <f ca="1">Master_List!$AW$1</f>
        <v>PERPUSTAKAAN PUSAT</v>
      </c>
      <c r="G19" s="27" t="str">
        <f ca="1">Master_List!$AW$2</f>
        <v>09:30 PM</v>
      </c>
      <c r="H19" s="32" t="str">
        <f ca="1">Master_List!$AW$3</f>
        <v>20/07/2026</v>
      </c>
      <c r="I19" s="28" t="str">
        <f ca="1">Master_List!$AW$4</f>
        <v>28.5</v>
      </c>
      <c r="J19" s="6" t="str">
        <f ca="1">Master_List!$AW$5</f>
        <v>65</v>
      </c>
      <c r="K19" s="6" t="s">
        <v>576</v>
      </c>
      <c r="L19" s="21" t="str">
        <f ca="1">IFERROR(VLOOKUP(B19, Master_List!$A:$I, 2, FALSE), "-")</f>
        <v>JJB 87617</v>
      </c>
      <c r="M19" s="21" t="str">
        <f ca="1">IFERROR(VLOOKUP(B19, Master_List!$A:$I, 3, FALSE), "-")</f>
        <v>WISMA TNB</v>
      </c>
      <c r="N19" s="21" t="str">
        <f ca="1">IFERROR(VLOOKUP(B19, Master_List!$A:$I, 4, FALSE), "-")</f>
        <v>NOT ACCESSIBLE</v>
      </c>
      <c r="O19" s="21" t="str">
        <f ca="1">IFERROR(VLOOKUP(B19, Master_List!$A:$I, 5, FALSE), "-")</f>
        <v>OPEN</v>
      </c>
      <c r="P19" s="21" t="str">
        <f ca="1">IFERROR(VLOOKUP(B19, Master_List!$A:$I, 6, FALSE), "-")</f>
        <v/>
      </c>
      <c r="Q19" s="21" t="str">
        <f ca="1">IFERROR(VLOOKUP(B19, Master_List!$A:$I, 7, FALSE), "-")</f>
        <v/>
      </c>
      <c r="R19" s="21" t="str">
        <f ca="1">IFERROR(VLOOKUP(B19, Master_List!$A:$I, 8, FALSE), "-")</f>
        <v/>
      </c>
      <c r="S19" s="21" t="str">
        <f ca="1">IFERROR(VLOOKUP(B19, Master_List!$A:$I, 9, FALSE), "-")</f>
        <v>24DU738_1015</v>
      </c>
      <c r="T19" s="38" t="str">
        <f ca="1">Master_List!$AW$6</f>
        <v>TOSHIBA</v>
      </c>
      <c r="U19" s="38" t="str">
        <f ca="1">Master_List!$AW$7</f>
        <v>MRMU</v>
      </c>
      <c r="V19" s="38" t="str">
        <f ca="1">Master_List!$AW$8</f>
        <v>12kV</v>
      </c>
      <c r="W19" s="38" t="str">
        <f ca="1">Master_List!$AW$9</f>
        <v>2S1F</v>
      </c>
      <c r="X19" s="38" t="str">
        <f ca="1">Master_List!$AW$10</f>
        <v>MTM</v>
      </c>
      <c r="Y19" s="38" t="str">
        <f ca="1">Master_List!$AW$11</f>
        <v>HERMETICALLY SEAL</v>
      </c>
      <c r="Z19" s="38" t="str">
        <f ca="1">Master_List!$AW$12</f>
        <v>750kVA</v>
      </c>
      <c r="AA19" s="38" t="str">
        <f ca="1">Master_List!$AW$13</f>
        <v>1317</v>
      </c>
      <c r="AB19" s="38">
        <f ca="1">Master_List!$AW$14</f>
        <v>0</v>
      </c>
      <c r="AC19" s="38">
        <f ca="1">Master_List!$AW$15</f>
        <v>0</v>
      </c>
      <c r="AD19" s="38">
        <f ca="1">Master_List!$AW$16</f>
        <v>0</v>
      </c>
      <c r="AE19" s="38">
        <f ca="1">Master_List!$AW$17</f>
        <v>0</v>
      </c>
      <c r="AF19" s="38" t="str">
        <f ca="1">Master_List!$AW$18</f>
        <v>INDKOM</v>
      </c>
      <c r="AG19" s="38" t="str">
        <f ca="1">Master_List!$AW$19</f>
        <v>J-SLOTTED</v>
      </c>
      <c r="AH19" s="38" t="str">
        <f ca="1">Master_List!$AW$20</f>
        <v>1600A</v>
      </c>
      <c r="AI19" s="38" t="str">
        <f ca="1">Master_List!$AW$21</f>
        <v>LV5080090</v>
      </c>
      <c r="AJ19" s="38" t="str">
        <f ca="1">Master_List!$AW$22</f>
        <v>LVDB TX1</v>
      </c>
      <c r="AK19" s="38">
        <f ca="1">Master_List!$AW$23</f>
        <v>0</v>
      </c>
      <c r="AL19" s="38">
        <f ca="1">Master_List!$AW$24</f>
        <v>0</v>
      </c>
      <c r="AM19" s="38">
        <f ca="1">Master_List!$AW$25</f>
        <v>0</v>
      </c>
      <c r="AN19" s="38">
        <f ca="1">Master_List!$AW$26</f>
        <v>0</v>
      </c>
      <c r="AO19" s="38" t="str">
        <f ca="1">Master_List!$AW$27</f>
        <v>LVDB TX2</v>
      </c>
      <c r="AP19" s="38" t="str">
        <f ca="1">Master_List!$AW$28</f>
        <v>SUNPOWER TECHNOLOGIES</v>
      </c>
      <c r="AQ19" s="38" t="str">
        <f ca="1">Master_List!$AW$29</f>
        <v>SPS 30-10 L</v>
      </c>
      <c r="AR19" s="38" t="str">
        <f ca="1">Master_List!$AW$30</f>
        <v>11193-8527</v>
      </c>
      <c r="AS19" s="38">
        <f ca="1">Master_List!$AW$31</f>
        <v>0</v>
      </c>
      <c r="AT19" s="38">
        <f ca="1">Master_List!$AW$32</f>
        <v>0</v>
      </c>
      <c r="AU19" s="38">
        <f ca="1">Master_List!$AW$33</f>
        <v>0</v>
      </c>
      <c r="AV19" s="38">
        <f ca="1">Master_List!$AW$34</f>
        <v>0</v>
      </c>
      <c r="AW19" s="38">
        <f ca="1">Master_List!$AW$35</f>
        <v>0</v>
      </c>
      <c r="AX19" s="38">
        <f ca="1">Master_List!$AW$36</f>
        <v>0</v>
      </c>
      <c r="AY19" s="38">
        <f ca="1">Master_List!$AW$37</f>
        <v>0</v>
      </c>
      <c r="AZ19" s="38">
        <f ca="1">Master_List!$AW$38</f>
        <v>0</v>
      </c>
      <c r="BA19" s="38">
        <f ca="1">Master_List!$AW$39</f>
        <v>0</v>
      </c>
      <c r="BB19" s="38" t="s">
        <v>2240</v>
      </c>
      <c r="BC19" s="38" t="s">
        <v>2241</v>
      </c>
      <c r="BD19" s="6" t="s">
        <v>1744</v>
      </c>
      <c r="BE19" s="6" t="s">
        <v>1756</v>
      </c>
      <c r="BF19" s="6" t="s">
        <v>1748</v>
      </c>
      <c r="BG19" s="6" t="str">
        <f t="shared" si="1"/>
        <v>C:\Users\aremi\Desktop\REPORT CBM\PO 42289580 - Pahang 11kV SECOND CYCLE AZZAD 2026\RAW MATERIAL\047. TNB BARU (IR+VI)\RAW DATA\IR</v>
      </c>
      <c r="BH19" s="23" t="s">
        <v>560</v>
      </c>
      <c r="BU19" s="3"/>
      <c r="BV19" s="3"/>
    </row>
    <row r="20" spans="1:74" ht="12.75" customHeight="1" x14ac:dyDescent="0.2">
      <c r="A20" s="6">
        <v>10</v>
      </c>
      <c r="B20" s="6" t="s">
        <v>1535</v>
      </c>
      <c r="C20" s="6">
        <v>1</v>
      </c>
      <c r="D20" s="6" t="s">
        <v>2265</v>
      </c>
      <c r="E20" s="6">
        <v>10</v>
      </c>
      <c r="F20" s="6" t="str">
        <f ca="1">Master_List!$AW$1</f>
        <v>PERPUSTAKAAN PUSAT</v>
      </c>
      <c r="G20" s="27" t="str">
        <f ca="1">Master_List!$AW$2</f>
        <v>09:30 PM</v>
      </c>
      <c r="H20" s="32" t="str">
        <f ca="1">Master_List!$AW$3</f>
        <v>20/07/2026</v>
      </c>
      <c r="I20" s="28" t="str">
        <f ca="1">Master_List!$AW$4</f>
        <v>28.5</v>
      </c>
      <c r="J20" s="6" t="str">
        <f ca="1">Master_List!$AW$5</f>
        <v>65</v>
      </c>
      <c r="K20" s="6" t="s">
        <v>585</v>
      </c>
      <c r="L20" s="21" t="str">
        <f ca="1">IFERROR(VLOOKUP(B20, Master_List!$A:$I, 2, FALSE), "-")</f>
        <v>JJB 87617</v>
      </c>
      <c r="M20" s="21" t="str">
        <f ca="1">IFERROR(VLOOKUP(B20, Master_List!$A:$I, 3, FALSE), "-")</f>
        <v>WISMA TNB</v>
      </c>
      <c r="N20" s="21" t="str">
        <f ca="1">IFERROR(VLOOKUP(B20, Master_List!$A:$I, 4, FALSE), "-")</f>
        <v>NOT ACCESSIBLE</v>
      </c>
      <c r="O20" s="21" t="str">
        <f ca="1">IFERROR(VLOOKUP(B20, Master_List!$A:$I, 5, FALSE), "-")</f>
        <v>OPEN</v>
      </c>
      <c r="P20" s="21" t="str">
        <f ca="1">IFERROR(VLOOKUP(B20, Master_List!$A:$I, 6, FALSE), "-")</f>
        <v/>
      </c>
      <c r="Q20" s="21" t="str">
        <f ca="1">IFERROR(VLOOKUP(B20, Master_List!$A:$I, 7, FALSE), "-")</f>
        <v/>
      </c>
      <c r="R20" s="21" t="str">
        <f ca="1">IFERROR(VLOOKUP(B20, Master_List!$A:$I, 8, FALSE), "-")</f>
        <v/>
      </c>
      <c r="S20" s="21" t="str">
        <f ca="1">IFERROR(VLOOKUP(B20, Master_List!$A:$I, 9, FALSE), "-")</f>
        <v>24DU738_1015</v>
      </c>
      <c r="T20" s="38" t="str">
        <f ca="1">Master_List!$AW$6</f>
        <v>TOSHIBA</v>
      </c>
      <c r="U20" s="38" t="str">
        <f ca="1">Master_List!$AW$7</f>
        <v>MRMU</v>
      </c>
      <c r="V20" s="38" t="str">
        <f ca="1">Master_List!$AW$8</f>
        <v>12kV</v>
      </c>
      <c r="W20" s="38" t="str">
        <f ca="1">Master_List!$AW$9</f>
        <v>2S1F</v>
      </c>
      <c r="X20" s="38" t="str">
        <f ca="1">Master_List!$AW$10</f>
        <v>MTM</v>
      </c>
      <c r="Y20" s="38" t="str">
        <f ca="1">Master_List!$AW$11</f>
        <v>HERMETICALLY SEAL</v>
      </c>
      <c r="Z20" s="38" t="str">
        <f ca="1">Master_List!$AW$12</f>
        <v>750kVA</v>
      </c>
      <c r="AA20" s="38" t="str">
        <f ca="1">Master_List!$AW$13</f>
        <v>1317</v>
      </c>
      <c r="AB20" s="38">
        <f ca="1">Master_List!$AW$14</f>
        <v>0</v>
      </c>
      <c r="AC20" s="38">
        <f ca="1">Master_List!$AW$15</f>
        <v>0</v>
      </c>
      <c r="AD20" s="38">
        <f ca="1">Master_List!$AW$16</f>
        <v>0</v>
      </c>
      <c r="AE20" s="38">
        <f ca="1">Master_List!$AW$17</f>
        <v>0</v>
      </c>
      <c r="AF20" s="38" t="str">
        <f ca="1">Master_List!$AW$18</f>
        <v>INDKOM</v>
      </c>
      <c r="AG20" s="38" t="str">
        <f ca="1">Master_List!$AW$19</f>
        <v>J-SLOTTED</v>
      </c>
      <c r="AH20" s="38" t="str">
        <f ca="1">Master_List!$AW$20</f>
        <v>1600A</v>
      </c>
      <c r="AI20" s="38" t="str">
        <f ca="1">Master_List!$AW$21</f>
        <v>LV5080090</v>
      </c>
      <c r="AJ20" s="38" t="str">
        <f ca="1">Master_List!$AW$22</f>
        <v>LVDB TX1</v>
      </c>
      <c r="AK20" s="38">
        <f ca="1">Master_List!$AW$23</f>
        <v>0</v>
      </c>
      <c r="AL20" s="38">
        <f ca="1">Master_List!$AW$24</f>
        <v>0</v>
      </c>
      <c r="AM20" s="38">
        <f ca="1">Master_List!$AW$25</f>
        <v>0</v>
      </c>
      <c r="AN20" s="38">
        <f ca="1">Master_List!$AW$26</f>
        <v>0</v>
      </c>
      <c r="AO20" s="38" t="str">
        <f ca="1">Master_List!$AW$27</f>
        <v>LVDB TX2</v>
      </c>
      <c r="AP20" s="38" t="str">
        <f ca="1">Master_List!$AW$28</f>
        <v>SUNPOWER TECHNOLOGIES</v>
      </c>
      <c r="AQ20" s="38" t="str">
        <f ca="1">Master_List!$AW$29</f>
        <v>SPS 30-10 L</v>
      </c>
      <c r="AR20" s="38" t="str">
        <f ca="1">Master_List!$AW$30</f>
        <v>11193-8527</v>
      </c>
      <c r="AS20" s="38">
        <f ca="1">Master_List!$AW$31</f>
        <v>0</v>
      </c>
      <c r="AT20" s="38">
        <f ca="1">Master_List!$AW$32</f>
        <v>0</v>
      </c>
      <c r="AU20" s="38">
        <f ca="1">Master_List!$AW$33</f>
        <v>0</v>
      </c>
      <c r="AV20" s="38">
        <f ca="1">Master_List!$AW$34</f>
        <v>0</v>
      </c>
      <c r="AW20" s="38">
        <f ca="1">Master_List!$AW$35</f>
        <v>0</v>
      </c>
      <c r="AX20" s="38">
        <f ca="1">Master_List!$AW$36</f>
        <v>0</v>
      </c>
      <c r="AY20" s="38">
        <f ca="1">Master_List!$AW$37</f>
        <v>0</v>
      </c>
      <c r="AZ20" s="38">
        <f ca="1">Master_List!$AW$38</f>
        <v>0</v>
      </c>
      <c r="BA20" s="38">
        <f ca="1">Master_List!$AW$39</f>
        <v>0</v>
      </c>
      <c r="BB20" s="38" t="s">
        <v>2240</v>
      </c>
      <c r="BC20" s="38" t="s">
        <v>2241</v>
      </c>
      <c r="BD20" s="6" t="s">
        <v>1744</v>
      </c>
      <c r="BE20" s="6" t="s">
        <v>1757</v>
      </c>
      <c r="BF20" s="6" t="s">
        <v>1746</v>
      </c>
      <c r="BG20" s="6" t="str">
        <f t="shared" si="1"/>
        <v>C:\Users\aremi\Desktop\REPORT CBM\PO 42289580 - Pahang 11kV SECOND CYCLE AZZAD 2026\RAW MATERIAL\047. TNB BARU (IR+VI)\RAW DATA\IR</v>
      </c>
      <c r="BH20" s="23" t="s">
        <v>561</v>
      </c>
      <c r="BU20" s="3"/>
      <c r="BV20" s="3"/>
    </row>
    <row r="21" spans="1:74" ht="12.75" customHeight="1" x14ac:dyDescent="0.2">
      <c r="A21" s="6">
        <v>10</v>
      </c>
      <c r="B21" s="6" t="s">
        <v>1535</v>
      </c>
      <c r="C21" s="6">
        <v>1</v>
      </c>
      <c r="D21" s="6" t="s">
        <v>2265</v>
      </c>
      <c r="E21" s="6">
        <v>10</v>
      </c>
      <c r="F21" s="6" t="str">
        <f ca="1">Master_List!$AW$1</f>
        <v>PERPUSTAKAAN PUSAT</v>
      </c>
      <c r="G21" s="27" t="str">
        <f ca="1">Master_List!$AW$2</f>
        <v>09:30 PM</v>
      </c>
      <c r="H21" s="32" t="str">
        <f ca="1">Master_List!$AW$3</f>
        <v>20/07/2026</v>
      </c>
      <c r="I21" s="28" t="str">
        <f ca="1">Master_List!$AW$4</f>
        <v>28.5</v>
      </c>
      <c r="J21" s="6" t="str">
        <f ca="1">Master_List!$AW$5</f>
        <v>65</v>
      </c>
      <c r="K21" s="6" t="s">
        <v>585</v>
      </c>
      <c r="L21" s="21" t="str">
        <f ca="1">IFERROR(VLOOKUP(B21, Master_List!$A:$I, 2, FALSE), "-")</f>
        <v>JJB 87617</v>
      </c>
      <c r="M21" s="21" t="str">
        <f ca="1">IFERROR(VLOOKUP(B21, Master_List!$A:$I, 3, FALSE), "-")</f>
        <v>WISMA TNB</v>
      </c>
      <c r="N21" s="21" t="str">
        <f ca="1">IFERROR(VLOOKUP(B21, Master_List!$A:$I, 4, FALSE), "-")</f>
        <v>NOT ACCESSIBLE</v>
      </c>
      <c r="O21" s="21" t="str">
        <f ca="1">IFERROR(VLOOKUP(B21, Master_List!$A:$I, 5, FALSE), "-")</f>
        <v>OPEN</v>
      </c>
      <c r="P21" s="21" t="str">
        <f ca="1">IFERROR(VLOOKUP(B21, Master_List!$A:$I, 6, FALSE), "-")</f>
        <v/>
      </c>
      <c r="Q21" s="21" t="str">
        <f ca="1">IFERROR(VLOOKUP(B21, Master_List!$A:$I, 7, FALSE), "-")</f>
        <v/>
      </c>
      <c r="R21" s="21" t="str">
        <f ca="1">IFERROR(VLOOKUP(B21, Master_List!$A:$I, 8, FALSE), "-")</f>
        <v/>
      </c>
      <c r="S21" s="21" t="str">
        <f ca="1">IFERROR(VLOOKUP(B21, Master_List!$A:$I, 9, FALSE), "-")</f>
        <v>24DU738_1015</v>
      </c>
      <c r="T21" s="38" t="str">
        <f ca="1">Master_List!$AW$6</f>
        <v>TOSHIBA</v>
      </c>
      <c r="U21" s="38" t="str">
        <f ca="1">Master_List!$AW$7</f>
        <v>MRMU</v>
      </c>
      <c r="V21" s="38" t="str">
        <f ca="1">Master_List!$AW$8</f>
        <v>12kV</v>
      </c>
      <c r="W21" s="38" t="str">
        <f ca="1">Master_List!$AW$9</f>
        <v>2S1F</v>
      </c>
      <c r="X21" s="38" t="str">
        <f ca="1">Master_List!$AW$10</f>
        <v>MTM</v>
      </c>
      <c r="Y21" s="38" t="str">
        <f ca="1">Master_List!$AW$11</f>
        <v>HERMETICALLY SEAL</v>
      </c>
      <c r="Z21" s="38" t="str">
        <f ca="1">Master_List!$AW$12</f>
        <v>750kVA</v>
      </c>
      <c r="AA21" s="38" t="str">
        <f ca="1">Master_List!$AW$13</f>
        <v>1317</v>
      </c>
      <c r="AB21" s="38">
        <f ca="1">Master_List!$AW$14</f>
        <v>0</v>
      </c>
      <c r="AC21" s="38">
        <f ca="1">Master_List!$AW$15</f>
        <v>0</v>
      </c>
      <c r="AD21" s="38">
        <f ca="1">Master_List!$AW$16</f>
        <v>0</v>
      </c>
      <c r="AE21" s="38">
        <f ca="1">Master_List!$AW$17</f>
        <v>0</v>
      </c>
      <c r="AF21" s="38" t="str">
        <f ca="1">Master_List!$AW$18</f>
        <v>INDKOM</v>
      </c>
      <c r="AG21" s="38" t="str">
        <f ca="1">Master_List!$AW$19</f>
        <v>J-SLOTTED</v>
      </c>
      <c r="AH21" s="38" t="str">
        <f ca="1">Master_List!$AW$20</f>
        <v>1600A</v>
      </c>
      <c r="AI21" s="38" t="str">
        <f ca="1">Master_List!$AW$21</f>
        <v>LV5080090</v>
      </c>
      <c r="AJ21" s="38" t="str">
        <f ca="1">Master_List!$AW$22</f>
        <v>LVDB TX1</v>
      </c>
      <c r="AK21" s="38">
        <f ca="1">Master_List!$AW$23</f>
        <v>0</v>
      </c>
      <c r="AL21" s="38">
        <f ca="1">Master_List!$AW$24</f>
        <v>0</v>
      </c>
      <c r="AM21" s="38">
        <f ca="1">Master_List!$AW$25</f>
        <v>0</v>
      </c>
      <c r="AN21" s="38">
        <f ca="1">Master_List!$AW$26</f>
        <v>0</v>
      </c>
      <c r="AO21" s="38" t="str">
        <f ca="1">Master_List!$AW$27</f>
        <v>LVDB TX2</v>
      </c>
      <c r="AP21" s="38" t="str">
        <f ca="1">Master_List!$AW$28</f>
        <v>SUNPOWER TECHNOLOGIES</v>
      </c>
      <c r="AQ21" s="38" t="str">
        <f ca="1">Master_List!$AW$29</f>
        <v>SPS 30-10 L</v>
      </c>
      <c r="AR21" s="38" t="str">
        <f ca="1">Master_List!$AW$30</f>
        <v>11193-8527</v>
      </c>
      <c r="AS21" s="38">
        <f ca="1">Master_List!$AW$31</f>
        <v>0</v>
      </c>
      <c r="AT21" s="38">
        <f ca="1">Master_List!$AW$32</f>
        <v>0</v>
      </c>
      <c r="AU21" s="38">
        <f ca="1">Master_List!$AW$33</f>
        <v>0</v>
      </c>
      <c r="AV21" s="38">
        <f ca="1">Master_List!$AW$34</f>
        <v>0</v>
      </c>
      <c r="AW21" s="38">
        <f ca="1">Master_List!$AW$35</f>
        <v>0</v>
      </c>
      <c r="AX21" s="38">
        <f ca="1">Master_List!$AW$36</f>
        <v>0</v>
      </c>
      <c r="AY21" s="38">
        <f ca="1">Master_List!$AW$37</f>
        <v>0</v>
      </c>
      <c r="AZ21" s="38">
        <f ca="1">Master_List!$AW$38</f>
        <v>0</v>
      </c>
      <c r="BA21" s="38">
        <f ca="1">Master_List!$AW$39</f>
        <v>0</v>
      </c>
      <c r="BB21" s="38" t="s">
        <v>2240</v>
      </c>
      <c r="BC21" s="38" t="s">
        <v>2241</v>
      </c>
      <c r="BD21" s="6" t="s">
        <v>1744</v>
      </c>
      <c r="BE21" s="6" t="s">
        <v>1757</v>
      </c>
      <c r="BF21" s="6" t="s">
        <v>1748</v>
      </c>
      <c r="BG21" s="6" t="str">
        <f t="shared" si="1"/>
        <v>C:\Users\aremi\Desktop\REPORT CBM\PO 42289580 - Pahang 11kV SECOND CYCLE AZZAD 2026\RAW MATERIAL\047. TNB BARU (IR+VI)\RAW DATA\IR</v>
      </c>
      <c r="BH21" s="23" t="s">
        <v>562</v>
      </c>
      <c r="BU21" s="3"/>
      <c r="BV21" s="3"/>
    </row>
    <row r="22" spans="1:74" ht="12.75" customHeight="1" x14ac:dyDescent="0.2">
      <c r="A22" s="6">
        <v>11</v>
      </c>
      <c r="B22" s="6" t="s">
        <v>1536</v>
      </c>
      <c r="C22" s="6">
        <v>1</v>
      </c>
      <c r="D22" s="6" t="s">
        <v>2265</v>
      </c>
      <c r="E22" s="6">
        <v>11</v>
      </c>
      <c r="F22" s="6" t="str">
        <f ca="1">Master_List!$AW$1</f>
        <v>PERPUSTAKAAN PUSAT</v>
      </c>
      <c r="G22" s="27" t="str">
        <f ca="1">Master_List!$AW$2</f>
        <v>09:30 PM</v>
      </c>
      <c r="H22" s="32" t="str">
        <f ca="1">Master_List!$AW$3</f>
        <v>20/07/2026</v>
      </c>
      <c r="I22" s="28" t="str">
        <f ca="1">Master_List!$AW$4</f>
        <v>28.5</v>
      </c>
      <c r="J22" s="6" t="str">
        <f ca="1">Master_List!$AW$5</f>
        <v>65</v>
      </c>
      <c r="K22" s="6" t="s">
        <v>576</v>
      </c>
      <c r="L22" s="21" t="str">
        <f ca="1">IFERROR(VLOOKUP(B22, Master_List!$A:$I, 2, FALSE), "-")</f>
        <v>JJB 87615</v>
      </c>
      <c r="M22" s="21" t="str">
        <f ca="1">IFERROR(VLOOKUP(B22, Master_List!$A:$I, 3, FALSE), "-")</f>
        <v>TX 750KVA</v>
      </c>
      <c r="N22" s="21" t="str">
        <f ca="1">IFERROR(VLOOKUP(B22, Master_List!$A:$I, 4, FALSE), "-")</f>
        <v>NOT ACCESSIBLE</v>
      </c>
      <c r="O22" s="21" t="str">
        <f ca="1">IFERROR(VLOOKUP(B22, Master_List!$A:$I, 5, FALSE), "-")</f>
        <v>CLOSE</v>
      </c>
      <c r="P22" s="21" t="str">
        <f ca="1">IFERROR(VLOOKUP(B22, Master_List!$A:$I, 6, FALSE), "-")</f>
        <v/>
      </c>
      <c r="Q22" s="21" t="str">
        <f ca="1">IFERROR(VLOOKUP(B22, Master_List!$A:$I, 7, FALSE), "-")</f>
        <v/>
      </c>
      <c r="R22" s="21" t="str">
        <f ca="1">IFERROR(VLOOKUP(B22, Master_List!$A:$I, 8, FALSE), "-")</f>
        <v/>
      </c>
      <c r="S22" s="21" t="str">
        <f ca="1">IFERROR(VLOOKUP(B22, Master_List!$A:$I, 9, FALSE), "-")</f>
        <v>24DU738_1015</v>
      </c>
      <c r="T22" s="38" t="str">
        <f ca="1">Master_List!$AW$6</f>
        <v>TOSHIBA</v>
      </c>
      <c r="U22" s="38" t="str">
        <f ca="1">Master_List!$AW$7</f>
        <v>MRMU</v>
      </c>
      <c r="V22" s="38" t="str">
        <f ca="1">Master_List!$AW$8</f>
        <v>12kV</v>
      </c>
      <c r="W22" s="38" t="str">
        <f ca="1">Master_List!$AW$9</f>
        <v>2S1F</v>
      </c>
      <c r="X22" s="38" t="str">
        <f ca="1">Master_List!$AW$10</f>
        <v>MTM</v>
      </c>
      <c r="Y22" s="38" t="str">
        <f ca="1">Master_List!$AW$11</f>
        <v>HERMETICALLY SEAL</v>
      </c>
      <c r="Z22" s="38" t="str">
        <f ca="1">Master_List!$AW$12</f>
        <v>750kVA</v>
      </c>
      <c r="AA22" s="38" t="str">
        <f ca="1">Master_List!$AW$13</f>
        <v>1317</v>
      </c>
      <c r="AB22" s="38">
        <f ca="1">Master_List!$AW$14</f>
        <v>0</v>
      </c>
      <c r="AC22" s="38">
        <f ca="1">Master_List!$AW$15</f>
        <v>0</v>
      </c>
      <c r="AD22" s="38">
        <f ca="1">Master_List!$AW$16</f>
        <v>0</v>
      </c>
      <c r="AE22" s="38">
        <f ca="1">Master_List!$AW$17</f>
        <v>0</v>
      </c>
      <c r="AF22" s="38" t="str">
        <f ca="1">Master_List!$AW$18</f>
        <v>INDKOM</v>
      </c>
      <c r="AG22" s="38" t="str">
        <f ca="1">Master_List!$AW$19</f>
        <v>J-SLOTTED</v>
      </c>
      <c r="AH22" s="38" t="str">
        <f ca="1">Master_List!$AW$20</f>
        <v>1600A</v>
      </c>
      <c r="AI22" s="38" t="str">
        <f ca="1">Master_List!$AW$21</f>
        <v>LV5080090</v>
      </c>
      <c r="AJ22" s="38" t="str">
        <f ca="1">Master_List!$AW$22</f>
        <v>LVDB TX1</v>
      </c>
      <c r="AK22" s="38">
        <f ca="1">Master_List!$AW$23</f>
        <v>0</v>
      </c>
      <c r="AL22" s="38">
        <f ca="1">Master_List!$AW$24</f>
        <v>0</v>
      </c>
      <c r="AM22" s="38">
        <f ca="1">Master_List!$AW$25</f>
        <v>0</v>
      </c>
      <c r="AN22" s="38">
        <f ca="1">Master_List!$AW$26</f>
        <v>0</v>
      </c>
      <c r="AO22" s="38" t="str">
        <f ca="1">Master_List!$AW$27</f>
        <v>LVDB TX2</v>
      </c>
      <c r="AP22" s="38" t="str">
        <f ca="1">Master_List!$AW$28</f>
        <v>SUNPOWER TECHNOLOGIES</v>
      </c>
      <c r="AQ22" s="38" t="str">
        <f ca="1">Master_List!$AW$29</f>
        <v>SPS 30-10 L</v>
      </c>
      <c r="AR22" s="38" t="str">
        <f ca="1">Master_List!$AW$30</f>
        <v>11193-8527</v>
      </c>
      <c r="AS22" s="38">
        <f ca="1">Master_List!$AW$31</f>
        <v>0</v>
      </c>
      <c r="AT22" s="38">
        <f ca="1">Master_List!$AW$32</f>
        <v>0</v>
      </c>
      <c r="AU22" s="38">
        <f ca="1">Master_List!$AW$33</f>
        <v>0</v>
      </c>
      <c r="AV22" s="38">
        <f ca="1">Master_List!$AW$34</f>
        <v>0</v>
      </c>
      <c r="AW22" s="38">
        <f ca="1">Master_List!$AW$35</f>
        <v>0</v>
      </c>
      <c r="AX22" s="38">
        <f ca="1">Master_List!$AW$36</f>
        <v>0</v>
      </c>
      <c r="AY22" s="38">
        <f ca="1">Master_List!$AW$37</f>
        <v>0</v>
      </c>
      <c r="AZ22" s="38">
        <f ca="1">Master_List!$AW$38</f>
        <v>0</v>
      </c>
      <c r="BA22" s="38">
        <f ca="1">Master_List!$AW$39</f>
        <v>0</v>
      </c>
      <c r="BB22" s="38" t="s">
        <v>2240</v>
      </c>
      <c r="BC22" s="38" t="s">
        <v>2241</v>
      </c>
      <c r="BD22" s="6" t="s">
        <v>1744</v>
      </c>
      <c r="BE22" s="6" t="s">
        <v>1758</v>
      </c>
      <c r="BF22" s="6" t="s">
        <v>1746</v>
      </c>
      <c r="BG22" s="6" t="str">
        <f t="shared" si="1"/>
        <v>C:\Users\aremi\Desktop\REPORT CBM\PO 42289580 - Pahang 11kV SECOND CYCLE AZZAD 2026\RAW MATERIAL\047. TNB BARU (IR+VI)\RAW DATA\IR</v>
      </c>
      <c r="BH22" s="23" t="s">
        <v>564</v>
      </c>
      <c r="BU22" s="3"/>
      <c r="BV22" s="3"/>
    </row>
    <row r="23" spans="1:74" ht="12.75" customHeight="1" x14ac:dyDescent="0.2">
      <c r="A23" s="6">
        <v>11</v>
      </c>
      <c r="B23" s="6" t="s">
        <v>1536</v>
      </c>
      <c r="C23" s="6">
        <v>1</v>
      </c>
      <c r="D23" s="6" t="s">
        <v>2265</v>
      </c>
      <c r="E23" s="6">
        <v>11</v>
      </c>
      <c r="F23" s="6" t="str">
        <f ca="1">Master_List!$AW$1</f>
        <v>PERPUSTAKAAN PUSAT</v>
      </c>
      <c r="G23" s="27" t="str">
        <f ca="1">Master_List!$AW$2</f>
        <v>09:30 PM</v>
      </c>
      <c r="H23" s="32" t="str">
        <f ca="1">Master_List!$AW$3</f>
        <v>20/07/2026</v>
      </c>
      <c r="I23" s="28" t="str">
        <f ca="1">Master_List!$AW$4</f>
        <v>28.5</v>
      </c>
      <c r="J23" s="6" t="str">
        <f ca="1">Master_List!$AW$5</f>
        <v>65</v>
      </c>
      <c r="K23" s="6" t="s">
        <v>576</v>
      </c>
      <c r="L23" s="21" t="str">
        <f ca="1">IFERROR(VLOOKUP(B23, Master_List!$A:$I, 2, FALSE), "-")</f>
        <v>JJB 87615</v>
      </c>
      <c r="M23" s="21" t="str">
        <f ca="1">IFERROR(VLOOKUP(B23, Master_List!$A:$I, 3, FALSE), "-")</f>
        <v>TX 750KVA</v>
      </c>
      <c r="N23" s="21" t="str">
        <f ca="1">IFERROR(VLOOKUP(B23, Master_List!$A:$I, 4, FALSE), "-")</f>
        <v>NOT ACCESSIBLE</v>
      </c>
      <c r="O23" s="21" t="str">
        <f ca="1">IFERROR(VLOOKUP(B23, Master_List!$A:$I, 5, FALSE), "-")</f>
        <v>CLOSE</v>
      </c>
      <c r="P23" s="21" t="str">
        <f ca="1">IFERROR(VLOOKUP(B23, Master_List!$A:$I, 6, FALSE), "-")</f>
        <v/>
      </c>
      <c r="Q23" s="21" t="str">
        <f ca="1">IFERROR(VLOOKUP(B23, Master_List!$A:$I, 7, FALSE), "-")</f>
        <v/>
      </c>
      <c r="R23" s="21" t="str">
        <f ca="1">IFERROR(VLOOKUP(B23, Master_List!$A:$I, 8, FALSE), "-")</f>
        <v/>
      </c>
      <c r="S23" s="21" t="str">
        <f ca="1">IFERROR(VLOOKUP(B23, Master_List!$A:$I, 9, FALSE), "-")</f>
        <v>24DU738_1015</v>
      </c>
      <c r="T23" s="38" t="str">
        <f ca="1">Master_List!$AW$6</f>
        <v>TOSHIBA</v>
      </c>
      <c r="U23" s="38" t="str">
        <f ca="1">Master_List!$AW$7</f>
        <v>MRMU</v>
      </c>
      <c r="V23" s="38" t="str">
        <f ca="1">Master_List!$AW$8</f>
        <v>12kV</v>
      </c>
      <c r="W23" s="38" t="str">
        <f ca="1">Master_List!$AW$9</f>
        <v>2S1F</v>
      </c>
      <c r="X23" s="38" t="str">
        <f ca="1">Master_List!$AW$10</f>
        <v>MTM</v>
      </c>
      <c r="Y23" s="38" t="str">
        <f ca="1">Master_List!$AW$11</f>
        <v>HERMETICALLY SEAL</v>
      </c>
      <c r="Z23" s="38" t="str">
        <f ca="1">Master_List!$AW$12</f>
        <v>750kVA</v>
      </c>
      <c r="AA23" s="38" t="str">
        <f ca="1">Master_List!$AW$13</f>
        <v>1317</v>
      </c>
      <c r="AB23" s="38">
        <f ca="1">Master_List!$AW$14</f>
        <v>0</v>
      </c>
      <c r="AC23" s="38">
        <f ca="1">Master_List!$AW$15</f>
        <v>0</v>
      </c>
      <c r="AD23" s="38">
        <f ca="1">Master_List!$AW$16</f>
        <v>0</v>
      </c>
      <c r="AE23" s="38">
        <f ca="1">Master_List!$AW$17</f>
        <v>0</v>
      </c>
      <c r="AF23" s="38" t="str">
        <f ca="1">Master_List!$AW$18</f>
        <v>INDKOM</v>
      </c>
      <c r="AG23" s="38" t="str">
        <f ca="1">Master_List!$AW$19</f>
        <v>J-SLOTTED</v>
      </c>
      <c r="AH23" s="38" t="str">
        <f ca="1">Master_List!$AW$20</f>
        <v>1600A</v>
      </c>
      <c r="AI23" s="38" t="str">
        <f ca="1">Master_List!$AW$21</f>
        <v>LV5080090</v>
      </c>
      <c r="AJ23" s="38" t="str">
        <f ca="1">Master_List!$AW$22</f>
        <v>LVDB TX1</v>
      </c>
      <c r="AK23" s="38">
        <f ca="1">Master_List!$AW$23</f>
        <v>0</v>
      </c>
      <c r="AL23" s="38">
        <f ca="1">Master_List!$AW$24</f>
        <v>0</v>
      </c>
      <c r="AM23" s="38">
        <f ca="1">Master_List!$AW$25</f>
        <v>0</v>
      </c>
      <c r="AN23" s="38">
        <f ca="1">Master_List!$AW$26</f>
        <v>0</v>
      </c>
      <c r="AO23" s="38" t="str">
        <f ca="1">Master_List!$AW$27</f>
        <v>LVDB TX2</v>
      </c>
      <c r="AP23" s="38" t="str">
        <f ca="1">Master_List!$AW$28</f>
        <v>SUNPOWER TECHNOLOGIES</v>
      </c>
      <c r="AQ23" s="38" t="str">
        <f ca="1">Master_List!$AW$29</f>
        <v>SPS 30-10 L</v>
      </c>
      <c r="AR23" s="38" t="str">
        <f ca="1">Master_List!$AW$30</f>
        <v>11193-8527</v>
      </c>
      <c r="AS23" s="38">
        <f ca="1">Master_List!$AW$31</f>
        <v>0</v>
      </c>
      <c r="AT23" s="38">
        <f ca="1">Master_List!$AW$32</f>
        <v>0</v>
      </c>
      <c r="AU23" s="38">
        <f ca="1">Master_List!$AW$33</f>
        <v>0</v>
      </c>
      <c r="AV23" s="38">
        <f ca="1">Master_List!$AW$34</f>
        <v>0</v>
      </c>
      <c r="AW23" s="38">
        <f ca="1">Master_List!$AW$35</f>
        <v>0</v>
      </c>
      <c r="AX23" s="38">
        <f ca="1">Master_List!$AW$36</f>
        <v>0</v>
      </c>
      <c r="AY23" s="38">
        <f ca="1">Master_List!$AW$37</f>
        <v>0</v>
      </c>
      <c r="AZ23" s="38">
        <f ca="1">Master_List!$AW$38</f>
        <v>0</v>
      </c>
      <c r="BA23" s="38">
        <f ca="1">Master_List!$AW$39</f>
        <v>0</v>
      </c>
      <c r="BB23" s="38" t="s">
        <v>2240</v>
      </c>
      <c r="BC23" s="38" t="s">
        <v>2241</v>
      </c>
      <c r="BD23" s="6" t="s">
        <v>1744</v>
      </c>
      <c r="BE23" s="6" t="s">
        <v>1758</v>
      </c>
      <c r="BF23" s="6" t="s">
        <v>1748</v>
      </c>
      <c r="BG23" s="6" t="str">
        <f t="shared" si="1"/>
        <v>C:\Users\aremi\Desktop\REPORT CBM\PO 42289580 - Pahang 11kV SECOND CYCLE AZZAD 2026\RAW MATERIAL\047. TNB BARU (IR+VI)\RAW DATA\IR</v>
      </c>
      <c r="BH23" s="23" t="s">
        <v>565</v>
      </c>
      <c r="BU23" s="3"/>
      <c r="BV23" s="3"/>
    </row>
    <row r="24" spans="1:74" ht="12.75" customHeight="1" x14ac:dyDescent="0.2">
      <c r="A24" s="6">
        <v>12</v>
      </c>
      <c r="B24" s="6" t="s">
        <v>1536</v>
      </c>
      <c r="C24" s="6">
        <v>1</v>
      </c>
      <c r="D24" s="6" t="s">
        <v>2265</v>
      </c>
      <c r="E24" s="6">
        <v>12</v>
      </c>
      <c r="F24" s="6" t="str">
        <f ca="1">Master_List!$AW$1</f>
        <v>PERPUSTAKAAN PUSAT</v>
      </c>
      <c r="G24" s="27" t="str">
        <f ca="1">Master_List!$AW$2</f>
        <v>09:30 PM</v>
      </c>
      <c r="H24" s="32" t="str">
        <f ca="1">Master_List!$AW$3</f>
        <v>20/07/2026</v>
      </c>
      <c r="I24" s="28" t="str">
        <f ca="1">Master_List!$AW$4</f>
        <v>28.5</v>
      </c>
      <c r="J24" s="6" t="str">
        <f ca="1">Master_List!$AW$5</f>
        <v>65</v>
      </c>
      <c r="K24" s="6" t="s">
        <v>585</v>
      </c>
      <c r="L24" s="21" t="str">
        <f ca="1">IFERROR(VLOOKUP(B24, Master_List!$A:$I, 2, FALSE), "-")</f>
        <v>JJB 87615</v>
      </c>
      <c r="M24" s="21" t="str">
        <f ca="1">IFERROR(VLOOKUP(B24, Master_List!$A:$I, 3, FALSE), "-")</f>
        <v>TX 750KVA</v>
      </c>
      <c r="N24" s="21" t="str">
        <f ca="1">IFERROR(VLOOKUP(B24, Master_List!$A:$I, 4, FALSE), "-")</f>
        <v>NOT ACCESSIBLE</v>
      </c>
      <c r="O24" s="21" t="str">
        <f ca="1">IFERROR(VLOOKUP(B24, Master_List!$A:$I, 5, FALSE), "-")</f>
        <v>CLOSE</v>
      </c>
      <c r="P24" s="21" t="str">
        <f ca="1">IFERROR(VLOOKUP(B24, Master_List!$A:$I, 6, FALSE), "-")</f>
        <v/>
      </c>
      <c r="Q24" s="21" t="str">
        <f ca="1">IFERROR(VLOOKUP(B24, Master_List!$A:$I, 7, FALSE), "-")</f>
        <v/>
      </c>
      <c r="R24" s="21" t="str">
        <f ca="1">IFERROR(VLOOKUP(B24, Master_List!$A:$I, 8, FALSE), "-")</f>
        <v/>
      </c>
      <c r="S24" s="21" t="str">
        <f ca="1">IFERROR(VLOOKUP(B24, Master_List!$A:$I, 9, FALSE), "-")</f>
        <v>24DU738_1015</v>
      </c>
      <c r="T24" s="38" t="str">
        <f ca="1">Master_List!$AW$6</f>
        <v>TOSHIBA</v>
      </c>
      <c r="U24" s="38" t="str">
        <f ca="1">Master_List!$AW$7</f>
        <v>MRMU</v>
      </c>
      <c r="V24" s="38" t="str">
        <f ca="1">Master_List!$AW$8</f>
        <v>12kV</v>
      </c>
      <c r="W24" s="38" t="str">
        <f ca="1">Master_List!$AW$9</f>
        <v>2S1F</v>
      </c>
      <c r="X24" s="38" t="str">
        <f ca="1">Master_List!$AW$10</f>
        <v>MTM</v>
      </c>
      <c r="Y24" s="38" t="str">
        <f ca="1">Master_List!$AW$11</f>
        <v>HERMETICALLY SEAL</v>
      </c>
      <c r="Z24" s="38" t="str">
        <f ca="1">Master_List!$AW$12</f>
        <v>750kVA</v>
      </c>
      <c r="AA24" s="38" t="str">
        <f ca="1">Master_List!$AW$13</f>
        <v>1317</v>
      </c>
      <c r="AB24" s="38">
        <f ca="1">Master_List!$AW$14</f>
        <v>0</v>
      </c>
      <c r="AC24" s="38">
        <f ca="1">Master_List!$AW$15</f>
        <v>0</v>
      </c>
      <c r="AD24" s="38">
        <f ca="1">Master_List!$AW$16</f>
        <v>0</v>
      </c>
      <c r="AE24" s="38">
        <f ca="1">Master_List!$AW$17</f>
        <v>0</v>
      </c>
      <c r="AF24" s="38" t="str">
        <f ca="1">Master_List!$AW$18</f>
        <v>INDKOM</v>
      </c>
      <c r="AG24" s="38" t="str">
        <f ca="1">Master_List!$AW$19</f>
        <v>J-SLOTTED</v>
      </c>
      <c r="AH24" s="38" t="str">
        <f ca="1">Master_List!$AW$20</f>
        <v>1600A</v>
      </c>
      <c r="AI24" s="38" t="str">
        <f ca="1">Master_List!$AW$21</f>
        <v>LV5080090</v>
      </c>
      <c r="AJ24" s="38" t="str">
        <f ca="1">Master_List!$AW$22</f>
        <v>LVDB TX1</v>
      </c>
      <c r="AK24" s="38">
        <f ca="1">Master_List!$AW$23</f>
        <v>0</v>
      </c>
      <c r="AL24" s="38">
        <f ca="1">Master_List!$AW$24</f>
        <v>0</v>
      </c>
      <c r="AM24" s="38">
        <f ca="1">Master_List!$AW$25</f>
        <v>0</v>
      </c>
      <c r="AN24" s="38">
        <f ca="1">Master_List!$AW$26</f>
        <v>0</v>
      </c>
      <c r="AO24" s="38" t="str">
        <f ca="1">Master_List!$AW$27</f>
        <v>LVDB TX2</v>
      </c>
      <c r="AP24" s="38" t="str">
        <f ca="1">Master_List!$AW$28</f>
        <v>SUNPOWER TECHNOLOGIES</v>
      </c>
      <c r="AQ24" s="38" t="str">
        <f ca="1">Master_List!$AW$29</f>
        <v>SPS 30-10 L</v>
      </c>
      <c r="AR24" s="38" t="str">
        <f ca="1">Master_List!$AW$30</f>
        <v>11193-8527</v>
      </c>
      <c r="AS24" s="38">
        <f ca="1">Master_List!$AW$31</f>
        <v>0</v>
      </c>
      <c r="AT24" s="38">
        <f ca="1">Master_List!$AW$32</f>
        <v>0</v>
      </c>
      <c r="AU24" s="38">
        <f ca="1">Master_List!$AW$33</f>
        <v>0</v>
      </c>
      <c r="AV24" s="38">
        <f ca="1">Master_List!$AW$34</f>
        <v>0</v>
      </c>
      <c r="AW24" s="38">
        <f ca="1">Master_List!$AW$35</f>
        <v>0</v>
      </c>
      <c r="AX24" s="38">
        <f ca="1">Master_List!$AW$36</f>
        <v>0</v>
      </c>
      <c r="AY24" s="38">
        <f ca="1">Master_List!$AW$37</f>
        <v>0</v>
      </c>
      <c r="AZ24" s="38">
        <f ca="1">Master_List!$AW$38</f>
        <v>0</v>
      </c>
      <c r="BA24" s="38">
        <f ca="1">Master_List!$AW$39</f>
        <v>0</v>
      </c>
      <c r="BB24" s="38" t="s">
        <v>2240</v>
      </c>
      <c r="BC24" s="38" t="s">
        <v>2241</v>
      </c>
      <c r="BD24" s="6" t="s">
        <v>1744</v>
      </c>
      <c r="BE24" s="6" t="s">
        <v>1759</v>
      </c>
      <c r="BF24" s="6" t="s">
        <v>1746</v>
      </c>
      <c r="BG24" s="6" t="str">
        <f t="shared" si="1"/>
        <v>C:\Users\aremi\Desktop\REPORT CBM\PO 42289580 - Pahang 11kV SECOND CYCLE AZZAD 2026\RAW MATERIAL\047. TNB BARU (IR+VI)\RAW DATA\IR</v>
      </c>
      <c r="BH24" s="23" t="s">
        <v>567</v>
      </c>
      <c r="BU24" s="3"/>
      <c r="BV24" s="3"/>
    </row>
    <row r="25" spans="1:74" ht="12.75" customHeight="1" x14ac:dyDescent="0.2">
      <c r="A25" s="6">
        <v>12</v>
      </c>
      <c r="B25" s="6" t="s">
        <v>1536</v>
      </c>
      <c r="C25" s="6">
        <v>1</v>
      </c>
      <c r="D25" s="6" t="s">
        <v>2265</v>
      </c>
      <c r="E25" s="6">
        <v>12</v>
      </c>
      <c r="F25" s="6" t="str">
        <f ca="1">Master_List!$AW$1</f>
        <v>PERPUSTAKAAN PUSAT</v>
      </c>
      <c r="G25" s="27" t="str">
        <f ca="1">Master_List!$AW$2</f>
        <v>09:30 PM</v>
      </c>
      <c r="H25" s="32" t="str">
        <f ca="1">Master_List!$AW$3</f>
        <v>20/07/2026</v>
      </c>
      <c r="I25" s="28" t="str">
        <f ca="1">Master_List!$AW$4</f>
        <v>28.5</v>
      </c>
      <c r="J25" s="6" t="str">
        <f ca="1">Master_List!$AW$5</f>
        <v>65</v>
      </c>
      <c r="K25" s="6" t="s">
        <v>585</v>
      </c>
      <c r="L25" s="21" t="str">
        <f ca="1">IFERROR(VLOOKUP(B25, Master_List!$A:$I, 2, FALSE), "-")</f>
        <v>JJB 87615</v>
      </c>
      <c r="M25" s="21" t="str">
        <f ca="1">IFERROR(VLOOKUP(B25, Master_List!$A:$I, 3, FALSE), "-")</f>
        <v>TX 750KVA</v>
      </c>
      <c r="N25" s="21" t="str">
        <f ca="1">IFERROR(VLOOKUP(B25, Master_List!$A:$I, 4, FALSE), "-")</f>
        <v>NOT ACCESSIBLE</v>
      </c>
      <c r="O25" s="21" t="str">
        <f ca="1">IFERROR(VLOOKUP(B25, Master_List!$A:$I, 5, FALSE), "-")</f>
        <v>CLOSE</v>
      </c>
      <c r="P25" s="21" t="str">
        <f ca="1">IFERROR(VLOOKUP(B25, Master_List!$A:$I, 6, FALSE), "-")</f>
        <v/>
      </c>
      <c r="Q25" s="21" t="str">
        <f ca="1">IFERROR(VLOOKUP(B25, Master_List!$A:$I, 7, FALSE), "-")</f>
        <v/>
      </c>
      <c r="R25" s="21" t="str">
        <f ca="1">IFERROR(VLOOKUP(B25, Master_List!$A:$I, 8, FALSE), "-")</f>
        <v/>
      </c>
      <c r="S25" s="21" t="str">
        <f ca="1">IFERROR(VLOOKUP(B25, Master_List!$A:$I, 9, FALSE), "-")</f>
        <v>24DU738_1015</v>
      </c>
      <c r="T25" s="38" t="str">
        <f ca="1">Master_List!$AW$6</f>
        <v>TOSHIBA</v>
      </c>
      <c r="U25" s="38" t="str">
        <f ca="1">Master_List!$AW$7</f>
        <v>MRMU</v>
      </c>
      <c r="V25" s="38" t="str">
        <f ca="1">Master_List!$AW$8</f>
        <v>12kV</v>
      </c>
      <c r="W25" s="38" t="str">
        <f ca="1">Master_List!$AW$9</f>
        <v>2S1F</v>
      </c>
      <c r="X25" s="38" t="str">
        <f ca="1">Master_List!$AW$10</f>
        <v>MTM</v>
      </c>
      <c r="Y25" s="38" t="str">
        <f ca="1">Master_List!$AW$11</f>
        <v>HERMETICALLY SEAL</v>
      </c>
      <c r="Z25" s="38" t="str">
        <f ca="1">Master_List!$AW$12</f>
        <v>750kVA</v>
      </c>
      <c r="AA25" s="38" t="str">
        <f ca="1">Master_List!$AW$13</f>
        <v>1317</v>
      </c>
      <c r="AB25" s="38">
        <f ca="1">Master_List!$AW$14</f>
        <v>0</v>
      </c>
      <c r="AC25" s="38">
        <f ca="1">Master_List!$AW$15</f>
        <v>0</v>
      </c>
      <c r="AD25" s="38">
        <f ca="1">Master_List!$AW$16</f>
        <v>0</v>
      </c>
      <c r="AE25" s="38">
        <f ca="1">Master_List!$AW$17</f>
        <v>0</v>
      </c>
      <c r="AF25" s="38" t="str">
        <f ca="1">Master_List!$AW$18</f>
        <v>INDKOM</v>
      </c>
      <c r="AG25" s="38" t="str">
        <f ca="1">Master_List!$AW$19</f>
        <v>J-SLOTTED</v>
      </c>
      <c r="AH25" s="38" t="str">
        <f ca="1">Master_List!$AW$20</f>
        <v>1600A</v>
      </c>
      <c r="AI25" s="38" t="str">
        <f ca="1">Master_List!$AW$21</f>
        <v>LV5080090</v>
      </c>
      <c r="AJ25" s="38" t="str">
        <f ca="1">Master_List!$AW$22</f>
        <v>LVDB TX1</v>
      </c>
      <c r="AK25" s="38">
        <f ca="1">Master_List!$AW$23</f>
        <v>0</v>
      </c>
      <c r="AL25" s="38">
        <f ca="1">Master_List!$AW$24</f>
        <v>0</v>
      </c>
      <c r="AM25" s="38">
        <f ca="1">Master_List!$AW$25</f>
        <v>0</v>
      </c>
      <c r="AN25" s="38">
        <f ca="1">Master_List!$AW$26</f>
        <v>0</v>
      </c>
      <c r="AO25" s="38" t="str">
        <f ca="1">Master_List!$AW$27</f>
        <v>LVDB TX2</v>
      </c>
      <c r="AP25" s="38" t="str">
        <f ca="1">Master_List!$AW$28</f>
        <v>SUNPOWER TECHNOLOGIES</v>
      </c>
      <c r="AQ25" s="38" t="str">
        <f ca="1">Master_List!$AW$29</f>
        <v>SPS 30-10 L</v>
      </c>
      <c r="AR25" s="38" t="str">
        <f ca="1">Master_List!$AW$30</f>
        <v>11193-8527</v>
      </c>
      <c r="AS25" s="38">
        <f ca="1">Master_List!$AW$31</f>
        <v>0</v>
      </c>
      <c r="AT25" s="38">
        <f ca="1">Master_List!$AW$32</f>
        <v>0</v>
      </c>
      <c r="AU25" s="38">
        <f ca="1">Master_List!$AW$33</f>
        <v>0</v>
      </c>
      <c r="AV25" s="38">
        <f ca="1">Master_List!$AW$34</f>
        <v>0</v>
      </c>
      <c r="AW25" s="38">
        <f ca="1">Master_List!$AW$35</f>
        <v>0</v>
      </c>
      <c r="AX25" s="38">
        <f ca="1">Master_List!$AW$36</f>
        <v>0</v>
      </c>
      <c r="AY25" s="38">
        <f ca="1">Master_List!$AW$37</f>
        <v>0</v>
      </c>
      <c r="AZ25" s="38">
        <f ca="1">Master_List!$AW$38</f>
        <v>0</v>
      </c>
      <c r="BA25" s="38">
        <f ca="1">Master_List!$AW$39</f>
        <v>0</v>
      </c>
      <c r="BB25" s="38" t="s">
        <v>2240</v>
      </c>
      <c r="BC25" s="38" t="s">
        <v>2241</v>
      </c>
      <c r="BD25" s="6" t="s">
        <v>1744</v>
      </c>
      <c r="BE25" s="6" t="s">
        <v>1759</v>
      </c>
      <c r="BF25" s="6" t="s">
        <v>1748</v>
      </c>
      <c r="BG25" s="6" t="str">
        <f t="shared" si="1"/>
        <v>C:\Users\aremi\Desktop\REPORT CBM\PO 42289580 - Pahang 11kV SECOND CYCLE AZZAD 2026\RAW MATERIAL\047. TNB BARU (IR+VI)\RAW DATA\IR</v>
      </c>
      <c r="BH25" s="23" t="s">
        <v>568</v>
      </c>
      <c r="BU25" s="3"/>
      <c r="BV25" s="3"/>
    </row>
    <row r="26" spans="1:74" ht="12.75" customHeight="1" x14ac:dyDescent="0.2">
      <c r="A26" s="6">
        <v>13</v>
      </c>
      <c r="B26" s="6" t="s">
        <v>1537</v>
      </c>
      <c r="C26" s="6">
        <v>1</v>
      </c>
      <c r="D26" s="6" t="s">
        <v>2265</v>
      </c>
      <c r="E26" s="6">
        <v>13</v>
      </c>
      <c r="F26" s="6" t="str">
        <f ca="1">Master_List!$AW$1</f>
        <v>PERPUSTAKAAN PUSAT</v>
      </c>
      <c r="G26" s="27" t="str">
        <f ca="1">Master_List!$AW$2</f>
        <v>09:30 PM</v>
      </c>
      <c r="H26" s="32" t="str">
        <f ca="1">Master_List!$AW$3</f>
        <v>20/07/2026</v>
      </c>
      <c r="I26" s="28" t="str">
        <f ca="1">Master_List!$AW$4</f>
        <v>28.5</v>
      </c>
      <c r="J26" s="6" t="str">
        <f ca="1">Master_List!$AW$5</f>
        <v>65</v>
      </c>
      <c r="K26" s="6" t="s">
        <v>576</v>
      </c>
      <c r="L26" s="21" t="str">
        <f ca="1">IFERROR(VLOOKUP(B26, Master_List!$A:$I, 2, FALSE), "-")</f>
        <v/>
      </c>
      <c r="M26" s="21" t="str">
        <f ca="1">IFERROR(VLOOKUP(B26, Master_List!$A:$I, 3, FALSE), "-")</f>
        <v/>
      </c>
      <c r="N26" s="21" t="str">
        <f ca="1">IFERROR(VLOOKUP(B26, Master_List!$A:$I, 4, FALSE), "-")</f>
        <v/>
      </c>
      <c r="O26" s="21" t="str">
        <f ca="1">IFERROR(VLOOKUP(B26, Master_List!$A:$I, 5, FALSE), "-")</f>
        <v/>
      </c>
      <c r="P26" s="21" t="str">
        <f ca="1">IFERROR(VLOOKUP(B26, Master_List!$A:$I, 6, FALSE), "-")</f>
        <v/>
      </c>
      <c r="Q26" s="21" t="str">
        <f ca="1">IFERROR(VLOOKUP(B26, Master_List!$A:$I, 7, FALSE), "-")</f>
        <v/>
      </c>
      <c r="R26" s="21" t="str">
        <f ca="1">IFERROR(VLOOKUP(B26, Master_List!$A:$I, 8, FALSE), "-")</f>
        <v/>
      </c>
      <c r="S26" s="21" t="str">
        <f ca="1">IFERROR(VLOOKUP(B26, Master_List!$A:$I, 9, FALSE), "-")</f>
        <v>24DU738_1015</v>
      </c>
      <c r="T26" s="38" t="str">
        <f ca="1">Master_List!$AW$6</f>
        <v>TOSHIBA</v>
      </c>
      <c r="U26" s="38" t="str">
        <f ca="1">Master_List!$AW$7</f>
        <v>MRMU</v>
      </c>
      <c r="V26" s="38" t="str">
        <f ca="1">Master_List!$AW$8</f>
        <v>12kV</v>
      </c>
      <c r="W26" s="38" t="str">
        <f ca="1">Master_List!$AW$9</f>
        <v>2S1F</v>
      </c>
      <c r="X26" s="38" t="str">
        <f ca="1">Master_List!$AW$10</f>
        <v>MTM</v>
      </c>
      <c r="Y26" s="38" t="str">
        <f ca="1">Master_List!$AW$11</f>
        <v>HERMETICALLY SEAL</v>
      </c>
      <c r="Z26" s="38" t="str">
        <f ca="1">Master_List!$AW$12</f>
        <v>750kVA</v>
      </c>
      <c r="AA26" s="38" t="str">
        <f ca="1">Master_List!$AW$13</f>
        <v>1317</v>
      </c>
      <c r="AB26" s="38">
        <f ca="1">Master_List!$AW$14</f>
        <v>0</v>
      </c>
      <c r="AC26" s="38">
        <f ca="1">Master_List!$AW$15</f>
        <v>0</v>
      </c>
      <c r="AD26" s="38">
        <f ca="1">Master_List!$AW$16</f>
        <v>0</v>
      </c>
      <c r="AE26" s="38">
        <f ca="1">Master_List!$AW$17</f>
        <v>0</v>
      </c>
      <c r="AF26" s="38" t="str">
        <f ca="1">Master_List!$AW$18</f>
        <v>INDKOM</v>
      </c>
      <c r="AG26" s="38" t="str">
        <f ca="1">Master_List!$AW$19</f>
        <v>J-SLOTTED</v>
      </c>
      <c r="AH26" s="38" t="str">
        <f ca="1">Master_List!$AW$20</f>
        <v>1600A</v>
      </c>
      <c r="AI26" s="38" t="str">
        <f ca="1">Master_List!$AW$21</f>
        <v>LV5080090</v>
      </c>
      <c r="AJ26" s="38" t="str">
        <f ca="1">Master_List!$AW$22</f>
        <v>LVDB TX1</v>
      </c>
      <c r="AK26" s="38">
        <f ca="1">Master_List!$AW$23</f>
        <v>0</v>
      </c>
      <c r="AL26" s="38">
        <f ca="1">Master_List!$AW$24</f>
        <v>0</v>
      </c>
      <c r="AM26" s="38">
        <f ca="1">Master_List!$AW$25</f>
        <v>0</v>
      </c>
      <c r="AN26" s="38">
        <f ca="1">Master_List!$AW$26</f>
        <v>0</v>
      </c>
      <c r="AO26" s="38" t="str">
        <f ca="1">Master_List!$AW$27</f>
        <v>LVDB TX2</v>
      </c>
      <c r="AP26" s="38" t="str">
        <f ca="1">Master_List!$AW$28</f>
        <v>SUNPOWER TECHNOLOGIES</v>
      </c>
      <c r="AQ26" s="38" t="str">
        <f ca="1">Master_List!$AW$29</f>
        <v>SPS 30-10 L</v>
      </c>
      <c r="AR26" s="38" t="str">
        <f ca="1">Master_List!$AW$30</f>
        <v>11193-8527</v>
      </c>
      <c r="AS26" s="38">
        <f ca="1">Master_List!$AW$31</f>
        <v>0</v>
      </c>
      <c r="AT26" s="38">
        <f ca="1">Master_List!$AW$32</f>
        <v>0</v>
      </c>
      <c r="AU26" s="38">
        <f ca="1">Master_List!$AW$33</f>
        <v>0</v>
      </c>
      <c r="AV26" s="38">
        <f ca="1">Master_List!$AW$34</f>
        <v>0</v>
      </c>
      <c r="AW26" s="38">
        <f ca="1">Master_List!$AW$35</f>
        <v>0</v>
      </c>
      <c r="AX26" s="38">
        <f ca="1">Master_List!$AW$36</f>
        <v>0</v>
      </c>
      <c r="AY26" s="38">
        <f ca="1">Master_List!$AW$37</f>
        <v>0</v>
      </c>
      <c r="AZ26" s="38">
        <f ca="1">Master_List!$AW$38</f>
        <v>0</v>
      </c>
      <c r="BA26" s="38">
        <f ca="1">Master_List!$AW$39</f>
        <v>0</v>
      </c>
      <c r="BB26" s="38" t="s">
        <v>2240</v>
      </c>
      <c r="BC26" s="38" t="s">
        <v>2241</v>
      </c>
      <c r="BD26" s="6" t="s">
        <v>1744</v>
      </c>
      <c r="BE26" s="6" t="s">
        <v>1761</v>
      </c>
      <c r="BF26" s="6" t="s">
        <v>1746</v>
      </c>
      <c r="BG26" s="6" t="str">
        <f t="shared" si="1"/>
        <v>C:\Users\aremi\Desktop\REPORT CBM\PO 42289580 - Pahang 11kV SECOND CYCLE AZZAD 2026\RAW MATERIAL\047. TNB BARU (IR+VI)\RAW DATA\IR</v>
      </c>
      <c r="BH26" s="23" t="s">
        <v>1538</v>
      </c>
      <c r="BU26" s="3"/>
      <c r="BV26" s="3"/>
    </row>
    <row r="27" spans="1:74" ht="12.75" customHeight="1" x14ac:dyDescent="0.2">
      <c r="A27" s="6">
        <v>13</v>
      </c>
      <c r="B27" s="6" t="s">
        <v>1537</v>
      </c>
      <c r="C27" s="6">
        <v>1</v>
      </c>
      <c r="D27" s="6" t="s">
        <v>2265</v>
      </c>
      <c r="E27" s="6">
        <v>13</v>
      </c>
      <c r="F27" s="6" t="str">
        <f ca="1">Master_List!$AW$1</f>
        <v>PERPUSTAKAAN PUSAT</v>
      </c>
      <c r="G27" s="27" t="str">
        <f ca="1">Master_List!$AW$2</f>
        <v>09:30 PM</v>
      </c>
      <c r="H27" s="32" t="str">
        <f ca="1">Master_List!$AW$3</f>
        <v>20/07/2026</v>
      </c>
      <c r="I27" s="28" t="str">
        <f ca="1">Master_List!$AW$4</f>
        <v>28.5</v>
      </c>
      <c r="J27" s="6" t="str">
        <f ca="1">Master_List!$AW$5</f>
        <v>65</v>
      </c>
      <c r="K27" s="6" t="s">
        <v>576</v>
      </c>
      <c r="L27" s="21" t="str">
        <f ca="1">IFERROR(VLOOKUP(B27, Master_List!$A:$I, 2, FALSE), "-")</f>
        <v/>
      </c>
      <c r="M27" s="21" t="str">
        <f ca="1">IFERROR(VLOOKUP(B27, Master_List!$A:$I, 3, FALSE), "-")</f>
        <v/>
      </c>
      <c r="N27" s="21" t="str">
        <f ca="1">IFERROR(VLOOKUP(B27, Master_List!$A:$I, 4, FALSE), "-")</f>
        <v/>
      </c>
      <c r="O27" s="21" t="str">
        <f ca="1">IFERROR(VLOOKUP(B27, Master_List!$A:$I, 5, FALSE), "-")</f>
        <v/>
      </c>
      <c r="P27" s="21" t="str">
        <f ca="1">IFERROR(VLOOKUP(B27, Master_List!$A:$I, 6, FALSE), "-")</f>
        <v/>
      </c>
      <c r="Q27" s="21" t="str">
        <f ca="1">IFERROR(VLOOKUP(B27, Master_List!$A:$I, 7, FALSE), "-")</f>
        <v/>
      </c>
      <c r="R27" s="21" t="str">
        <f ca="1">IFERROR(VLOOKUP(B27, Master_List!$A:$I, 8, FALSE), "-")</f>
        <v/>
      </c>
      <c r="S27" s="21" t="str">
        <f ca="1">IFERROR(VLOOKUP(B27, Master_List!$A:$I, 9, FALSE), "-")</f>
        <v>24DU738_1015</v>
      </c>
      <c r="T27" s="38" t="str">
        <f ca="1">Master_List!$AW$6</f>
        <v>TOSHIBA</v>
      </c>
      <c r="U27" s="38" t="str">
        <f ca="1">Master_List!$AW$7</f>
        <v>MRMU</v>
      </c>
      <c r="V27" s="38" t="str">
        <f ca="1">Master_List!$AW$8</f>
        <v>12kV</v>
      </c>
      <c r="W27" s="38" t="str">
        <f ca="1">Master_List!$AW$9</f>
        <v>2S1F</v>
      </c>
      <c r="X27" s="38" t="str">
        <f ca="1">Master_List!$AW$10</f>
        <v>MTM</v>
      </c>
      <c r="Y27" s="38" t="str">
        <f ca="1">Master_List!$AW$11</f>
        <v>HERMETICALLY SEAL</v>
      </c>
      <c r="Z27" s="38" t="str">
        <f ca="1">Master_List!$AW$12</f>
        <v>750kVA</v>
      </c>
      <c r="AA27" s="38" t="str">
        <f ca="1">Master_List!$AW$13</f>
        <v>1317</v>
      </c>
      <c r="AB27" s="38">
        <f ca="1">Master_List!$AW$14</f>
        <v>0</v>
      </c>
      <c r="AC27" s="38">
        <f ca="1">Master_List!$AW$15</f>
        <v>0</v>
      </c>
      <c r="AD27" s="38">
        <f ca="1">Master_List!$AW$16</f>
        <v>0</v>
      </c>
      <c r="AE27" s="38">
        <f ca="1">Master_List!$AW$17</f>
        <v>0</v>
      </c>
      <c r="AF27" s="38" t="str">
        <f ca="1">Master_List!$AW$18</f>
        <v>INDKOM</v>
      </c>
      <c r="AG27" s="38" t="str">
        <f ca="1">Master_List!$AW$19</f>
        <v>J-SLOTTED</v>
      </c>
      <c r="AH27" s="38" t="str">
        <f ca="1">Master_List!$AW$20</f>
        <v>1600A</v>
      </c>
      <c r="AI27" s="38" t="str">
        <f ca="1">Master_List!$AW$21</f>
        <v>LV5080090</v>
      </c>
      <c r="AJ27" s="38" t="str">
        <f ca="1">Master_List!$AW$22</f>
        <v>LVDB TX1</v>
      </c>
      <c r="AK27" s="38">
        <f ca="1">Master_List!$AW$23</f>
        <v>0</v>
      </c>
      <c r="AL27" s="38">
        <f ca="1">Master_List!$AW$24</f>
        <v>0</v>
      </c>
      <c r="AM27" s="38">
        <f ca="1">Master_List!$AW$25</f>
        <v>0</v>
      </c>
      <c r="AN27" s="38">
        <f ca="1">Master_List!$AW$26</f>
        <v>0</v>
      </c>
      <c r="AO27" s="38" t="str">
        <f ca="1">Master_List!$AW$27</f>
        <v>LVDB TX2</v>
      </c>
      <c r="AP27" s="38" t="str">
        <f ca="1">Master_List!$AW$28</f>
        <v>SUNPOWER TECHNOLOGIES</v>
      </c>
      <c r="AQ27" s="38" t="str">
        <f ca="1">Master_List!$AW$29</f>
        <v>SPS 30-10 L</v>
      </c>
      <c r="AR27" s="38" t="str">
        <f ca="1">Master_List!$AW$30</f>
        <v>11193-8527</v>
      </c>
      <c r="AS27" s="38">
        <f ca="1">Master_List!$AW$31</f>
        <v>0</v>
      </c>
      <c r="AT27" s="38">
        <f ca="1">Master_List!$AW$32</f>
        <v>0</v>
      </c>
      <c r="AU27" s="38">
        <f ca="1">Master_List!$AW$33</f>
        <v>0</v>
      </c>
      <c r="AV27" s="38">
        <f ca="1">Master_List!$AW$34</f>
        <v>0</v>
      </c>
      <c r="AW27" s="38">
        <f ca="1">Master_List!$AW$35</f>
        <v>0</v>
      </c>
      <c r="AX27" s="38">
        <f ca="1">Master_List!$AW$36</f>
        <v>0</v>
      </c>
      <c r="AY27" s="38">
        <f ca="1">Master_List!$AW$37</f>
        <v>0</v>
      </c>
      <c r="AZ27" s="38">
        <f ca="1">Master_List!$AW$38</f>
        <v>0</v>
      </c>
      <c r="BA27" s="38">
        <f ca="1">Master_List!$AW$39</f>
        <v>0</v>
      </c>
      <c r="BB27" s="38" t="s">
        <v>2240</v>
      </c>
      <c r="BC27" s="38" t="s">
        <v>2241</v>
      </c>
      <c r="BD27" s="6" t="s">
        <v>1744</v>
      </c>
      <c r="BE27" s="6" t="s">
        <v>1761</v>
      </c>
      <c r="BF27" s="6" t="s">
        <v>1748</v>
      </c>
      <c r="BG27" s="6" t="str">
        <f t="shared" si="1"/>
        <v>C:\Users\aremi\Desktop\REPORT CBM\PO 42289580 - Pahang 11kV SECOND CYCLE AZZAD 2026\RAW MATERIAL\047. TNB BARU (IR+VI)\RAW DATA\IR</v>
      </c>
      <c r="BH27" s="23" t="s">
        <v>1539</v>
      </c>
      <c r="BU27" s="3"/>
      <c r="BV27" s="3"/>
    </row>
    <row r="28" spans="1:74" ht="12.75" customHeight="1" x14ac:dyDescent="0.2">
      <c r="A28" s="6">
        <v>14</v>
      </c>
      <c r="B28" s="6" t="s">
        <v>1537</v>
      </c>
      <c r="C28" s="6">
        <v>1</v>
      </c>
      <c r="D28" s="6" t="s">
        <v>2265</v>
      </c>
      <c r="E28" s="6">
        <v>14</v>
      </c>
      <c r="F28" s="6" t="str">
        <f ca="1">Master_List!$AW$1</f>
        <v>PERPUSTAKAAN PUSAT</v>
      </c>
      <c r="G28" s="27" t="str">
        <f ca="1">Master_List!$AW$2</f>
        <v>09:30 PM</v>
      </c>
      <c r="H28" s="32" t="str">
        <f ca="1">Master_List!$AW$3</f>
        <v>20/07/2026</v>
      </c>
      <c r="I28" s="28" t="str">
        <f ca="1">Master_List!$AW$4</f>
        <v>28.5</v>
      </c>
      <c r="J28" s="6" t="str">
        <f ca="1">Master_List!$AW$5</f>
        <v>65</v>
      </c>
      <c r="K28" s="6" t="s">
        <v>585</v>
      </c>
      <c r="L28" s="21" t="str">
        <f ca="1">IFERROR(VLOOKUP(B28, Master_List!$A:$I, 2, FALSE), "-")</f>
        <v/>
      </c>
      <c r="M28" s="21" t="str">
        <f ca="1">IFERROR(VLOOKUP(B28, Master_List!$A:$I, 3, FALSE), "-")</f>
        <v/>
      </c>
      <c r="N28" s="21" t="str">
        <f ca="1">IFERROR(VLOOKUP(B28, Master_List!$A:$I, 4, FALSE), "-")</f>
        <v/>
      </c>
      <c r="O28" s="21" t="str">
        <f ca="1">IFERROR(VLOOKUP(B28, Master_List!$A:$I, 5, FALSE), "-")</f>
        <v/>
      </c>
      <c r="P28" s="21" t="str">
        <f ca="1">IFERROR(VLOOKUP(B28, Master_List!$A:$I, 6, FALSE), "-")</f>
        <v/>
      </c>
      <c r="Q28" s="21" t="str">
        <f ca="1">IFERROR(VLOOKUP(B28, Master_List!$A:$I, 7, FALSE), "-")</f>
        <v/>
      </c>
      <c r="R28" s="21" t="str">
        <f ca="1">IFERROR(VLOOKUP(B28, Master_List!$A:$I, 8, FALSE), "-")</f>
        <v/>
      </c>
      <c r="S28" s="21" t="str">
        <f ca="1">IFERROR(VLOOKUP(B28, Master_List!$A:$I, 9, FALSE), "-")</f>
        <v>24DU738_1015</v>
      </c>
      <c r="T28" s="38" t="str">
        <f ca="1">Master_List!$AW$6</f>
        <v>TOSHIBA</v>
      </c>
      <c r="U28" s="38" t="str">
        <f ca="1">Master_List!$AW$7</f>
        <v>MRMU</v>
      </c>
      <c r="V28" s="38" t="str">
        <f ca="1">Master_List!$AW$8</f>
        <v>12kV</v>
      </c>
      <c r="W28" s="38" t="str">
        <f ca="1">Master_List!$AW$9</f>
        <v>2S1F</v>
      </c>
      <c r="X28" s="38" t="str">
        <f ca="1">Master_List!$AW$10</f>
        <v>MTM</v>
      </c>
      <c r="Y28" s="38" t="str">
        <f ca="1">Master_List!$AW$11</f>
        <v>HERMETICALLY SEAL</v>
      </c>
      <c r="Z28" s="38" t="str">
        <f ca="1">Master_List!$AW$12</f>
        <v>750kVA</v>
      </c>
      <c r="AA28" s="38" t="str">
        <f ca="1">Master_List!$AW$13</f>
        <v>1317</v>
      </c>
      <c r="AB28" s="38">
        <f ca="1">Master_List!$AW$14</f>
        <v>0</v>
      </c>
      <c r="AC28" s="38">
        <f ca="1">Master_List!$AW$15</f>
        <v>0</v>
      </c>
      <c r="AD28" s="38">
        <f ca="1">Master_List!$AW$16</f>
        <v>0</v>
      </c>
      <c r="AE28" s="38">
        <f ca="1">Master_List!$AW$17</f>
        <v>0</v>
      </c>
      <c r="AF28" s="38" t="str">
        <f ca="1">Master_List!$AW$18</f>
        <v>INDKOM</v>
      </c>
      <c r="AG28" s="38" t="str">
        <f ca="1">Master_List!$AW$19</f>
        <v>J-SLOTTED</v>
      </c>
      <c r="AH28" s="38" t="str">
        <f ca="1">Master_List!$AW$20</f>
        <v>1600A</v>
      </c>
      <c r="AI28" s="38" t="str">
        <f ca="1">Master_List!$AW$21</f>
        <v>LV5080090</v>
      </c>
      <c r="AJ28" s="38" t="str">
        <f ca="1">Master_List!$AW$22</f>
        <v>LVDB TX1</v>
      </c>
      <c r="AK28" s="38">
        <f ca="1">Master_List!$AW$23</f>
        <v>0</v>
      </c>
      <c r="AL28" s="38">
        <f ca="1">Master_List!$AW$24</f>
        <v>0</v>
      </c>
      <c r="AM28" s="38">
        <f ca="1">Master_List!$AW$25</f>
        <v>0</v>
      </c>
      <c r="AN28" s="38">
        <f ca="1">Master_List!$AW$26</f>
        <v>0</v>
      </c>
      <c r="AO28" s="38" t="str">
        <f ca="1">Master_List!$AW$27</f>
        <v>LVDB TX2</v>
      </c>
      <c r="AP28" s="38" t="str">
        <f ca="1">Master_List!$AW$28</f>
        <v>SUNPOWER TECHNOLOGIES</v>
      </c>
      <c r="AQ28" s="38" t="str">
        <f ca="1">Master_List!$AW$29</f>
        <v>SPS 30-10 L</v>
      </c>
      <c r="AR28" s="38" t="str">
        <f ca="1">Master_List!$AW$30</f>
        <v>11193-8527</v>
      </c>
      <c r="AS28" s="38">
        <f ca="1">Master_List!$AW$31</f>
        <v>0</v>
      </c>
      <c r="AT28" s="38">
        <f ca="1">Master_List!$AW$32</f>
        <v>0</v>
      </c>
      <c r="AU28" s="38">
        <f ca="1">Master_List!$AW$33</f>
        <v>0</v>
      </c>
      <c r="AV28" s="38">
        <f ca="1">Master_List!$AW$34</f>
        <v>0</v>
      </c>
      <c r="AW28" s="38">
        <f ca="1">Master_List!$AW$35</f>
        <v>0</v>
      </c>
      <c r="AX28" s="38">
        <f ca="1">Master_List!$AW$36</f>
        <v>0</v>
      </c>
      <c r="AY28" s="38">
        <f ca="1">Master_List!$AW$37</f>
        <v>0</v>
      </c>
      <c r="AZ28" s="38">
        <f ca="1">Master_List!$AW$38</f>
        <v>0</v>
      </c>
      <c r="BA28" s="38">
        <f ca="1">Master_List!$AW$39</f>
        <v>0</v>
      </c>
      <c r="BB28" s="38" t="s">
        <v>2240</v>
      </c>
      <c r="BC28" s="38" t="s">
        <v>2241</v>
      </c>
      <c r="BD28" s="6" t="s">
        <v>1744</v>
      </c>
      <c r="BE28" s="6" t="s">
        <v>1762</v>
      </c>
      <c r="BF28" s="6" t="s">
        <v>1746</v>
      </c>
      <c r="BG28" s="6" t="str">
        <f t="shared" si="1"/>
        <v>C:\Users\aremi\Desktop\REPORT CBM\PO 42289580 - Pahang 11kV SECOND CYCLE AZZAD 2026\RAW MATERIAL\047. TNB BARU (IR+VI)\RAW DATA\IR</v>
      </c>
      <c r="BH28" s="23" t="s">
        <v>1540</v>
      </c>
      <c r="BU28" s="3"/>
      <c r="BV28" s="3"/>
    </row>
    <row r="29" spans="1:74" ht="12.75" customHeight="1" x14ac:dyDescent="0.2">
      <c r="A29" s="6">
        <v>14</v>
      </c>
      <c r="B29" s="6" t="s">
        <v>1537</v>
      </c>
      <c r="C29" s="6">
        <v>1</v>
      </c>
      <c r="D29" s="6" t="s">
        <v>2265</v>
      </c>
      <c r="E29" s="6">
        <v>14</v>
      </c>
      <c r="F29" s="6" t="str">
        <f ca="1">Master_List!$AW$1</f>
        <v>PERPUSTAKAAN PUSAT</v>
      </c>
      <c r="G29" s="27" t="str">
        <f ca="1">Master_List!$AW$2</f>
        <v>09:30 PM</v>
      </c>
      <c r="H29" s="32" t="str">
        <f ca="1">Master_List!$AW$3</f>
        <v>20/07/2026</v>
      </c>
      <c r="I29" s="28" t="str">
        <f ca="1">Master_List!$AW$4</f>
        <v>28.5</v>
      </c>
      <c r="J29" s="6" t="str">
        <f ca="1">Master_List!$AW$5</f>
        <v>65</v>
      </c>
      <c r="K29" s="6" t="s">
        <v>585</v>
      </c>
      <c r="L29" s="21" t="str">
        <f ca="1">IFERROR(VLOOKUP(B29, Master_List!$A:$I, 2, FALSE), "-")</f>
        <v/>
      </c>
      <c r="M29" s="21" t="str">
        <f ca="1">IFERROR(VLOOKUP(B29, Master_List!$A:$I, 3, FALSE), "-")</f>
        <v/>
      </c>
      <c r="N29" s="21" t="str">
        <f ca="1">IFERROR(VLOOKUP(B29, Master_List!$A:$I, 4, FALSE), "-")</f>
        <v/>
      </c>
      <c r="O29" s="21" t="str">
        <f ca="1">IFERROR(VLOOKUP(B29, Master_List!$A:$I, 5, FALSE), "-")</f>
        <v/>
      </c>
      <c r="P29" s="21" t="str">
        <f ca="1">IFERROR(VLOOKUP(B29, Master_List!$A:$I, 6, FALSE), "-")</f>
        <v/>
      </c>
      <c r="Q29" s="21" t="str">
        <f ca="1">IFERROR(VLOOKUP(B29, Master_List!$A:$I, 7, FALSE), "-")</f>
        <v/>
      </c>
      <c r="R29" s="21" t="str">
        <f ca="1">IFERROR(VLOOKUP(B29, Master_List!$A:$I, 8, FALSE), "-")</f>
        <v/>
      </c>
      <c r="S29" s="21" t="str">
        <f ca="1">IFERROR(VLOOKUP(B29, Master_List!$A:$I, 9, FALSE), "-")</f>
        <v>24DU738_1015</v>
      </c>
      <c r="T29" s="38" t="str">
        <f ca="1">Master_List!$AW$6</f>
        <v>TOSHIBA</v>
      </c>
      <c r="U29" s="38" t="str">
        <f ca="1">Master_List!$AW$7</f>
        <v>MRMU</v>
      </c>
      <c r="V29" s="38" t="str">
        <f ca="1">Master_List!$AW$8</f>
        <v>12kV</v>
      </c>
      <c r="W29" s="38" t="str">
        <f ca="1">Master_List!$AW$9</f>
        <v>2S1F</v>
      </c>
      <c r="X29" s="38" t="str">
        <f ca="1">Master_List!$AW$10</f>
        <v>MTM</v>
      </c>
      <c r="Y29" s="38" t="str">
        <f ca="1">Master_List!$AW$11</f>
        <v>HERMETICALLY SEAL</v>
      </c>
      <c r="Z29" s="38" t="str">
        <f ca="1">Master_List!$AW$12</f>
        <v>750kVA</v>
      </c>
      <c r="AA29" s="38" t="str">
        <f ca="1">Master_List!$AW$13</f>
        <v>1317</v>
      </c>
      <c r="AB29" s="38">
        <f ca="1">Master_List!$AW$14</f>
        <v>0</v>
      </c>
      <c r="AC29" s="38">
        <f ca="1">Master_List!$AW$15</f>
        <v>0</v>
      </c>
      <c r="AD29" s="38">
        <f ca="1">Master_List!$AW$16</f>
        <v>0</v>
      </c>
      <c r="AE29" s="38">
        <f ca="1">Master_List!$AW$17</f>
        <v>0</v>
      </c>
      <c r="AF29" s="38" t="str">
        <f ca="1">Master_List!$AW$18</f>
        <v>INDKOM</v>
      </c>
      <c r="AG29" s="38" t="str">
        <f ca="1">Master_List!$AW$19</f>
        <v>J-SLOTTED</v>
      </c>
      <c r="AH29" s="38" t="str">
        <f ca="1">Master_List!$AW$20</f>
        <v>1600A</v>
      </c>
      <c r="AI29" s="38" t="str">
        <f ca="1">Master_List!$AW$21</f>
        <v>LV5080090</v>
      </c>
      <c r="AJ29" s="38" t="str">
        <f ca="1">Master_List!$AW$22</f>
        <v>LVDB TX1</v>
      </c>
      <c r="AK29" s="38">
        <f ca="1">Master_List!$AW$23</f>
        <v>0</v>
      </c>
      <c r="AL29" s="38">
        <f ca="1">Master_List!$AW$24</f>
        <v>0</v>
      </c>
      <c r="AM29" s="38">
        <f ca="1">Master_List!$AW$25</f>
        <v>0</v>
      </c>
      <c r="AN29" s="38">
        <f ca="1">Master_List!$AW$26</f>
        <v>0</v>
      </c>
      <c r="AO29" s="38" t="str">
        <f ca="1">Master_List!$AW$27</f>
        <v>LVDB TX2</v>
      </c>
      <c r="AP29" s="38" t="str">
        <f ca="1">Master_List!$AW$28</f>
        <v>SUNPOWER TECHNOLOGIES</v>
      </c>
      <c r="AQ29" s="38" t="str">
        <f ca="1">Master_List!$AW$29</f>
        <v>SPS 30-10 L</v>
      </c>
      <c r="AR29" s="38" t="str">
        <f ca="1">Master_List!$AW$30</f>
        <v>11193-8527</v>
      </c>
      <c r="AS29" s="38">
        <f ca="1">Master_List!$AW$31</f>
        <v>0</v>
      </c>
      <c r="AT29" s="38">
        <f ca="1">Master_List!$AW$32</f>
        <v>0</v>
      </c>
      <c r="AU29" s="38">
        <f ca="1">Master_List!$AW$33</f>
        <v>0</v>
      </c>
      <c r="AV29" s="38">
        <f ca="1">Master_List!$AW$34</f>
        <v>0</v>
      </c>
      <c r="AW29" s="38">
        <f ca="1">Master_List!$AW$35</f>
        <v>0</v>
      </c>
      <c r="AX29" s="38">
        <f ca="1">Master_List!$AW$36</f>
        <v>0</v>
      </c>
      <c r="AY29" s="38">
        <f ca="1">Master_List!$AW$37</f>
        <v>0</v>
      </c>
      <c r="AZ29" s="38">
        <f ca="1">Master_List!$AW$38</f>
        <v>0</v>
      </c>
      <c r="BA29" s="38">
        <f ca="1">Master_List!$AW$39</f>
        <v>0</v>
      </c>
      <c r="BB29" s="38" t="s">
        <v>2240</v>
      </c>
      <c r="BC29" s="38" t="s">
        <v>2241</v>
      </c>
      <c r="BD29" s="6" t="s">
        <v>1744</v>
      </c>
      <c r="BE29" s="6" t="s">
        <v>1762</v>
      </c>
      <c r="BF29" s="6" t="s">
        <v>1748</v>
      </c>
      <c r="BG29" s="6" t="str">
        <f t="shared" si="1"/>
        <v>C:\Users\aremi\Desktop\REPORT CBM\PO 42289580 - Pahang 11kV SECOND CYCLE AZZAD 2026\RAW MATERIAL\047. TNB BARU (IR+VI)\RAW DATA\IR</v>
      </c>
      <c r="BH29" s="23" t="s">
        <v>1541</v>
      </c>
      <c r="BU29" s="3"/>
      <c r="BV29" s="3"/>
    </row>
    <row r="30" spans="1:74" ht="12.75" customHeight="1" x14ac:dyDescent="0.2">
      <c r="A30" s="6">
        <v>15</v>
      </c>
      <c r="B30" s="6" t="s">
        <v>1542</v>
      </c>
      <c r="C30" s="6">
        <v>1</v>
      </c>
      <c r="D30" s="6" t="s">
        <v>2265</v>
      </c>
      <c r="E30" s="6">
        <v>15</v>
      </c>
      <c r="F30" s="6" t="str">
        <f ca="1">Master_List!$AW$1</f>
        <v>PERPUSTAKAAN PUSAT</v>
      </c>
      <c r="G30" s="27" t="str">
        <f ca="1">Master_List!$AW$2</f>
        <v>09:30 PM</v>
      </c>
      <c r="H30" s="32" t="str">
        <f ca="1">Master_List!$AW$3</f>
        <v>20/07/2026</v>
      </c>
      <c r="I30" s="28" t="str">
        <f ca="1">Master_List!$AW$4</f>
        <v>28.5</v>
      </c>
      <c r="J30" s="6" t="str">
        <f ca="1">Master_List!$AW$5</f>
        <v>65</v>
      </c>
      <c r="K30" s="6" t="s">
        <v>576</v>
      </c>
      <c r="L30" s="21" t="str">
        <f ca="1">IFERROR(VLOOKUP(B30, Master_List!$A:$I, 2, FALSE), "-")</f>
        <v/>
      </c>
      <c r="M30" s="21" t="str">
        <f ca="1">IFERROR(VLOOKUP(B30, Master_List!$A:$I, 3, FALSE), "-")</f>
        <v/>
      </c>
      <c r="N30" s="21" t="str">
        <f ca="1">IFERROR(VLOOKUP(B30, Master_List!$A:$I, 4, FALSE), "-")</f>
        <v/>
      </c>
      <c r="O30" s="21" t="str">
        <f ca="1">IFERROR(VLOOKUP(B30, Master_List!$A:$I, 5, FALSE), "-")</f>
        <v/>
      </c>
      <c r="P30" s="21" t="str">
        <f ca="1">IFERROR(VLOOKUP(B30, Master_List!$A:$I, 6, FALSE), "-")</f>
        <v/>
      </c>
      <c r="Q30" s="21" t="str">
        <f ca="1">IFERROR(VLOOKUP(B30, Master_List!$A:$I, 7, FALSE), "-")</f>
        <v/>
      </c>
      <c r="R30" s="21" t="str">
        <f ca="1">IFERROR(VLOOKUP(B30, Master_List!$A:$I, 8, FALSE), "-")</f>
        <v/>
      </c>
      <c r="S30" s="21" t="str">
        <f ca="1">IFERROR(VLOOKUP(B30, Master_List!$A:$I, 9, FALSE), "-")</f>
        <v/>
      </c>
      <c r="T30" s="38" t="str">
        <f ca="1">Master_List!$AW$6</f>
        <v>TOSHIBA</v>
      </c>
      <c r="U30" s="38" t="str">
        <f ca="1">Master_List!$AW$7</f>
        <v>MRMU</v>
      </c>
      <c r="V30" s="38" t="str">
        <f ca="1">Master_List!$AW$8</f>
        <v>12kV</v>
      </c>
      <c r="W30" s="38" t="str">
        <f ca="1">Master_List!$AW$9</f>
        <v>2S1F</v>
      </c>
      <c r="X30" s="38" t="str">
        <f ca="1">Master_List!$AW$10</f>
        <v>MTM</v>
      </c>
      <c r="Y30" s="38" t="str">
        <f ca="1">Master_List!$AW$11</f>
        <v>HERMETICALLY SEAL</v>
      </c>
      <c r="Z30" s="38" t="str">
        <f ca="1">Master_List!$AW$12</f>
        <v>750kVA</v>
      </c>
      <c r="AA30" s="38" t="str">
        <f ca="1">Master_List!$AW$13</f>
        <v>1317</v>
      </c>
      <c r="AB30" s="38">
        <f ca="1">Master_List!$AW$14</f>
        <v>0</v>
      </c>
      <c r="AC30" s="38">
        <f ca="1">Master_List!$AW$15</f>
        <v>0</v>
      </c>
      <c r="AD30" s="38">
        <f ca="1">Master_List!$AW$16</f>
        <v>0</v>
      </c>
      <c r="AE30" s="38">
        <f ca="1">Master_List!$AW$17</f>
        <v>0</v>
      </c>
      <c r="AF30" s="38" t="str">
        <f ca="1">Master_List!$AW$18</f>
        <v>INDKOM</v>
      </c>
      <c r="AG30" s="38" t="str">
        <f ca="1">Master_List!$AW$19</f>
        <v>J-SLOTTED</v>
      </c>
      <c r="AH30" s="38" t="str">
        <f ca="1">Master_List!$AW$20</f>
        <v>1600A</v>
      </c>
      <c r="AI30" s="38" t="str">
        <f ca="1">Master_List!$AW$21</f>
        <v>LV5080090</v>
      </c>
      <c r="AJ30" s="38" t="str">
        <f ca="1">Master_List!$AW$22</f>
        <v>LVDB TX1</v>
      </c>
      <c r="AK30" s="38">
        <f ca="1">Master_List!$AW$23</f>
        <v>0</v>
      </c>
      <c r="AL30" s="38">
        <f ca="1">Master_List!$AW$24</f>
        <v>0</v>
      </c>
      <c r="AM30" s="38">
        <f ca="1">Master_List!$AW$25</f>
        <v>0</v>
      </c>
      <c r="AN30" s="38">
        <f ca="1">Master_List!$AW$26</f>
        <v>0</v>
      </c>
      <c r="AO30" s="38" t="str">
        <f ca="1">Master_List!$AW$27</f>
        <v>LVDB TX2</v>
      </c>
      <c r="AP30" s="38" t="str">
        <f ca="1">Master_List!$AW$28</f>
        <v>SUNPOWER TECHNOLOGIES</v>
      </c>
      <c r="AQ30" s="38" t="str">
        <f ca="1">Master_List!$AW$29</f>
        <v>SPS 30-10 L</v>
      </c>
      <c r="AR30" s="38" t="str">
        <f ca="1">Master_List!$AW$30</f>
        <v>11193-8527</v>
      </c>
      <c r="AS30" s="38">
        <f ca="1">Master_List!$AW$31</f>
        <v>0</v>
      </c>
      <c r="AT30" s="38">
        <f ca="1">Master_List!$AW$32</f>
        <v>0</v>
      </c>
      <c r="AU30" s="38">
        <f ca="1">Master_List!$AW$33</f>
        <v>0</v>
      </c>
      <c r="AV30" s="38">
        <f ca="1">Master_List!$AW$34</f>
        <v>0</v>
      </c>
      <c r="AW30" s="38">
        <f ca="1">Master_List!$AW$35</f>
        <v>0</v>
      </c>
      <c r="AX30" s="38">
        <f ca="1">Master_List!$AW$36</f>
        <v>0</v>
      </c>
      <c r="AY30" s="38">
        <f ca="1">Master_List!$AW$37</f>
        <v>0</v>
      </c>
      <c r="AZ30" s="38">
        <f ca="1">Master_List!$AW$38</f>
        <v>0</v>
      </c>
      <c r="BA30" s="38">
        <f ca="1">Master_List!$AW$39</f>
        <v>0</v>
      </c>
      <c r="BB30" s="38" t="s">
        <v>2240</v>
      </c>
      <c r="BC30" s="38" t="s">
        <v>2241</v>
      </c>
      <c r="BD30" s="6" t="s">
        <v>1744</v>
      </c>
      <c r="BE30" s="6" t="s">
        <v>1763</v>
      </c>
      <c r="BF30" s="6" t="s">
        <v>1746</v>
      </c>
      <c r="BG30" s="6" t="str">
        <f t="shared" si="1"/>
        <v>C:\Users\aremi\Desktop\REPORT CBM\PO 42289580 - Pahang 11kV SECOND CYCLE AZZAD 2026\RAW MATERIAL\047. TNB BARU (IR+VI)\RAW DATA\IR</v>
      </c>
      <c r="BH30" s="23" t="s">
        <v>1543</v>
      </c>
      <c r="BU30" s="3"/>
      <c r="BV30" s="3"/>
    </row>
    <row r="31" spans="1:74" ht="12.75" customHeight="1" x14ac:dyDescent="0.2">
      <c r="A31" s="6">
        <v>15</v>
      </c>
      <c r="B31" s="6" t="s">
        <v>1542</v>
      </c>
      <c r="C31" s="6">
        <v>1</v>
      </c>
      <c r="D31" s="6" t="s">
        <v>2265</v>
      </c>
      <c r="E31" s="6">
        <v>15</v>
      </c>
      <c r="F31" s="6" t="str">
        <f ca="1">Master_List!$AW$1</f>
        <v>PERPUSTAKAAN PUSAT</v>
      </c>
      <c r="G31" s="27" t="str">
        <f ca="1">Master_List!$AW$2</f>
        <v>09:30 PM</v>
      </c>
      <c r="H31" s="32" t="str">
        <f ca="1">Master_List!$AW$3</f>
        <v>20/07/2026</v>
      </c>
      <c r="I31" s="28" t="str">
        <f ca="1">Master_List!$AW$4</f>
        <v>28.5</v>
      </c>
      <c r="J31" s="6" t="str">
        <f ca="1">Master_List!$AW$5</f>
        <v>65</v>
      </c>
      <c r="K31" s="6" t="s">
        <v>576</v>
      </c>
      <c r="L31" s="21" t="str">
        <f ca="1">IFERROR(VLOOKUP(B31, Master_List!$A:$I, 2, FALSE), "-")</f>
        <v/>
      </c>
      <c r="M31" s="21" t="str">
        <f ca="1">IFERROR(VLOOKUP(B31, Master_List!$A:$I, 3, FALSE), "-")</f>
        <v/>
      </c>
      <c r="N31" s="21" t="str">
        <f ca="1">IFERROR(VLOOKUP(B31, Master_List!$A:$I, 4, FALSE), "-")</f>
        <v/>
      </c>
      <c r="O31" s="21" t="str">
        <f ca="1">IFERROR(VLOOKUP(B31, Master_List!$A:$I, 5, FALSE), "-")</f>
        <v/>
      </c>
      <c r="P31" s="21" t="str">
        <f ca="1">IFERROR(VLOOKUP(B31, Master_List!$A:$I, 6, FALSE), "-")</f>
        <v/>
      </c>
      <c r="Q31" s="21" t="str">
        <f ca="1">IFERROR(VLOOKUP(B31, Master_List!$A:$I, 7, FALSE), "-")</f>
        <v/>
      </c>
      <c r="R31" s="21" t="str">
        <f ca="1">IFERROR(VLOOKUP(B31, Master_List!$A:$I, 8, FALSE), "-")</f>
        <v/>
      </c>
      <c r="S31" s="21" t="str">
        <f ca="1">IFERROR(VLOOKUP(B31, Master_List!$A:$I, 9, FALSE), "-")</f>
        <v/>
      </c>
      <c r="T31" s="38" t="str">
        <f ca="1">Master_List!$AW$6</f>
        <v>TOSHIBA</v>
      </c>
      <c r="U31" s="38" t="str">
        <f ca="1">Master_List!$AW$7</f>
        <v>MRMU</v>
      </c>
      <c r="V31" s="38" t="str">
        <f ca="1">Master_List!$AW$8</f>
        <v>12kV</v>
      </c>
      <c r="W31" s="38" t="str">
        <f ca="1">Master_List!$AW$9</f>
        <v>2S1F</v>
      </c>
      <c r="X31" s="38" t="str">
        <f ca="1">Master_List!$AW$10</f>
        <v>MTM</v>
      </c>
      <c r="Y31" s="38" t="str">
        <f ca="1">Master_List!$AW$11</f>
        <v>HERMETICALLY SEAL</v>
      </c>
      <c r="Z31" s="38" t="str">
        <f ca="1">Master_List!$AW$12</f>
        <v>750kVA</v>
      </c>
      <c r="AA31" s="38" t="str">
        <f ca="1">Master_List!$AW$13</f>
        <v>1317</v>
      </c>
      <c r="AB31" s="38">
        <f ca="1">Master_List!$AW$14</f>
        <v>0</v>
      </c>
      <c r="AC31" s="38">
        <f ca="1">Master_List!$AW$15</f>
        <v>0</v>
      </c>
      <c r="AD31" s="38">
        <f ca="1">Master_List!$AW$16</f>
        <v>0</v>
      </c>
      <c r="AE31" s="38">
        <f ca="1">Master_List!$AW$17</f>
        <v>0</v>
      </c>
      <c r="AF31" s="38" t="str">
        <f ca="1">Master_List!$AW$18</f>
        <v>INDKOM</v>
      </c>
      <c r="AG31" s="38" t="str">
        <f ca="1">Master_List!$AW$19</f>
        <v>J-SLOTTED</v>
      </c>
      <c r="AH31" s="38" t="str">
        <f ca="1">Master_List!$AW$20</f>
        <v>1600A</v>
      </c>
      <c r="AI31" s="38" t="str">
        <f ca="1">Master_List!$AW$21</f>
        <v>LV5080090</v>
      </c>
      <c r="AJ31" s="38" t="str">
        <f ca="1">Master_List!$AW$22</f>
        <v>LVDB TX1</v>
      </c>
      <c r="AK31" s="38">
        <f ca="1">Master_List!$AW$23</f>
        <v>0</v>
      </c>
      <c r="AL31" s="38">
        <f ca="1">Master_List!$AW$24</f>
        <v>0</v>
      </c>
      <c r="AM31" s="38">
        <f ca="1">Master_List!$AW$25</f>
        <v>0</v>
      </c>
      <c r="AN31" s="38">
        <f ca="1">Master_List!$AW$26</f>
        <v>0</v>
      </c>
      <c r="AO31" s="38" t="str">
        <f ca="1">Master_List!$AW$27</f>
        <v>LVDB TX2</v>
      </c>
      <c r="AP31" s="38" t="str">
        <f ca="1">Master_List!$AW$28</f>
        <v>SUNPOWER TECHNOLOGIES</v>
      </c>
      <c r="AQ31" s="38" t="str">
        <f ca="1">Master_List!$AW$29</f>
        <v>SPS 30-10 L</v>
      </c>
      <c r="AR31" s="38" t="str">
        <f ca="1">Master_List!$AW$30</f>
        <v>11193-8527</v>
      </c>
      <c r="AS31" s="38">
        <f ca="1">Master_List!$AW$31</f>
        <v>0</v>
      </c>
      <c r="AT31" s="38">
        <f ca="1">Master_List!$AW$32</f>
        <v>0</v>
      </c>
      <c r="AU31" s="38">
        <f ca="1">Master_List!$AW$33</f>
        <v>0</v>
      </c>
      <c r="AV31" s="38">
        <f ca="1">Master_List!$AW$34</f>
        <v>0</v>
      </c>
      <c r="AW31" s="38">
        <f ca="1">Master_List!$AW$35</f>
        <v>0</v>
      </c>
      <c r="AX31" s="38">
        <f ca="1">Master_List!$AW$36</f>
        <v>0</v>
      </c>
      <c r="AY31" s="38">
        <f ca="1">Master_List!$AW$37</f>
        <v>0</v>
      </c>
      <c r="AZ31" s="38">
        <f ca="1">Master_List!$AW$38</f>
        <v>0</v>
      </c>
      <c r="BA31" s="38">
        <f ca="1">Master_List!$AW$39</f>
        <v>0</v>
      </c>
      <c r="BB31" s="38" t="s">
        <v>2240</v>
      </c>
      <c r="BC31" s="38" t="s">
        <v>2241</v>
      </c>
      <c r="BD31" s="6" t="s">
        <v>1744</v>
      </c>
      <c r="BE31" s="6" t="s">
        <v>1763</v>
      </c>
      <c r="BF31" s="6" t="s">
        <v>1748</v>
      </c>
      <c r="BG31" s="6" t="str">
        <f t="shared" si="1"/>
        <v>C:\Users\aremi\Desktop\REPORT CBM\PO 42289580 - Pahang 11kV SECOND CYCLE AZZAD 2026\RAW MATERIAL\047. TNB BARU (IR+VI)\RAW DATA\IR</v>
      </c>
      <c r="BH31" s="23" t="s">
        <v>1544</v>
      </c>
      <c r="BU31" s="3"/>
      <c r="BV31" s="3"/>
    </row>
    <row r="32" spans="1:74" ht="12.75" customHeight="1" x14ac:dyDescent="0.2">
      <c r="A32" s="6">
        <v>16</v>
      </c>
      <c r="B32" s="6" t="s">
        <v>1542</v>
      </c>
      <c r="C32" s="6">
        <v>1</v>
      </c>
      <c r="D32" s="6" t="s">
        <v>2265</v>
      </c>
      <c r="E32" s="6">
        <v>16</v>
      </c>
      <c r="F32" s="6" t="str">
        <f ca="1">Master_List!$AW$1</f>
        <v>PERPUSTAKAAN PUSAT</v>
      </c>
      <c r="G32" s="27" t="str">
        <f ca="1">Master_List!$AW$2</f>
        <v>09:30 PM</v>
      </c>
      <c r="H32" s="32" t="str">
        <f ca="1">Master_List!$AW$3</f>
        <v>20/07/2026</v>
      </c>
      <c r="I32" s="28" t="str">
        <f ca="1">Master_List!$AW$4</f>
        <v>28.5</v>
      </c>
      <c r="J32" s="6" t="str">
        <f ca="1">Master_List!$AW$5</f>
        <v>65</v>
      </c>
      <c r="K32" s="6" t="s">
        <v>585</v>
      </c>
      <c r="L32" s="21" t="str">
        <f ca="1">IFERROR(VLOOKUP(B32, Master_List!$A:$I, 2, FALSE), "-")</f>
        <v/>
      </c>
      <c r="M32" s="21" t="str">
        <f ca="1">IFERROR(VLOOKUP(B32, Master_List!$A:$I, 3, FALSE), "-")</f>
        <v/>
      </c>
      <c r="N32" s="21" t="str">
        <f ca="1">IFERROR(VLOOKUP(B32, Master_List!$A:$I, 4, FALSE), "-")</f>
        <v/>
      </c>
      <c r="O32" s="21" t="str">
        <f ca="1">IFERROR(VLOOKUP(B32, Master_List!$A:$I, 5, FALSE), "-")</f>
        <v/>
      </c>
      <c r="P32" s="21" t="str">
        <f ca="1">IFERROR(VLOOKUP(B32, Master_List!$A:$I, 6, FALSE), "-")</f>
        <v/>
      </c>
      <c r="Q32" s="21" t="str">
        <f ca="1">IFERROR(VLOOKUP(B32, Master_List!$A:$I, 7, FALSE), "-")</f>
        <v/>
      </c>
      <c r="R32" s="21" t="str">
        <f ca="1">IFERROR(VLOOKUP(B32, Master_List!$A:$I, 8, FALSE), "-")</f>
        <v/>
      </c>
      <c r="S32" s="21" t="str">
        <f ca="1">IFERROR(VLOOKUP(B32, Master_List!$A:$I, 9, FALSE), "-")</f>
        <v/>
      </c>
      <c r="T32" s="38" t="str">
        <f ca="1">Master_List!$AW$6</f>
        <v>TOSHIBA</v>
      </c>
      <c r="U32" s="38" t="str">
        <f ca="1">Master_List!$AW$7</f>
        <v>MRMU</v>
      </c>
      <c r="V32" s="38" t="str">
        <f ca="1">Master_List!$AW$8</f>
        <v>12kV</v>
      </c>
      <c r="W32" s="38" t="str">
        <f ca="1">Master_List!$AW$9</f>
        <v>2S1F</v>
      </c>
      <c r="X32" s="38" t="str">
        <f ca="1">Master_List!$AW$10</f>
        <v>MTM</v>
      </c>
      <c r="Y32" s="38" t="str">
        <f ca="1">Master_List!$AW$11</f>
        <v>HERMETICALLY SEAL</v>
      </c>
      <c r="Z32" s="38" t="str">
        <f ca="1">Master_List!$AW$12</f>
        <v>750kVA</v>
      </c>
      <c r="AA32" s="38" t="str">
        <f ca="1">Master_List!$AW$13</f>
        <v>1317</v>
      </c>
      <c r="AB32" s="38">
        <f ca="1">Master_List!$AW$14</f>
        <v>0</v>
      </c>
      <c r="AC32" s="38">
        <f ca="1">Master_List!$AW$15</f>
        <v>0</v>
      </c>
      <c r="AD32" s="38">
        <f ca="1">Master_List!$AW$16</f>
        <v>0</v>
      </c>
      <c r="AE32" s="38">
        <f ca="1">Master_List!$AW$17</f>
        <v>0</v>
      </c>
      <c r="AF32" s="38" t="str">
        <f ca="1">Master_List!$AW$18</f>
        <v>INDKOM</v>
      </c>
      <c r="AG32" s="38" t="str">
        <f ca="1">Master_List!$AW$19</f>
        <v>J-SLOTTED</v>
      </c>
      <c r="AH32" s="38" t="str">
        <f ca="1">Master_List!$AW$20</f>
        <v>1600A</v>
      </c>
      <c r="AI32" s="38" t="str">
        <f ca="1">Master_List!$AW$21</f>
        <v>LV5080090</v>
      </c>
      <c r="AJ32" s="38" t="str">
        <f ca="1">Master_List!$AW$22</f>
        <v>LVDB TX1</v>
      </c>
      <c r="AK32" s="38">
        <f ca="1">Master_List!$AW$23</f>
        <v>0</v>
      </c>
      <c r="AL32" s="38">
        <f ca="1">Master_List!$AW$24</f>
        <v>0</v>
      </c>
      <c r="AM32" s="38">
        <f ca="1">Master_List!$AW$25</f>
        <v>0</v>
      </c>
      <c r="AN32" s="38">
        <f ca="1">Master_List!$AW$26</f>
        <v>0</v>
      </c>
      <c r="AO32" s="38" t="str">
        <f ca="1">Master_List!$AW$27</f>
        <v>LVDB TX2</v>
      </c>
      <c r="AP32" s="38" t="str">
        <f ca="1">Master_List!$AW$28</f>
        <v>SUNPOWER TECHNOLOGIES</v>
      </c>
      <c r="AQ32" s="38" t="str">
        <f ca="1">Master_List!$AW$29</f>
        <v>SPS 30-10 L</v>
      </c>
      <c r="AR32" s="38" t="str">
        <f ca="1">Master_List!$AW$30</f>
        <v>11193-8527</v>
      </c>
      <c r="AS32" s="38">
        <f ca="1">Master_List!$AW$31</f>
        <v>0</v>
      </c>
      <c r="AT32" s="38">
        <f ca="1">Master_List!$AW$32</f>
        <v>0</v>
      </c>
      <c r="AU32" s="38">
        <f ca="1">Master_List!$AW$33</f>
        <v>0</v>
      </c>
      <c r="AV32" s="38">
        <f ca="1">Master_List!$AW$34</f>
        <v>0</v>
      </c>
      <c r="AW32" s="38">
        <f ca="1">Master_List!$AW$35</f>
        <v>0</v>
      </c>
      <c r="AX32" s="38">
        <f ca="1">Master_List!$AW$36</f>
        <v>0</v>
      </c>
      <c r="AY32" s="38">
        <f ca="1">Master_List!$AW$37</f>
        <v>0</v>
      </c>
      <c r="AZ32" s="38">
        <f ca="1">Master_List!$AW$38</f>
        <v>0</v>
      </c>
      <c r="BA32" s="38">
        <f ca="1">Master_List!$AW$39</f>
        <v>0</v>
      </c>
      <c r="BB32" s="38" t="s">
        <v>2240</v>
      </c>
      <c r="BC32" s="38" t="s">
        <v>2241</v>
      </c>
      <c r="BD32" s="6" t="s">
        <v>1744</v>
      </c>
      <c r="BE32" s="6" t="s">
        <v>1764</v>
      </c>
      <c r="BF32" s="6" t="s">
        <v>1746</v>
      </c>
      <c r="BG32" s="6" t="str">
        <f t="shared" si="1"/>
        <v>C:\Users\aremi\Desktop\REPORT CBM\PO 42289580 - Pahang 11kV SECOND CYCLE AZZAD 2026\RAW MATERIAL\047. TNB BARU (IR+VI)\RAW DATA\IR</v>
      </c>
      <c r="BH32" s="23" t="s">
        <v>1545</v>
      </c>
      <c r="BU32" s="3"/>
      <c r="BV32" s="3"/>
    </row>
    <row r="33" spans="1:74" ht="12.75" customHeight="1" x14ac:dyDescent="0.2">
      <c r="A33" s="6">
        <v>16</v>
      </c>
      <c r="B33" s="6" t="s">
        <v>1542</v>
      </c>
      <c r="C33" s="6">
        <v>1</v>
      </c>
      <c r="D33" s="6" t="s">
        <v>2265</v>
      </c>
      <c r="E33" s="6">
        <v>16</v>
      </c>
      <c r="F33" s="6" t="str">
        <f ca="1">Master_List!$AW$1</f>
        <v>PERPUSTAKAAN PUSAT</v>
      </c>
      <c r="G33" s="27" t="str">
        <f ca="1">Master_List!$AW$2</f>
        <v>09:30 PM</v>
      </c>
      <c r="H33" s="32" t="str">
        <f ca="1">Master_List!$AW$3</f>
        <v>20/07/2026</v>
      </c>
      <c r="I33" s="28" t="str">
        <f ca="1">Master_List!$AW$4</f>
        <v>28.5</v>
      </c>
      <c r="J33" s="6" t="str">
        <f ca="1">Master_List!$AW$5</f>
        <v>65</v>
      </c>
      <c r="K33" s="6" t="s">
        <v>585</v>
      </c>
      <c r="L33" s="21" t="str">
        <f ca="1">IFERROR(VLOOKUP(B33, Master_List!$A:$I, 2, FALSE), "-")</f>
        <v/>
      </c>
      <c r="M33" s="21" t="str">
        <f ca="1">IFERROR(VLOOKUP(B33, Master_List!$A:$I, 3, FALSE), "-")</f>
        <v/>
      </c>
      <c r="N33" s="21" t="str">
        <f ca="1">IFERROR(VLOOKUP(B33, Master_List!$A:$I, 4, FALSE), "-")</f>
        <v/>
      </c>
      <c r="O33" s="21" t="str">
        <f ca="1">IFERROR(VLOOKUP(B33, Master_List!$A:$I, 5, FALSE), "-")</f>
        <v/>
      </c>
      <c r="P33" s="21" t="str">
        <f ca="1">IFERROR(VLOOKUP(B33, Master_List!$A:$I, 6, FALSE), "-")</f>
        <v/>
      </c>
      <c r="Q33" s="21" t="str">
        <f ca="1">IFERROR(VLOOKUP(B33, Master_List!$A:$I, 7, FALSE), "-")</f>
        <v/>
      </c>
      <c r="R33" s="21" t="str">
        <f ca="1">IFERROR(VLOOKUP(B33, Master_List!$A:$I, 8, FALSE), "-")</f>
        <v/>
      </c>
      <c r="S33" s="21" t="str">
        <f ca="1">IFERROR(VLOOKUP(B33, Master_List!$A:$I, 9, FALSE), "-")</f>
        <v/>
      </c>
      <c r="T33" s="38" t="str">
        <f ca="1">Master_List!$AW$6</f>
        <v>TOSHIBA</v>
      </c>
      <c r="U33" s="38" t="str">
        <f ca="1">Master_List!$AW$7</f>
        <v>MRMU</v>
      </c>
      <c r="V33" s="38" t="str">
        <f ca="1">Master_List!$AW$8</f>
        <v>12kV</v>
      </c>
      <c r="W33" s="38" t="str">
        <f ca="1">Master_List!$AW$9</f>
        <v>2S1F</v>
      </c>
      <c r="X33" s="38" t="str">
        <f ca="1">Master_List!$AW$10</f>
        <v>MTM</v>
      </c>
      <c r="Y33" s="38" t="str">
        <f ca="1">Master_List!$AW$11</f>
        <v>HERMETICALLY SEAL</v>
      </c>
      <c r="Z33" s="38" t="str">
        <f ca="1">Master_List!$AW$12</f>
        <v>750kVA</v>
      </c>
      <c r="AA33" s="38" t="str">
        <f ca="1">Master_List!$AW$13</f>
        <v>1317</v>
      </c>
      <c r="AB33" s="38">
        <f ca="1">Master_List!$AW$14</f>
        <v>0</v>
      </c>
      <c r="AC33" s="38">
        <f ca="1">Master_List!$AW$15</f>
        <v>0</v>
      </c>
      <c r="AD33" s="38">
        <f ca="1">Master_List!$AW$16</f>
        <v>0</v>
      </c>
      <c r="AE33" s="38">
        <f ca="1">Master_List!$AW$17</f>
        <v>0</v>
      </c>
      <c r="AF33" s="38" t="str">
        <f ca="1">Master_List!$AW$18</f>
        <v>INDKOM</v>
      </c>
      <c r="AG33" s="38" t="str">
        <f ca="1">Master_List!$AW$19</f>
        <v>J-SLOTTED</v>
      </c>
      <c r="AH33" s="38" t="str">
        <f ca="1">Master_List!$AW$20</f>
        <v>1600A</v>
      </c>
      <c r="AI33" s="38" t="str">
        <f ca="1">Master_List!$AW$21</f>
        <v>LV5080090</v>
      </c>
      <c r="AJ33" s="38" t="str">
        <f ca="1">Master_List!$AW$22</f>
        <v>LVDB TX1</v>
      </c>
      <c r="AK33" s="38">
        <f ca="1">Master_List!$AW$23</f>
        <v>0</v>
      </c>
      <c r="AL33" s="38">
        <f ca="1">Master_List!$AW$24</f>
        <v>0</v>
      </c>
      <c r="AM33" s="38">
        <f ca="1">Master_List!$AW$25</f>
        <v>0</v>
      </c>
      <c r="AN33" s="38">
        <f ca="1">Master_List!$AW$26</f>
        <v>0</v>
      </c>
      <c r="AO33" s="38" t="str">
        <f ca="1">Master_List!$AW$27</f>
        <v>LVDB TX2</v>
      </c>
      <c r="AP33" s="38" t="str">
        <f ca="1">Master_List!$AW$28</f>
        <v>SUNPOWER TECHNOLOGIES</v>
      </c>
      <c r="AQ33" s="38" t="str">
        <f ca="1">Master_List!$AW$29</f>
        <v>SPS 30-10 L</v>
      </c>
      <c r="AR33" s="38" t="str">
        <f ca="1">Master_List!$AW$30</f>
        <v>11193-8527</v>
      </c>
      <c r="AS33" s="38">
        <f ca="1">Master_List!$AW$31</f>
        <v>0</v>
      </c>
      <c r="AT33" s="38">
        <f ca="1">Master_List!$AW$32</f>
        <v>0</v>
      </c>
      <c r="AU33" s="38">
        <f ca="1">Master_List!$AW$33</f>
        <v>0</v>
      </c>
      <c r="AV33" s="38">
        <f ca="1">Master_List!$AW$34</f>
        <v>0</v>
      </c>
      <c r="AW33" s="38">
        <f ca="1">Master_List!$AW$35</f>
        <v>0</v>
      </c>
      <c r="AX33" s="38">
        <f ca="1">Master_List!$AW$36</f>
        <v>0</v>
      </c>
      <c r="AY33" s="38">
        <f ca="1">Master_List!$AW$37</f>
        <v>0</v>
      </c>
      <c r="AZ33" s="38">
        <f ca="1">Master_List!$AW$38</f>
        <v>0</v>
      </c>
      <c r="BA33" s="38">
        <f ca="1">Master_List!$AW$39</f>
        <v>0</v>
      </c>
      <c r="BB33" s="38" t="s">
        <v>2240</v>
      </c>
      <c r="BC33" s="38" t="s">
        <v>2241</v>
      </c>
      <c r="BD33" s="6" t="s">
        <v>1744</v>
      </c>
      <c r="BE33" s="6" t="s">
        <v>1764</v>
      </c>
      <c r="BF33" s="6" t="s">
        <v>1748</v>
      </c>
      <c r="BG33" s="6" t="str">
        <f t="shared" si="1"/>
        <v>C:\Users\aremi\Desktop\REPORT CBM\PO 42289580 - Pahang 11kV SECOND CYCLE AZZAD 2026\RAW MATERIAL\047. TNB BARU (IR+VI)\RAW DATA\IR</v>
      </c>
      <c r="BH33" s="23" t="s">
        <v>1546</v>
      </c>
      <c r="BU33" s="3"/>
      <c r="BV33" s="3"/>
    </row>
    <row r="34" spans="1:74" ht="12.75" customHeight="1" x14ac:dyDescent="0.2">
      <c r="A34" s="6">
        <v>17</v>
      </c>
      <c r="B34" s="6" t="s">
        <v>1547</v>
      </c>
      <c r="C34" s="6">
        <v>1</v>
      </c>
      <c r="D34" s="6" t="s">
        <v>2265</v>
      </c>
      <c r="E34" s="6">
        <v>17</v>
      </c>
      <c r="F34" s="6" t="str">
        <f ca="1">Master_List!$AW$1</f>
        <v>PERPUSTAKAAN PUSAT</v>
      </c>
      <c r="G34" s="27" t="str">
        <f ca="1">Master_List!$AW$2</f>
        <v>09:30 PM</v>
      </c>
      <c r="H34" s="32" t="str">
        <f ca="1">Master_List!$AW$3</f>
        <v>20/07/2026</v>
      </c>
      <c r="I34" s="28" t="str">
        <f ca="1">Master_List!$AW$4</f>
        <v>28.5</v>
      </c>
      <c r="J34" s="6" t="str">
        <f ca="1">Master_List!$AW$5</f>
        <v>65</v>
      </c>
      <c r="K34" s="6" t="s">
        <v>576</v>
      </c>
      <c r="L34" s="21" t="str">
        <f ca="1">IFERROR(VLOOKUP(B34, Master_List!$A:$I, 2, FALSE), "-")</f>
        <v/>
      </c>
      <c r="M34" s="21" t="str">
        <f ca="1">IFERROR(VLOOKUP(B34, Master_List!$A:$I, 3, FALSE), "-")</f>
        <v/>
      </c>
      <c r="N34" s="21" t="str">
        <f ca="1">IFERROR(VLOOKUP(B34, Master_List!$A:$I, 4, FALSE), "-")</f>
        <v/>
      </c>
      <c r="O34" s="21" t="str">
        <f ca="1">IFERROR(VLOOKUP(B34, Master_List!$A:$I, 5, FALSE), "-")</f>
        <v/>
      </c>
      <c r="P34" s="21" t="str">
        <f ca="1">IFERROR(VLOOKUP(B34, Master_List!$A:$I, 6, FALSE), "-")</f>
        <v/>
      </c>
      <c r="Q34" s="21" t="str">
        <f ca="1">IFERROR(VLOOKUP(B34, Master_List!$A:$I, 7, FALSE), "-")</f>
        <v/>
      </c>
      <c r="R34" s="21" t="str">
        <f ca="1">IFERROR(VLOOKUP(B34, Master_List!$A:$I, 8, FALSE), "-")</f>
        <v/>
      </c>
      <c r="S34" s="21" t="str">
        <f ca="1">IFERROR(VLOOKUP(B34, Master_List!$A:$I, 9, FALSE), "-")</f>
        <v/>
      </c>
      <c r="T34" s="38" t="str">
        <f ca="1">Master_List!$AW$6</f>
        <v>TOSHIBA</v>
      </c>
      <c r="U34" s="38" t="str">
        <f ca="1">Master_List!$AW$7</f>
        <v>MRMU</v>
      </c>
      <c r="V34" s="38" t="str">
        <f ca="1">Master_List!$AW$8</f>
        <v>12kV</v>
      </c>
      <c r="W34" s="38" t="str">
        <f ca="1">Master_List!$AW$9</f>
        <v>2S1F</v>
      </c>
      <c r="X34" s="38" t="str">
        <f ca="1">Master_List!$AW$10</f>
        <v>MTM</v>
      </c>
      <c r="Y34" s="38" t="str">
        <f ca="1">Master_List!$AW$11</f>
        <v>HERMETICALLY SEAL</v>
      </c>
      <c r="Z34" s="38" t="str">
        <f ca="1">Master_List!$AW$12</f>
        <v>750kVA</v>
      </c>
      <c r="AA34" s="38" t="str">
        <f ca="1">Master_List!$AW$13</f>
        <v>1317</v>
      </c>
      <c r="AB34" s="38">
        <f ca="1">Master_List!$AW$14</f>
        <v>0</v>
      </c>
      <c r="AC34" s="38">
        <f ca="1">Master_List!$AW$15</f>
        <v>0</v>
      </c>
      <c r="AD34" s="38">
        <f ca="1">Master_List!$AW$16</f>
        <v>0</v>
      </c>
      <c r="AE34" s="38">
        <f ca="1">Master_List!$AW$17</f>
        <v>0</v>
      </c>
      <c r="AF34" s="38" t="str">
        <f ca="1">Master_List!$AW$18</f>
        <v>INDKOM</v>
      </c>
      <c r="AG34" s="38" t="str">
        <f ca="1">Master_List!$AW$19</f>
        <v>J-SLOTTED</v>
      </c>
      <c r="AH34" s="38" t="str">
        <f ca="1">Master_List!$AW$20</f>
        <v>1600A</v>
      </c>
      <c r="AI34" s="38" t="str">
        <f ca="1">Master_List!$AW$21</f>
        <v>LV5080090</v>
      </c>
      <c r="AJ34" s="38" t="str">
        <f ca="1">Master_List!$AW$22</f>
        <v>LVDB TX1</v>
      </c>
      <c r="AK34" s="38">
        <f ca="1">Master_List!$AW$23</f>
        <v>0</v>
      </c>
      <c r="AL34" s="38">
        <f ca="1">Master_List!$AW$24</f>
        <v>0</v>
      </c>
      <c r="AM34" s="38">
        <f ca="1">Master_List!$AW$25</f>
        <v>0</v>
      </c>
      <c r="AN34" s="38">
        <f ca="1">Master_List!$AW$26</f>
        <v>0</v>
      </c>
      <c r="AO34" s="38" t="str">
        <f ca="1">Master_List!$AW$27</f>
        <v>LVDB TX2</v>
      </c>
      <c r="AP34" s="38" t="str">
        <f ca="1">Master_List!$AW$28</f>
        <v>SUNPOWER TECHNOLOGIES</v>
      </c>
      <c r="AQ34" s="38" t="str">
        <f ca="1">Master_List!$AW$29</f>
        <v>SPS 30-10 L</v>
      </c>
      <c r="AR34" s="38" t="str">
        <f ca="1">Master_List!$AW$30</f>
        <v>11193-8527</v>
      </c>
      <c r="AS34" s="38">
        <f ca="1">Master_List!$AW$31</f>
        <v>0</v>
      </c>
      <c r="AT34" s="38">
        <f ca="1">Master_List!$AW$32</f>
        <v>0</v>
      </c>
      <c r="AU34" s="38">
        <f ca="1">Master_List!$AW$33</f>
        <v>0</v>
      </c>
      <c r="AV34" s="38">
        <f ca="1">Master_List!$AW$34</f>
        <v>0</v>
      </c>
      <c r="AW34" s="38">
        <f ca="1">Master_List!$AW$35</f>
        <v>0</v>
      </c>
      <c r="AX34" s="38">
        <f ca="1">Master_List!$AW$36</f>
        <v>0</v>
      </c>
      <c r="AY34" s="38">
        <f ca="1">Master_List!$AW$37</f>
        <v>0</v>
      </c>
      <c r="AZ34" s="38">
        <f ca="1">Master_List!$AW$38</f>
        <v>0</v>
      </c>
      <c r="BA34" s="38">
        <f ca="1">Master_List!$AW$39</f>
        <v>0</v>
      </c>
      <c r="BB34" s="38" t="s">
        <v>2240</v>
      </c>
      <c r="BC34" s="38" t="s">
        <v>2241</v>
      </c>
      <c r="BD34" s="6" t="s">
        <v>1744</v>
      </c>
      <c r="BE34" s="6" t="s">
        <v>1765</v>
      </c>
      <c r="BF34" s="6" t="s">
        <v>1746</v>
      </c>
      <c r="BG34" s="6" t="str">
        <f t="shared" si="1"/>
        <v>C:\Users\aremi\Desktop\REPORT CBM\PO 42289580 - Pahang 11kV SECOND CYCLE AZZAD 2026\RAW MATERIAL\047. TNB BARU (IR+VI)\RAW DATA\IR</v>
      </c>
      <c r="BH34" s="23" t="s">
        <v>1548</v>
      </c>
      <c r="BU34" s="3"/>
      <c r="BV34" s="3"/>
    </row>
    <row r="35" spans="1:74" ht="12.75" customHeight="1" x14ac:dyDescent="0.2">
      <c r="A35" s="6">
        <v>17</v>
      </c>
      <c r="B35" s="6" t="s">
        <v>1547</v>
      </c>
      <c r="C35" s="6">
        <v>1</v>
      </c>
      <c r="D35" s="6" t="s">
        <v>2265</v>
      </c>
      <c r="E35" s="6">
        <v>17</v>
      </c>
      <c r="F35" s="6" t="str">
        <f ca="1">Master_List!$AW$1</f>
        <v>PERPUSTAKAAN PUSAT</v>
      </c>
      <c r="G35" s="27" t="str">
        <f ca="1">Master_List!$AW$2</f>
        <v>09:30 PM</v>
      </c>
      <c r="H35" s="32" t="str">
        <f ca="1">Master_List!$AW$3</f>
        <v>20/07/2026</v>
      </c>
      <c r="I35" s="28" t="str">
        <f ca="1">Master_List!$AW$4</f>
        <v>28.5</v>
      </c>
      <c r="J35" s="6" t="str">
        <f ca="1">Master_List!$AW$5</f>
        <v>65</v>
      </c>
      <c r="K35" s="6" t="s">
        <v>576</v>
      </c>
      <c r="L35" s="21" t="str">
        <f ca="1">IFERROR(VLOOKUP(B35, Master_List!$A:$I, 2, FALSE), "-")</f>
        <v/>
      </c>
      <c r="M35" s="21" t="str">
        <f ca="1">IFERROR(VLOOKUP(B35, Master_List!$A:$I, 3, FALSE), "-")</f>
        <v/>
      </c>
      <c r="N35" s="21" t="str">
        <f ca="1">IFERROR(VLOOKUP(B35, Master_List!$A:$I, 4, FALSE), "-")</f>
        <v/>
      </c>
      <c r="O35" s="21" t="str">
        <f ca="1">IFERROR(VLOOKUP(B35, Master_List!$A:$I, 5, FALSE), "-")</f>
        <v/>
      </c>
      <c r="P35" s="21" t="str">
        <f ca="1">IFERROR(VLOOKUP(B35, Master_List!$A:$I, 6, FALSE), "-")</f>
        <v/>
      </c>
      <c r="Q35" s="21" t="str">
        <f ca="1">IFERROR(VLOOKUP(B35, Master_List!$A:$I, 7, FALSE), "-")</f>
        <v/>
      </c>
      <c r="R35" s="21" t="str">
        <f ca="1">IFERROR(VLOOKUP(B35, Master_List!$A:$I, 8, FALSE), "-")</f>
        <v/>
      </c>
      <c r="S35" s="21" t="str">
        <f ca="1">IFERROR(VLOOKUP(B35, Master_List!$A:$I, 9, FALSE), "-")</f>
        <v/>
      </c>
      <c r="T35" s="38" t="str">
        <f ca="1">Master_List!$AW$6</f>
        <v>TOSHIBA</v>
      </c>
      <c r="U35" s="38" t="str">
        <f ca="1">Master_List!$AW$7</f>
        <v>MRMU</v>
      </c>
      <c r="V35" s="38" t="str">
        <f ca="1">Master_List!$AW$8</f>
        <v>12kV</v>
      </c>
      <c r="W35" s="38" t="str">
        <f ca="1">Master_List!$AW$9</f>
        <v>2S1F</v>
      </c>
      <c r="X35" s="38" t="str">
        <f ca="1">Master_List!$AW$10</f>
        <v>MTM</v>
      </c>
      <c r="Y35" s="38" t="str">
        <f ca="1">Master_List!$AW$11</f>
        <v>HERMETICALLY SEAL</v>
      </c>
      <c r="Z35" s="38" t="str">
        <f ca="1">Master_List!$AW$12</f>
        <v>750kVA</v>
      </c>
      <c r="AA35" s="38" t="str">
        <f ca="1">Master_List!$AW$13</f>
        <v>1317</v>
      </c>
      <c r="AB35" s="38">
        <f ca="1">Master_List!$AW$14</f>
        <v>0</v>
      </c>
      <c r="AC35" s="38">
        <f ca="1">Master_List!$AW$15</f>
        <v>0</v>
      </c>
      <c r="AD35" s="38">
        <f ca="1">Master_List!$AW$16</f>
        <v>0</v>
      </c>
      <c r="AE35" s="38">
        <f ca="1">Master_List!$AW$17</f>
        <v>0</v>
      </c>
      <c r="AF35" s="38" t="str">
        <f ca="1">Master_List!$AW$18</f>
        <v>INDKOM</v>
      </c>
      <c r="AG35" s="38" t="str">
        <f ca="1">Master_List!$AW$19</f>
        <v>J-SLOTTED</v>
      </c>
      <c r="AH35" s="38" t="str">
        <f ca="1">Master_List!$AW$20</f>
        <v>1600A</v>
      </c>
      <c r="AI35" s="38" t="str">
        <f ca="1">Master_List!$AW$21</f>
        <v>LV5080090</v>
      </c>
      <c r="AJ35" s="38" t="str">
        <f ca="1">Master_List!$AW$22</f>
        <v>LVDB TX1</v>
      </c>
      <c r="AK35" s="38">
        <f ca="1">Master_List!$AW$23</f>
        <v>0</v>
      </c>
      <c r="AL35" s="38">
        <f ca="1">Master_List!$AW$24</f>
        <v>0</v>
      </c>
      <c r="AM35" s="38">
        <f ca="1">Master_List!$AW$25</f>
        <v>0</v>
      </c>
      <c r="AN35" s="38">
        <f ca="1">Master_List!$AW$26</f>
        <v>0</v>
      </c>
      <c r="AO35" s="38" t="str">
        <f ca="1">Master_List!$AW$27</f>
        <v>LVDB TX2</v>
      </c>
      <c r="AP35" s="38" t="str">
        <f ca="1">Master_List!$AW$28</f>
        <v>SUNPOWER TECHNOLOGIES</v>
      </c>
      <c r="AQ35" s="38" t="str">
        <f ca="1">Master_List!$AW$29</f>
        <v>SPS 30-10 L</v>
      </c>
      <c r="AR35" s="38" t="str">
        <f ca="1">Master_List!$AW$30</f>
        <v>11193-8527</v>
      </c>
      <c r="AS35" s="38">
        <f ca="1">Master_List!$AW$31</f>
        <v>0</v>
      </c>
      <c r="AT35" s="38">
        <f ca="1">Master_List!$AW$32</f>
        <v>0</v>
      </c>
      <c r="AU35" s="38">
        <f ca="1">Master_List!$AW$33</f>
        <v>0</v>
      </c>
      <c r="AV35" s="38">
        <f ca="1">Master_List!$AW$34</f>
        <v>0</v>
      </c>
      <c r="AW35" s="38">
        <f ca="1">Master_List!$AW$35</f>
        <v>0</v>
      </c>
      <c r="AX35" s="38">
        <f ca="1">Master_List!$AW$36</f>
        <v>0</v>
      </c>
      <c r="AY35" s="38">
        <f ca="1">Master_List!$AW$37</f>
        <v>0</v>
      </c>
      <c r="AZ35" s="38">
        <f ca="1">Master_List!$AW$38</f>
        <v>0</v>
      </c>
      <c r="BA35" s="38">
        <f ca="1">Master_List!$AW$39</f>
        <v>0</v>
      </c>
      <c r="BB35" s="38" t="s">
        <v>2240</v>
      </c>
      <c r="BC35" s="38" t="s">
        <v>2241</v>
      </c>
      <c r="BD35" s="6" t="s">
        <v>1744</v>
      </c>
      <c r="BE35" s="6" t="s">
        <v>1765</v>
      </c>
      <c r="BF35" s="6" t="s">
        <v>1748</v>
      </c>
      <c r="BG35" s="6" t="str">
        <f t="shared" ref="BG35:BG66" si="2">BG34</f>
        <v>C:\Users\aremi\Desktop\REPORT CBM\PO 42289580 - Pahang 11kV SECOND CYCLE AZZAD 2026\RAW MATERIAL\047. TNB BARU (IR+VI)\RAW DATA\IR</v>
      </c>
      <c r="BH35" s="23" t="s">
        <v>1549</v>
      </c>
      <c r="BU35" s="3"/>
      <c r="BV35" s="3"/>
    </row>
    <row r="36" spans="1:74" ht="12.75" customHeight="1" x14ac:dyDescent="0.2">
      <c r="A36" s="6">
        <v>18</v>
      </c>
      <c r="B36" s="6" t="s">
        <v>1547</v>
      </c>
      <c r="C36" s="6">
        <v>1</v>
      </c>
      <c r="D36" s="6" t="s">
        <v>2265</v>
      </c>
      <c r="E36" s="6">
        <v>18</v>
      </c>
      <c r="F36" s="6" t="str">
        <f ca="1">Master_List!$AW$1</f>
        <v>PERPUSTAKAAN PUSAT</v>
      </c>
      <c r="G36" s="27" t="str">
        <f ca="1">Master_List!$AW$2</f>
        <v>09:30 PM</v>
      </c>
      <c r="H36" s="32" t="str">
        <f ca="1">Master_List!$AW$3</f>
        <v>20/07/2026</v>
      </c>
      <c r="I36" s="28" t="str">
        <f ca="1">Master_List!$AW$4</f>
        <v>28.5</v>
      </c>
      <c r="J36" s="6" t="str">
        <f ca="1">Master_List!$AW$5</f>
        <v>65</v>
      </c>
      <c r="K36" s="6" t="s">
        <v>585</v>
      </c>
      <c r="L36" s="21" t="str">
        <f ca="1">IFERROR(VLOOKUP(B36, Master_List!$A:$I, 2, FALSE), "-")</f>
        <v/>
      </c>
      <c r="M36" s="21" t="str">
        <f ca="1">IFERROR(VLOOKUP(B36, Master_List!$A:$I, 3, FALSE), "-")</f>
        <v/>
      </c>
      <c r="N36" s="21" t="str">
        <f ca="1">IFERROR(VLOOKUP(B36, Master_List!$A:$I, 4, FALSE), "-")</f>
        <v/>
      </c>
      <c r="O36" s="21" t="str">
        <f ca="1">IFERROR(VLOOKUP(B36, Master_List!$A:$I, 5, FALSE), "-")</f>
        <v/>
      </c>
      <c r="P36" s="21" t="str">
        <f ca="1">IFERROR(VLOOKUP(B36, Master_List!$A:$I, 6, FALSE), "-")</f>
        <v/>
      </c>
      <c r="Q36" s="21" t="str">
        <f ca="1">IFERROR(VLOOKUP(B36, Master_List!$A:$I, 7, FALSE), "-")</f>
        <v/>
      </c>
      <c r="R36" s="21" t="str">
        <f ca="1">IFERROR(VLOOKUP(B36, Master_List!$A:$I, 8, FALSE), "-")</f>
        <v/>
      </c>
      <c r="S36" s="21" t="str">
        <f ca="1">IFERROR(VLOOKUP(B36, Master_List!$A:$I, 9, FALSE), "-")</f>
        <v/>
      </c>
      <c r="T36" s="38" t="str">
        <f ca="1">Master_List!$AW$6</f>
        <v>TOSHIBA</v>
      </c>
      <c r="U36" s="38" t="str">
        <f ca="1">Master_List!$AW$7</f>
        <v>MRMU</v>
      </c>
      <c r="V36" s="38" t="str">
        <f ca="1">Master_List!$AW$8</f>
        <v>12kV</v>
      </c>
      <c r="W36" s="38" t="str">
        <f ca="1">Master_List!$AW$9</f>
        <v>2S1F</v>
      </c>
      <c r="X36" s="38" t="str">
        <f ca="1">Master_List!$AW$10</f>
        <v>MTM</v>
      </c>
      <c r="Y36" s="38" t="str">
        <f ca="1">Master_List!$AW$11</f>
        <v>HERMETICALLY SEAL</v>
      </c>
      <c r="Z36" s="38" t="str">
        <f ca="1">Master_List!$AW$12</f>
        <v>750kVA</v>
      </c>
      <c r="AA36" s="38" t="str">
        <f ca="1">Master_List!$AW$13</f>
        <v>1317</v>
      </c>
      <c r="AB36" s="38">
        <f ca="1">Master_List!$AW$14</f>
        <v>0</v>
      </c>
      <c r="AC36" s="38">
        <f ca="1">Master_List!$AW$15</f>
        <v>0</v>
      </c>
      <c r="AD36" s="38">
        <f ca="1">Master_List!$AW$16</f>
        <v>0</v>
      </c>
      <c r="AE36" s="38">
        <f ca="1">Master_List!$AW$17</f>
        <v>0</v>
      </c>
      <c r="AF36" s="38" t="str">
        <f ca="1">Master_List!$AW$18</f>
        <v>INDKOM</v>
      </c>
      <c r="AG36" s="38" t="str">
        <f ca="1">Master_List!$AW$19</f>
        <v>J-SLOTTED</v>
      </c>
      <c r="AH36" s="38" t="str">
        <f ca="1">Master_List!$AW$20</f>
        <v>1600A</v>
      </c>
      <c r="AI36" s="38" t="str">
        <f ca="1">Master_List!$AW$21</f>
        <v>LV5080090</v>
      </c>
      <c r="AJ36" s="38" t="str">
        <f ca="1">Master_List!$AW$22</f>
        <v>LVDB TX1</v>
      </c>
      <c r="AK36" s="38">
        <f ca="1">Master_List!$AW$23</f>
        <v>0</v>
      </c>
      <c r="AL36" s="38">
        <f ca="1">Master_List!$AW$24</f>
        <v>0</v>
      </c>
      <c r="AM36" s="38">
        <f ca="1">Master_List!$AW$25</f>
        <v>0</v>
      </c>
      <c r="AN36" s="38">
        <f ca="1">Master_List!$AW$26</f>
        <v>0</v>
      </c>
      <c r="AO36" s="38" t="str">
        <f ca="1">Master_List!$AW$27</f>
        <v>LVDB TX2</v>
      </c>
      <c r="AP36" s="38" t="str">
        <f ca="1">Master_List!$AW$28</f>
        <v>SUNPOWER TECHNOLOGIES</v>
      </c>
      <c r="AQ36" s="38" t="str">
        <f ca="1">Master_List!$AW$29</f>
        <v>SPS 30-10 L</v>
      </c>
      <c r="AR36" s="38" t="str">
        <f ca="1">Master_List!$AW$30</f>
        <v>11193-8527</v>
      </c>
      <c r="AS36" s="38">
        <f ca="1">Master_List!$AW$31</f>
        <v>0</v>
      </c>
      <c r="AT36" s="38">
        <f ca="1">Master_List!$AW$32</f>
        <v>0</v>
      </c>
      <c r="AU36" s="38">
        <f ca="1">Master_List!$AW$33</f>
        <v>0</v>
      </c>
      <c r="AV36" s="38">
        <f ca="1">Master_List!$AW$34</f>
        <v>0</v>
      </c>
      <c r="AW36" s="38">
        <f ca="1">Master_List!$AW$35</f>
        <v>0</v>
      </c>
      <c r="AX36" s="38">
        <f ca="1">Master_List!$AW$36</f>
        <v>0</v>
      </c>
      <c r="AY36" s="38">
        <f ca="1">Master_List!$AW$37</f>
        <v>0</v>
      </c>
      <c r="AZ36" s="38">
        <f ca="1">Master_List!$AW$38</f>
        <v>0</v>
      </c>
      <c r="BA36" s="38">
        <f ca="1">Master_List!$AW$39</f>
        <v>0</v>
      </c>
      <c r="BB36" s="38" t="s">
        <v>2240</v>
      </c>
      <c r="BC36" s="38" t="s">
        <v>2241</v>
      </c>
      <c r="BD36" s="6" t="s">
        <v>1744</v>
      </c>
      <c r="BE36" s="6" t="s">
        <v>1766</v>
      </c>
      <c r="BF36" s="6" t="s">
        <v>1746</v>
      </c>
      <c r="BG36" s="6" t="str">
        <f t="shared" si="2"/>
        <v>C:\Users\aremi\Desktop\REPORT CBM\PO 42289580 - Pahang 11kV SECOND CYCLE AZZAD 2026\RAW MATERIAL\047. TNB BARU (IR+VI)\RAW DATA\IR</v>
      </c>
      <c r="BH36" s="23" t="s">
        <v>1550</v>
      </c>
      <c r="BU36" s="3"/>
      <c r="BV36" s="3"/>
    </row>
    <row r="37" spans="1:74" ht="12.75" customHeight="1" x14ac:dyDescent="0.2">
      <c r="A37" s="6">
        <v>18</v>
      </c>
      <c r="B37" s="6" t="s">
        <v>1547</v>
      </c>
      <c r="C37" s="6">
        <v>1</v>
      </c>
      <c r="D37" s="6" t="s">
        <v>2265</v>
      </c>
      <c r="E37" s="6">
        <v>18</v>
      </c>
      <c r="F37" s="6" t="str">
        <f ca="1">Master_List!$AW$1</f>
        <v>PERPUSTAKAAN PUSAT</v>
      </c>
      <c r="G37" s="27" t="str">
        <f ca="1">Master_List!$AW$2</f>
        <v>09:30 PM</v>
      </c>
      <c r="H37" s="32" t="str">
        <f ca="1">Master_List!$AW$3</f>
        <v>20/07/2026</v>
      </c>
      <c r="I37" s="28" t="str">
        <f ca="1">Master_List!$AW$4</f>
        <v>28.5</v>
      </c>
      <c r="J37" s="6" t="str">
        <f ca="1">Master_List!$AW$5</f>
        <v>65</v>
      </c>
      <c r="K37" s="6" t="s">
        <v>585</v>
      </c>
      <c r="L37" s="21" t="str">
        <f ca="1">IFERROR(VLOOKUP(B37, Master_List!$A:$I, 2, FALSE), "-")</f>
        <v/>
      </c>
      <c r="M37" s="21" t="str">
        <f ca="1">IFERROR(VLOOKUP(B37, Master_List!$A:$I, 3, FALSE), "-")</f>
        <v/>
      </c>
      <c r="N37" s="21" t="str">
        <f ca="1">IFERROR(VLOOKUP(B37, Master_List!$A:$I, 4, FALSE), "-")</f>
        <v/>
      </c>
      <c r="O37" s="21" t="str">
        <f ca="1">IFERROR(VLOOKUP(B37, Master_List!$A:$I, 5, FALSE), "-")</f>
        <v/>
      </c>
      <c r="P37" s="21" t="str">
        <f ca="1">IFERROR(VLOOKUP(B37, Master_List!$A:$I, 6, FALSE), "-")</f>
        <v/>
      </c>
      <c r="Q37" s="21" t="str">
        <f ca="1">IFERROR(VLOOKUP(B37, Master_List!$A:$I, 7, FALSE), "-")</f>
        <v/>
      </c>
      <c r="R37" s="21" t="str">
        <f ca="1">IFERROR(VLOOKUP(B37, Master_List!$A:$I, 8, FALSE), "-")</f>
        <v/>
      </c>
      <c r="S37" s="21" t="str">
        <f ca="1">IFERROR(VLOOKUP(B37, Master_List!$A:$I, 9, FALSE), "-")</f>
        <v/>
      </c>
      <c r="T37" s="38" t="str">
        <f ca="1">Master_List!$AW$6</f>
        <v>TOSHIBA</v>
      </c>
      <c r="U37" s="38" t="str">
        <f ca="1">Master_List!$AW$7</f>
        <v>MRMU</v>
      </c>
      <c r="V37" s="38" t="str">
        <f ca="1">Master_List!$AW$8</f>
        <v>12kV</v>
      </c>
      <c r="W37" s="38" t="str">
        <f ca="1">Master_List!$AW$9</f>
        <v>2S1F</v>
      </c>
      <c r="X37" s="38" t="str">
        <f ca="1">Master_List!$AW$10</f>
        <v>MTM</v>
      </c>
      <c r="Y37" s="38" t="str">
        <f ca="1">Master_List!$AW$11</f>
        <v>HERMETICALLY SEAL</v>
      </c>
      <c r="Z37" s="38" t="str">
        <f ca="1">Master_List!$AW$12</f>
        <v>750kVA</v>
      </c>
      <c r="AA37" s="38" t="str">
        <f ca="1">Master_List!$AW$13</f>
        <v>1317</v>
      </c>
      <c r="AB37" s="38">
        <f ca="1">Master_List!$AW$14</f>
        <v>0</v>
      </c>
      <c r="AC37" s="38">
        <f ca="1">Master_List!$AW$15</f>
        <v>0</v>
      </c>
      <c r="AD37" s="38">
        <f ca="1">Master_List!$AW$16</f>
        <v>0</v>
      </c>
      <c r="AE37" s="38">
        <f ca="1">Master_List!$AW$17</f>
        <v>0</v>
      </c>
      <c r="AF37" s="38" t="str">
        <f ca="1">Master_List!$AW$18</f>
        <v>INDKOM</v>
      </c>
      <c r="AG37" s="38" t="str">
        <f ca="1">Master_List!$AW$19</f>
        <v>J-SLOTTED</v>
      </c>
      <c r="AH37" s="38" t="str">
        <f ca="1">Master_List!$AW$20</f>
        <v>1600A</v>
      </c>
      <c r="AI37" s="38" t="str">
        <f ca="1">Master_List!$AW$21</f>
        <v>LV5080090</v>
      </c>
      <c r="AJ37" s="38" t="str">
        <f ca="1">Master_List!$AW$22</f>
        <v>LVDB TX1</v>
      </c>
      <c r="AK37" s="38">
        <f ca="1">Master_List!$AW$23</f>
        <v>0</v>
      </c>
      <c r="AL37" s="38">
        <f ca="1">Master_List!$AW$24</f>
        <v>0</v>
      </c>
      <c r="AM37" s="38">
        <f ca="1">Master_List!$AW$25</f>
        <v>0</v>
      </c>
      <c r="AN37" s="38">
        <f ca="1">Master_List!$AW$26</f>
        <v>0</v>
      </c>
      <c r="AO37" s="38" t="str">
        <f ca="1">Master_List!$AW$27</f>
        <v>LVDB TX2</v>
      </c>
      <c r="AP37" s="38" t="str">
        <f ca="1">Master_List!$AW$28</f>
        <v>SUNPOWER TECHNOLOGIES</v>
      </c>
      <c r="AQ37" s="38" t="str">
        <f ca="1">Master_List!$AW$29</f>
        <v>SPS 30-10 L</v>
      </c>
      <c r="AR37" s="38" t="str">
        <f ca="1">Master_List!$AW$30</f>
        <v>11193-8527</v>
      </c>
      <c r="AS37" s="38">
        <f ca="1">Master_List!$AW$31</f>
        <v>0</v>
      </c>
      <c r="AT37" s="38">
        <f ca="1">Master_List!$AW$32</f>
        <v>0</v>
      </c>
      <c r="AU37" s="38">
        <f ca="1">Master_List!$AW$33</f>
        <v>0</v>
      </c>
      <c r="AV37" s="38">
        <f ca="1">Master_List!$AW$34</f>
        <v>0</v>
      </c>
      <c r="AW37" s="38">
        <f ca="1">Master_List!$AW$35</f>
        <v>0</v>
      </c>
      <c r="AX37" s="38">
        <f ca="1">Master_List!$AW$36</f>
        <v>0</v>
      </c>
      <c r="AY37" s="38">
        <f ca="1">Master_List!$AW$37</f>
        <v>0</v>
      </c>
      <c r="AZ37" s="38">
        <f ca="1">Master_List!$AW$38</f>
        <v>0</v>
      </c>
      <c r="BA37" s="38">
        <f ca="1">Master_List!$AW$39</f>
        <v>0</v>
      </c>
      <c r="BB37" s="38" t="s">
        <v>2240</v>
      </c>
      <c r="BC37" s="38" t="s">
        <v>2241</v>
      </c>
      <c r="BD37" s="6" t="s">
        <v>1744</v>
      </c>
      <c r="BE37" s="6" t="s">
        <v>1766</v>
      </c>
      <c r="BF37" s="6" t="s">
        <v>1748</v>
      </c>
      <c r="BG37" s="6" t="str">
        <f t="shared" si="2"/>
        <v>C:\Users\aremi\Desktop\REPORT CBM\PO 42289580 - Pahang 11kV SECOND CYCLE AZZAD 2026\RAW MATERIAL\047. TNB BARU (IR+VI)\RAW DATA\IR</v>
      </c>
      <c r="BH37" s="23" t="s">
        <v>1551</v>
      </c>
      <c r="BU37" s="3"/>
      <c r="BV37" s="3"/>
    </row>
    <row r="38" spans="1:74" ht="12.75" customHeight="1" x14ac:dyDescent="0.2">
      <c r="A38" s="6">
        <v>19</v>
      </c>
      <c r="B38" s="6" t="s">
        <v>1552</v>
      </c>
      <c r="C38" s="6">
        <v>1</v>
      </c>
      <c r="D38" s="6" t="s">
        <v>2265</v>
      </c>
      <c r="E38" s="6">
        <v>19</v>
      </c>
      <c r="F38" s="6" t="str">
        <f ca="1">Master_List!$AW$1</f>
        <v>PERPUSTAKAAN PUSAT</v>
      </c>
      <c r="G38" s="27" t="str">
        <f ca="1">Master_List!$AW$2</f>
        <v>09:30 PM</v>
      </c>
      <c r="H38" s="32" t="str">
        <f ca="1">Master_List!$AW$3</f>
        <v>20/07/2026</v>
      </c>
      <c r="I38" s="28" t="str">
        <f ca="1">Master_List!$AW$4</f>
        <v>28.5</v>
      </c>
      <c r="J38" s="6" t="str">
        <f ca="1">Master_List!$AW$5</f>
        <v>65</v>
      </c>
      <c r="K38" s="6" t="s">
        <v>576</v>
      </c>
      <c r="L38" s="21" t="str">
        <f ca="1">IFERROR(VLOOKUP(B38, Master_List!$A:$I, 2, FALSE), "-")</f>
        <v/>
      </c>
      <c r="M38" s="21" t="str">
        <f ca="1">IFERROR(VLOOKUP(B38, Master_List!$A:$I, 3, FALSE), "-")</f>
        <v/>
      </c>
      <c r="N38" s="21" t="str">
        <f ca="1">IFERROR(VLOOKUP(B38, Master_List!$A:$I, 4, FALSE), "-")</f>
        <v/>
      </c>
      <c r="O38" s="21" t="str">
        <f ca="1">IFERROR(VLOOKUP(B38, Master_List!$A:$I, 5, FALSE), "-")</f>
        <v/>
      </c>
      <c r="P38" s="21" t="str">
        <f ca="1">IFERROR(VLOOKUP(B38, Master_List!$A:$I, 6, FALSE), "-")</f>
        <v/>
      </c>
      <c r="Q38" s="21" t="str">
        <f ca="1">IFERROR(VLOOKUP(B38, Master_List!$A:$I, 7, FALSE), "-")</f>
        <v/>
      </c>
      <c r="R38" s="21" t="str">
        <f ca="1">IFERROR(VLOOKUP(B38, Master_List!$A:$I, 8, FALSE), "-")</f>
        <v/>
      </c>
      <c r="S38" s="21" t="str">
        <f ca="1">IFERROR(VLOOKUP(B38, Master_List!$A:$I, 9, FALSE), "-")</f>
        <v/>
      </c>
      <c r="T38" s="38" t="str">
        <f ca="1">Master_List!$AW$6</f>
        <v>TOSHIBA</v>
      </c>
      <c r="U38" s="38" t="str">
        <f ca="1">Master_List!$AW$7</f>
        <v>MRMU</v>
      </c>
      <c r="V38" s="38" t="str">
        <f ca="1">Master_List!$AW$8</f>
        <v>12kV</v>
      </c>
      <c r="W38" s="38" t="str">
        <f ca="1">Master_List!$AW$9</f>
        <v>2S1F</v>
      </c>
      <c r="X38" s="38" t="str">
        <f ca="1">Master_List!$AW$10</f>
        <v>MTM</v>
      </c>
      <c r="Y38" s="38" t="str">
        <f ca="1">Master_List!$AW$11</f>
        <v>HERMETICALLY SEAL</v>
      </c>
      <c r="Z38" s="38" t="str">
        <f ca="1">Master_List!$AW$12</f>
        <v>750kVA</v>
      </c>
      <c r="AA38" s="38" t="str">
        <f ca="1">Master_List!$AW$13</f>
        <v>1317</v>
      </c>
      <c r="AB38" s="38">
        <f ca="1">Master_List!$AW$14</f>
        <v>0</v>
      </c>
      <c r="AC38" s="38">
        <f ca="1">Master_List!$AW$15</f>
        <v>0</v>
      </c>
      <c r="AD38" s="38">
        <f ca="1">Master_List!$AW$16</f>
        <v>0</v>
      </c>
      <c r="AE38" s="38">
        <f ca="1">Master_List!$AW$17</f>
        <v>0</v>
      </c>
      <c r="AF38" s="38" t="str">
        <f ca="1">Master_List!$AW$18</f>
        <v>INDKOM</v>
      </c>
      <c r="AG38" s="38" t="str">
        <f ca="1">Master_List!$AW$19</f>
        <v>J-SLOTTED</v>
      </c>
      <c r="AH38" s="38" t="str">
        <f ca="1">Master_List!$AW$20</f>
        <v>1600A</v>
      </c>
      <c r="AI38" s="38" t="str">
        <f ca="1">Master_List!$AW$21</f>
        <v>LV5080090</v>
      </c>
      <c r="AJ38" s="38" t="str">
        <f ca="1">Master_List!$AW$22</f>
        <v>LVDB TX1</v>
      </c>
      <c r="AK38" s="38">
        <f ca="1">Master_List!$AW$23</f>
        <v>0</v>
      </c>
      <c r="AL38" s="38">
        <f ca="1">Master_List!$AW$24</f>
        <v>0</v>
      </c>
      <c r="AM38" s="38">
        <f ca="1">Master_List!$AW$25</f>
        <v>0</v>
      </c>
      <c r="AN38" s="38">
        <f ca="1">Master_List!$AW$26</f>
        <v>0</v>
      </c>
      <c r="AO38" s="38" t="str">
        <f ca="1">Master_List!$AW$27</f>
        <v>LVDB TX2</v>
      </c>
      <c r="AP38" s="38" t="str">
        <f ca="1">Master_List!$AW$28</f>
        <v>SUNPOWER TECHNOLOGIES</v>
      </c>
      <c r="AQ38" s="38" t="str">
        <f ca="1">Master_List!$AW$29</f>
        <v>SPS 30-10 L</v>
      </c>
      <c r="AR38" s="38" t="str">
        <f ca="1">Master_List!$AW$30</f>
        <v>11193-8527</v>
      </c>
      <c r="AS38" s="38">
        <f ca="1">Master_List!$AW$31</f>
        <v>0</v>
      </c>
      <c r="AT38" s="38">
        <f ca="1">Master_List!$AW$32</f>
        <v>0</v>
      </c>
      <c r="AU38" s="38">
        <f ca="1">Master_List!$AW$33</f>
        <v>0</v>
      </c>
      <c r="AV38" s="38">
        <f ca="1">Master_List!$AW$34</f>
        <v>0</v>
      </c>
      <c r="AW38" s="38">
        <f ca="1">Master_List!$AW$35</f>
        <v>0</v>
      </c>
      <c r="AX38" s="38">
        <f ca="1">Master_List!$AW$36</f>
        <v>0</v>
      </c>
      <c r="AY38" s="38">
        <f ca="1">Master_List!$AW$37</f>
        <v>0</v>
      </c>
      <c r="AZ38" s="38">
        <f ca="1">Master_List!$AW$38</f>
        <v>0</v>
      </c>
      <c r="BA38" s="38">
        <f ca="1">Master_List!$AW$39</f>
        <v>0</v>
      </c>
      <c r="BB38" s="38" t="s">
        <v>2240</v>
      </c>
      <c r="BC38" s="38" t="s">
        <v>2241</v>
      </c>
      <c r="BD38" s="6" t="s">
        <v>1744</v>
      </c>
      <c r="BE38" s="6" t="s">
        <v>1768</v>
      </c>
      <c r="BF38" s="6" t="s">
        <v>1746</v>
      </c>
      <c r="BG38" s="6" t="str">
        <f t="shared" si="2"/>
        <v>C:\Users\aremi\Desktop\REPORT CBM\PO 42289580 - Pahang 11kV SECOND CYCLE AZZAD 2026\RAW MATERIAL\047. TNB BARU (IR+VI)\RAW DATA\IR</v>
      </c>
      <c r="BH38" s="23" t="s">
        <v>1553</v>
      </c>
      <c r="BU38" s="3"/>
      <c r="BV38" s="3"/>
    </row>
    <row r="39" spans="1:74" ht="12.75" customHeight="1" x14ac:dyDescent="0.2">
      <c r="A39" s="6">
        <v>19</v>
      </c>
      <c r="B39" s="6" t="s">
        <v>1552</v>
      </c>
      <c r="C39" s="6">
        <v>1</v>
      </c>
      <c r="D39" s="6" t="s">
        <v>2265</v>
      </c>
      <c r="E39" s="6">
        <v>19</v>
      </c>
      <c r="F39" s="6" t="str">
        <f ca="1">Master_List!$AW$1</f>
        <v>PERPUSTAKAAN PUSAT</v>
      </c>
      <c r="G39" s="27" t="str">
        <f ca="1">Master_List!$AW$2</f>
        <v>09:30 PM</v>
      </c>
      <c r="H39" s="32" t="str">
        <f ca="1">Master_List!$AW$3</f>
        <v>20/07/2026</v>
      </c>
      <c r="I39" s="28" t="str">
        <f ca="1">Master_List!$AW$4</f>
        <v>28.5</v>
      </c>
      <c r="J39" s="6" t="str">
        <f ca="1">Master_List!$AW$5</f>
        <v>65</v>
      </c>
      <c r="K39" s="6" t="s">
        <v>576</v>
      </c>
      <c r="L39" s="21" t="str">
        <f ca="1">IFERROR(VLOOKUP(B39, Master_List!$A:$I, 2, FALSE), "-")</f>
        <v/>
      </c>
      <c r="M39" s="21" t="str">
        <f ca="1">IFERROR(VLOOKUP(B39, Master_List!$A:$I, 3, FALSE), "-")</f>
        <v/>
      </c>
      <c r="N39" s="21" t="str">
        <f ca="1">IFERROR(VLOOKUP(B39, Master_List!$A:$I, 4, FALSE), "-")</f>
        <v/>
      </c>
      <c r="O39" s="21" t="str">
        <f ca="1">IFERROR(VLOOKUP(B39, Master_List!$A:$I, 5, FALSE), "-")</f>
        <v/>
      </c>
      <c r="P39" s="21" t="str">
        <f ca="1">IFERROR(VLOOKUP(B39, Master_List!$A:$I, 6, FALSE), "-")</f>
        <v/>
      </c>
      <c r="Q39" s="21" t="str">
        <f ca="1">IFERROR(VLOOKUP(B39, Master_List!$A:$I, 7, FALSE), "-")</f>
        <v/>
      </c>
      <c r="R39" s="21" t="str">
        <f ca="1">IFERROR(VLOOKUP(B39, Master_List!$A:$I, 8, FALSE), "-")</f>
        <v/>
      </c>
      <c r="S39" s="21" t="str">
        <f ca="1">IFERROR(VLOOKUP(B39, Master_List!$A:$I, 9, FALSE), "-")</f>
        <v/>
      </c>
      <c r="T39" s="38" t="str">
        <f ca="1">Master_List!$AW$6</f>
        <v>TOSHIBA</v>
      </c>
      <c r="U39" s="38" t="str">
        <f ca="1">Master_List!$AW$7</f>
        <v>MRMU</v>
      </c>
      <c r="V39" s="38" t="str">
        <f ca="1">Master_List!$AW$8</f>
        <v>12kV</v>
      </c>
      <c r="W39" s="38" t="str">
        <f ca="1">Master_List!$AW$9</f>
        <v>2S1F</v>
      </c>
      <c r="X39" s="38" t="str">
        <f ca="1">Master_List!$AW$10</f>
        <v>MTM</v>
      </c>
      <c r="Y39" s="38" t="str">
        <f ca="1">Master_List!$AW$11</f>
        <v>HERMETICALLY SEAL</v>
      </c>
      <c r="Z39" s="38" t="str">
        <f ca="1">Master_List!$AW$12</f>
        <v>750kVA</v>
      </c>
      <c r="AA39" s="38" t="str">
        <f ca="1">Master_List!$AW$13</f>
        <v>1317</v>
      </c>
      <c r="AB39" s="38">
        <f ca="1">Master_List!$AW$14</f>
        <v>0</v>
      </c>
      <c r="AC39" s="38">
        <f ca="1">Master_List!$AW$15</f>
        <v>0</v>
      </c>
      <c r="AD39" s="38">
        <f ca="1">Master_List!$AW$16</f>
        <v>0</v>
      </c>
      <c r="AE39" s="38">
        <f ca="1">Master_List!$AW$17</f>
        <v>0</v>
      </c>
      <c r="AF39" s="38" t="str">
        <f ca="1">Master_List!$AW$18</f>
        <v>INDKOM</v>
      </c>
      <c r="AG39" s="38" t="str">
        <f ca="1">Master_List!$AW$19</f>
        <v>J-SLOTTED</v>
      </c>
      <c r="AH39" s="38" t="str">
        <f ca="1">Master_List!$AW$20</f>
        <v>1600A</v>
      </c>
      <c r="AI39" s="38" t="str">
        <f ca="1">Master_List!$AW$21</f>
        <v>LV5080090</v>
      </c>
      <c r="AJ39" s="38" t="str">
        <f ca="1">Master_List!$AW$22</f>
        <v>LVDB TX1</v>
      </c>
      <c r="AK39" s="38">
        <f ca="1">Master_List!$AW$23</f>
        <v>0</v>
      </c>
      <c r="AL39" s="38">
        <f ca="1">Master_List!$AW$24</f>
        <v>0</v>
      </c>
      <c r="AM39" s="38">
        <f ca="1">Master_List!$AW$25</f>
        <v>0</v>
      </c>
      <c r="AN39" s="38">
        <f ca="1">Master_List!$AW$26</f>
        <v>0</v>
      </c>
      <c r="AO39" s="38" t="str">
        <f ca="1">Master_List!$AW$27</f>
        <v>LVDB TX2</v>
      </c>
      <c r="AP39" s="38" t="str">
        <f ca="1">Master_List!$AW$28</f>
        <v>SUNPOWER TECHNOLOGIES</v>
      </c>
      <c r="AQ39" s="38" t="str">
        <f ca="1">Master_List!$AW$29</f>
        <v>SPS 30-10 L</v>
      </c>
      <c r="AR39" s="38" t="str">
        <f ca="1">Master_List!$AW$30</f>
        <v>11193-8527</v>
      </c>
      <c r="AS39" s="38">
        <f ca="1">Master_List!$AW$31</f>
        <v>0</v>
      </c>
      <c r="AT39" s="38">
        <f ca="1">Master_List!$AW$32</f>
        <v>0</v>
      </c>
      <c r="AU39" s="38">
        <f ca="1">Master_List!$AW$33</f>
        <v>0</v>
      </c>
      <c r="AV39" s="38">
        <f ca="1">Master_List!$AW$34</f>
        <v>0</v>
      </c>
      <c r="AW39" s="38">
        <f ca="1">Master_List!$AW$35</f>
        <v>0</v>
      </c>
      <c r="AX39" s="38">
        <f ca="1">Master_List!$AW$36</f>
        <v>0</v>
      </c>
      <c r="AY39" s="38">
        <f ca="1">Master_List!$AW$37</f>
        <v>0</v>
      </c>
      <c r="AZ39" s="38">
        <f ca="1">Master_List!$AW$38</f>
        <v>0</v>
      </c>
      <c r="BA39" s="38">
        <f ca="1">Master_List!$AW$39</f>
        <v>0</v>
      </c>
      <c r="BB39" s="38" t="s">
        <v>2240</v>
      </c>
      <c r="BC39" s="38" t="s">
        <v>2241</v>
      </c>
      <c r="BD39" s="6" t="s">
        <v>1744</v>
      </c>
      <c r="BE39" s="6" t="s">
        <v>1768</v>
      </c>
      <c r="BF39" s="6" t="s">
        <v>1748</v>
      </c>
      <c r="BG39" s="6" t="str">
        <f t="shared" si="2"/>
        <v>C:\Users\aremi\Desktop\REPORT CBM\PO 42289580 - Pahang 11kV SECOND CYCLE AZZAD 2026\RAW MATERIAL\047. TNB BARU (IR+VI)\RAW DATA\IR</v>
      </c>
      <c r="BH39" s="23" t="s">
        <v>1554</v>
      </c>
      <c r="BU39" s="3"/>
      <c r="BV39" s="3"/>
    </row>
    <row r="40" spans="1:74" ht="12.75" customHeight="1" x14ac:dyDescent="0.2">
      <c r="A40" s="6">
        <v>20</v>
      </c>
      <c r="B40" s="6" t="s">
        <v>1552</v>
      </c>
      <c r="C40" s="6">
        <v>1</v>
      </c>
      <c r="D40" s="6" t="s">
        <v>2265</v>
      </c>
      <c r="E40" s="6">
        <v>20</v>
      </c>
      <c r="F40" s="6" t="str">
        <f ca="1">Master_List!$AW$1</f>
        <v>PERPUSTAKAAN PUSAT</v>
      </c>
      <c r="G40" s="27" t="str">
        <f ca="1">Master_List!$AW$2</f>
        <v>09:30 PM</v>
      </c>
      <c r="H40" s="32" t="str">
        <f ca="1">Master_List!$AW$3</f>
        <v>20/07/2026</v>
      </c>
      <c r="I40" s="28" t="str">
        <f ca="1">Master_List!$AW$4</f>
        <v>28.5</v>
      </c>
      <c r="J40" s="6" t="str">
        <f ca="1">Master_List!$AW$5</f>
        <v>65</v>
      </c>
      <c r="K40" s="6" t="s">
        <v>585</v>
      </c>
      <c r="L40" s="21" t="str">
        <f ca="1">IFERROR(VLOOKUP(B40, Master_List!$A:$I, 2, FALSE), "-")</f>
        <v/>
      </c>
      <c r="M40" s="21" t="str">
        <f ca="1">IFERROR(VLOOKUP(B40, Master_List!$A:$I, 3, FALSE), "-")</f>
        <v/>
      </c>
      <c r="N40" s="21" t="str">
        <f ca="1">IFERROR(VLOOKUP(B40, Master_List!$A:$I, 4, FALSE), "-")</f>
        <v/>
      </c>
      <c r="O40" s="21" t="str">
        <f ca="1">IFERROR(VLOOKUP(B40, Master_List!$A:$I, 5, FALSE), "-")</f>
        <v/>
      </c>
      <c r="P40" s="21" t="str">
        <f ca="1">IFERROR(VLOOKUP(B40, Master_List!$A:$I, 6, FALSE), "-")</f>
        <v/>
      </c>
      <c r="Q40" s="21" t="str">
        <f ca="1">IFERROR(VLOOKUP(B40, Master_List!$A:$I, 7, FALSE), "-")</f>
        <v/>
      </c>
      <c r="R40" s="21" t="str">
        <f ca="1">IFERROR(VLOOKUP(B40, Master_List!$A:$I, 8, FALSE), "-")</f>
        <v/>
      </c>
      <c r="S40" s="21" t="str">
        <f ca="1">IFERROR(VLOOKUP(B40, Master_List!$A:$I, 9, FALSE), "-")</f>
        <v/>
      </c>
      <c r="T40" s="38" t="str">
        <f ca="1">Master_List!$AW$6</f>
        <v>TOSHIBA</v>
      </c>
      <c r="U40" s="38" t="str">
        <f ca="1">Master_List!$AW$7</f>
        <v>MRMU</v>
      </c>
      <c r="V40" s="38" t="str">
        <f ca="1">Master_List!$AW$8</f>
        <v>12kV</v>
      </c>
      <c r="W40" s="38" t="str">
        <f ca="1">Master_List!$AW$9</f>
        <v>2S1F</v>
      </c>
      <c r="X40" s="38" t="str">
        <f ca="1">Master_List!$AW$10</f>
        <v>MTM</v>
      </c>
      <c r="Y40" s="38" t="str">
        <f ca="1">Master_List!$AW$11</f>
        <v>HERMETICALLY SEAL</v>
      </c>
      <c r="Z40" s="38" t="str">
        <f ca="1">Master_List!$AW$12</f>
        <v>750kVA</v>
      </c>
      <c r="AA40" s="38" t="str">
        <f ca="1">Master_List!$AW$13</f>
        <v>1317</v>
      </c>
      <c r="AB40" s="38">
        <f ca="1">Master_List!$AW$14</f>
        <v>0</v>
      </c>
      <c r="AC40" s="38">
        <f ca="1">Master_List!$AW$15</f>
        <v>0</v>
      </c>
      <c r="AD40" s="38">
        <f ca="1">Master_List!$AW$16</f>
        <v>0</v>
      </c>
      <c r="AE40" s="38">
        <f ca="1">Master_List!$AW$17</f>
        <v>0</v>
      </c>
      <c r="AF40" s="38" t="str">
        <f ca="1">Master_List!$AW$18</f>
        <v>INDKOM</v>
      </c>
      <c r="AG40" s="38" t="str">
        <f ca="1">Master_List!$AW$19</f>
        <v>J-SLOTTED</v>
      </c>
      <c r="AH40" s="38" t="str">
        <f ca="1">Master_List!$AW$20</f>
        <v>1600A</v>
      </c>
      <c r="AI40" s="38" t="str">
        <f ca="1">Master_List!$AW$21</f>
        <v>LV5080090</v>
      </c>
      <c r="AJ40" s="38" t="str">
        <f ca="1">Master_List!$AW$22</f>
        <v>LVDB TX1</v>
      </c>
      <c r="AK40" s="38">
        <f ca="1">Master_List!$AW$23</f>
        <v>0</v>
      </c>
      <c r="AL40" s="38">
        <f ca="1">Master_List!$AW$24</f>
        <v>0</v>
      </c>
      <c r="AM40" s="38">
        <f ca="1">Master_List!$AW$25</f>
        <v>0</v>
      </c>
      <c r="AN40" s="38">
        <f ca="1">Master_List!$AW$26</f>
        <v>0</v>
      </c>
      <c r="AO40" s="38" t="str">
        <f ca="1">Master_List!$AW$27</f>
        <v>LVDB TX2</v>
      </c>
      <c r="AP40" s="38" t="str">
        <f ca="1">Master_List!$AW$28</f>
        <v>SUNPOWER TECHNOLOGIES</v>
      </c>
      <c r="AQ40" s="38" t="str">
        <f ca="1">Master_List!$AW$29</f>
        <v>SPS 30-10 L</v>
      </c>
      <c r="AR40" s="38" t="str">
        <f ca="1">Master_List!$AW$30</f>
        <v>11193-8527</v>
      </c>
      <c r="AS40" s="38">
        <f ca="1">Master_List!$AW$31</f>
        <v>0</v>
      </c>
      <c r="AT40" s="38">
        <f ca="1">Master_List!$AW$32</f>
        <v>0</v>
      </c>
      <c r="AU40" s="38">
        <f ca="1">Master_List!$AW$33</f>
        <v>0</v>
      </c>
      <c r="AV40" s="38">
        <f ca="1">Master_List!$AW$34</f>
        <v>0</v>
      </c>
      <c r="AW40" s="38">
        <f ca="1">Master_List!$AW$35</f>
        <v>0</v>
      </c>
      <c r="AX40" s="38">
        <f ca="1">Master_List!$AW$36</f>
        <v>0</v>
      </c>
      <c r="AY40" s="38">
        <f ca="1">Master_List!$AW$37</f>
        <v>0</v>
      </c>
      <c r="AZ40" s="38">
        <f ca="1">Master_List!$AW$38</f>
        <v>0</v>
      </c>
      <c r="BA40" s="38">
        <f ca="1">Master_List!$AW$39</f>
        <v>0</v>
      </c>
      <c r="BB40" s="38" t="s">
        <v>2240</v>
      </c>
      <c r="BC40" s="38" t="s">
        <v>2241</v>
      </c>
      <c r="BD40" s="6" t="s">
        <v>1744</v>
      </c>
      <c r="BE40" s="6" t="s">
        <v>1770</v>
      </c>
      <c r="BF40" s="6" t="s">
        <v>1746</v>
      </c>
      <c r="BG40" s="6" t="str">
        <f t="shared" si="2"/>
        <v>C:\Users\aremi\Desktop\REPORT CBM\PO 42289580 - Pahang 11kV SECOND CYCLE AZZAD 2026\RAW MATERIAL\047. TNB BARU (IR+VI)\RAW DATA\IR</v>
      </c>
      <c r="BH40" s="23" t="s">
        <v>1555</v>
      </c>
      <c r="BU40" s="3"/>
      <c r="BV40" s="3"/>
    </row>
    <row r="41" spans="1:74" ht="12.75" customHeight="1" x14ac:dyDescent="0.2">
      <c r="A41" s="6">
        <v>20</v>
      </c>
      <c r="B41" s="6" t="s">
        <v>1552</v>
      </c>
      <c r="C41" s="6">
        <v>1</v>
      </c>
      <c r="D41" s="6" t="s">
        <v>2265</v>
      </c>
      <c r="E41" s="6">
        <v>20</v>
      </c>
      <c r="F41" s="6" t="str">
        <f ca="1">Master_List!$AW$1</f>
        <v>PERPUSTAKAAN PUSAT</v>
      </c>
      <c r="G41" s="27" t="str">
        <f ca="1">Master_List!$AW$2</f>
        <v>09:30 PM</v>
      </c>
      <c r="H41" s="32" t="str">
        <f ca="1">Master_List!$AW$3</f>
        <v>20/07/2026</v>
      </c>
      <c r="I41" s="28" t="str">
        <f ca="1">Master_List!$AW$4</f>
        <v>28.5</v>
      </c>
      <c r="J41" s="6" t="str">
        <f ca="1">Master_List!$AW$5</f>
        <v>65</v>
      </c>
      <c r="K41" s="6" t="s">
        <v>585</v>
      </c>
      <c r="L41" s="21" t="str">
        <f ca="1">IFERROR(VLOOKUP(B41, Master_List!$A:$I, 2, FALSE), "-")</f>
        <v/>
      </c>
      <c r="M41" s="21" t="str">
        <f ca="1">IFERROR(VLOOKUP(B41, Master_List!$A:$I, 3, FALSE), "-")</f>
        <v/>
      </c>
      <c r="N41" s="21" t="str">
        <f ca="1">IFERROR(VLOOKUP(B41, Master_List!$A:$I, 4, FALSE), "-")</f>
        <v/>
      </c>
      <c r="O41" s="21" t="str">
        <f ca="1">IFERROR(VLOOKUP(B41, Master_List!$A:$I, 5, FALSE), "-")</f>
        <v/>
      </c>
      <c r="P41" s="21" t="str">
        <f ca="1">IFERROR(VLOOKUP(B41, Master_List!$A:$I, 6, FALSE), "-")</f>
        <v/>
      </c>
      <c r="Q41" s="21" t="str">
        <f ca="1">IFERROR(VLOOKUP(B41, Master_List!$A:$I, 7, FALSE), "-")</f>
        <v/>
      </c>
      <c r="R41" s="21" t="str">
        <f ca="1">IFERROR(VLOOKUP(B41, Master_List!$A:$I, 8, FALSE), "-")</f>
        <v/>
      </c>
      <c r="S41" s="21" t="str">
        <f ca="1">IFERROR(VLOOKUP(B41, Master_List!$A:$I, 9, FALSE), "-")</f>
        <v/>
      </c>
      <c r="T41" s="38" t="str">
        <f ca="1">Master_List!$AW$6</f>
        <v>TOSHIBA</v>
      </c>
      <c r="U41" s="38" t="str">
        <f ca="1">Master_List!$AW$7</f>
        <v>MRMU</v>
      </c>
      <c r="V41" s="38" t="str">
        <f ca="1">Master_List!$AW$8</f>
        <v>12kV</v>
      </c>
      <c r="W41" s="38" t="str">
        <f ca="1">Master_List!$AW$9</f>
        <v>2S1F</v>
      </c>
      <c r="X41" s="38" t="str">
        <f ca="1">Master_List!$AW$10</f>
        <v>MTM</v>
      </c>
      <c r="Y41" s="38" t="str">
        <f ca="1">Master_List!$AW$11</f>
        <v>HERMETICALLY SEAL</v>
      </c>
      <c r="Z41" s="38" t="str">
        <f ca="1">Master_List!$AW$12</f>
        <v>750kVA</v>
      </c>
      <c r="AA41" s="38" t="str">
        <f ca="1">Master_List!$AW$13</f>
        <v>1317</v>
      </c>
      <c r="AB41" s="38">
        <f ca="1">Master_List!$AW$14</f>
        <v>0</v>
      </c>
      <c r="AC41" s="38">
        <f ca="1">Master_List!$AW$15</f>
        <v>0</v>
      </c>
      <c r="AD41" s="38">
        <f ca="1">Master_List!$AW$16</f>
        <v>0</v>
      </c>
      <c r="AE41" s="38">
        <f ca="1">Master_List!$AW$17</f>
        <v>0</v>
      </c>
      <c r="AF41" s="38" t="str">
        <f ca="1">Master_List!$AW$18</f>
        <v>INDKOM</v>
      </c>
      <c r="AG41" s="38" t="str">
        <f ca="1">Master_List!$AW$19</f>
        <v>J-SLOTTED</v>
      </c>
      <c r="AH41" s="38" t="str">
        <f ca="1">Master_List!$AW$20</f>
        <v>1600A</v>
      </c>
      <c r="AI41" s="38" t="str">
        <f ca="1">Master_List!$AW$21</f>
        <v>LV5080090</v>
      </c>
      <c r="AJ41" s="38" t="str">
        <f ca="1">Master_List!$AW$22</f>
        <v>LVDB TX1</v>
      </c>
      <c r="AK41" s="38">
        <f ca="1">Master_List!$AW$23</f>
        <v>0</v>
      </c>
      <c r="AL41" s="38">
        <f ca="1">Master_List!$AW$24</f>
        <v>0</v>
      </c>
      <c r="AM41" s="38">
        <f ca="1">Master_List!$AW$25</f>
        <v>0</v>
      </c>
      <c r="AN41" s="38">
        <f ca="1">Master_List!$AW$26</f>
        <v>0</v>
      </c>
      <c r="AO41" s="38" t="str">
        <f ca="1">Master_List!$AW$27</f>
        <v>LVDB TX2</v>
      </c>
      <c r="AP41" s="38" t="str">
        <f ca="1">Master_List!$AW$28</f>
        <v>SUNPOWER TECHNOLOGIES</v>
      </c>
      <c r="AQ41" s="38" t="str">
        <f ca="1">Master_List!$AW$29</f>
        <v>SPS 30-10 L</v>
      </c>
      <c r="AR41" s="38" t="str">
        <f ca="1">Master_List!$AW$30</f>
        <v>11193-8527</v>
      </c>
      <c r="AS41" s="38">
        <f ca="1">Master_List!$AW$31</f>
        <v>0</v>
      </c>
      <c r="AT41" s="38">
        <f ca="1">Master_List!$AW$32</f>
        <v>0</v>
      </c>
      <c r="AU41" s="38">
        <f ca="1">Master_List!$AW$33</f>
        <v>0</v>
      </c>
      <c r="AV41" s="38">
        <f ca="1">Master_List!$AW$34</f>
        <v>0</v>
      </c>
      <c r="AW41" s="38">
        <f ca="1">Master_List!$AW$35</f>
        <v>0</v>
      </c>
      <c r="AX41" s="38">
        <f ca="1">Master_List!$AW$36</f>
        <v>0</v>
      </c>
      <c r="AY41" s="38">
        <f ca="1">Master_List!$AW$37</f>
        <v>0</v>
      </c>
      <c r="AZ41" s="38">
        <f ca="1">Master_List!$AW$38</f>
        <v>0</v>
      </c>
      <c r="BA41" s="38">
        <f ca="1">Master_List!$AW$39</f>
        <v>0</v>
      </c>
      <c r="BB41" s="38" t="s">
        <v>2240</v>
      </c>
      <c r="BC41" s="38" t="s">
        <v>2241</v>
      </c>
      <c r="BD41" s="6" t="s">
        <v>1744</v>
      </c>
      <c r="BE41" s="6" t="s">
        <v>1770</v>
      </c>
      <c r="BF41" s="6" t="s">
        <v>1748</v>
      </c>
      <c r="BG41" s="6" t="str">
        <f t="shared" si="2"/>
        <v>C:\Users\aremi\Desktop\REPORT CBM\PO 42289580 - Pahang 11kV SECOND CYCLE AZZAD 2026\RAW MATERIAL\047. TNB BARU (IR+VI)\RAW DATA\IR</v>
      </c>
      <c r="BH41" s="23" t="s">
        <v>1556</v>
      </c>
      <c r="BU41" s="3"/>
      <c r="BV41" s="3"/>
    </row>
    <row r="42" spans="1:74" ht="12.75" customHeight="1" x14ac:dyDescent="0.2">
      <c r="A42" s="6">
        <v>21</v>
      </c>
      <c r="B42" s="6" t="s">
        <v>1557</v>
      </c>
      <c r="C42" s="6">
        <v>1</v>
      </c>
      <c r="D42" s="6" t="s">
        <v>2265</v>
      </c>
      <c r="E42" s="6">
        <v>21</v>
      </c>
      <c r="F42" s="6" t="str">
        <f ca="1">Master_List!$AW$1</f>
        <v>PERPUSTAKAAN PUSAT</v>
      </c>
      <c r="G42" s="27" t="str">
        <f ca="1">Master_List!$AW$2</f>
        <v>09:30 PM</v>
      </c>
      <c r="H42" s="32" t="str">
        <f ca="1">Master_List!$AW$3</f>
        <v>20/07/2026</v>
      </c>
      <c r="I42" s="28" t="str">
        <f ca="1">Master_List!$AW$4</f>
        <v>28.5</v>
      </c>
      <c r="J42" s="6" t="str">
        <f ca="1">Master_List!$AW$5</f>
        <v>65</v>
      </c>
      <c r="K42" s="6" t="s">
        <v>576</v>
      </c>
      <c r="L42" s="21" t="str">
        <f ca="1">IFERROR(VLOOKUP(B42, Master_List!$A:$I, 2, FALSE), "-")</f>
        <v/>
      </c>
      <c r="M42" s="21" t="str">
        <f ca="1">IFERROR(VLOOKUP(B42, Master_List!$A:$I, 3, FALSE), "-")</f>
        <v/>
      </c>
      <c r="N42" s="21" t="str">
        <f ca="1">IFERROR(VLOOKUP(B42, Master_List!$A:$I, 4, FALSE), "-")</f>
        <v/>
      </c>
      <c r="O42" s="21" t="str">
        <f ca="1">IFERROR(VLOOKUP(B42, Master_List!$A:$I, 5, FALSE), "-")</f>
        <v/>
      </c>
      <c r="P42" s="21" t="str">
        <f ca="1">IFERROR(VLOOKUP(B42, Master_List!$A:$I, 6, FALSE), "-")</f>
        <v/>
      </c>
      <c r="Q42" s="21" t="str">
        <f ca="1">IFERROR(VLOOKUP(B42, Master_List!$A:$I, 7, FALSE), "-")</f>
        <v/>
      </c>
      <c r="R42" s="21" t="str">
        <f ca="1">IFERROR(VLOOKUP(B42, Master_List!$A:$I, 8, FALSE), "-")</f>
        <v/>
      </c>
      <c r="S42" s="21" t="str">
        <f ca="1">IFERROR(VLOOKUP(B42, Master_List!$A:$I, 9, FALSE), "-")</f>
        <v/>
      </c>
      <c r="T42" s="38" t="str">
        <f ca="1">Master_List!$AW$6</f>
        <v>TOSHIBA</v>
      </c>
      <c r="U42" s="38" t="str">
        <f ca="1">Master_List!$AW$7</f>
        <v>MRMU</v>
      </c>
      <c r="V42" s="38" t="str">
        <f ca="1">Master_List!$AW$8</f>
        <v>12kV</v>
      </c>
      <c r="W42" s="38" t="str">
        <f ca="1">Master_List!$AW$9</f>
        <v>2S1F</v>
      </c>
      <c r="X42" s="38" t="str">
        <f ca="1">Master_List!$AW$10</f>
        <v>MTM</v>
      </c>
      <c r="Y42" s="38" t="str">
        <f ca="1">Master_List!$AW$11</f>
        <v>HERMETICALLY SEAL</v>
      </c>
      <c r="Z42" s="38" t="str">
        <f ca="1">Master_List!$AW$12</f>
        <v>750kVA</v>
      </c>
      <c r="AA42" s="38" t="str">
        <f ca="1">Master_List!$AW$13</f>
        <v>1317</v>
      </c>
      <c r="AB42" s="38">
        <f ca="1">Master_List!$AW$14</f>
        <v>0</v>
      </c>
      <c r="AC42" s="38">
        <f ca="1">Master_List!$AW$15</f>
        <v>0</v>
      </c>
      <c r="AD42" s="38">
        <f ca="1">Master_List!$AW$16</f>
        <v>0</v>
      </c>
      <c r="AE42" s="38">
        <f ca="1">Master_List!$AW$17</f>
        <v>0</v>
      </c>
      <c r="AF42" s="38" t="str">
        <f ca="1">Master_List!$AW$18</f>
        <v>INDKOM</v>
      </c>
      <c r="AG42" s="38" t="str">
        <f ca="1">Master_List!$AW$19</f>
        <v>J-SLOTTED</v>
      </c>
      <c r="AH42" s="38" t="str">
        <f ca="1">Master_List!$AW$20</f>
        <v>1600A</v>
      </c>
      <c r="AI42" s="38" t="str">
        <f ca="1">Master_List!$AW$21</f>
        <v>LV5080090</v>
      </c>
      <c r="AJ42" s="38" t="str">
        <f ca="1">Master_List!$AW$22</f>
        <v>LVDB TX1</v>
      </c>
      <c r="AK42" s="38">
        <f ca="1">Master_List!$AW$23</f>
        <v>0</v>
      </c>
      <c r="AL42" s="38">
        <f ca="1">Master_List!$AW$24</f>
        <v>0</v>
      </c>
      <c r="AM42" s="38">
        <f ca="1">Master_List!$AW$25</f>
        <v>0</v>
      </c>
      <c r="AN42" s="38">
        <f ca="1">Master_List!$AW$26</f>
        <v>0</v>
      </c>
      <c r="AO42" s="38" t="str">
        <f ca="1">Master_List!$AW$27</f>
        <v>LVDB TX2</v>
      </c>
      <c r="AP42" s="38" t="str">
        <f ca="1">Master_List!$AW$28</f>
        <v>SUNPOWER TECHNOLOGIES</v>
      </c>
      <c r="AQ42" s="38" t="str">
        <f ca="1">Master_List!$AW$29</f>
        <v>SPS 30-10 L</v>
      </c>
      <c r="AR42" s="38" t="str">
        <f ca="1">Master_List!$AW$30</f>
        <v>11193-8527</v>
      </c>
      <c r="AS42" s="38">
        <f ca="1">Master_List!$AW$31</f>
        <v>0</v>
      </c>
      <c r="AT42" s="38">
        <f ca="1">Master_List!$AW$32</f>
        <v>0</v>
      </c>
      <c r="AU42" s="38">
        <f ca="1">Master_List!$AW$33</f>
        <v>0</v>
      </c>
      <c r="AV42" s="38">
        <f ca="1">Master_List!$AW$34</f>
        <v>0</v>
      </c>
      <c r="AW42" s="38">
        <f ca="1">Master_List!$AW$35</f>
        <v>0</v>
      </c>
      <c r="AX42" s="38">
        <f ca="1">Master_List!$AW$36</f>
        <v>0</v>
      </c>
      <c r="AY42" s="38">
        <f ca="1">Master_List!$AW$37</f>
        <v>0</v>
      </c>
      <c r="AZ42" s="38">
        <f ca="1">Master_List!$AW$38</f>
        <v>0</v>
      </c>
      <c r="BA42" s="38">
        <f ca="1">Master_List!$AW$39</f>
        <v>0</v>
      </c>
      <c r="BB42" s="38" t="s">
        <v>2240</v>
      </c>
      <c r="BC42" s="38" t="s">
        <v>2241</v>
      </c>
      <c r="BD42" s="6" t="s">
        <v>1744</v>
      </c>
      <c r="BE42" s="6" t="s">
        <v>1771</v>
      </c>
      <c r="BF42" s="6" t="s">
        <v>1746</v>
      </c>
      <c r="BG42" s="6" t="str">
        <f t="shared" si="2"/>
        <v>C:\Users\aremi\Desktop\REPORT CBM\PO 42289580 - Pahang 11kV SECOND CYCLE AZZAD 2026\RAW MATERIAL\047. TNB BARU (IR+VI)\RAW DATA\IR</v>
      </c>
      <c r="BH42" s="23" t="s">
        <v>1558</v>
      </c>
      <c r="BU42" s="3"/>
      <c r="BV42" s="3"/>
    </row>
    <row r="43" spans="1:74" ht="12.75" customHeight="1" x14ac:dyDescent="0.2">
      <c r="A43" s="6">
        <v>21</v>
      </c>
      <c r="B43" s="6" t="s">
        <v>1557</v>
      </c>
      <c r="C43" s="6">
        <v>1</v>
      </c>
      <c r="D43" s="6" t="s">
        <v>2265</v>
      </c>
      <c r="E43" s="6">
        <v>21</v>
      </c>
      <c r="F43" s="6" t="str">
        <f ca="1">Master_List!$AW$1</f>
        <v>PERPUSTAKAAN PUSAT</v>
      </c>
      <c r="G43" s="27" t="str">
        <f ca="1">Master_List!$AW$2</f>
        <v>09:30 PM</v>
      </c>
      <c r="H43" s="32" t="str">
        <f ca="1">Master_List!$AW$3</f>
        <v>20/07/2026</v>
      </c>
      <c r="I43" s="28" t="str">
        <f ca="1">Master_List!$AW$4</f>
        <v>28.5</v>
      </c>
      <c r="J43" s="6" t="str">
        <f ca="1">Master_List!$AW$5</f>
        <v>65</v>
      </c>
      <c r="K43" s="6" t="s">
        <v>576</v>
      </c>
      <c r="L43" s="21" t="str">
        <f ca="1">IFERROR(VLOOKUP(B43, Master_List!$A:$I, 2, FALSE), "-")</f>
        <v/>
      </c>
      <c r="M43" s="21" t="str">
        <f ca="1">IFERROR(VLOOKUP(B43, Master_List!$A:$I, 3, FALSE), "-")</f>
        <v/>
      </c>
      <c r="N43" s="21" t="str">
        <f ca="1">IFERROR(VLOOKUP(B43, Master_List!$A:$I, 4, FALSE), "-")</f>
        <v/>
      </c>
      <c r="O43" s="21" t="str">
        <f ca="1">IFERROR(VLOOKUP(B43, Master_List!$A:$I, 5, FALSE), "-")</f>
        <v/>
      </c>
      <c r="P43" s="21" t="str">
        <f ca="1">IFERROR(VLOOKUP(B43, Master_List!$A:$I, 6, FALSE), "-")</f>
        <v/>
      </c>
      <c r="Q43" s="21" t="str">
        <f ca="1">IFERROR(VLOOKUP(B43, Master_List!$A:$I, 7, FALSE), "-")</f>
        <v/>
      </c>
      <c r="R43" s="21" t="str">
        <f ca="1">IFERROR(VLOOKUP(B43, Master_List!$A:$I, 8, FALSE), "-")</f>
        <v/>
      </c>
      <c r="S43" s="21" t="str">
        <f ca="1">IFERROR(VLOOKUP(B43, Master_List!$A:$I, 9, FALSE), "-")</f>
        <v/>
      </c>
      <c r="T43" s="38" t="str">
        <f ca="1">Master_List!$AW$6</f>
        <v>TOSHIBA</v>
      </c>
      <c r="U43" s="38" t="str">
        <f ca="1">Master_List!$AW$7</f>
        <v>MRMU</v>
      </c>
      <c r="V43" s="38" t="str">
        <f ca="1">Master_List!$AW$8</f>
        <v>12kV</v>
      </c>
      <c r="W43" s="38" t="str">
        <f ca="1">Master_List!$AW$9</f>
        <v>2S1F</v>
      </c>
      <c r="X43" s="38" t="str">
        <f ca="1">Master_List!$AW$10</f>
        <v>MTM</v>
      </c>
      <c r="Y43" s="38" t="str">
        <f ca="1">Master_List!$AW$11</f>
        <v>HERMETICALLY SEAL</v>
      </c>
      <c r="Z43" s="38" t="str">
        <f ca="1">Master_List!$AW$12</f>
        <v>750kVA</v>
      </c>
      <c r="AA43" s="38" t="str">
        <f ca="1">Master_List!$AW$13</f>
        <v>1317</v>
      </c>
      <c r="AB43" s="38">
        <f ca="1">Master_List!$AW$14</f>
        <v>0</v>
      </c>
      <c r="AC43" s="38">
        <f ca="1">Master_List!$AW$15</f>
        <v>0</v>
      </c>
      <c r="AD43" s="38">
        <f ca="1">Master_List!$AW$16</f>
        <v>0</v>
      </c>
      <c r="AE43" s="38">
        <f ca="1">Master_List!$AW$17</f>
        <v>0</v>
      </c>
      <c r="AF43" s="38" t="str">
        <f ca="1">Master_List!$AW$18</f>
        <v>INDKOM</v>
      </c>
      <c r="AG43" s="38" t="str">
        <f ca="1">Master_List!$AW$19</f>
        <v>J-SLOTTED</v>
      </c>
      <c r="AH43" s="38" t="str">
        <f ca="1">Master_List!$AW$20</f>
        <v>1600A</v>
      </c>
      <c r="AI43" s="38" t="str">
        <f ca="1">Master_List!$AW$21</f>
        <v>LV5080090</v>
      </c>
      <c r="AJ43" s="38" t="str">
        <f ca="1">Master_List!$AW$22</f>
        <v>LVDB TX1</v>
      </c>
      <c r="AK43" s="38">
        <f ca="1">Master_List!$AW$23</f>
        <v>0</v>
      </c>
      <c r="AL43" s="38">
        <f ca="1">Master_List!$AW$24</f>
        <v>0</v>
      </c>
      <c r="AM43" s="38">
        <f ca="1">Master_List!$AW$25</f>
        <v>0</v>
      </c>
      <c r="AN43" s="38">
        <f ca="1">Master_List!$AW$26</f>
        <v>0</v>
      </c>
      <c r="AO43" s="38" t="str">
        <f ca="1">Master_List!$AW$27</f>
        <v>LVDB TX2</v>
      </c>
      <c r="AP43" s="38" t="str">
        <f ca="1">Master_List!$AW$28</f>
        <v>SUNPOWER TECHNOLOGIES</v>
      </c>
      <c r="AQ43" s="38" t="str">
        <f ca="1">Master_List!$AW$29</f>
        <v>SPS 30-10 L</v>
      </c>
      <c r="AR43" s="38" t="str">
        <f ca="1">Master_List!$AW$30</f>
        <v>11193-8527</v>
      </c>
      <c r="AS43" s="38">
        <f ca="1">Master_List!$AW$31</f>
        <v>0</v>
      </c>
      <c r="AT43" s="38">
        <f ca="1">Master_List!$AW$32</f>
        <v>0</v>
      </c>
      <c r="AU43" s="38">
        <f ca="1">Master_List!$AW$33</f>
        <v>0</v>
      </c>
      <c r="AV43" s="38">
        <f ca="1">Master_List!$AW$34</f>
        <v>0</v>
      </c>
      <c r="AW43" s="38">
        <f ca="1">Master_List!$AW$35</f>
        <v>0</v>
      </c>
      <c r="AX43" s="38">
        <f ca="1">Master_List!$AW$36</f>
        <v>0</v>
      </c>
      <c r="AY43" s="38">
        <f ca="1">Master_List!$AW$37</f>
        <v>0</v>
      </c>
      <c r="AZ43" s="38">
        <f ca="1">Master_List!$AW$38</f>
        <v>0</v>
      </c>
      <c r="BA43" s="38">
        <f ca="1">Master_List!$AW$39</f>
        <v>0</v>
      </c>
      <c r="BB43" s="38" t="s">
        <v>2240</v>
      </c>
      <c r="BC43" s="38" t="s">
        <v>2241</v>
      </c>
      <c r="BD43" s="6" t="s">
        <v>1744</v>
      </c>
      <c r="BE43" s="6" t="s">
        <v>1771</v>
      </c>
      <c r="BF43" s="6" t="s">
        <v>1748</v>
      </c>
      <c r="BG43" s="6" t="str">
        <f t="shared" si="2"/>
        <v>C:\Users\aremi\Desktop\REPORT CBM\PO 42289580 - Pahang 11kV SECOND CYCLE AZZAD 2026\RAW MATERIAL\047. TNB BARU (IR+VI)\RAW DATA\IR</v>
      </c>
      <c r="BH43" s="23" t="s">
        <v>1559</v>
      </c>
      <c r="BU43" s="3"/>
      <c r="BV43" s="3"/>
    </row>
    <row r="44" spans="1:74" ht="12.75" customHeight="1" x14ac:dyDescent="0.2">
      <c r="A44" s="6">
        <v>22</v>
      </c>
      <c r="B44" s="6" t="s">
        <v>1557</v>
      </c>
      <c r="C44" s="6">
        <v>1</v>
      </c>
      <c r="D44" s="6" t="s">
        <v>2265</v>
      </c>
      <c r="E44" s="6">
        <v>22</v>
      </c>
      <c r="F44" s="6" t="str">
        <f ca="1">Master_List!$AW$1</f>
        <v>PERPUSTAKAAN PUSAT</v>
      </c>
      <c r="G44" s="27" t="str">
        <f ca="1">Master_List!$AW$2</f>
        <v>09:30 PM</v>
      </c>
      <c r="H44" s="32" t="str">
        <f ca="1">Master_List!$AW$3</f>
        <v>20/07/2026</v>
      </c>
      <c r="I44" s="28" t="str">
        <f ca="1">Master_List!$AW$4</f>
        <v>28.5</v>
      </c>
      <c r="J44" s="6" t="str">
        <f ca="1">Master_List!$AW$5</f>
        <v>65</v>
      </c>
      <c r="K44" s="6" t="s">
        <v>585</v>
      </c>
      <c r="L44" s="21" t="str">
        <f ca="1">IFERROR(VLOOKUP(B44, Master_List!$A:$I, 2, FALSE), "-")</f>
        <v/>
      </c>
      <c r="M44" s="21" t="str">
        <f ca="1">IFERROR(VLOOKUP(B44, Master_List!$A:$I, 3, FALSE), "-")</f>
        <v/>
      </c>
      <c r="N44" s="21" t="str">
        <f ca="1">IFERROR(VLOOKUP(B44, Master_List!$A:$I, 4, FALSE), "-")</f>
        <v/>
      </c>
      <c r="O44" s="21" t="str">
        <f ca="1">IFERROR(VLOOKUP(B44, Master_List!$A:$I, 5, FALSE), "-")</f>
        <v/>
      </c>
      <c r="P44" s="21" t="str">
        <f ca="1">IFERROR(VLOOKUP(B44, Master_List!$A:$I, 6, FALSE), "-")</f>
        <v/>
      </c>
      <c r="Q44" s="21" t="str">
        <f ca="1">IFERROR(VLOOKUP(B44, Master_List!$A:$I, 7, FALSE), "-")</f>
        <v/>
      </c>
      <c r="R44" s="21" t="str">
        <f ca="1">IFERROR(VLOOKUP(B44, Master_List!$A:$I, 8, FALSE), "-")</f>
        <v/>
      </c>
      <c r="S44" s="21" t="str">
        <f ca="1">IFERROR(VLOOKUP(B44, Master_List!$A:$I, 9, FALSE), "-")</f>
        <v/>
      </c>
      <c r="T44" s="38" t="str">
        <f ca="1">Master_List!$AW$6</f>
        <v>TOSHIBA</v>
      </c>
      <c r="U44" s="38" t="str">
        <f ca="1">Master_List!$AW$7</f>
        <v>MRMU</v>
      </c>
      <c r="V44" s="38" t="str">
        <f ca="1">Master_List!$AW$8</f>
        <v>12kV</v>
      </c>
      <c r="W44" s="38" t="str">
        <f ca="1">Master_List!$AW$9</f>
        <v>2S1F</v>
      </c>
      <c r="X44" s="38" t="str">
        <f ca="1">Master_List!$AW$10</f>
        <v>MTM</v>
      </c>
      <c r="Y44" s="38" t="str">
        <f ca="1">Master_List!$AW$11</f>
        <v>HERMETICALLY SEAL</v>
      </c>
      <c r="Z44" s="38" t="str">
        <f ca="1">Master_List!$AW$12</f>
        <v>750kVA</v>
      </c>
      <c r="AA44" s="38" t="str">
        <f ca="1">Master_List!$AW$13</f>
        <v>1317</v>
      </c>
      <c r="AB44" s="38">
        <f ca="1">Master_List!$AW$14</f>
        <v>0</v>
      </c>
      <c r="AC44" s="38">
        <f ca="1">Master_List!$AW$15</f>
        <v>0</v>
      </c>
      <c r="AD44" s="38">
        <f ca="1">Master_List!$AW$16</f>
        <v>0</v>
      </c>
      <c r="AE44" s="38">
        <f ca="1">Master_List!$AW$17</f>
        <v>0</v>
      </c>
      <c r="AF44" s="38" t="str">
        <f ca="1">Master_List!$AW$18</f>
        <v>INDKOM</v>
      </c>
      <c r="AG44" s="38" t="str">
        <f ca="1">Master_List!$AW$19</f>
        <v>J-SLOTTED</v>
      </c>
      <c r="AH44" s="38" t="str">
        <f ca="1">Master_List!$AW$20</f>
        <v>1600A</v>
      </c>
      <c r="AI44" s="38" t="str">
        <f ca="1">Master_List!$AW$21</f>
        <v>LV5080090</v>
      </c>
      <c r="AJ44" s="38" t="str">
        <f ca="1">Master_List!$AW$22</f>
        <v>LVDB TX1</v>
      </c>
      <c r="AK44" s="38">
        <f ca="1">Master_List!$AW$23</f>
        <v>0</v>
      </c>
      <c r="AL44" s="38">
        <f ca="1">Master_List!$AW$24</f>
        <v>0</v>
      </c>
      <c r="AM44" s="38">
        <f ca="1">Master_List!$AW$25</f>
        <v>0</v>
      </c>
      <c r="AN44" s="38">
        <f ca="1">Master_List!$AW$26</f>
        <v>0</v>
      </c>
      <c r="AO44" s="38" t="str">
        <f ca="1">Master_List!$AW$27</f>
        <v>LVDB TX2</v>
      </c>
      <c r="AP44" s="38" t="str">
        <f ca="1">Master_List!$AW$28</f>
        <v>SUNPOWER TECHNOLOGIES</v>
      </c>
      <c r="AQ44" s="38" t="str">
        <f ca="1">Master_List!$AW$29</f>
        <v>SPS 30-10 L</v>
      </c>
      <c r="AR44" s="38" t="str">
        <f ca="1">Master_List!$AW$30</f>
        <v>11193-8527</v>
      </c>
      <c r="AS44" s="38">
        <f ca="1">Master_List!$AW$31</f>
        <v>0</v>
      </c>
      <c r="AT44" s="38">
        <f ca="1">Master_List!$AW$32</f>
        <v>0</v>
      </c>
      <c r="AU44" s="38">
        <f ca="1">Master_List!$AW$33</f>
        <v>0</v>
      </c>
      <c r="AV44" s="38">
        <f ca="1">Master_List!$AW$34</f>
        <v>0</v>
      </c>
      <c r="AW44" s="38">
        <f ca="1">Master_List!$AW$35</f>
        <v>0</v>
      </c>
      <c r="AX44" s="38">
        <f ca="1">Master_List!$AW$36</f>
        <v>0</v>
      </c>
      <c r="AY44" s="38">
        <f ca="1">Master_List!$AW$37</f>
        <v>0</v>
      </c>
      <c r="AZ44" s="38">
        <f ca="1">Master_List!$AW$38</f>
        <v>0</v>
      </c>
      <c r="BA44" s="38">
        <f ca="1">Master_List!$AW$39</f>
        <v>0</v>
      </c>
      <c r="BB44" s="38" t="s">
        <v>2240</v>
      </c>
      <c r="BC44" s="38" t="s">
        <v>2241</v>
      </c>
      <c r="BD44" s="6" t="s">
        <v>1744</v>
      </c>
      <c r="BE44" s="6" t="s">
        <v>1772</v>
      </c>
      <c r="BF44" s="6" t="s">
        <v>1746</v>
      </c>
      <c r="BG44" s="6" t="str">
        <f t="shared" si="2"/>
        <v>C:\Users\aremi\Desktop\REPORT CBM\PO 42289580 - Pahang 11kV SECOND CYCLE AZZAD 2026\RAW MATERIAL\047. TNB BARU (IR+VI)\RAW DATA\IR</v>
      </c>
      <c r="BH44" s="23" t="s">
        <v>1560</v>
      </c>
      <c r="BU44" s="3"/>
      <c r="BV44" s="3"/>
    </row>
    <row r="45" spans="1:74" ht="12.75" customHeight="1" x14ac:dyDescent="0.2">
      <c r="A45" s="6">
        <v>22</v>
      </c>
      <c r="B45" s="6" t="s">
        <v>1557</v>
      </c>
      <c r="C45" s="6">
        <v>1</v>
      </c>
      <c r="D45" s="6" t="s">
        <v>2265</v>
      </c>
      <c r="E45" s="6">
        <v>22</v>
      </c>
      <c r="F45" s="6" t="str">
        <f ca="1">Master_List!$AW$1</f>
        <v>PERPUSTAKAAN PUSAT</v>
      </c>
      <c r="G45" s="27" t="str">
        <f ca="1">Master_List!$AW$2</f>
        <v>09:30 PM</v>
      </c>
      <c r="H45" s="32" t="str">
        <f ca="1">Master_List!$AW$3</f>
        <v>20/07/2026</v>
      </c>
      <c r="I45" s="28" t="str">
        <f ca="1">Master_List!$AW$4</f>
        <v>28.5</v>
      </c>
      <c r="J45" s="6" t="str">
        <f ca="1">Master_List!$AW$5</f>
        <v>65</v>
      </c>
      <c r="K45" s="6" t="s">
        <v>585</v>
      </c>
      <c r="L45" s="21" t="str">
        <f ca="1">IFERROR(VLOOKUP(B45, Master_List!$A:$I, 2, FALSE), "-")</f>
        <v/>
      </c>
      <c r="M45" s="21" t="str">
        <f ca="1">IFERROR(VLOOKUP(B45, Master_List!$A:$I, 3, FALSE), "-")</f>
        <v/>
      </c>
      <c r="N45" s="21" t="str">
        <f ca="1">IFERROR(VLOOKUP(B45, Master_List!$A:$I, 4, FALSE), "-")</f>
        <v/>
      </c>
      <c r="O45" s="21" t="str">
        <f ca="1">IFERROR(VLOOKUP(B45, Master_List!$A:$I, 5, FALSE), "-")</f>
        <v/>
      </c>
      <c r="P45" s="21" t="str">
        <f ca="1">IFERROR(VLOOKUP(B45, Master_List!$A:$I, 6, FALSE), "-")</f>
        <v/>
      </c>
      <c r="Q45" s="21" t="str">
        <f ca="1">IFERROR(VLOOKUP(B45, Master_List!$A:$I, 7, FALSE), "-")</f>
        <v/>
      </c>
      <c r="R45" s="21" t="str">
        <f ca="1">IFERROR(VLOOKUP(B45, Master_List!$A:$I, 8, FALSE), "-")</f>
        <v/>
      </c>
      <c r="S45" s="21" t="str">
        <f ca="1">IFERROR(VLOOKUP(B45, Master_List!$A:$I, 9, FALSE), "-")</f>
        <v/>
      </c>
      <c r="T45" s="38" t="str">
        <f ca="1">Master_List!$AW$6</f>
        <v>TOSHIBA</v>
      </c>
      <c r="U45" s="38" t="str">
        <f ca="1">Master_List!$AW$7</f>
        <v>MRMU</v>
      </c>
      <c r="V45" s="38" t="str">
        <f ca="1">Master_List!$AW$8</f>
        <v>12kV</v>
      </c>
      <c r="W45" s="38" t="str">
        <f ca="1">Master_List!$AW$9</f>
        <v>2S1F</v>
      </c>
      <c r="X45" s="38" t="str">
        <f ca="1">Master_List!$AW$10</f>
        <v>MTM</v>
      </c>
      <c r="Y45" s="38" t="str">
        <f ca="1">Master_List!$AW$11</f>
        <v>HERMETICALLY SEAL</v>
      </c>
      <c r="Z45" s="38" t="str">
        <f ca="1">Master_List!$AW$12</f>
        <v>750kVA</v>
      </c>
      <c r="AA45" s="38" t="str">
        <f ca="1">Master_List!$AW$13</f>
        <v>1317</v>
      </c>
      <c r="AB45" s="38">
        <f ca="1">Master_List!$AW$14</f>
        <v>0</v>
      </c>
      <c r="AC45" s="38">
        <f ca="1">Master_List!$AW$15</f>
        <v>0</v>
      </c>
      <c r="AD45" s="38">
        <f ca="1">Master_List!$AW$16</f>
        <v>0</v>
      </c>
      <c r="AE45" s="38">
        <f ca="1">Master_List!$AW$17</f>
        <v>0</v>
      </c>
      <c r="AF45" s="38" t="str">
        <f ca="1">Master_List!$AW$18</f>
        <v>INDKOM</v>
      </c>
      <c r="AG45" s="38" t="str">
        <f ca="1">Master_List!$AW$19</f>
        <v>J-SLOTTED</v>
      </c>
      <c r="AH45" s="38" t="str">
        <f ca="1">Master_List!$AW$20</f>
        <v>1600A</v>
      </c>
      <c r="AI45" s="38" t="str">
        <f ca="1">Master_List!$AW$21</f>
        <v>LV5080090</v>
      </c>
      <c r="AJ45" s="38" t="str">
        <f ca="1">Master_List!$AW$22</f>
        <v>LVDB TX1</v>
      </c>
      <c r="AK45" s="38">
        <f ca="1">Master_List!$AW$23</f>
        <v>0</v>
      </c>
      <c r="AL45" s="38">
        <f ca="1">Master_List!$AW$24</f>
        <v>0</v>
      </c>
      <c r="AM45" s="38">
        <f ca="1">Master_List!$AW$25</f>
        <v>0</v>
      </c>
      <c r="AN45" s="38">
        <f ca="1">Master_List!$AW$26</f>
        <v>0</v>
      </c>
      <c r="AO45" s="38" t="str">
        <f ca="1">Master_List!$AW$27</f>
        <v>LVDB TX2</v>
      </c>
      <c r="AP45" s="38" t="str">
        <f ca="1">Master_List!$AW$28</f>
        <v>SUNPOWER TECHNOLOGIES</v>
      </c>
      <c r="AQ45" s="38" t="str">
        <f ca="1">Master_List!$AW$29</f>
        <v>SPS 30-10 L</v>
      </c>
      <c r="AR45" s="38" t="str">
        <f ca="1">Master_List!$AW$30</f>
        <v>11193-8527</v>
      </c>
      <c r="AS45" s="38">
        <f ca="1">Master_List!$AW$31</f>
        <v>0</v>
      </c>
      <c r="AT45" s="38">
        <f ca="1">Master_List!$AW$32</f>
        <v>0</v>
      </c>
      <c r="AU45" s="38">
        <f ca="1">Master_List!$AW$33</f>
        <v>0</v>
      </c>
      <c r="AV45" s="38">
        <f ca="1">Master_List!$AW$34</f>
        <v>0</v>
      </c>
      <c r="AW45" s="38">
        <f ca="1">Master_List!$AW$35</f>
        <v>0</v>
      </c>
      <c r="AX45" s="38">
        <f ca="1">Master_List!$AW$36</f>
        <v>0</v>
      </c>
      <c r="AY45" s="38">
        <f ca="1">Master_List!$AW$37</f>
        <v>0</v>
      </c>
      <c r="AZ45" s="38">
        <f ca="1">Master_List!$AW$38</f>
        <v>0</v>
      </c>
      <c r="BA45" s="38">
        <f ca="1">Master_List!$AW$39</f>
        <v>0</v>
      </c>
      <c r="BB45" s="38" t="s">
        <v>2240</v>
      </c>
      <c r="BC45" s="38" t="s">
        <v>2241</v>
      </c>
      <c r="BD45" s="6" t="s">
        <v>1744</v>
      </c>
      <c r="BE45" s="6" t="s">
        <v>1772</v>
      </c>
      <c r="BF45" s="6" t="s">
        <v>1748</v>
      </c>
      <c r="BG45" s="6" t="str">
        <f t="shared" si="2"/>
        <v>C:\Users\aremi\Desktop\REPORT CBM\PO 42289580 - Pahang 11kV SECOND CYCLE AZZAD 2026\RAW MATERIAL\047. TNB BARU (IR+VI)\RAW DATA\IR</v>
      </c>
      <c r="BH45" s="23" t="s">
        <v>1561</v>
      </c>
      <c r="BU45" s="3"/>
      <c r="BV45" s="3"/>
    </row>
    <row r="46" spans="1:74" ht="12.75" customHeight="1" x14ac:dyDescent="0.2">
      <c r="A46" s="6">
        <v>23</v>
      </c>
      <c r="B46" s="6" t="s">
        <v>1562</v>
      </c>
      <c r="C46" s="6">
        <v>1</v>
      </c>
      <c r="D46" s="6" t="s">
        <v>2265</v>
      </c>
      <c r="E46" s="6">
        <v>23</v>
      </c>
      <c r="F46" s="6" t="str">
        <f ca="1">Master_List!$AW$1</f>
        <v>PERPUSTAKAAN PUSAT</v>
      </c>
      <c r="G46" s="27" t="str">
        <f ca="1">Master_List!$AW$2</f>
        <v>09:30 PM</v>
      </c>
      <c r="H46" s="32" t="str">
        <f ca="1">Master_List!$AW$3</f>
        <v>20/07/2026</v>
      </c>
      <c r="I46" s="28" t="str">
        <f ca="1">Master_List!$AW$4</f>
        <v>28.5</v>
      </c>
      <c r="J46" s="6" t="str">
        <f ca="1">Master_List!$AW$5</f>
        <v>65</v>
      </c>
      <c r="K46" s="6" t="s">
        <v>576</v>
      </c>
      <c r="L46" s="21" t="str">
        <f ca="1">IFERROR(VLOOKUP(B46, Master_List!$A:$I, 2, FALSE), "-")</f>
        <v/>
      </c>
      <c r="M46" s="21" t="str">
        <f ca="1">IFERROR(VLOOKUP(B46, Master_List!$A:$I, 3, FALSE), "-")</f>
        <v/>
      </c>
      <c r="N46" s="21" t="str">
        <f ca="1">IFERROR(VLOOKUP(B46, Master_List!$A:$I, 4, FALSE), "-")</f>
        <v/>
      </c>
      <c r="O46" s="21" t="str">
        <f ca="1">IFERROR(VLOOKUP(B46, Master_List!$A:$I, 5, FALSE), "-")</f>
        <v/>
      </c>
      <c r="P46" s="21" t="str">
        <f ca="1">IFERROR(VLOOKUP(B46, Master_List!$A:$I, 6, FALSE), "-")</f>
        <v/>
      </c>
      <c r="Q46" s="21" t="str">
        <f ca="1">IFERROR(VLOOKUP(B46, Master_List!$A:$I, 7, FALSE), "-")</f>
        <v/>
      </c>
      <c r="R46" s="21" t="str">
        <f ca="1">IFERROR(VLOOKUP(B46, Master_List!$A:$I, 8, FALSE), "-")</f>
        <v/>
      </c>
      <c r="S46" s="21" t="str">
        <f ca="1">IFERROR(VLOOKUP(B46, Master_List!$A:$I, 9, FALSE), "-")</f>
        <v/>
      </c>
      <c r="T46" s="38" t="str">
        <f ca="1">Master_List!$AW$6</f>
        <v>TOSHIBA</v>
      </c>
      <c r="U46" s="38" t="str">
        <f ca="1">Master_List!$AW$7</f>
        <v>MRMU</v>
      </c>
      <c r="V46" s="38" t="str">
        <f ca="1">Master_List!$AW$8</f>
        <v>12kV</v>
      </c>
      <c r="W46" s="38" t="str">
        <f ca="1">Master_List!$AW$9</f>
        <v>2S1F</v>
      </c>
      <c r="X46" s="38" t="str">
        <f ca="1">Master_List!$AW$10</f>
        <v>MTM</v>
      </c>
      <c r="Y46" s="38" t="str">
        <f ca="1">Master_List!$AW$11</f>
        <v>HERMETICALLY SEAL</v>
      </c>
      <c r="Z46" s="38" t="str">
        <f ca="1">Master_List!$AW$12</f>
        <v>750kVA</v>
      </c>
      <c r="AA46" s="38" t="str">
        <f ca="1">Master_List!$AW$13</f>
        <v>1317</v>
      </c>
      <c r="AB46" s="38">
        <f ca="1">Master_List!$AW$14</f>
        <v>0</v>
      </c>
      <c r="AC46" s="38">
        <f ca="1">Master_List!$AW$15</f>
        <v>0</v>
      </c>
      <c r="AD46" s="38">
        <f ca="1">Master_List!$AW$16</f>
        <v>0</v>
      </c>
      <c r="AE46" s="38">
        <f ca="1">Master_List!$AW$17</f>
        <v>0</v>
      </c>
      <c r="AF46" s="38" t="str">
        <f ca="1">Master_List!$AW$18</f>
        <v>INDKOM</v>
      </c>
      <c r="AG46" s="38" t="str">
        <f ca="1">Master_List!$AW$19</f>
        <v>J-SLOTTED</v>
      </c>
      <c r="AH46" s="38" t="str">
        <f ca="1">Master_List!$AW$20</f>
        <v>1600A</v>
      </c>
      <c r="AI46" s="38" t="str">
        <f ca="1">Master_List!$AW$21</f>
        <v>LV5080090</v>
      </c>
      <c r="AJ46" s="38" t="str">
        <f ca="1">Master_List!$AW$22</f>
        <v>LVDB TX1</v>
      </c>
      <c r="AK46" s="38">
        <f ca="1">Master_List!$AW$23</f>
        <v>0</v>
      </c>
      <c r="AL46" s="38">
        <f ca="1">Master_List!$AW$24</f>
        <v>0</v>
      </c>
      <c r="AM46" s="38">
        <f ca="1">Master_List!$AW$25</f>
        <v>0</v>
      </c>
      <c r="AN46" s="38">
        <f ca="1">Master_List!$AW$26</f>
        <v>0</v>
      </c>
      <c r="AO46" s="38" t="str">
        <f ca="1">Master_List!$AW$27</f>
        <v>LVDB TX2</v>
      </c>
      <c r="AP46" s="38" t="str">
        <f ca="1">Master_List!$AW$28</f>
        <v>SUNPOWER TECHNOLOGIES</v>
      </c>
      <c r="AQ46" s="38" t="str">
        <f ca="1">Master_List!$AW$29</f>
        <v>SPS 30-10 L</v>
      </c>
      <c r="AR46" s="38" t="str">
        <f ca="1">Master_List!$AW$30</f>
        <v>11193-8527</v>
      </c>
      <c r="AS46" s="38">
        <f ca="1">Master_List!$AW$31</f>
        <v>0</v>
      </c>
      <c r="AT46" s="38">
        <f ca="1">Master_List!$AW$32</f>
        <v>0</v>
      </c>
      <c r="AU46" s="38">
        <f ca="1">Master_List!$AW$33</f>
        <v>0</v>
      </c>
      <c r="AV46" s="38">
        <f ca="1">Master_List!$AW$34</f>
        <v>0</v>
      </c>
      <c r="AW46" s="38">
        <f ca="1">Master_List!$AW$35</f>
        <v>0</v>
      </c>
      <c r="AX46" s="38">
        <f ca="1">Master_List!$AW$36</f>
        <v>0</v>
      </c>
      <c r="AY46" s="38">
        <f ca="1">Master_List!$AW$37</f>
        <v>0</v>
      </c>
      <c r="AZ46" s="38">
        <f ca="1">Master_List!$AW$38</f>
        <v>0</v>
      </c>
      <c r="BA46" s="38">
        <f ca="1">Master_List!$AW$39</f>
        <v>0</v>
      </c>
      <c r="BB46" s="38" t="s">
        <v>2240</v>
      </c>
      <c r="BC46" s="38" t="s">
        <v>2241</v>
      </c>
      <c r="BD46" s="6" t="s">
        <v>1744</v>
      </c>
      <c r="BE46" s="6" t="s">
        <v>1773</v>
      </c>
      <c r="BF46" s="6" t="s">
        <v>1746</v>
      </c>
      <c r="BG46" s="6" t="str">
        <f t="shared" si="2"/>
        <v>C:\Users\aremi\Desktop\REPORT CBM\PO 42289580 - Pahang 11kV SECOND CYCLE AZZAD 2026\RAW MATERIAL\047. TNB BARU (IR+VI)\RAW DATA\IR</v>
      </c>
      <c r="BH46" s="23" t="s">
        <v>1563</v>
      </c>
      <c r="BU46" s="3"/>
      <c r="BV46" s="3"/>
    </row>
    <row r="47" spans="1:74" ht="12.75" customHeight="1" x14ac:dyDescent="0.2">
      <c r="A47" s="6">
        <v>23</v>
      </c>
      <c r="B47" s="6" t="s">
        <v>1562</v>
      </c>
      <c r="C47" s="6">
        <v>1</v>
      </c>
      <c r="D47" s="6" t="s">
        <v>2265</v>
      </c>
      <c r="E47" s="6">
        <v>23</v>
      </c>
      <c r="F47" s="6" t="str">
        <f ca="1">Master_List!$AW$1</f>
        <v>PERPUSTAKAAN PUSAT</v>
      </c>
      <c r="G47" s="27" t="str">
        <f ca="1">Master_List!$AW$2</f>
        <v>09:30 PM</v>
      </c>
      <c r="H47" s="32" t="str">
        <f ca="1">Master_List!$AW$3</f>
        <v>20/07/2026</v>
      </c>
      <c r="I47" s="28" t="str">
        <f ca="1">Master_List!$AW$4</f>
        <v>28.5</v>
      </c>
      <c r="J47" s="6" t="str">
        <f ca="1">Master_List!$AW$5</f>
        <v>65</v>
      </c>
      <c r="K47" s="6" t="s">
        <v>576</v>
      </c>
      <c r="L47" s="21" t="str">
        <f ca="1">IFERROR(VLOOKUP(B47, Master_List!$A:$I, 2, FALSE), "-")</f>
        <v/>
      </c>
      <c r="M47" s="21" t="str">
        <f ca="1">IFERROR(VLOOKUP(B47, Master_List!$A:$I, 3, FALSE), "-")</f>
        <v/>
      </c>
      <c r="N47" s="21" t="str">
        <f ca="1">IFERROR(VLOOKUP(B47, Master_List!$A:$I, 4, FALSE), "-")</f>
        <v/>
      </c>
      <c r="O47" s="21" t="str">
        <f ca="1">IFERROR(VLOOKUP(B47, Master_List!$A:$I, 5, FALSE), "-")</f>
        <v/>
      </c>
      <c r="P47" s="21" t="str">
        <f ca="1">IFERROR(VLOOKUP(B47, Master_List!$A:$I, 6, FALSE), "-")</f>
        <v/>
      </c>
      <c r="Q47" s="21" t="str">
        <f ca="1">IFERROR(VLOOKUP(B47, Master_List!$A:$I, 7, FALSE), "-")</f>
        <v/>
      </c>
      <c r="R47" s="21" t="str">
        <f ca="1">IFERROR(VLOOKUP(B47, Master_List!$A:$I, 8, FALSE), "-")</f>
        <v/>
      </c>
      <c r="S47" s="21" t="str">
        <f ca="1">IFERROR(VLOOKUP(B47, Master_List!$A:$I, 9, FALSE), "-")</f>
        <v/>
      </c>
      <c r="T47" s="38" t="str">
        <f ca="1">Master_List!$AW$6</f>
        <v>TOSHIBA</v>
      </c>
      <c r="U47" s="38" t="str">
        <f ca="1">Master_List!$AW$7</f>
        <v>MRMU</v>
      </c>
      <c r="V47" s="38" t="str">
        <f ca="1">Master_List!$AW$8</f>
        <v>12kV</v>
      </c>
      <c r="W47" s="38" t="str">
        <f ca="1">Master_List!$AW$9</f>
        <v>2S1F</v>
      </c>
      <c r="X47" s="38" t="str">
        <f ca="1">Master_List!$AW$10</f>
        <v>MTM</v>
      </c>
      <c r="Y47" s="38" t="str">
        <f ca="1">Master_List!$AW$11</f>
        <v>HERMETICALLY SEAL</v>
      </c>
      <c r="Z47" s="38" t="str">
        <f ca="1">Master_List!$AW$12</f>
        <v>750kVA</v>
      </c>
      <c r="AA47" s="38" t="str">
        <f ca="1">Master_List!$AW$13</f>
        <v>1317</v>
      </c>
      <c r="AB47" s="38">
        <f ca="1">Master_List!$AW$14</f>
        <v>0</v>
      </c>
      <c r="AC47" s="38">
        <f ca="1">Master_List!$AW$15</f>
        <v>0</v>
      </c>
      <c r="AD47" s="38">
        <f ca="1">Master_List!$AW$16</f>
        <v>0</v>
      </c>
      <c r="AE47" s="38">
        <f ca="1">Master_List!$AW$17</f>
        <v>0</v>
      </c>
      <c r="AF47" s="38" t="str">
        <f ca="1">Master_List!$AW$18</f>
        <v>INDKOM</v>
      </c>
      <c r="AG47" s="38" t="str">
        <f ca="1">Master_List!$AW$19</f>
        <v>J-SLOTTED</v>
      </c>
      <c r="AH47" s="38" t="str">
        <f ca="1">Master_List!$AW$20</f>
        <v>1600A</v>
      </c>
      <c r="AI47" s="38" t="str">
        <f ca="1">Master_List!$AW$21</f>
        <v>LV5080090</v>
      </c>
      <c r="AJ47" s="38" t="str">
        <f ca="1">Master_List!$AW$22</f>
        <v>LVDB TX1</v>
      </c>
      <c r="AK47" s="38">
        <f ca="1">Master_List!$AW$23</f>
        <v>0</v>
      </c>
      <c r="AL47" s="38">
        <f ca="1">Master_List!$AW$24</f>
        <v>0</v>
      </c>
      <c r="AM47" s="38">
        <f ca="1">Master_List!$AW$25</f>
        <v>0</v>
      </c>
      <c r="AN47" s="38">
        <f ca="1">Master_List!$AW$26</f>
        <v>0</v>
      </c>
      <c r="AO47" s="38" t="str">
        <f ca="1">Master_List!$AW$27</f>
        <v>LVDB TX2</v>
      </c>
      <c r="AP47" s="38" t="str">
        <f ca="1">Master_List!$AW$28</f>
        <v>SUNPOWER TECHNOLOGIES</v>
      </c>
      <c r="AQ47" s="38" t="str">
        <f ca="1">Master_List!$AW$29</f>
        <v>SPS 30-10 L</v>
      </c>
      <c r="AR47" s="38" t="str">
        <f ca="1">Master_List!$AW$30</f>
        <v>11193-8527</v>
      </c>
      <c r="AS47" s="38">
        <f ca="1">Master_List!$AW$31</f>
        <v>0</v>
      </c>
      <c r="AT47" s="38">
        <f ca="1">Master_List!$AW$32</f>
        <v>0</v>
      </c>
      <c r="AU47" s="38">
        <f ca="1">Master_List!$AW$33</f>
        <v>0</v>
      </c>
      <c r="AV47" s="38">
        <f ca="1">Master_List!$AW$34</f>
        <v>0</v>
      </c>
      <c r="AW47" s="38">
        <f ca="1">Master_List!$AW$35</f>
        <v>0</v>
      </c>
      <c r="AX47" s="38">
        <f ca="1">Master_List!$AW$36</f>
        <v>0</v>
      </c>
      <c r="AY47" s="38">
        <f ca="1">Master_List!$AW$37</f>
        <v>0</v>
      </c>
      <c r="AZ47" s="38">
        <f ca="1">Master_List!$AW$38</f>
        <v>0</v>
      </c>
      <c r="BA47" s="38">
        <f ca="1">Master_List!$AW$39</f>
        <v>0</v>
      </c>
      <c r="BB47" s="38" t="s">
        <v>2240</v>
      </c>
      <c r="BC47" s="38" t="s">
        <v>2241</v>
      </c>
      <c r="BD47" s="6" t="s">
        <v>1744</v>
      </c>
      <c r="BE47" s="6" t="s">
        <v>1773</v>
      </c>
      <c r="BF47" s="6" t="s">
        <v>1748</v>
      </c>
      <c r="BG47" s="6" t="str">
        <f t="shared" si="2"/>
        <v>C:\Users\aremi\Desktop\REPORT CBM\PO 42289580 - Pahang 11kV SECOND CYCLE AZZAD 2026\RAW MATERIAL\047. TNB BARU (IR+VI)\RAW DATA\IR</v>
      </c>
      <c r="BH47" s="23" t="s">
        <v>1564</v>
      </c>
      <c r="BU47" s="3"/>
      <c r="BV47" s="3"/>
    </row>
    <row r="48" spans="1:74" ht="12.75" customHeight="1" x14ac:dyDescent="0.2">
      <c r="A48" s="6">
        <v>24</v>
      </c>
      <c r="B48" s="6" t="s">
        <v>1562</v>
      </c>
      <c r="C48" s="6">
        <v>1</v>
      </c>
      <c r="D48" s="6" t="s">
        <v>2265</v>
      </c>
      <c r="E48" s="6">
        <v>24</v>
      </c>
      <c r="F48" s="6" t="str">
        <f ca="1">Master_List!$AW$1</f>
        <v>PERPUSTAKAAN PUSAT</v>
      </c>
      <c r="G48" s="27" t="str">
        <f ca="1">Master_List!$AW$2</f>
        <v>09:30 PM</v>
      </c>
      <c r="H48" s="32" t="str">
        <f ca="1">Master_List!$AW$3</f>
        <v>20/07/2026</v>
      </c>
      <c r="I48" s="28" t="str">
        <f ca="1">Master_List!$AW$4</f>
        <v>28.5</v>
      </c>
      <c r="J48" s="6" t="str">
        <f ca="1">Master_List!$AW$5</f>
        <v>65</v>
      </c>
      <c r="K48" s="6" t="s">
        <v>585</v>
      </c>
      <c r="L48" s="21" t="str">
        <f ca="1">IFERROR(VLOOKUP(B48, Master_List!$A:$I, 2, FALSE), "-")</f>
        <v/>
      </c>
      <c r="M48" s="21" t="str">
        <f ca="1">IFERROR(VLOOKUP(B48, Master_List!$A:$I, 3, FALSE), "-")</f>
        <v/>
      </c>
      <c r="N48" s="21" t="str">
        <f ca="1">IFERROR(VLOOKUP(B48, Master_List!$A:$I, 4, FALSE), "-")</f>
        <v/>
      </c>
      <c r="O48" s="21" t="str">
        <f ca="1">IFERROR(VLOOKUP(B48, Master_List!$A:$I, 5, FALSE), "-")</f>
        <v/>
      </c>
      <c r="P48" s="21" t="str">
        <f ca="1">IFERROR(VLOOKUP(B48, Master_List!$A:$I, 6, FALSE), "-")</f>
        <v/>
      </c>
      <c r="Q48" s="21" t="str">
        <f ca="1">IFERROR(VLOOKUP(B48, Master_List!$A:$I, 7, FALSE), "-")</f>
        <v/>
      </c>
      <c r="R48" s="21" t="str">
        <f ca="1">IFERROR(VLOOKUP(B48, Master_List!$A:$I, 8, FALSE), "-")</f>
        <v/>
      </c>
      <c r="S48" s="21" t="str">
        <f ca="1">IFERROR(VLOOKUP(B48, Master_List!$A:$I, 9, FALSE), "-")</f>
        <v/>
      </c>
      <c r="T48" s="38" t="str">
        <f ca="1">Master_List!$AW$6</f>
        <v>TOSHIBA</v>
      </c>
      <c r="U48" s="38" t="str">
        <f ca="1">Master_List!$AW$7</f>
        <v>MRMU</v>
      </c>
      <c r="V48" s="38" t="str">
        <f ca="1">Master_List!$AW$8</f>
        <v>12kV</v>
      </c>
      <c r="W48" s="38" t="str">
        <f ca="1">Master_List!$AW$9</f>
        <v>2S1F</v>
      </c>
      <c r="X48" s="38" t="str">
        <f ca="1">Master_List!$AW$10</f>
        <v>MTM</v>
      </c>
      <c r="Y48" s="38" t="str">
        <f ca="1">Master_List!$AW$11</f>
        <v>HERMETICALLY SEAL</v>
      </c>
      <c r="Z48" s="38" t="str">
        <f ca="1">Master_List!$AW$12</f>
        <v>750kVA</v>
      </c>
      <c r="AA48" s="38" t="str">
        <f ca="1">Master_List!$AW$13</f>
        <v>1317</v>
      </c>
      <c r="AB48" s="38">
        <f ca="1">Master_List!$AW$14</f>
        <v>0</v>
      </c>
      <c r="AC48" s="38">
        <f ca="1">Master_List!$AW$15</f>
        <v>0</v>
      </c>
      <c r="AD48" s="38">
        <f ca="1">Master_List!$AW$16</f>
        <v>0</v>
      </c>
      <c r="AE48" s="38">
        <f ca="1">Master_List!$AW$17</f>
        <v>0</v>
      </c>
      <c r="AF48" s="38" t="str">
        <f ca="1">Master_List!$AW$18</f>
        <v>INDKOM</v>
      </c>
      <c r="AG48" s="38" t="str">
        <f ca="1">Master_List!$AW$19</f>
        <v>J-SLOTTED</v>
      </c>
      <c r="AH48" s="38" t="str">
        <f ca="1">Master_List!$AW$20</f>
        <v>1600A</v>
      </c>
      <c r="AI48" s="38" t="str">
        <f ca="1">Master_List!$AW$21</f>
        <v>LV5080090</v>
      </c>
      <c r="AJ48" s="38" t="str">
        <f ca="1">Master_List!$AW$22</f>
        <v>LVDB TX1</v>
      </c>
      <c r="AK48" s="38">
        <f ca="1">Master_List!$AW$23</f>
        <v>0</v>
      </c>
      <c r="AL48" s="38">
        <f ca="1">Master_List!$AW$24</f>
        <v>0</v>
      </c>
      <c r="AM48" s="38">
        <f ca="1">Master_List!$AW$25</f>
        <v>0</v>
      </c>
      <c r="AN48" s="38">
        <f ca="1">Master_List!$AW$26</f>
        <v>0</v>
      </c>
      <c r="AO48" s="38" t="str">
        <f ca="1">Master_List!$AW$27</f>
        <v>LVDB TX2</v>
      </c>
      <c r="AP48" s="38" t="str">
        <f ca="1">Master_List!$AW$28</f>
        <v>SUNPOWER TECHNOLOGIES</v>
      </c>
      <c r="AQ48" s="38" t="str">
        <f ca="1">Master_List!$AW$29</f>
        <v>SPS 30-10 L</v>
      </c>
      <c r="AR48" s="38" t="str">
        <f ca="1">Master_List!$AW$30</f>
        <v>11193-8527</v>
      </c>
      <c r="AS48" s="38">
        <f ca="1">Master_List!$AW$31</f>
        <v>0</v>
      </c>
      <c r="AT48" s="38">
        <f ca="1">Master_List!$AW$32</f>
        <v>0</v>
      </c>
      <c r="AU48" s="38">
        <f ca="1">Master_List!$AW$33</f>
        <v>0</v>
      </c>
      <c r="AV48" s="38">
        <f ca="1">Master_List!$AW$34</f>
        <v>0</v>
      </c>
      <c r="AW48" s="38">
        <f ca="1">Master_List!$AW$35</f>
        <v>0</v>
      </c>
      <c r="AX48" s="38">
        <f ca="1">Master_List!$AW$36</f>
        <v>0</v>
      </c>
      <c r="AY48" s="38">
        <f ca="1">Master_List!$AW$37</f>
        <v>0</v>
      </c>
      <c r="AZ48" s="38">
        <f ca="1">Master_List!$AW$38</f>
        <v>0</v>
      </c>
      <c r="BA48" s="38">
        <f ca="1">Master_List!$AW$39</f>
        <v>0</v>
      </c>
      <c r="BB48" s="38" t="s">
        <v>2240</v>
      </c>
      <c r="BC48" s="38" t="s">
        <v>2241</v>
      </c>
      <c r="BD48" s="6" t="s">
        <v>1744</v>
      </c>
      <c r="BE48" s="6" t="s">
        <v>1774</v>
      </c>
      <c r="BF48" s="6" t="s">
        <v>1746</v>
      </c>
      <c r="BG48" s="6" t="str">
        <f t="shared" si="2"/>
        <v>C:\Users\aremi\Desktop\REPORT CBM\PO 42289580 - Pahang 11kV SECOND CYCLE AZZAD 2026\RAW MATERIAL\047. TNB BARU (IR+VI)\RAW DATA\IR</v>
      </c>
      <c r="BH48" s="23" t="s">
        <v>1565</v>
      </c>
      <c r="BU48" s="3"/>
      <c r="BV48" s="3"/>
    </row>
    <row r="49" spans="1:74" ht="12.75" customHeight="1" x14ac:dyDescent="0.2">
      <c r="A49" s="6">
        <v>24</v>
      </c>
      <c r="B49" s="6" t="s">
        <v>1562</v>
      </c>
      <c r="C49" s="6">
        <v>1</v>
      </c>
      <c r="D49" s="6" t="s">
        <v>2265</v>
      </c>
      <c r="E49" s="6">
        <v>24</v>
      </c>
      <c r="F49" s="6" t="str">
        <f ca="1">Master_List!$AW$1</f>
        <v>PERPUSTAKAAN PUSAT</v>
      </c>
      <c r="G49" s="27" t="str">
        <f ca="1">Master_List!$AW$2</f>
        <v>09:30 PM</v>
      </c>
      <c r="H49" s="32" t="str">
        <f ca="1">Master_List!$AW$3</f>
        <v>20/07/2026</v>
      </c>
      <c r="I49" s="28" t="str">
        <f ca="1">Master_List!$AW$4</f>
        <v>28.5</v>
      </c>
      <c r="J49" s="6" t="str">
        <f ca="1">Master_List!$AW$5</f>
        <v>65</v>
      </c>
      <c r="K49" s="6" t="s">
        <v>585</v>
      </c>
      <c r="L49" s="21" t="str">
        <f ca="1">IFERROR(VLOOKUP(B49, Master_List!$A:$I, 2, FALSE), "-")</f>
        <v/>
      </c>
      <c r="M49" s="21" t="str">
        <f ca="1">IFERROR(VLOOKUP(B49, Master_List!$A:$I, 3, FALSE), "-")</f>
        <v/>
      </c>
      <c r="N49" s="21" t="str">
        <f ca="1">IFERROR(VLOOKUP(B49, Master_List!$A:$I, 4, FALSE), "-")</f>
        <v/>
      </c>
      <c r="O49" s="21" t="str">
        <f ca="1">IFERROR(VLOOKUP(B49, Master_List!$A:$I, 5, FALSE), "-")</f>
        <v/>
      </c>
      <c r="P49" s="21" t="str">
        <f ca="1">IFERROR(VLOOKUP(B49, Master_List!$A:$I, 6, FALSE), "-")</f>
        <v/>
      </c>
      <c r="Q49" s="21" t="str">
        <f ca="1">IFERROR(VLOOKUP(B49, Master_List!$A:$I, 7, FALSE), "-")</f>
        <v/>
      </c>
      <c r="R49" s="21" t="str">
        <f ca="1">IFERROR(VLOOKUP(B49, Master_List!$A:$I, 8, FALSE), "-")</f>
        <v/>
      </c>
      <c r="S49" s="21" t="str">
        <f ca="1">IFERROR(VLOOKUP(B49, Master_List!$A:$I, 9, FALSE), "-")</f>
        <v/>
      </c>
      <c r="T49" s="38" t="str">
        <f ca="1">Master_List!$AW$6</f>
        <v>TOSHIBA</v>
      </c>
      <c r="U49" s="38" t="str">
        <f ca="1">Master_List!$AW$7</f>
        <v>MRMU</v>
      </c>
      <c r="V49" s="38" t="str">
        <f ca="1">Master_List!$AW$8</f>
        <v>12kV</v>
      </c>
      <c r="W49" s="38" t="str">
        <f ca="1">Master_List!$AW$9</f>
        <v>2S1F</v>
      </c>
      <c r="X49" s="38" t="str">
        <f ca="1">Master_List!$AW$10</f>
        <v>MTM</v>
      </c>
      <c r="Y49" s="38" t="str">
        <f ca="1">Master_List!$AW$11</f>
        <v>HERMETICALLY SEAL</v>
      </c>
      <c r="Z49" s="38" t="str">
        <f ca="1">Master_List!$AW$12</f>
        <v>750kVA</v>
      </c>
      <c r="AA49" s="38" t="str">
        <f ca="1">Master_List!$AW$13</f>
        <v>1317</v>
      </c>
      <c r="AB49" s="38">
        <f ca="1">Master_List!$AW$14</f>
        <v>0</v>
      </c>
      <c r="AC49" s="38">
        <f ca="1">Master_List!$AW$15</f>
        <v>0</v>
      </c>
      <c r="AD49" s="38">
        <f ca="1">Master_List!$AW$16</f>
        <v>0</v>
      </c>
      <c r="AE49" s="38">
        <f ca="1">Master_List!$AW$17</f>
        <v>0</v>
      </c>
      <c r="AF49" s="38" t="str">
        <f ca="1">Master_List!$AW$18</f>
        <v>INDKOM</v>
      </c>
      <c r="AG49" s="38" t="str">
        <f ca="1">Master_List!$AW$19</f>
        <v>J-SLOTTED</v>
      </c>
      <c r="AH49" s="38" t="str">
        <f ca="1">Master_List!$AW$20</f>
        <v>1600A</v>
      </c>
      <c r="AI49" s="38" t="str">
        <f ca="1">Master_List!$AW$21</f>
        <v>LV5080090</v>
      </c>
      <c r="AJ49" s="38" t="str">
        <f ca="1">Master_List!$AW$22</f>
        <v>LVDB TX1</v>
      </c>
      <c r="AK49" s="38">
        <f ca="1">Master_List!$AW$23</f>
        <v>0</v>
      </c>
      <c r="AL49" s="38">
        <f ca="1">Master_List!$AW$24</f>
        <v>0</v>
      </c>
      <c r="AM49" s="38">
        <f ca="1">Master_List!$AW$25</f>
        <v>0</v>
      </c>
      <c r="AN49" s="38">
        <f ca="1">Master_List!$AW$26</f>
        <v>0</v>
      </c>
      <c r="AO49" s="38" t="str">
        <f ca="1">Master_List!$AW$27</f>
        <v>LVDB TX2</v>
      </c>
      <c r="AP49" s="38" t="str">
        <f ca="1">Master_List!$AW$28</f>
        <v>SUNPOWER TECHNOLOGIES</v>
      </c>
      <c r="AQ49" s="38" t="str">
        <f ca="1">Master_List!$AW$29</f>
        <v>SPS 30-10 L</v>
      </c>
      <c r="AR49" s="38" t="str">
        <f ca="1">Master_List!$AW$30</f>
        <v>11193-8527</v>
      </c>
      <c r="AS49" s="38">
        <f ca="1">Master_List!$AW$31</f>
        <v>0</v>
      </c>
      <c r="AT49" s="38">
        <f ca="1">Master_List!$AW$32</f>
        <v>0</v>
      </c>
      <c r="AU49" s="38">
        <f ca="1">Master_List!$AW$33</f>
        <v>0</v>
      </c>
      <c r="AV49" s="38">
        <f ca="1">Master_List!$AW$34</f>
        <v>0</v>
      </c>
      <c r="AW49" s="38">
        <f ca="1">Master_List!$AW$35</f>
        <v>0</v>
      </c>
      <c r="AX49" s="38">
        <f ca="1">Master_List!$AW$36</f>
        <v>0</v>
      </c>
      <c r="AY49" s="38">
        <f ca="1">Master_List!$AW$37</f>
        <v>0</v>
      </c>
      <c r="AZ49" s="38">
        <f ca="1">Master_List!$AW$38</f>
        <v>0</v>
      </c>
      <c r="BA49" s="38">
        <f ca="1">Master_List!$AW$39</f>
        <v>0</v>
      </c>
      <c r="BB49" s="38" t="s">
        <v>2240</v>
      </c>
      <c r="BC49" s="38" t="s">
        <v>2241</v>
      </c>
      <c r="BD49" s="6" t="s">
        <v>1744</v>
      </c>
      <c r="BE49" s="6" t="s">
        <v>1774</v>
      </c>
      <c r="BF49" s="6" t="s">
        <v>1748</v>
      </c>
      <c r="BG49" s="6" t="str">
        <f t="shared" si="2"/>
        <v>C:\Users\aremi\Desktop\REPORT CBM\PO 42289580 - Pahang 11kV SECOND CYCLE AZZAD 2026\RAW MATERIAL\047. TNB BARU (IR+VI)\RAW DATA\IR</v>
      </c>
      <c r="BH49" s="23" t="s">
        <v>1566</v>
      </c>
      <c r="BU49" s="3"/>
      <c r="BV49" s="3"/>
    </row>
    <row r="50" spans="1:74" ht="12.75" customHeight="1" x14ac:dyDescent="0.2">
      <c r="A50" s="6">
        <v>25</v>
      </c>
      <c r="B50" s="6" t="s">
        <v>1567</v>
      </c>
      <c r="C50" s="6">
        <v>1</v>
      </c>
      <c r="D50" s="6" t="s">
        <v>2265</v>
      </c>
      <c r="E50" s="6">
        <v>25</v>
      </c>
      <c r="F50" s="6" t="str">
        <f ca="1">Master_List!$AW$1</f>
        <v>PERPUSTAKAAN PUSAT</v>
      </c>
      <c r="G50" s="27" t="str">
        <f ca="1">Master_List!$AW$2</f>
        <v>09:30 PM</v>
      </c>
      <c r="H50" s="32" t="str">
        <f ca="1">Master_List!$AW$3</f>
        <v>20/07/2026</v>
      </c>
      <c r="I50" s="28" t="str">
        <f ca="1">Master_List!$AW$4</f>
        <v>28.5</v>
      </c>
      <c r="J50" s="6" t="str">
        <f ca="1">Master_List!$AW$5</f>
        <v>65</v>
      </c>
      <c r="K50" s="6" t="s">
        <v>576</v>
      </c>
      <c r="L50" s="21" t="str">
        <f ca="1">IFERROR(VLOOKUP(B50, Master_List!$A:$I, 2, FALSE), "-")</f>
        <v/>
      </c>
      <c r="M50" s="21" t="str">
        <f ca="1">IFERROR(VLOOKUP(B50, Master_List!$A:$I, 3, FALSE), "-")</f>
        <v/>
      </c>
      <c r="N50" s="21" t="str">
        <f ca="1">IFERROR(VLOOKUP(B50, Master_List!$A:$I, 4, FALSE), "-")</f>
        <v/>
      </c>
      <c r="O50" s="21" t="str">
        <f ca="1">IFERROR(VLOOKUP(B50, Master_List!$A:$I, 5, FALSE), "-")</f>
        <v/>
      </c>
      <c r="P50" s="21" t="str">
        <f ca="1">IFERROR(VLOOKUP(B50, Master_List!$A:$I, 6, FALSE), "-")</f>
        <v/>
      </c>
      <c r="Q50" s="21" t="str">
        <f ca="1">IFERROR(VLOOKUP(B50, Master_List!$A:$I, 7, FALSE), "-")</f>
        <v/>
      </c>
      <c r="R50" s="21" t="str">
        <f ca="1">IFERROR(VLOOKUP(B50, Master_List!$A:$I, 8, FALSE), "-")</f>
        <v/>
      </c>
      <c r="S50" s="21" t="str">
        <f ca="1">IFERROR(VLOOKUP(B50, Master_List!$A:$I, 9, FALSE), "-")</f>
        <v/>
      </c>
      <c r="T50" s="38" t="str">
        <f ca="1">Master_List!$AW$6</f>
        <v>TOSHIBA</v>
      </c>
      <c r="U50" s="38" t="str">
        <f ca="1">Master_List!$AW$7</f>
        <v>MRMU</v>
      </c>
      <c r="V50" s="38" t="str">
        <f ca="1">Master_List!$AW$8</f>
        <v>12kV</v>
      </c>
      <c r="W50" s="38" t="str">
        <f ca="1">Master_List!$AW$9</f>
        <v>2S1F</v>
      </c>
      <c r="X50" s="38" t="str">
        <f ca="1">Master_List!$AW$10</f>
        <v>MTM</v>
      </c>
      <c r="Y50" s="38" t="str">
        <f ca="1">Master_List!$AW$11</f>
        <v>HERMETICALLY SEAL</v>
      </c>
      <c r="Z50" s="38" t="str">
        <f ca="1">Master_List!$AW$12</f>
        <v>750kVA</v>
      </c>
      <c r="AA50" s="38" t="str">
        <f ca="1">Master_List!$AW$13</f>
        <v>1317</v>
      </c>
      <c r="AB50" s="38">
        <f ca="1">Master_List!$AW$14</f>
        <v>0</v>
      </c>
      <c r="AC50" s="38">
        <f ca="1">Master_List!$AW$15</f>
        <v>0</v>
      </c>
      <c r="AD50" s="38">
        <f ca="1">Master_List!$AW$16</f>
        <v>0</v>
      </c>
      <c r="AE50" s="38">
        <f ca="1">Master_List!$AW$17</f>
        <v>0</v>
      </c>
      <c r="AF50" s="38" t="str">
        <f ca="1">Master_List!$AW$18</f>
        <v>INDKOM</v>
      </c>
      <c r="AG50" s="38" t="str">
        <f ca="1">Master_List!$AW$19</f>
        <v>J-SLOTTED</v>
      </c>
      <c r="AH50" s="38" t="str">
        <f ca="1">Master_List!$AW$20</f>
        <v>1600A</v>
      </c>
      <c r="AI50" s="38" t="str">
        <f ca="1">Master_List!$AW$21</f>
        <v>LV5080090</v>
      </c>
      <c r="AJ50" s="38" t="str">
        <f ca="1">Master_List!$AW$22</f>
        <v>LVDB TX1</v>
      </c>
      <c r="AK50" s="38">
        <f ca="1">Master_List!$AW$23</f>
        <v>0</v>
      </c>
      <c r="AL50" s="38">
        <f ca="1">Master_List!$AW$24</f>
        <v>0</v>
      </c>
      <c r="AM50" s="38">
        <f ca="1">Master_List!$AW$25</f>
        <v>0</v>
      </c>
      <c r="AN50" s="38">
        <f ca="1">Master_List!$AW$26</f>
        <v>0</v>
      </c>
      <c r="AO50" s="38" t="str">
        <f ca="1">Master_List!$AW$27</f>
        <v>LVDB TX2</v>
      </c>
      <c r="AP50" s="38" t="str">
        <f ca="1">Master_List!$AW$28</f>
        <v>SUNPOWER TECHNOLOGIES</v>
      </c>
      <c r="AQ50" s="38" t="str">
        <f ca="1">Master_List!$AW$29</f>
        <v>SPS 30-10 L</v>
      </c>
      <c r="AR50" s="38" t="str">
        <f ca="1">Master_List!$AW$30</f>
        <v>11193-8527</v>
      </c>
      <c r="AS50" s="38">
        <f ca="1">Master_List!$AW$31</f>
        <v>0</v>
      </c>
      <c r="AT50" s="38">
        <f ca="1">Master_List!$AW$32</f>
        <v>0</v>
      </c>
      <c r="AU50" s="38">
        <f ca="1">Master_List!$AW$33</f>
        <v>0</v>
      </c>
      <c r="AV50" s="38">
        <f ca="1">Master_List!$AW$34</f>
        <v>0</v>
      </c>
      <c r="AW50" s="38">
        <f ca="1">Master_List!$AW$35</f>
        <v>0</v>
      </c>
      <c r="AX50" s="38">
        <f ca="1">Master_List!$AW$36</f>
        <v>0</v>
      </c>
      <c r="AY50" s="38">
        <f ca="1">Master_List!$AW$37</f>
        <v>0</v>
      </c>
      <c r="AZ50" s="38">
        <f ca="1">Master_List!$AW$38</f>
        <v>0</v>
      </c>
      <c r="BA50" s="38">
        <f ca="1">Master_List!$AW$39</f>
        <v>0</v>
      </c>
      <c r="BB50" s="38" t="s">
        <v>2240</v>
      </c>
      <c r="BC50" s="38" t="s">
        <v>2241</v>
      </c>
      <c r="BD50" s="6" t="s">
        <v>1744</v>
      </c>
      <c r="BE50" s="6" t="s">
        <v>1775</v>
      </c>
      <c r="BF50" s="6" t="s">
        <v>1746</v>
      </c>
      <c r="BG50" s="6" t="str">
        <f t="shared" si="2"/>
        <v>C:\Users\aremi\Desktop\REPORT CBM\PO 42289580 - Pahang 11kV SECOND CYCLE AZZAD 2026\RAW MATERIAL\047. TNB BARU (IR+VI)\RAW DATA\IR</v>
      </c>
      <c r="BH50" s="23" t="s">
        <v>1568</v>
      </c>
      <c r="BU50" s="3"/>
      <c r="BV50" s="3"/>
    </row>
    <row r="51" spans="1:74" ht="12.75" customHeight="1" x14ac:dyDescent="0.2">
      <c r="A51" s="6">
        <v>25</v>
      </c>
      <c r="B51" s="6" t="s">
        <v>1567</v>
      </c>
      <c r="C51" s="6">
        <v>1</v>
      </c>
      <c r="D51" s="6" t="s">
        <v>2265</v>
      </c>
      <c r="E51" s="6">
        <v>25</v>
      </c>
      <c r="F51" s="6" t="str">
        <f ca="1">Master_List!$AW$1</f>
        <v>PERPUSTAKAAN PUSAT</v>
      </c>
      <c r="G51" s="27" t="str">
        <f ca="1">Master_List!$AW$2</f>
        <v>09:30 PM</v>
      </c>
      <c r="H51" s="32" t="str">
        <f ca="1">Master_List!$AW$3</f>
        <v>20/07/2026</v>
      </c>
      <c r="I51" s="28" t="str">
        <f ca="1">Master_List!$AW$4</f>
        <v>28.5</v>
      </c>
      <c r="J51" s="6" t="str">
        <f ca="1">Master_List!$AW$5</f>
        <v>65</v>
      </c>
      <c r="K51" s="6" t="s">
        <v>576</v>
      </c>
      <c r="L51" s="21" t="str">
        <f ca="1">IFERROR(VLOOKUP(B51, Master_List!$A:$I, 2, FALSE), "-")</f>
        <v/>
      </c>
      <c r="M51" s="21" t="str">
        <f ca="1">IFERROR(VLOOKUP(B51, Master_List!$A:$I, 3, FALSE), "-")</f>
        <v/>
      </c>
      <c r="N51" s="21" t="str">
        <f ca="1">IFERROR(VLOOKUP(B51, Master_List!$A:$I, 4, FALSE), "-")</f>
        <v/>
      </c>
      <c r="O51" s="21" t="str">
        <f ca="1">IFERROR(VLOOKUP(B51, Master_List!$A:$I, 5, FALSE), "-")</f>
        <v/>
      </c>
      <c r="P51" s="21" t="str">
        <f ca="1">IFERROR(VLOOKUP(B51, Master_List!$A:$I, 6, FALSE), "-")</f>
        <v/>
      </c>
      <c r="Q51" s="21" t="str">
        <f ca="1">IFERROR(VLOOKUP(B51, Master_List!$A:$I, 7, FALSE), "-")</f>
        <v/>
      </c>
      <c r="R51" s="21" t="str">
        <f ca="1">IFERROR(VLOOKUP(B51, Master_List!$A:$I, 8, FALSE), "-")</f>
        <v/>
      </c>
      <c r="S51" s="21" t="str">
        <f ca="1">IFERROR(VLOOKUP(B51, Master_List!$A:$I, 9, FALSE), "-")</f>
        <v/>
      </c>
      <c r="T51" s="38" t="str">
        <f ca="1">Master_List!$AW$6</f>
        <v>TOSHIBA</v>
      </c>
      <c r="U51" s="38" t="str">
        <f ca="1">Master_List!$AW$7</f>
        <v>MRMU</v>
      </c>
      <c r="V51" s="38" t="str">
        <f ca="1">Master_List!$AW$8</f>
        <v>12kV</v>
      </c>
      <c r="W51" s="38" t="str">
        <f ca="1">Master_List!$AW$9</f>
        <v>2S1F</v>
      </c>
      <c r="X51" s="38" t="str">
        <f ca="1">Master_List!$AW$10</f>
        <v>MTM</v>
      </c>
      <c r="Y51" s="38" t="str">
        <f ca="1">Master_List!$AW$11</f>
        <v>HERMETICALLY SEAL</v>
      </c>
      <c r="Z51" s="38" t="str">
        <f ca="1">Master_List!$AW$12</f>
        <v>750kVA</v>
      </c>
      <c r="AA51" s="38" t="str">
        <f ca="1">Master_List!$AW$13</f>
        <v>1317</v>
      </c>
      <c r="AB51" s="38">
        <f ca="1">Master_List!$AW$14</f>
        <v>0</v>
      </c>
      <c r="AC51" s="38">
        <f ca="1">Master_List!$AW$15</f>
        <v>0</v>
      </c>
      <c r="AD51" s="38">
        <f ca="1">Master_List!$AW$16</f>
        <v>0</v>
      </c>
      <c r="AE51" s="38">
        <f ca="1">Master_List!$AW$17</f>
        <v>0</v>
      </c>
      <c r="AF51" s="38" t="str">
        <f ca="1">Master_List!$AW$18</f>
        <v>INDKOM</v>
      </c>
      <c r="AG51" s="38" t="str">
        <f ca="1">Master_List!$AW$19</f>
        <v>J-SLOTTED</v>
      </c>
      <c r="AH51" s="38" t="str">
        <f ca="1">Master_List!$AW$20</f>
        <v>1600A</v>
      </c>
      <c r="AI51" s="38" t="str">
        <f ca="1">Master_List!$AW$21</f>
        <v>LV5080090</v>
      </c>
      <c r="AJ51" s="38" t="str">
        <f ca="1">Master_List!$AW$22</f>
        <v>LVDB TX1</v>
      </c>
      <c r="AK51" s="38">
        <f ca="1">Master_List!$AW$23</f>
        <v>0</v>
      </c>
      <c r="AL51" s="38">
        <f ca="1">Master_List!$AW$24</f>
        <v>0</v>
      </c>
      <c r="AM51" s="38">
        <f ca="1">Master_List!$AW$25</f>
        <v>0</v>
      </c>
      <c r="AN51" s="38">
        <f ca="1">Master_List!$AW$26</f>
        <v>0</v>
      </c>
      <c r="AO51" s="38" t="str">
        <f ca="1">Master_List!$AW$27</f>
        <v>LVDB TX2</v>
      </c>
      <c r="AP51" s="38" t="str">
        <f ca="1">Master_List!$AW$28</f>
        <v>SUNPOWER TECHNOLOGIES</v>
      </c>
      <c r="AQ51" s="38" t="str">
        <f ca="1">Master_List!$AW$29</f>
        <v>SPS 30-10 L</v>
      </c>
      <c r="AR51" s="38" t="str">
        <f ca="1">Master_List!$AW$30</f>
        <v>11193-8527</v>
      </c>
      <c r="AS51" s="38">
        <f ca="1">Master_List!$AW$31</f>
        <v>0</v>
      </c>
      <c r="AT51" s="38">
        <f ca="1">Master_List!$AW$32</f>
        <v>0</v>
      </c>
      <c r="AU51" s="38">
        <f ca="1">Master_List!$AW$33</f>
        <v>0</v>
      </c>
      <c r="AV51" s="38">
        <f ca="1">Master_List!$AW$34</f>
        <v>0</v>
      </c>
      <c r="AW51" s="38">
        <f ca="1">Master_List!$AW$35</f>
        <v>0</v>
      </c>
      <c r="AX51" s="38">
        <f ca="1">Master_List!$AW$36</f>
        <v>0</v>
      </c>
      <c r="AY51" s="38">
        <f ca="1">Master_List!$AW$37</f>
        <v>0</v>
      </c>
      <c r="AZ51" s="38">
        <f ca="1">Master_List!$AW$38</f>
        <v>0</v>
      </c>
      <c r="BA51" s="38">
        <f ca="1">Master_List!$AW$39</f>
        <v>0</v>
      </c>
      <c r="BB51" s="38" t="s">
        <v>2240</v>
      </c>
      <c r="BC51" s="38" t="s">
        <v>2241</v>
      </c>
      <c r="BD51" s="6" t="s">
        <v>1744</v>
      </c>
      <c r="BE51" s="6" t="s">
        <v>1775</v>
      </c>
      <c r="BF51" s="6" t="s">
        <v>1748</v>
      </c>
      <c r="BG51" s="6" t="str">
        <f t="shared" si="2"/>
        <v>C:\Users\aremi\Desktop\REPORT CBM\PO 42289580 - Pahang 11kV SECOND CYCLE AZZAD 2026\RAW MATERIAL\047. TNB BARU (IR+VI)\RAW DATA\IR</v>
      </c>
      <c r="BH51" s="23" t="s">
        <v>1569</v>
      </c>
      <c r="BU51" s="3"/>
      <c r="BV51" s="3"/>
    </row>
    <row r="52" spans="1:74" ht="12.75" customHeight="1" x14ac:dyDescent="0.2">
      <c r="A52" s="6">
        <v>26</v>
      </c>
      <c r="B52" s="6" t="s">
        <v>1567</v>
      </c>
      <c r="C52" s="6">
        <v>1</v>
      </c>
      <c r="D52" s="6" t="s">
        <v>2265</v>
      </c>
      <c r="E52" s="6">
        <v>26</v>
      </c>
      <c r="F52" s="6" t="str">
        <f ca="1">Master_List!$AW$1</f>
        <v>PERPUSTAKAAN PUSAT</v>
      </c>
      <c r="G52" s="27" t="str">
        <f ca="1">Master_List!$AW$2</f>
        <v>09:30 PM</v>
      </c>
      <c r="H52" s="32" t="str">
        <f ca="1">Master_List!$AW$3</f>
        <v>20/07/2026</v>
      </c>
      <c r="I52" s="28" t="str">
        <f ca="1">Master_List!$AW$4</f>
        <v>28.5</v>
      </c>
      <c r="J52" s="6" t="str">
        <f ca="1">Master_List!$AW$5</f>
        <v>65</v>
      </c>
      <c r="K52" s="6" t="s">
        <v>585</v>
      </c>
      <c r="L52" s="21" t="str">
        <f ca="1">IFERROR(VLOOKUP(B52, Master_List!$A:$I, 2, FALSE), "-")</f>
        <v/>
      </c>
      <c r="M52" s="21" t="str">
        <f ca="1">IFERROR(VLOOKUP(B52, Master_List!$A:$I, 3, FALSE), "-")</f>
        <v/>
      </c>
      <c r="N52" s="21" t="str">
        <f ca="1">IFERROR(VLOOKUP(B52, Master_List!$A:$I, 4, FALSE), "-")</f>
        <v/>
      </c>
      <c r="O52" s="21" t="str">
        <f ca="1">IFERROR(VLOOKUP(B52, Master_List!$A:$I, 5, FALSE), "-")</f>
        <v/>
      </c>
      <c r="P52" s="21" t="str">
        <f ca="1">IFERROR(VLOOKUP(B52, Master_List!$A:$I, 6, FALSE), "-")</f>
        <v/>
      </c>
      <c r="Q52" s="21" t="str">
        <f ca="1">IFERROR(VLOOKUP(B52, Master_List!$A:$I, 7, FALSE), "-")</f>
        <v/>
      </c>
      <c r="R52" s="21" t="str">
        <f ca="1">IFERROR(VLOOKUP(B52, Master_List!$A:$I, 8, FALSE), "-")</f>
        <v/>
      </c>
      <c r="S52" s="21" t="str">
        <f ca="1">IFERROR(VLOOKUP(B52, Master_List!$A:$I, 9, FALSE), "-")</f>
        <v/>
      </c>
      <c r="T52" s="38" t="str">
        <f ca="1">Master_List!$AW$6</f>
        <v>TOSHIBA</v>
      </c>
      <c r="U52" s="38" t="str">
        <f ca="1">Master_List!$AW$7</f>
        <v>MRMU</v>
      </c>
      <c r="V52" s="38" t="str">
        <f ca="1">Master_List!$AW$8</f>
        <v>12kV</v>
      </c>
      <c r="W52" s="38" t="str">
        <f ca="1">Master_List!$AW$9</f>
        <v>2S1F</v>
      </c>
      <c r="X52" s="38" t="str">
        <f ca="1">Master_List!$AW$10</f>
        <v>MTM</v>
      </c>
      <c r="Y52" s="38" t="str">
        <f ca="1">Master_List!$AW$11</f>
        <v>HERMETICALLY SEAL</v>
      </c>
      <c r="Z52" s="38" t="str">
        <f ca="1">Master_List!$AW$12</f>
        <v>750kVA</v>
      </c>
      <c r="AA52" s="38" t="str">
        <f ca="1">Master_List!$AW$13</f>
        <v>1317</v>
      </c>
      <c r="AB52" s="38">
        <f ca="1">Master_List!$AW$14</f>
        <v>0</v>
      </c>
      <c r="AC52" s="38">
        <f ca="1">Master_List!$AW$15</f>
        <v>0</v>
      </c>
      <c r="AD52" s="38">
        <f ca="1">Master_List!$AW$16</f>
        <v>0</v>
      </c>
      <c r="AE52" s="38">
        <f ca="1">Master_List!$AW$17</f>
        <v>0</v>
      </c>
      <c r="AF52" s="38" t="str">
        <f ca="1">Master_List!$AW$18</f>
        <v>INDKOM</v>
      </c>
      <c r="AG52" s="38" t="str">
        <f ca="1">Master_List!$AW$19</f>
        <v>J-SLOTTED</v>
      </c>
      <c r="AH52" s="38" t="str">
        <f ca="1">Master_List!$AW$20</f>
        <v>1600A</v>
      </c>
      <c r="AI52" s="38" t="str">
        <f ca="1">Master_List!$AW$21</f>
        <v>LV5080090</v>
      </c>
      <c r="AJ52" s="38" t="str">
        <f ca="1">Master_List!$AW$22</f>
        <v>LVDB TX1</v>
      </c>
      <c r="AK52" s="38">
        <f ca="1">Master_List!$AW$23</f>
        <v>0</v>
      </c>
      <c r="AL52" s="38">
        <f ca="1">Master_List!$AW$24</f>
        <v>0</v>
      </c>
      <c r="AM52" s="38">
        <f ca="1">Master_List!$AW$25</f>
        <v>0</v>
      </c>
      <c r="AN52" s="38">
        <f ca="1">Master_List!$AW$26</f>
        <v>0</v>
      </c>
      <c r="AO52" s="38" t="str">
        <f ca="1">Master_List!$AW$27</f>
        <v>LVDB TX2</v>
      </c>
      <c r="AP52" s="38" t="str">
        <f ca="1">Master_List!$AW$28</f>
        <v>SUNPOWER TECHNOLOGIES</v>
      </c>
      <c r="AQ52" s="38" t="str">
        <f ca="1">Master_List!$AW$29</f>
        <v>SPS 30-10 L</v>
      </c>
      <c r="AR52" s="38" t="str">
        <f ca="1">Master_List!$AW$30</f>
        <v>11193-8527</v>
      </c>
      <c r="AS52" s="38">
        <f ca="1">Master_List!$AW$31</f>
        <v>0</v>
      </c>
      <c r="AT52" s="38">
        <f ca="1">Master_List!$AW$32</f>
        <v>0</v>
      </c>
      <c r="AU52" s="38">
        <f ca="1">Master_List!$AW$33</f>
        <v>0</v>
      </c>
      <c r="AV52" s="38">
        <f ca="1">Master_List!$AW$34</f>
        <v>0</v>
      </c>
      <c r="AW52" s="38">
        <f ca="1">Master_List!$AW$35</f>
        <v>0</v>
      </c>
      <c r="AX52" s="38">
        <f ca="1">Master_List!$AW$36</f>
        <v>0</v>
      </c>
      <c r="AY52" s="38">
        <f ca="1">Master_List!$AW$37</f>
        <v>0</v>
      </c>
      <c r="AZ52" s="38">
        <f ca="1">Master_List!$AW$38</f>
        <v>0</v>
      </c>
      <c r="BA52" s="38">
        <f ca="1">Master_List!$AW$39</f>
        <v>0</v>
      </c>
      <c r="BB52" s="38" t="s">
        <v>2240</v>
      </c>
      <c r="BC52" s="38" t="s">
        <v>2241</v>
      </c>
      <c r="BD52" s="6" t="s">
        <v>1744</v>
      </c>
      <c r="BE52" s="6" t="s">
        <v>1776</v>
      </c>
      <c r="BF52" s="6" t="s">
        <v>1746</v>
      </c>
      <c r="BG52" s="6" t="str">
        <f t="shared" si="2"/>
        <v>C:\Users\aremi\Desktop\REPORT CBM\PO 42289580 - Pahang 11kV SECOND CYCLE AZZAD 2026\RAW MATERIAL\047. TNB BARU (IR+VI)\RAW DATA\IR</v>
      </c>
      <c r="BH52" s="23" t="s">
        <v>571</v>
      </c>
      <c r="BU52" s="3"/>
      <c r="BV52" s="3"/>
    </row>
    <row r="53" spans="1:74" ht="12.75" customHeight="1" x14ac:dyDescent="0.2">
      <c r="A53" s="6">
        <v>26</v>
      </c>
      <c r="B53" s="6" t="s">
        <v>1567</v>
      </c>
      <c r="C53" s="6">
        <v>1</v>
      </c>
      <c r="D53" s="6" t="s">
        <v>2265</v>
      </c>
      <c r="E53" s="6">
        <v>26</v>
      </c>
      <c r="F53" s="6" t="str">
        <f ca="1">Master_List!$AW$1</f>
        <v>PERPUSTAKAAN PUSAT</v>
      </c>
      <c r="G53" s="27" t="str">
        <f ca="1">Master_List!$AW$2</f>
        <v>09:30 PM</v>
      </c>
      <c r="H53" s="32" t="str">
        <f ca="1">Master_List!$AW$3</f>
        <v>20/07/2026</v>
      </c>
      <c r="I53" s="28" t="str">
        <f ca="1">Master_List!$AW$4</f>
        <v>28.5</v>
      </c>
      <c r="J53" s="6" t="str">
        <f ca="1">Master_List!$AW$5</f>
        <v>65</v>
      </c>
      <c r="K53" s="6" t="s">
        <v>585</v>
      </c>
      <c r="L53" s="21" t="str">
        <f ca="1">IFERROR(VLOOKUP(B53, Master_List!$A:$I, 2, FALSE), "-")</f>
        <v/>
      </c>
      <c r="M53" s="21" t="str">
        <f ca="1">IFERROR(VLOOKUP(B53, Master_List!$A:$I, 3, FALSE), "-")</f>
        <v/>
      </c>
      <c r="N53" s="21" t="str">
        <f ca="1">IFERROR(VLOOKUP(B53, Master_List!$A:$I, 4, FALSE), "-")</f>
        <v/>
      </c>
      <c r="O53" s="21" t="str">
        <f ca="1">IFERROR(VLOOKUP(B53, Master_List!$A:$I, 5, FALSE), "-")</f>
        <v/>
      </c>
      <c r="P53" s="21" t="str">
        <f ca="1">IFERROR(VLOOKUP(B53, Master_List!$A:$I, 6, FALSE), "-")</f>
        <v/>
      </c>
      <c r="Q53" s="21" t="str">
        <f ca="1">IFERROR(VLOOKUP(B53, Master_List!$A:$I, 7, FALSE), "-")</f>
        <v/>
      </c>
      <c r="R53" s="21" t="str">
        <f ca="1">IFERROR(VLOOKUP(B53, Master_List!$A:$I, 8, FALSE), "-")</f>
        <v/>
      </c>
      <c r="S53" s="21" t="str">
        <f ca="1">IFERROR(VLOOKUP(B53, Master_List!$A:$I, 9, FALSE), "-")</f>
        <v/>
      </c>
      <c r="T53" s="38" t="str">
        <f ca="1">Master_List!$AW$6</f>
        <v>TOSHIBA</v>
      </c>
      <c r="U53" s="38" t="str">
        <f ca="1">Master_List!$AW$7</f>
        <v>MRMU</v>
      </c>
      <c r="V53" s="38" t="str">
        <f ca="1">Master_List!$AW$8</f>
        <v>12kV</v>
      </c>
      <c r="W53" s="38" t="str">
        <f ca="1">Master_List!$AW$9</f>
        <v>2S1F</v>
      </c>
      <c r="X53" s="38" t="str">
        <f ca="1">Master_List!$AW$10</f>
        <v>MTM</v>
      </c>
      <c r="Y53" s="38" t="str">
        <f ca="1">Master_List!$AW$11</f>
        <v>HERMETICALLY SEAL</v>
      </c>
      <c r="Z53" s="38" t="str">
        <f ca="1">Master_List!$AW$12</f>
        <v>750kVA</v>
      </c>
      <c r="AA53" s="38" t="str">
        <f ca="1">Master_List!$AW$13</f>
        <v>1317</v>
      </c>
      <c r="AB53" s="38">
        <f ca="1">Master_List!$AW$14</f>
        <v>0</v>
      </c>
      <c r="AC53" s="38">
        <f ca="1">Master_List!$AW$15</f>
        <v>0</v>
      </c>
      <c r="AD53" s="38">
        <f ca="1">Master_List!$AW$16</f>
        <v>0</v>
      </c>
      <c r="AE53" s="38">
        <f ca="1">Master_List!$AW$17</f>
        <v>0</v>
      </c>
      <c r="AF53" s="38" t="str">
        <f ca="1">Master_List!$AW$18</f>
        <v>INDKOM</v>
      </c>
      <c r="AG53" s="38" t="str">
        <f ca="1">Master_List!$AW$19</f>
        <v>J-SLOTTED</v>
      </c>
      <c r="AH53" s="38" t="str">
        <f ca="1">Master_List!$AW$20</f>
        <v>1600A</v>
      </c>
      <c r="AI53" s="38" t="str">
        <f ca="1">Master_List!$AW$21</f>
        <v>LV5080090</v>
      </c>
      <c r="AJ53" s="38" t="str">
        <f ca="1">Master_List!$AW$22</f>
        <v>LVDB TX1</v>
      </c>
      <c r="AK53" s="38">
        <f ca="1">Master_List!$AW$23</f>
        <v>0</v>
      </c>
      <c r="AL53" s="38">
        <f ca="1">Master_List!$AW$24</f>
        <v>0</v>
      </c>
      <c r="AM53" s="38">
        <f ca="1">Master_List!$AW$25</f>
        <v>0</v>
      </c>
      <c r="AN53" s="38">
        <f ca="1">Master_List!$AW$26</f>
        <v>0</v>
      </c>
      <c r="AO53" s="38" t="str">
        <f ca="1">Master_List!$AW$27</f>
        <v>LVDB TX2</v>
      </c>
      <c r="AP53" s="38" t="str">
        <f ca="1">Master_List!$AW$28</f>
        <v>SUNPOWER TECHNOLOGIES</v>
      </c>
      <c r="AQ53" s="38" t="str">
        <f ca="1">Master_List!$AW$29</f>
        <v>SPS 30-10 L</v>
      </c>
      <c r="AR53" s="38" t="str">
        <f ca="1">Master_List!$AW$30</f>
        <v>11193-8527</v>
      </c>
      <c r="AS53" s="38">
        <f ca="1">Master_List!$AW$31</f>
        <v>0</v>
      </c>
      <c r="AT53" s="38">
        <f ca="1">Master_List!$AW$32</f>
        <v>0</v>
      </c>
      <c r="AU53" s="38">
        <f ca="1">Master_List!$AW$33</f>
        <v>0</v>
      </c>
      <c r="AV53" s="38">
        <f ca="1">Master_List!$AW$34</f>
        <v>0</v>
      </c>
      <c r="AW53" s="38">
        <f ca="1">Master_List!$AW$35</f>
        <v>0</v>
      </c>
      <c r="AX53" s="38">
        <f ca="1">Master_List!$AW$36</f>
        <v>0</v>
      </c>
      <c r="AY53" s="38">
        <f ca="1">Master_List!$AW$37</f>
        <v>0</v>
      </c>
      <c r="AZ53" s="38">
        <f ca="1">Master_List!$AW$38</f>
        <v>0</v>
      </c>
      <c r="BA53" s="38">
        <f ca="1">Master_List!$AW$39</f>
        <v>0</v>
      </c>
      <c r="BB53" s="38" t="s">
        <v>2240</v>
      </c>
      <c r="BC53" s="38" t="s">
        <v>2241</v>
      </c>
      <c r="BD53" s="6" t="s">
        <v>1744</v>
      </c>
      <c r="BE53" s="6" t="s">
        <v>1776</v>
      </c>
      <c r="BF53" s="6" t="s">
        <v>1748</v>
      </c>
      <c r="BG53" s="6" t="str">
        <f t="shared" si="2"/>
        <v>C:\Users\aremi\Desktop\REPORT CBM\PO 42289580 - Pahang 11kV SECOND CYCLE AZZAD 2026\RAW MATERIAL\047. TNB BARU (IR+VI)\RAW DATA\IR</v>
      </c>
      <c r="BH53" s="23" t="s">
        <v>572</v>
      </c>
      <c r="BU53" s="3"/>
      <c r="BV53" s="3"/>
    </row>
    <row r="54" spans="1:74" ht="12.75" customHeight="1" x14ac:dyDescent="0.2">
      <c r="A54" s="6">
        <v>27</v>
      </c>
      <c r="B54" s="6" t="s">
        <v>1570</v>
      </c>
      <c r="C54" s="6">
        <v>1</v>
      </c>
      <c r="D54" s="6" t="s">
        <v>2245</v>
      </c>
      <c r="E54" s="6">
        <v>27</v>
      </c>
      <c r="F54" s="6" t="str">
        <f ca="1">Master_List!$AW$1</f>
        <v>PERPUSTAKAAN PUSAT</v>
      </c>
      <c r="G54" s="27" t="str">
        <f ca="1">Master_List!$AW$2</f>
        <v>09:30 PM</v>
      </c>
      <c r="H54" s="32" t="str">
        <f ca="1">Master_List!$AW$3</f>
        <v>20/07/2026</v>
      </c>
      <c r="I54" s="28" t="str">
        <f ca="1">Master_List!$AW$4</f>
        <v>28.5</v>
      </c>
      <c r="J54" s="6" t="str">
        <f ca="1">Master_List!$AW$5</f>
        <v>65</v>
      </c>
      <c r="K54" s="6" t="s">
        <v>1453</v>
      </c>
      <c r="L54" s="21">
        <v>1</v>
      </c>
      <c r="M54" s="39"/>
      <c r="N54" s="39"/>
      <c r="O54" s="39"/>
      <c r="P54" s="39"/>
      <c r="Q54" s="39"/>
      <c r="R54" s="39"/>
      <c r="S54" s="39"/>
      <c r="T54" s="38" t="str">
        <f ca="1">Master_List!$AW$6</f>
        <v>TOSHIBA</v>
      </c>
      <c r="U54" s="38" t="str">
        <f ca="1">Master_List!$AW$7</f>
        <v>MRMU</v>
      </c>
      <c r="V54" s="38" t="str">
        <f ca="1">Master_List!$AW$8</f>
        <v>12kV</v>
      </c>
      <c r="W54" s="38" t="str">
        <f ca="1">Master_List!$AW$9</f>
        <v>2S1F</v>
      </c>
      <c r="X54" s="38" t="str">
        <f ca="1">Master_List!$AW$10</f>
        <v>MTM</v>
      </c>
      <c r="Y54" s="38" t="str">
        <f ca="1">Master_List!$AW$11</f>
        <v>HERMETICALLY SEAL</v>
      </c>
      <c r="Z54" s="38" t="str">
        <f ca="1">Master_List!$AW$12</f>
        <v>750kVA</v>
      </c>
      <c r="AA54" s="38" t="str">
        <f ca="1">Master_List!$AW$13</f>
        <v>1317</v>
      </c>
      <c r="AB54" s="38">
        <f ca="1">Master_List!$AW$14</f>
        <v>0</v>
      </c>
      <c r="AC54" s="38">
        <f ca="1">Master_List!$AW$15</f>
        <v>0</v>
      </c>
      <c r="AD54" s="38">
        <f ca="1">Master_List!$AW$16</f>
        <v>0</v>
      </c>
      <c r="AE54" s="38">
        <f ca="1">Master_List!$AW$17</f>
        <v>0</v>
      </c>
      <c r="AF54" s="38" t="str">
        <f ca="1">Master_List!$AW$18</f>
        <v>INDKOM</v>
      </c>
      <c r="AG54" s="38" t="str">
        <f ca="1">Master_List!$AW$19</f>
        <v>J-SLOTTED</v>
      </c>
      <c r="AH54" s="38" t="str">
        <f ca="1">Master_List!$AW$20</f>
        <v>1600A</v>
      </c>
      <c r="AI54" s="38" t="str">
        <f ca="1">Master_List!$AW$21</f>
        <v>LV5080090</v>
      </c>
      <c r="AJ54" s="38" t="str">
        <f ca="1">Master_List!$AW$22</f>
        <v>LVDB TX1</v>
      </c>
      <c r="AK54" s="38">
        <f ca="1">Master_List!$AW$23</f>
        <v>0</v>
      </c>
      <c r="AL54" s="38">
        <f ca="1">Master_List!$AW$24</f>
        <v>0</v>
      </c>
      <c r="AM54" s="38">
        <f ca="1">Master_List!$AW$25</f>
        <v>0</v>
      </c>
      <c r="AN54" s="38">
        <f ca="1">Master_List!$AW$26</f>
        <v>0</v>
      </c>
      <c r="AO54" s="38" t="str">
        <f ca="1">Master_List!$AW$27</f>
        <v>LVDB TX2</v>
      </c>
      <c r="AP54" s="38" t="str">
        <f ca="1">Master_List!$AW$28</f>
        <v>SUNPOWER TECHNOLOGIES</v>
      </c>
      <c r="AQ54" s="38" t="str">
        <f ca="1">Master_List!$AW$29</f>
        <v>SPS 30-10 L</v>
      </c>
      <c r="AR54" s="38" t="str">
        <f ca="1">Master_List!$AW$30</f>
        <v>11193-8527</v>
      </c>
      <c r="AS54" s="38">
        <f ca="1">Master_List!$AW$31</f>
        <v>0</v>
      </c>
      <c r="AT54" s="38">
        <f ca="1">Master_List!$AW$32</f>
        <v>0</v>
      </c>
      <c r="AU54" s="38">
        <f ca="1">Master_List!$AW$33</f>
        <v>0</v>
      </c>
      <c r="AV54" s="38">
        <f ca="1">Master_List!$AW$34</f>
        <v>0</v>
      </c>
      <c r="AW54" s="38">
        <f ca="1">Master_List!$AW$35</f>
        <v>0</v>
      </c>
      <c r="AX54" s="38">
        <f ca="1">Master_List!$AW$36</f>
        <v>0</v>
      </c>
      <c r="AY54" s="38">
        <f ca="1">Master_List!$AW$37</f>
        <v>0</v>
      </c>
      <c r="AZ54" s="38">
        <f ca="1">Master_List!$AW$38</f>
        <v>0</v>
      </c>
      <c r="BA54" s="38">
        <f ca="1">Master_List!$AW$39</f>
        <v>0</v>
      </c>
      <c r="BB54" s="38" t="s">
        <v>2240</v>
      </c>
      <c r="BC54" s="38" t="s">
        <v>2241</v>
      </c>
      <c r="BD54" s="6" t="s">
        <v>1744</v>
      </c>
      <c r="BE54" s="6" t="s">
        <v>1777</v>
      </c>
      <c r="BF54" s="6" t="s">
        <v>1746</v>
      </c>
      <c r="BG54" s="6" t="str">
        <f t="shared" si="2"/>
        <v>C:\Users\aremi\Desktop\REPORT CBM\PO 42289580 - Pahang 11kV SECOND CYCLE AZZAD 2026\RAW MATERIAL\047. TNB BARU (IR+VI)\RAW DATA\IR</v>
      </c>
      <c r="BH54" s="23" t="s">
        <v>574</v>
      </c>
      <c r="BU54" s="3"/>
      <c r="BV54" s="3"/>
    </row>
    <row r="55" spans="1:74" ht="12.75" customHeight="1" x14ac:dyDescent="0.2">
      <c r="A55" s="6">
        <v>27</v>
      </c>
      <c r="B55" s="6" t="s">
        <v>1570</v>
      </c>
      <c r="C55" s="6">
        <v>1</v>
      </c>
      <c r="D55" s="6" t="s">
        <v>2245</v>
      </c>
      <c r="E55" s="6">
        <v>27</v>
      </c>
      <c r="F55" s="6" t="str">
        <f ca="1">Master_List!$AW$1</f>
        <v>PERPUSTAKAAN PUSAT</v>
      </c>
      <c r="G55" s="27" t="str">
        <f ca="1">Master_List!$AW$2</f>
        <v>09:30 PM</v>
      </c>
      <c r="H55" s="32" t="str">
        <f ca="1">Master_List!$AW$3</f>
        <v>20/07/2026</v>
      </c>
      <c r="I55" s="28" t="str">
        <f ca="1">Master_List!$AW$4</f>
        <v>28.5</v>
      </c>
      <c r="J55" s="6" t="str">
        <f ca="1">Master_List!$AW$5</f>
        <v>65</v>
      </c>
      <c r="K55" s="6" t="s">
        <v>1453</v>
      </c>
      <c r="L55" s="21">
        <v>1</v>
      </c>
      <c r="M55" s="39"/>
      <c r="N55" s="39"/>
      <c r="O55" s="39"/>
      <c r="P55" s="39"/>
      <c r="Q55" s="39"/>
      <c r="R55" s="39"/>
      <c r="S55" s="39"/>
      <c r="T55" s="38" t="str">
        <f ca="1">Master_List!$AW$6</f>
        <v>TOSHIBA</v>
      </c>
      <c r="U55" s="38" t="str">
        <f ca="1">Master_List!$AW$7</f>
        <v>MRMU</v>
      </c>
      <c r="V55" s="38" t="str">
        <f ca="1">Master_List!$AW$8</f>
        <v>12kV</v>
      </c>
      <c r="W55" s="38" t="str">
        <f ca="1">Master_List!$AW$9</f>
        <v>2S1F</v>
      </c>
      <c r="X55" s="38" t="str">
        <f ca="1">Master_List!$AW$10</f>
        <v>MTM</v>
      </c>
      <c r="Y55" s="38" t="str">
        <f ca="1">Master_List!$AW$11</f>
        <v>HERMETICALLY SEAL</v>
      </c>
      <c r="Z55" s="38" t="str">
        <f ca="1">Master_List!$AW$12</f>
        <v>750kVA</v>
      </c>
      <c r="AA55" s="38" t="str">
        <f ca="1">Master_List!$AW$13</f>
        <v>1317</v>
      </c>
      <c r="AB55" s="38">
        <f ca="1">Master_List!$AW$14</f>
        <v>0</v>
      </c>
      <c r="AC55" s="38">
        <f ca="1">Master_List!$AW$15</f>
        <v>0</v>
      </c>
      <c r="AD55" s="38">
        <f ca="1">Master_List!$AW$16</f>
        <v>0</v>
      </c>
      <c r="AE55" s="38">
        <f ca="1">Master_List!$AW$17</f>
        <v>0</v>
      </c>
      <c r="AF55" s="38" t="str">
        <f ca="1">Master_List!$AW$18</f>
        <v>INDKOM</v>
      </c>
      <c r="AG55" s="38" t="str">
        <f ca="1">Master_List!$AW$19</f>
        <v>J-SLOTTED</v>
      </c>
      <c r="AH55" s="38" t="str">
        <f ca="1">Master_List!$AW$20</f>
        <v>1600A</v>
      </c>
      <c r="AI55" s="38" t="str">
        <f ca="1">Master_List!$AW$21</f>
        <v>LV5080090</v>
      </c>
      <c r="AJ55" s="38" t="str">
        <f ca="1">Master_List!$AW$22</f>
        <v>LVDB TX1</v>
      </c>
      <c r="AK55" s="38">
        <f ca="1">Master_List!$AW$23</f>
        <v>0</v>
      </c>
      <c r="AL55" s="38">
        <f ca="1">Master_List!$AW$24</f>
        <v>0</v>
      </c>
      <c r="AM55" s="38">
        <f ca="1">Master_List!$AW$25</f>
        <v>0</v>
      </c>
      <c r="AN55" s="38">
        <f ca="1">Master_List!$AW$26</f>
        <v>0</v>
      </c>
      <c r="AO55" s="38" t="str">
        <f ca="1">Master_List!$AW$27</f>
        <v>LVDB TX2</v>
      </c>
      <c r="AP55" s="38" t="str">
        <f ca="1">Master_List!$AW$28</f>
        <v>SUNPOWER TECHNOLOGIES</v>
      </c>
      <c r="AQ55" s="38" t="str">
        <f ca="1">Master_List!$AW$29</f>
        <v>SPS 30-10 L</v>
      </c>
      <c r="AR55" s="38" t="str">
        <f ca="1">Master_List!$AW$30</f>
        <v>11193-8527</v>
      </c>
      <c r="AS55" s="38">
        <f ca="1">Master_List!$AW$31</f>
        <v>0</v>
      </c>
      <c r="AT55" s="38">
        <f ca="1">Master_List!$AW$32</f>
        <v>0</v>
      </c>
      <c r="AU55" s="38">
        <f ca="1">Master_List!$AW$33</f>
        <v>0</v>
      </c>
      <c r="AV55" s="38">
        <f ca="1">Master_List!$AW$34</f>
        <v>0</v>
      </c>
      <c r="AW55" s="38">
        <f ca="1">Master_List!$AW$35</f>
        <v>0</v>
      </c>
      <c r="AX55" s="38">
        <f ca="1">Master_List!$AW$36</f>
        <v>0</v>
      </c>
      <c r="AY55" s="38">
        <f ca="1">Master_List!$AW$37</f>
        <v>0</v>
      </c>
      <c r="AZ55" s="38">
        <f ca="1">Master_List!$AW$38</f>
        <v>0</v>
      </c>
      <c r="BA55" s="38">
        <f ca="1">Master_List!$AW$39</f>
        <v>0</v>
      </c>
      <c r="BB55" s="38" t="s">
        <v>2240</v>
      </c>
      <c r="BC55" s="38" t="s">
        <v>2241</v>
      </c>
      <c r="BD55" s="6" t="s">
        <v>1744</v>
      </c>
      <c r="BE55" s="6" t="s">
        <v>1777</v>
      </c>
      <c r="BF55" s="6" t="s">
        <v>1748</v>
      </c>
      <c r="BG55" s="6" t="str">
        <f t="shared" si="2"/>
        <v>C:\Users\aremi\Desktop\REPORT CBM\PO 42289580 - Pahang 11kV SECOND CYCLE AZZAD 2026\RAW MATERIAL\047. TNB BARU (IR+VI)\RAW DATA\IR</v>
      </c>
      <c r="BH55" s="23" t="s">
        <v>575</v>
      </c>
      <c r="BU55" s="3"/>
      <c r="BV55" s="3"/>
    </row>
    <row r="56" spans="1:74" ht="12.75" customHeight="1" x14ac:dyDescent="0.2">
      <c r="A56" s="6">
        <v>28</v>
      </c>
      <c r="B56" s="6" t="s">
        <v>1570</v>
      </c>
      <c r="C56" s="6">
        <v>1</v>
      </c>
      <c r="D56" s="6" t="s">
        <v>2245</v>
      </c>
      <c r="E56" s="6">
        <v>28</v>
      </c>
      <c r="F56" s="6" t="str">
        <f ca="1">Master_List!$AW$1</f>
        <v>PERPUSTAKAAN PUSAT</v>
      </c>
      <c r="G56" s="27" t="str">
        <f ca="1">Master_List!$AW$2</f>
        <v>09:30 PM</v>
      </c>
      <c r="H56" s="32" t="str">
        <f ca="1">Master_List!$AW$3</f>
        <v>20/07/2026</v>
      </c>
      <c r="I56" s="28" t="str">
        <f ca="1">Master_List!$AW$4</f>
        <v>28.5</v>
      </c>
      <c r="J56" s="6" t="str">
        <f ca="1">Master_List!$AW$5</f>
        <v>65</v>
      </c>
      <c r="K56" s="6" t="s">
        <v>1497</v>
      </c>
      <c r="L56" s="21">
        <v>1</v>
      </c>
      <c r="M56" s="39"/>
      <c r="N56" s="39"/>
      <c r="O56" s="39"/>
      <c r="P56" s="39"/>
      <c r="Q56" s="39"/>
      <c r="R56" s="39"/>
      <c r="S56" s="39"/>
      <c r="T56" s="38" t="str">
        <f ca="1">Master_List!$AW$6</f>
        <v>TOSHIBA</v>
      </c>
      <c r="U56" s="38" t="str">
        <f ca="1">Master_List!$AW$7</f>
        <v>MRMU</v>
      </c>
      <c r="V56" s="38" t="str">
        <f ca="1">Master_List!$AW$8</f>
        <v>12kV</v>
      </c>
      <c r="W56" s="38" t="str">
        <f ca="1">Master_List!$AW$9</f>
        <v>2S1F</v>
      </c>
      <c r="X56" s="38" t="str">
        <f ca="1">Master_List!$AW$10</f>
        <v>MTM</v>
      </c>
      <c r="Y56" s="38" t="str">
        <f ca="1">Master_List!$AW$11</f>
        <v>HERMETICALLY SEAL</v>
      </c>
      <c r="Z56" s="38" t="str">
        <f ca="1">Master_List!$AW$12</f>
        <v>750kVA</v>
      </c>
      <c r="AA56" s="38" t="str">
        <f ca="1">Master_List!$AW$13</f>
        <v>1317</v>
      </c>
      <c r="AB56" s="38">
        <f ca="1">Master_List!$AW$14</f>
        <v>0</v>
      </c>
      <c r="AC56" s="38">
        <f ca="1">Master_List!$AW$15</f>
        <v>0</v>
      </c>
      <c r="AD56" s="38">
        <f ca="1">Master_List!$AW$16</f>
        <v>0</v>
      </c>
      <c r="AE56" s="38">
        <f ca="1">Master_List!$AW$17</f>
        <v>0</v>
      </c>
      <c r="AF56" s="38" t="str">
        <f ca="1">Master_List!$AW$18</f>
        <v>INDKOM</v>
      </c>
      <c r="AG56" s="38" t="str">
        <f ca="1">Master_List!$AW$19</f>
        <v>J-SLOTTED</v>
      </c>
      <c r="AH56" s="38" t="str">
        <f ca="1">Master_List!$AW$20</f>
        <v>1600A</v>
      </c>
      <c r="AI56" s="38" t="str">
        <f ca="1">Master_List!$AW$21</f>
        <v>LV5080090</v>
      </c>
      <c r="AJ56" s="38" t="str">
        <f ca="1">Master_List!$AW$22</f>
        <v>LVDB TX1</v>
      </c>
      <c r="AK56" s="38">
        <f ca="1">Master_List!$AW$23</f>
        <v>0</v>
      </c>
      <c r="AL56" s="38">
        <f ca="1">Master_List!$AW$24</f>
        <v>0</v>
      </c>
      <c r="AM56" s="38">
        <f ca="1">Master_List!$AW$25</f>
        <v>0</v>
      </c>
      <c r="AN56" s="38">
        <f ca="1">Master_List!$AW$26</f>
        <v>0</v>
      </c>
      <c r="AO56" s="38" t="str">
        <f ca="1">Master_List!$AW$27</f>
        <v>LVDB TX2</v>
      </c>
      <c r="AP56" s="38" t="str">
        <f ca="1">Master_List!$AW$28</f>
        <v>SUNPOWER TECHNOLOGIES</v>
      </c>
      <c r="AQ56" s="38" t="str">
        <f ca="1">Master_List!$AW$29</f>
        <v>SPS 30-10 L</v>
      </c>
      <c r="AR56" s="38" t="str">
        <f ca="1">Master_List!$AW$30</f>
        <v>11193-8527</v>
      </c>
      <c r="AS56" s="38">
        <f ca="1">Master_List!$AW$31</f>
        <v>0</v>
      </c>
      <c r="AT56" s="38">
        <f ca="1">Master_List!$AW$32</f>
        <v>0</v>
      </c>
      <c r="AU56" s="38">
        <f ca="1">Master_List!$AW$33</f>
        <v>0</v>
      </c>
      <c r="AV56" s="38">
        <f ca="1">Master_List!$AW$34</f>
        <v>0</v>
      </c>
      <c r="AW56" s="38">
        <f ca="1">Master_List!$AW$35</f>
        <v>0</v>
      </c>
      <c r="AX56" s="38">
        <f ca="1">Master_List!$AW$36</f>
        <v>0</v>
      </c>
      <c r="AY56" s="38">
        <f ca="1">Master_List!$AW$37</f>
        <v>0</v>
      </c>
      <c r="AZ56" s="38">
        <f ca="1">Master_List!$AW$38</f>
        <v>0</v>
      </c>
      <c r="BA56" s="38">
        <f ca="1">Master_List!$AW$39</f>
        <v>0</v>
      </c>
      <c r="BB56" s="38" t="s">
        <v>2240</v>
      </c>
      <c r="BC56" s="38" t="s">
        <v>2241</v>
      </c>
      <c r="BD56" s="6" t="s">
        <v>1744</v>
      </c>
      <c r="BE56" s="6" t="s">
        <v>1778</v>
      </c>
      <c r="BF56" s="6" t="s">
        <v>1746</v>
      </c>
      <c r="BG56" s="6" t="str">
        <f t="shared" si="2"/>
        <v>C:\Users\aremi\Desktop\REPORT CBM\PO 42289580 - Pahang 11kV SECOND CYCLE AZZAD 2026\RAW MATERIAL\047. TNB BARU (IR+VI)\RAW DATA\IR</v>
      </c>
      <c r="BH56" s="23" t="s">
        <v>577</v>
      </c>
      <c r="BU56" s="3"/>
      <c r="BV56" s="3"/>
    </row>
    <row r="57" spans="1:74" ht="12.75" customHeight="1" x14ac:dyDescent="0.2">
      <c r="A57" s="6">
        <v>28</v>
      </c>
      <c r="B57" s="6" t="s">
        <v>1570</v>
      </c>
      <c r="C57" s="6">
        <v>1</v>
      </c>
      <c r="D57" s="6" t="s">
        <v>2245</v>
      </c>
      <c r="E57" s="6">
        <v>28</v>
      </c>
      <c r="F57" s="6" t="str">
        <f ca="1">Master_List!$AW$1</f>
        <v>PERPUSTAKAAN PUSAT</v>
      </c>
      <c r="G57" s="27" t="str">
        <f ca="1">Master_List!$AW$2</f>
        <v>09:30 PM</v>
      </c>
      <c r="H57" s="32" t="str">
        <f ca="1">Master_List!$AW$3</f>
        <v>20/07/2026</v>
      </c>
      <c r="I57" s="28" t="str">
        <f ca="1">Master_List!$AW$4</f>
        <v>28.5</v>
      </c>
      <c r="J57" s="6" t="str">
        <f ca="1">Master_List!$AW$5</f>
        <v>65</v>
      </c>
      <c r="K57" s="6" t="s">
        <v>1497</v>
      </c>
      <c r="L57" s="21">
        <v>1</v>
      </c>
      <c r="M57" s="39"/>
      <c r="N57" s="39"/>
      <c r="O57" s="39"/>
      <c r="P57" s="39"/>
      <c r="Q57" s="39"/>
      <c r="R57" s="39"/>
      <c r="S57" s="39"/>
      <c r="T57" s="38" t="str">
        <f ca="1">Master_List!$AW$6</f>
        <v>TOSHIBA</v>
      </c>
      <c r="U57" s="38" t="str">
        <f ca="1">Master_List!$AW$7</f>
        <v>MRMU</v>
      </c>
      <c r="V57" s="38" t="str">
        <f ca="1">Master_List!$AW$8</f>
        <v>12kV</v>
      </c>
      <c r="W57" s="38" t="str">
        <f ca="1">Master_List!$AW$9</f>
        <v>2S1F</v>
      </c>
      <c r="X57" s="38" t="str">
        <f ca="1">Master_List!$AW$10</f>
        <v>MTM</v>
      </c>
      <c r="Y57" s="38" t="str">
        <f ca="1">Master_List!$AW$11</f>
        <v>HERMETICALLY SEAL</v>
      </c>
      <c r="Z57" s="38" t="str">
        <f ca="1">Master_List!$AW$12</f>
        <v>750kVA</v>
      </c>
      <c r="AA57" s="38" t="str">
        <f ca="1">Master_List!$AW$13</f>
        <v>1317</v>
      </c>
      <c r="AB57" s="38">
        <f ca="1">Master_List!$AW$14</f>
        <v>0</v>
      </c>
      <c r="AC57" s="38">
        <f ca="1">Master_List!$AW$15</f>
        <v>0</v>
      </c>
      <c r="AD57" s="38">
        <f ca="1">Master_List!$AW$16</f>
        <v>0</v>
      </c>
      <c r="AE57" s="38">
        <f ca="1">Master_List!$AW$17</f>
        <v>0</v>
      </c>
      <c r="AF57" s="38" t="str">
        <f ca="1">Master_List!$AW$18</f>
        <v>INDKOM</v>
      </c>
      <c r="AG57" s="38" t="str">
        <f ca="1">Master_List!$AW$19</f>
        <v>J-SLOTTED</v>
      </c>
      <c r="AH57" s="38" t="str">
        <f ca="1">Master_List!$AW$20</f>
        <v>1600A</v>
      </c>
      <c r="AI57" s="38" t="str">
        <f ca="1">Master_List!$AW$21</f>
        <v>LV5080090</v>
      </c>
      <c r="AJ57" s="38" t="str">
        <f ca="1">Master_List!$AW$22</f>
        <v>LVDB TX1</v>
      </c>
      <c r="AK57" s="38">
        <f ca="1">Master_List!$AW$23</f>
        <v>0</v>
      </c>
      <c r="AL57" s="38">
        <f ca="1">Master_List!$AW$24</f>
        <v>0</v>
      </c>
      <c r="AM57" s="38">
        <f ca="1">Master_List!$AW$25</f>
        <v>0</v>
      </c>
      <c r="AN57" s="38">
        <f ca="1">Master_List!$AW$26</f>
        <v>0</v>
      </c>
      <c r="AO57" s="38" t="str">
        <f ca="1">Master_List!$AW$27</f>
        <v>LVDB TX2</v>
      </c>
      <c r="AP57" s="38" t="str">
        <f ca="1">Master_List!$AW$28</f>
        <v>SUNPOWER TECHNOLOGIES</v>
      </c>
      <c r="AQ57" s="38" t="str">
        <f ca="1">Master_List!$AW$29</f>
        <v>SPS 30-10 L</v>
      </c>
      <c r="AR57" s="38" t="str">
        <f ca="1">Master_List!$AW$30</f>
        <v>11193-8527</v>
      </c>
      <c r="AS57" s="38">
        <f ca="1">Master_List!$AW$31</f>
        <v>0</v>
      </c>
      <c r="AT57" s="38">
        <f ca="1">Master_List!$AW$32</f>
        <v>0</v>
      </c>
      <c r="AU57" s="38">
        <f ca="1">Master_List!$AW$33</f>
        <v>0</v>
      </c>
      <c r="AV57" s="38">
        <f ca="1">Master_List!$AW$34</f>
        <v>0</v>
      </c>
      <c r="AW57" s="38">
        <f ca="1">Master_List!$AW$35</f>
        <v>0</v>
      </c>
      <c r="AX57" s="38">
        <f ca="1">Master_List!$AW$36</f>
        <v>0</v>
      </c>
      <c r="AY57" s="38">
        <f ca="1">Master_List!$AW$37</f>
        <v>0</v>
      </c>
      <c r="AZ57" s="38">
        <f ca="1">Master_List!$AW$38</f>
        <v>0</v>
      </c>
      <c r="BA57" s="38">
        <f ca="1">Master_List!$AW$39</f>
        <v>0</v>
      </c>
      <c r="BB57" s="38" t="s">
        <v>2240</v>
      </c>
      <c r="BC57" s="38" t="s">
        <v>2241</v>
      </c>
      <c r="BD57" s="6" t="s">
        <v>1744</v>
      </c>
      <c r="BE57" s="6" t="s">
        <v>1778</v>
      </c>
      <c r="BF57" s="6" t="s">
        <v>1748</v>
      </c>
      <c r="BG57" s="6" t="str">
        <f t="shared" si="2"/>
        <v>C:\Users\aremi\Desktop\REPORT CBM\PO 42289580 - Pahang 11kV SECOND CYCLE AZZAD 2026\RAW MATERIAL\047. TNB BARU (IR+VI)\RAW DATA\IR</v>
      </c>
      <c r="BH57" s="23" t="s">
        <v>578</v>
      </c>
      <c r="BU57" s="3"/>
      <c r="BV57" s="3"/>
    </row>
    <row r="58" spans="1:74" ht="12.75" customHeight="1" x14ac:dyDescent="0.2">
      <c r="A58" s="6">
        <v>29</v>
      </c>
      <c r="B58" s="6" t="s">
        <v>1570</v>
      </c>
      <c r="C58" s="6">
        <v>1</v>
      </c>
      <c r="D58" s="6" t="s">
        <v>2247</v>
      </c>
      <c r="E58" s="6">
        <v>29</v>
      </c>
      <c r="F58" s="6" t="str">
        <f ca="1">Master_List!$AW$1</f>
        <v>PERPUSTAKAAN PUSAT</v>
      </c>
      <c r="G58" s="27" t="str">
        <f ca="1">Master_List!$AW$2</f>
        <v>09:30 PM</v>
      </c>
      <c r="H58" s="32" t="str">
        <f ca="1">Master_List!$AW$3</f>
        <v>20/07/2026</v>
      </c>
      <c r="I58" s="28" t="str">
        <f ca="1">Master_List!$AW$4</f>
        <v>28.5</v>
      </c>
      <c r="J58" s="6" t="str">
        <f ca="1">Master_List!$AW$5</f>
        <v>65</v>
      </c>
      <c r="K58" s="6" t="s">
        <v>1571</v>
      </c>
      <c r="L58" s="21">
        <v>1</v>
      </c>
      <c r="M58" s="21" t="s">
        <v>2248</v>
      </c>
      <c r="N58" s="39"/>
      <c r="O58" s="39"/>
      <c r="P58" s="39"/>
      <c r="Q58" s="39"/>
      <c r="R58" s="39"/>
      <c r="S58" s="39"/>
      <c r="T58" s="38" t="str">
        <f ca="1">Master_List!$AW$6</f>
        <v>TOSHIBA</v>
      </c>
      <c r="U58" s="38" t="str">
        <f ca="1">Master_List!$AW$7</f>
        <v>MRMU</v>
      </c>
      <c r="V58" s="38" t="str">
        <f ca="1">Master_List!$AW$8</f>
        <v>12kV</v>
      </c>
      <c r="W58" s="38" t="str">
        <f ca="1">Master_List!$AW$9</f>
        <v>2S1F</v>
      </c>
      <c r="X58" s="38" t="str">
        <f ca="1">Master_List!$AW$10</f>
        <v>MTM</v>
      </c>
      <c r="Y58" s="38" t="str">
        <f ca="1">Master_List!$AW$11</f>
        <v>HERMETICALLY SEAL</v>
      </c>
      <c r="Z58" s="38" t="str">
        <f ca="1">Master_List!$AW$12</f>
        <v>750kVA</v>
      </c>
      <c r="AA58" s="38" t="str">
        <f ca="1">Master_List!$AW$13</f>
        <v>1317</v>
      </c>
      <c r="AB58" s="38">
        <f ca="1">Master_List!$AW$14</f>
        <v>0</v>
      </c>
      <c r="AC58" s="38">
        <f ca="1">Master_List!$AW$15</f>
        <v>0</v>
      </c>
      <c r="AD58" s="38">
        <f ca="1">Master_List!$AW$16</f>
        <v>0</v>
      </c>
      <c r="AE58" s="38">
        <f ca="1">Master_List!$AW$17</f>
        <v>0</v>
      </c>
      <c r="AF58" s="38" t="str">
        <f ca="1">Master_List!$AW$18</f>
        <v>INDKOM</v>
      </c>
      <c r="AG58" s="38" t="str">
        <f ca="1">Master_List!$AW$19</f>
        <v>J-SLOTTED</v>
      </c>
      <c r="AH58" s="38" t="str">
        <f ca="1">Master_List!$AW$20</f>
        <v>1600A</v>
      </c>
      <c r="AI58" s="38" t="str">
        <f ca="1">Master_List!$AW$21</f>
        <v>LV5080090</v>
      </c>
      <c r="AJ58" s="38" t="str">
        <f ca="1">Master_List!$AW$22</f>
        <v>LVDB TX1</v>
      </c>
      <c r="AK58" s="38">
        <f ca="1">Master_List!$AW$23</f>
        <v>0</v>
      </c>
      <c r="AL58" s="38">
        <f ca="1">Master_List!$AW$24</f>
        <v>0</v>
      </c>
      <c r="AM58" s="38">
        <f ca="1">Master_List!$AW$25</f>
        <v>0</v>
      </c>
      <c r="AN58" s="38">
        <f ca="1">Master_List!$AW$26</f>
        <v>0</v>
      </c>
      <c r="AO58" s="38" t="str">
        <f ca="1">Master_List!$AW$27</f>
        <v>LVDB TX2</v>
      </c>
      <c r="AP58" s="38" t="str">
        <f ca="1">Master_List!$AW$28</f>
        <v>SUNPOWER TECHNOLOGIES</v>
      </c>
      <c r="AQ58" s="38" t="str">
        <f ca="1">Master_List!$AW$29</f>
        <v>SPS 30-10 L</v>
      </c>
      <c r="AR58" s="38" t="str">
        <f ca="1">Master_List!$AW$30</f>
        <v>11193-8527</v>
      </c>
      <c r="AS58" s="38">
        <f ca="1">Master_List!$AW$31</f>
        <v>0</v>
      </c>
      <c r="AT58" s="38">
        <f ca="1">Master_List!$AW$32</f>
        <v>0</v>
      </c>
      <c r="AU58" s="38">
        <f ca="1">Master_List!$AW$33</f>
        <v>0</v>
      </c>
      <c r="AV58" s="38">
        <f ca="1">Master_List!$AW$34</f>
        <v>0</v>
      </c>
      <c r="AW58" s="38">
        <f ca="1">Master_List!$AW$35</f>
        <v>0</v>
      </c>
      <c r="AX58" s="38">
        <f ca="1">Master_List!$AW$36</f>
        <v>0</v>
      </c>
      <c r="AY58" s="38">
        <f ca="1">Master_List!$AW$37</f>
        <v>0</v>
      </c>
      <c r="AZ58" s="38">
        <f ca="1">Master_List!$AW$38</f>
        <v>0</v>
      </c>
      <c r="BA58" s="38">
        <f ca="1">Master_List!$AW$39</f>
        <v>0</v>
      </c>
      <c r="BB58" s="38" t="s">
        <v>2240</v>
      </c>
      <c r="BC58" s="38" t="s">
        <v>2241</v>
      </c>
      <c r="BD58" s="6" t="s">
        <v>1744</v>
      </c>
      <c r="BE58" s="6" t="s">
        <v>1779</v>
      </c>
      <c r="BF58" s="6" t="s">
        <v>1746</v>
      </c>
      <c r="BG58" s="6" t="str">
        <f t="shared" si="2"/>
        <v>C:\Users\aremi\Desktop\REPORT CBM\PO 42289580 - Pahang 11kV SECOND CYCLE AZZAD 2026\RAW MATERIAL\047. TNB BARU (IR+VI)\RAW DATA\IR</v>
      </c>
      <c r="BH58" s="23" t="s">
        <v>580</v>
      </c>
      <c r="BU58" s="3"/>
      <c r="BV58" s="3"/>
    </row>
    <row r="59" spans="1:74" ht="12.75" customHeight="1" x14ac:dyDescent="0.2">
      <c r="A59" s="6">
        <v>29</v>
      </c>
      <c r="B59" s="6" t="s">
        <v>1570</v>
      </c>
      <c r="C59" s="6">
        <v>1</v>
      </c>
      <c r="D59" s="6" t="s">
        <v>2247</v>
      </c>
      <c r="E59" s="6">
        <v>29</v>
      </c>
      <c r="F59" s="6" t="str">
        <f ca="1">Master_List!$AW$1</f>
        <v>PERPUSTAKAAN PUSAT</v>
      </c>
      <c r="G59" s="27" t="str">
        <f ca="1">Master_List!$AW$2</f>
        <v>09:30 PM</v>
      </c>
      <c r="H59" s="32" t="str">
        <f ca="1">Master_List!$AW$3</f>
        <v>20/07/2026</v>
      </c>
      <c r="I59" s="28" t="str">
        <f ca="1">Master_List!$AW$4</f>
        <v>28.5</v>
      </c>
      <c r="J59" s="6" t="str">
        <f ca="1">Master_List!$AW$5</f>
        <v>65</v>
      </c>
      <c r="K59" s="6" t="s">
        <v>1571</v>
      </c>
      <c r="L59" s="21">
        <v>1</v>
      </c>
      <c r="M59" s="21" t="s">
        <v>2248</v>
      </c>
      <c r="N59" s="39"/>
      <c r="O59" s="39"/>
      <c r="P59" s="39"/>
      <c r="Q59" s="39"/>
      <c r="R59" s="39"/>
      <c r="S59" s="39"/>
      <c r="T59" s="38" t="str">
        <f ca="1">Master_List!$AW$6</f>
        <v>TOSHIBA</v>
      </c>
      <c r="U59" s="38" t="str">
        <f ca="1">Master_List!$AW$7</f>
        <v>MRMU</v>
      </c>
      <c r="V59" s="38" t="str">
        <f ca="1">Master_List!$AW$8</f>
        <v>12kV</v>
      </c>
      <c r="W59" s="38" t="str">
        <f ca="1">Master_List!$AW$9</f>
        <v>2S1F</v>
      </c>
      <c r="X59" s="38" t="str">
        <f ca="1">Master_List!$AW$10</f>
        <v>MTM</v>
      </c>
      <c r="Y59" s="38" t="str">
        <f ca="1">Master_List!$AW$11</f>
        <v>HERMETICALLY SEAL</v>
      </c>
      <c r="Z59" s="38" t="str">
        <f ca="1">Master_List!$AW$12</f>
        <v>750kVA</v>
      </c>
      <c r="AA59" s="38" t="str">
        <f ca="1">Master_List!$AW$13</f>
        <v>1317</v>
      </c>
      <c r="AB59" s="38">
        <f ca="1">Master_List!$AW$14</f>
        <v>0</v>
      </c>
      <c r="AC59" s="38">
        <f ca="1">Master_List!$AW$15</f>
        <v>0</v>
      </c>
      <c r="AD59" s="38">
        <f ca="1">Master_List!$AW$16</f>
        <v>0</v>
      </c>
      <c r="AE59" s="38">
        <f ca="1">Master_List!$AW$17</f>
        <v>0</v>
      </c>
      <c r="AF59" s="38" t="str">
        <f ca="1">Master_List!$AW$18</f>
        <v>INDKOM</v>
      </c>
      <c r="AG59" s="38" t="str">
        <f ca="1">Master_List!$AW$19</f>
        <v>J-SLOTTED</v>
      </c>
      <c r="AH59" s="38" t="str">
        <f ca="1">Master_List!$AW$20</f>
        <v>1600A</v>
      </c>
      <c r="AI59" s="38" t="str">
        <f ca="1">Master_List!$AW$21</f>
        <v>LV5080090</v>
      </c>
      <c r="AJ59" s="38" t="str">
        <f ca="1">Master_List!$AW$22</f>
        <v>LVDB TX1</v>
      </c>
      <c r="AK59" s="38">
        <f ca="1">Master_List!$AW$23</f>
        <v>0</v>
      </c>
      <c r="AL59" s="38">
        <f ca="1">Master_List!$AW$24</f>
        <v>0</v>
      </c>
      <c r="AM59" s="38">
        <f ca="1">Master_List!$AW$25</f>
        <v>0</v>
      </c>
      <c r="AN59" s="38">
        <f ca="1">Master_List!$AW$26</f>
        <v>0</v>
      </c>
      <c r="AO59" s="38" t="str">
        <f ca="1">Master_List!$AW$27</f>
        <v>LVDB TX2</v>
      </c>
      <c r="AP59" s="38" t="str">
        <f ca="1">Master_List!$AW$28</f>
        <v>SUNPOWER TECHNOLOGIES</v>
      </c>
      <c r="AQ59" s="38" t="str">
        <f ca="1">Master_List!$AW$29</f>
        <v>SPS 30-10 L</v>
      </c>
      <c r="AR59" s="38" t="str">
        <f ca="1">Master_List!$AW$30</f>
        <v>11193-8527</v>
      </c>
      <c r="AS59" s="38">
        <f ca="1">Master_List!$AW$31</f>
        <v>0</v>
      </c>
      <c r="AT59" s="38">
        <f ca="1">Master_List!$AW$32</f>
        <v>0</v>
      </c>
      <c r="AU59" s="38">
        <f ca="1">Master_List!$AW$33</f>
        <v>0</v>
      </c>
      <c r="AV59" s="38">
        <f ca="1">Master_List!$AW$34</f>
        <v>0</v>
      </c>
      <c r="AW59" s="38">
        <f ca="1">Master_List!$AW$35</f>
        <v>0</v>
      </c>
      <c r="AX59" s="38">
        <f ca="1">Master_List!$AW$36</f>
        <v>0</v>
      </c>
      <c r="AY59" s="38">
        <f ca="1">Master_List!$AW$37</f>
        <v>0</v>
      </c>
      <c r="AZ59" s="38">
        <f ca="1">Master_List!$AW$38</f>
        <v>0</v>
      </c>
      <c r="BA59" s="38">
        <f ca="1">Master_List!$AW$39</f>
        <v>0</v>
      </c>
      <c r="BB59" s="38" t="s">
        <v>2240</v>
      </c>
      <c r="BC59" s="38" t="s">
        <v>2241</v>
      </c>
      <c r="BD59" s="6" t="s">
        <v>1744</v>
      </c>
      <c r="BE59" s="6" t="s">
        <v>1779</v>
      </c>
      <c r="BF59" s="6" t="s">
        <v>1748</v>
      </c>
      <c r="BG59" s="6" t="str">
        <f t="shared" si="2"/>
        <v>C:\Users\aremi\Desktop\REPORT CBM\PO 42289580 - Pahang 11kV SECOND CYCLE AZZAD 2026\RAW MATERIAL\047. TNB BARU (IR+VI)\RAW DATA\IR</v>
      </c>
      <c r="BH59" s="23" t="s">
        <v>581</v>
      </c>
      <c r="BU59" s="3"/>
      <c r="BV59" s="3"/>
    </row>
    <row r="60" spans="1:74" ht="12.75" customHeight="1" x14ac:dyDescent="0.2">
      <c r="A60" s="6">
        <v>30</v>
      </c>
      <c r="B60" s="6" t="s">
        <v>1570</v>
      </c>
      <c r="C60" s="6">
        <v>1</v>
      </c>
      <c r="D60" s="6" t="s">
        <v>2247</v>
      </c>
      <c r="E60" s="6">
        <v>30</v>
      </c>
      <c r="F60" s="6" t="str">
        <f ca="1">Master_List!$AW$1</f>
        <v>PERPUSTAKAAN PUSAT</v>
      </c>
      <c r="G60" s="27" t="str">
        <f ca="1">Master_List!$AW$2</f>
        <v>09:30 PM</v>
      </c>
      <c r="H60" s="32" t="str">
        <f ca="1">Master_List!$AW$3</f>
        <v>20/07/2026</v>
      </c>
      <c r="I60" s="28" t="str">
        <f ca="1">Master_List!$AW$4</f>
        <v>28.5</v>
      </c>
      <c r="J60" s="6" t="str">
        <f ca="1">Master_List!$AW$5</f>
        <v>65</v>
      </c>
      <c r="K60" s="6" t="s">
        <v>1572</v>
      </c>
      <c r="L60" s="21">
        <v>1</v>
      </c>
      <c r="M60" s="21" t="s">
        <v>2248</v>
      </c>
      <c r="N60" s="39"/>
      <c r="O60" s="39"/>
      <c r="P60" s="39"/>
      <c r="Q60" s="39"/>
      <c r="R60" s="39"/>
      <c r="S60" s="39"/>
      <c r="T60" s="38" t="str">
        <f ca="1">Master_List!$AW$6</f>
        <v>TOSHIBA</v>
      </c>
      <c r="U60" s="38" t="str">
        <f ca="1">Master_List!$AW$7</f>
        <v>MRMU</v>
      </c>
      <c r="V60" s="38" t="str">
        <f ca="1">Master_List!$AW$8</f>
        <v>12kV</v>
      </c>
      <c r="W60" s="38" t="str">
        <f ca="1">Master_List!$AW$9</f>
        <v>2S1F</v>
      </c>
      <c r="X60" s="38" t="str">
        <f ca="1">Master_List!$AW$10</f>
        <v>MTM</v>
      </c>
      <c r="Y60" s="38" t="str">
        <f ca="1">Master_List!$AW$11</f>
        <v>HERMETICALLY SEAL</v>
      </c>
      <c r="Z60" s="38" t="str">
        <f ca="1">Master_List!$AW$12</f>
        <v>750kVA</v>
      </c>
      <c r="AA60" s="38" t="str">
        <f ca="1">Master_List!$AW$13</f>
        <v>1317</v>
      </c>
      <c r="AB60" s="38">
        <f ca="1">Master_List!$AW$14</f>
        <v>0</v>
      </c>
      <c r="AC60" s="38">
        <f ca="1">Master_List!$AW$15</f>
        <v>0</v>
      </c>
      <c r="AD60" s="38">
        <f ca="1">Master_List!$AW$16</f>
        <v>0</v>
      </c>
      <c r="AE60" s="38">
        <f ca="1">Master_List!$AW$17</f>
        <v>0</v>
      </c>
      <c r="AF60" s="38" t="str">
        <f ca="1">Master_List!$AW$18</f>
        <v>INDKOM</v>
      </c>
      <c r="AG60" s="38" t="str">
        <f ca="1">Master_List!$AW$19</f>
        <v>J-SLOTTED</v>
      </c>
      <c r="AH60" s="38" t="str">
        <f ca="1">Master_List!$AW$20</f>
        <v>1600A</v>
      </c>
      <c r="AI60" s="38" t="str">
        <f ca="1">Master_List!$AW$21</f>
        <v>LV5080090</v>
      </c>
      <c r="AJ60" s="38" t="str">
        <f ca="1">Master_List!$AW$22</f>
        <v>LVDB TX1</v>
      </c>
      <c r="AK60" s="38">
        <f ca="1">Master_List!$AW$23</f>
        <v>0</v>
      </c>
      <c r="AL60" s="38">
        <f ca="1">Master_List!$AW$24</f>
        <v>0</v>
      </c>
      <c r="AM60" s="38">
        <f ca="1">Master_List!$AW$25</f>
        <v>0</v>
      </c>
      <c r="AN60" s="38">
        <f ca="1">Master_List!$AW$26</f>
        <v>0</v>
      </c>
      <c r="AO60" s="38" t="str">
        <f ca="1">Master_List!$AW$27</f>
        <v>LVDB TX2</v>
      </c>
      <c r="AP60" s="38" t="str">
        <f ca="1">Master_List!$AW$28</f>
        <v>SUNPOWER TECHNOLOGIES</v>
      </c>
      <c r="AQ60" s="38" t="str">
        <f ca="1">Master_List!$AW$29</f>
        <v>SPS 30-10 L</v>
      </c>
      <c r="AR60" s="38" t="str">
        <f ca="1">Master_List!$AW$30</f>
        <v>11193-8527</v>
      </c>
      <c r="AS60" s="38">
        <f ca="1">Master_List!$AW$31</f>
        <v>0</v>
      </c>
      <c r="AT60" s="38">
        <f ca="1">Master_List!$AW$32</f>
        <v>0</v>
      </c>
      <c r="AU60" s="38">
        <f ca="1">Master_List!$AW$33</f>
        <v>0</v>
      </c>
      <c r="AV60" s="38">
        <f ca="1">Master_List!$AW$34</f>
        <v>0</v>
      </c>
      <c r="AW60" s="38">
        <f ca="1">Master_List!$AW$35</f>
        <v>0</v>
      </c>
      <c r="AX60" s="38">
        <f ca="1">Master_List!$AW$36</f>
        <v>0</v>
      </c>
      <c r="AY60" s="38">
        <f ca="1">Master_List!$AW$37</f>
        <v>0</v>
      </c>
      <c r="AZ60" s="38">
        <f ca="1">Master_List!$AW$38</f>
        <v>0</v>
      </c>
      <c r="BA60" s="38">
        <f ca="1">Master_List!$AW$39</f>
        <v>0</v>
      </c>
      <c r="BB60" s="38" t="s">
        <v>2240</v>
      </c>
      <c r="BC60" s="38" t="s">
        <v>2241</v>
      </c>
      <c r="BD60" s="6" t="s">
        <v>1744</v>
      </c>
      <c r="BE60" s="6" t="s">
        <v>1780</v>
      </c>
      <c r="BF60" s="6" t="s">
        <v>1746</v>
      </c>
      <c r="BG60" s="6" t="str">
        <f t="shared" si="2"/>
        <v>C:\Users\aremi\Desktop\REPORT CBM\PO 42289580 - Pahang 11kV SECOND CYCLE AZZAD 2026\RAW MATERIAL\047. TNB BARU (IR+VI)\RAW DATA\IR</v>
      </c>
      <c r="BH60" s="23" t="s">
        <v>583</v>
      </c>
      <c r="BU60" s="3"/>
      <c r="BV60" s="3"/>
    </row>
    <row r="61" spans="1:74" ht="12.75" customHeight="1" x14ac:dyDescent="0.2">
      <c r="A61" s="6">
        <v>30</v>
      </c>
      <c r="B61" s="6" t="s">
        <v>1570</v>
      </c>
      <c r="C61" s="6">
        <v>1</v>
      </c>
      <c r="D61" s="6" t="s">
        <v>2247</v>
      </c>
      <c r="E61" s="6">
        <v>30</v>
      </c>
      <c r="F61" s="6" t="str">
        <f ca="1">Master_List!$AW$1</f>
        <v>PERPUSTAKAAN PUSAT</v>
      </c>
      <c r="G61" s="27" t="str">
        <f ca="1">Master_List!$AW$2</f>
        <v>09:30 PM</v>
      </c>
      <c r="H61" s="32" t="str">
        <f ca="1">Master_List!$AW$3</f>
        <v>20/07/2026</v>
      </c>
      <c r="I61" s="28" t="str">
        <f ca="1">Master_List!$AW$4</f>
        <v>28.5</v>
      </c>
      <c r="J61" s="6" t="str">
        <f ca="1">Master_List!$AW$5</f>
        <v>65</v>
      </c>
      <c r="K61" s="6" t="s">
        <v>1572</v>
      </c>
      <c r="L61" s="21">
        <v>1</v>
      </c>
      <c r="M61" s="21" t="s">
        <v>2248</v>
      </c>
      <c r="N61" s="39"/>
      <c r="O61" s="39"/>
      <c r="P61" s="39"/>
      <c r="Q61" s="39"/>
      <c r="R61" s="39"/>
      <c r="S61" s="39"/>
      <c r="T61" s="38" t="str">
        <f ca="1">Master_List!$AW$6</f>
        <v>TOSHIBA</v>
      </c>
      <c r="U61" s="38" t="str">
        <f ca="1">Master_List!$AW$7</f>
        <v>MRMU</v>
      </c>
      <c r="V61" s="38" t="str">
        <f ca="1">Master_List!$AW$8</f>
        <v>12kV</v>
      </c>
      <c r="W61" s="38" t="str">
        <f ca="1">Master_List!$AW$9</f>
        <v>2S1F</v>
      </c>
      <c r="X61" s="38" t="str">
        <f ca="1">Master_List!$AW$10</f>
        <v>MTM</v>
      </c>
      <c r="Y61" s="38" t="str">
        <f ca="1">Master_List!$AW$11</f>
        <v>HERMETICALLY SEAL</v>
      </c>
      <c r="Z61" s="38" t="str">
        <f ca="1">Master_List!$AW$12</f>
        <v>750kVA</v>
      </c>
      <c r="AA61" s="38" t="str">
        <f ca="1">Master_List!$AW$13</f>
        <v>1317</v>
      </c>
      <c r="AB61" s="38">
        <f ca="1">Master_List!$AW$14</f>
        <v>0</v>
      </c>
      <c r="AC61" s="38">
        <f ca="1">Master_List!$AW$15</f>
        <v>0</v>
      </c>
      <c r="AD61" s="38">
        <f ca="1">Master_List!$AW$16</f>
        <v>0</v>
      </c>
      <c r="AE61" s="38">
        <f ca="1">Master_List!$AW$17</f>
        <v>0</v>
      </c>
      <c r="AF61" s="38" t="str">
        <f ca="1">Master_List!$AW$18</f>
        <v>INDKOM</v>
      </c>
      <c r="AG61" s="38" t="str">
        <f ca="1">Master_List!$AW$19</f>
        <v>J-SLOTTED</v>
      </c>
      <c r="AH61" s="38" t="str">
        <f ca="1">Master_List!$AW$20</f>
        <v>1600A</v>
      </c>
      <c r="AI61" s="38" t="str">
        <f ca="1">Master_List!$AW$21</f>
        <v>LV5080090</v>
      </c>
      <c r="AJ61" s="38" t="str">
        <f ca="1">Master_List!$AW$22</f>
        <v>LVDB TX1</v>
      </c>
      <c r="AK61" s="38">
        <f ca="1">Master_List!$AW$23</f>
        <v>0</v>
      </c>
      <c r="AL61" s="38">
        <f ca="1">Master_List!$AW$24</f>
        <v>0</v>
      </c>
      <c r="AM61" s="38">
        <f ca="1">Master_List!$AW$25</f>
        <v>0</v>
      </c>
      <c r="AN61" s="38">
        <f ca="1">Master_List!$AW$26</f>
        <v>0</v>
      </c>
      <c r="AO61" s="38" t="str">
        <f ca="1">Master_List!$AW$27</f>
        <v>LVDB TX2</v>
      </c>
      <c r="AP61" s="38" t="str">
        <f ca="1">Master_List!$AW$28</f>
        <v>SUNPOWER TECHNOLOGIES</v>
      </c>
      <c r="AQ61" s="38" t="str">
        <f ca="1">Master_List!$AW$29</f>
        <v>SPS 30-10 L</v>
      </c>
      <c r="AR61" s="38" t="str">
        <f ca="1">Master_List!$AW$30</f>
        <v>11193-8527</v>
      </c>
      <c r="AS61" s="38">
        <f ca="1">Master_List!$AW$31</f>
        <v>0</v>
      </c>
      <c r="AT61" s="38">
        <f ca="1">Master_List!$AW$32</f>
        <v>0</v>
      </c>
      <c r="AU61" s="38">
        <f ca="1">Master_List!$AW$33</f>
        <v>0</v>
      </c>
      <c r="AV61" s="38">
        <f ca="1">Master_List!$AW$34</f>
        <v>0</v>
      </c>
      <c r="AW61" s="38">
        <f ca="1">Master_List!$AW$35</f>
        <v>0</v>
      </c>
      <c r="AX61" s="38">
        <f ca="1">Master_List!$AW$36</f>
        <v>0</v>
      </c>
      <c r="AY61" s="38">
        <f ca="1">Master_List!$AW$37</f>
        <v>0</v>
      </c>
      <c r="AZ61" s="38">
        <f ca="1">Master_List!$AW$38</f>
        <v>0</v>
      </c>
      <c r="BA61" s="38">
        <f ca="1">Master_List!$AW$39</f>
        <v>0</v>
      </c>
      <c r="BB61" s="38" t="s">
        <v>2240</v>
      </c>
      <c r="BC61" s="38" t="s">
        <v>2241</v>
      </c>
      <c r="BD61" s="6" t="s">
        <v>1744</v>
      </c>
      <c r="BE61" s="6" t="s">
        <v>1780</v>
      </c>
      <c r="BF61" s="6" t="s">
        <v>1748</v>
      </c>
      <c r="BG61" s="6" t="str">
        <f t="shared" si="2"/>
        <v>C:\Users\aremi\Desktop\REPORT CBM\PO 42289580 - Pahang 11kV SECOND CYCLE AZZAD 2026\RAW MATERIAL\047. TNB BARU (IR+VI)\RAW DATA\IR</v>
      </c>
      <c r="BH61" s="23" t="s">
        <v>584</v>
      </c>
      <c r="BU61" s="3"/>
      <c r="BV61" s="3"/>
    </row>
    <row r="62" spans="1:74" ht="12.75" customHeight="1" x14ac:dyDescent="0.2">
      <c r="A62" s="6">
        <v>31</v>
      </c>
      <c r="B62" s="6" t="s">
        <v>1570</v>
      </c>
      <c r="C62" s="6">
        <v>1</v>
      </c>
      <c r="D62" s="6" t="s">
        <v>2247</v>
      </c>
      <c r="E62" s="6">
        <v>31</v>
      </c>
      <c r="F62" s="6" t="str">
        <f ca="1">Master_List!$AW$1</f>
        <v>PERPUSTAKAAN PUSAT</v>
      </c>
      <c r="G62" s="27" t="str">
        <f ca="1">Master_List!$AW$2</f>
        <v>09:30 PM</v>
      </c>
      <c r="H62" s="32" t="str">
        <f ca="1">Master_List!$AW$3</f>
        <v>20/07/2026</v>
      </c>
      <c r="I62" s="28" t="str">
        <f ca="1">Master_List!$AW$4</f>
        <v>28.5</v>
      </c>
      <c r="J62" s="6" t="str">
        <f ca="1">Master_List!$AW$5</f>
        <v>65</v>
      </c>
      <c r="K62" s="6" t="s">
        <v>1573</v>
      </c>
      <c r="L62" s="21">
        <v>1</v>
      </c>
      <c r="M62" s="21" t="s">
        <v>2248</v>
      </c>
      <c r="N62" s="39"/>
      <c r="O62" s="39"/>
      <c r="P62" s="39"/>
      <c r="Q62" s="39"/>
      <c r="R62" s="39"/>
      <c r="S62" s="39"/>
      <c r="T62" s="38" t="str">
        <f ca="1">Master_List!$AW$6</f>
        <v>TOSHIBA</v>
      </c>
      <c r="U62" s="38" t="str">
        <f ca="1">Master_List!$AW$7</f>
        <v>MRMU</v>
      </c>
      <c r="V62" s="38" t="str">
        <f ca="1">Master_List!$AW$8</f>
        <v>12kV</v>
      </c>
      <c r="W62" s="38" t="str">
        <f ca="1">Master_List!$AW$9</f>
        <v>2S1F</v>
      </c>
      <c r="X62" s="38" t="str">
        <f ca="1">Master_List!$AW$10</f>
        <v>MTM</v>
      </c>
      <c r="Y62" s="38" t="str">
        <f ca="1">Master_List!$AW$11</f>
        <v>HERMETICALLY SEAL</v>
      </c>
      <c r="Z62" s="38" t="str">
        <f ca="1">Master_List!$AW$12</f>
        <v>750kVA</v>
      </c>
      <c r="AA62" s="38" t="str">
        <f ca="1">Master_List!$AW$13</f>
        <v>1317</v>
      </c>
      <c r="AB62" s="38">
        <f ca="1">Master_List!$AW$14</f>
        <v>0</v>
      </c>
      <c r="AC62" s="38">
        <f ca="1">Master_List!$AW$15</f>
        <v>0</v>
      </c>
      <c r="AD62" s="38">
        <f ca="1">Master_List!$AW$16</f>
        <v>0</v>
      </c>
      <c r="AE62" s="38">
        <f ca="1">Master_List!$AW$17</f>
        <v>0</v>
      </c>
      <c r="AF62" s="38" t="str">
        <f ca="1">Master_List!$AW$18</f>
        <v>INDKOM</v>
      </c>
      <c r="AG62" s="38" t="str">
        <f ca="1">Master_List!$AW$19</f>
        <v>J-SLOTTED</v>
      </c>
      <c r="AH62" s="38" t="str">
        <f ca="1">Master_List!$AW$20</f>
        <v>1600A</v>
      </c>
      <c r="AI62" s="38" t="str">
        <f ca="1">Master_List!$AW$21</f>
        <v>LV5080090</v>
      </c>
      <c r="AJ62" s="38" t="str">
        <f ca="1">Master_List!$AW$22</f>
        <v>LVDB TX1</v>
      </c>
      <c r="AK62" s="38">
        <f ca="1">Master_List!$AW$23</f>
        <v>0</v>
      </c>
      <c r="AL62" s="38">
        <f ca="1">Master_List!$AW$24</f>
        <v>0</v>
      </c>
      <c r="AM62" s="38">
        <f ca="1">Master_List!$AW$25</f>
        <v>0</v>
      </c>
      <c r="AN62" s="38">
        <f ca="1">Master_List!$AW$26</f>
        <v>0</v>
      </c>
      <c r="AO62" s="38" t="str">
        <f ca="1">Master_List!$AW$27</f>
        <v>LVDB TX2</v>
      </c>
      <c r="AP62" s="38" t="str">
        <f ca="1">Master_List!$AW$28</f>
        <v>SUNPOWER TECHNOLOGIES</v>
      </c>
      <c r="AQ62" s="38" t="str">
        <f ca="1">Master_List!$AW$29</f>
        <v>SPS 30-10 L</v>
      </c>
      <c r="AR62" s="38" t="str">
        <f ca="1">Master_List!$AW$30</f>
        <v>11193-8527</v>
      </c>
      <c r="AS62" s="38">
        <f ca="1">Master_List!$AW$31</f>
        <v>0</v>
      </c>
      <c r="AT62" s="38">
        <f ca="1">Master_List!$AW$32</f>
        <v>0</v>
      </c>
      <c r="AU62" s="38">
        <f ca="1">Master_List!$AW$33</f>
        <v>0</v>
      </c>
      <c r="AV62" s="38">
        <f ca="1">Master_List!$AW$34</f>
        <v>0</v>
      </c>
      <c r="AW62" s="38">
        <f ca="1">Master_List!$AW$35</f>
        <v>0</v>
      </c>
      <c r="AX62" s="38">
        <f ca="1">Master_List!$AW$36</f>
        <v>0</v>
      </c>
      <c r="AY62" s="38">
        <f ca="1">Master_List!$AW$37</f>
        <v>0</v>
      </c>
      <c r="AZ62" s="38">
        <f ca="1">Master_List!$AW$38</f>
        <v>0</v>
      </c>
      <c r="BA62" s="38">
        <f ca="1">Master_List!$AW$39</f>
        <v>0</v>
      </c>
      <c r="BB62" s="38" t="s">
        <v>2240</v>
      </c>
      <c r="BC62" s="38" t="s">
        <v>2241</v>
      </c>
      <c r="BD62" s="6" t="s">
        <v>1744</v>
      </c>
      <c r="BE62" s="6" t="s">
        <v>1781</v>
      </c>
      <c r="BF62" s="6" t="s">
        <v>1746</v>
      </c>
      <c r="BG62" s="6" t="str">
        <f t="shared" si="2"/>
        <v>C:\Users\aremi\Desktop\REPORT CBM\PO 42289580 - Pahang 11kV SECOND CYCLE AZZAD 2026\RAW MATERIAL\047. TNB BARU (IR+VI)\RAW DATA\IR</v>
      </c>
      <c r="BH62" s="23" t="s">
        <v>586</v>
      </c>
      <c r="BU62" s="3"/>
      <c r="BV62" s="3"/>
    </row>
    <row r="63" spans="1:74" ht="12.75" customHeight="1" x14ac:dyDescent="0.2">
      <c r="A63" s="6">
        <v>31</v>
      </c>
      <c r="B63" s="6" t="s">
        <v>1570</v>
      </c>
      <c r="C63" s="6">
        <v>1</v>
      </c>
      <c r="D63" s="6" t="s">
        <v>2247</v>
      </c>
      <c r="E63" s="6">
        <v>31</v>
      </c>
      <c r="F63" s="6" t="str">
        <f ca="1">Master_List!$AW$1</f>
        <v>PERPUSTAKAAN PUSAT</v>
      </c>
      <c r="G63" s="27" t="str">
        <f ca="1">Master_List!$AW$2</f>
        <v>09:30 PM</v>
      </c>
      <c r="H63" s="32" t="str">
        <f ca="1">Master_List!$AW$3</f>
        <v>20/07/2026</v>
      </c>
      <c r="I63" s="28" t="str">
        <f ca="1">Master_List!$AW$4</f>
        <v>28.5</v>
      </c>
      <c r="J63" s="6" t="str">
        <f ca="1">Master_List!$AW$5</f>
        <v>65</v>
      </c>
      <c r="K63" s="6" t="s">
        <v>1573</v>
      </c>
      <c r="L63" s="21">
        <v>1</v>
      </c>
      <c r="M63" s="21" t="s">
        <v>2248</v>
      </c>
      <c r="N63" s="39"/>
      <c r="O63" s="39"/>
      <c r="P63" s="39"/>
      <c r="Q63" s="39"/>
      <c r="R63" s="39"/>
      <c r="S63" s="39"/>
      <c r="T63" s="38" t="str">
        <f ca="1">Master_List!$AW$6</f>
        <v>TOSHIBA</v>
      </c>
      <c r="U63" s="38" t="str">
        <f ca="1">Master_List!$AW$7</f>
        <v>MRMU</v>
      </c>
      <c r="V63" s="38" t="str">
        <f ca="1">Master_List!$AW$8</f>
        <v>12kV</v>
      </c>
      <c r="W63" s="38" t="str">
        <f ca="1">Master_List!$AW$9</f>
        <v>2S1F</v>
      </c>
      <c r="X63" s="38" t="str">
        <f ca="1">Master_List!$AW$10</f>
        <v>MTM</v>
      </c>
      <c r="Y63" s="38" t="str">
        <f ca="1">Master_List!$AW$11</f>
        <v>HERMETICALLY SEAL</v>
      </c>
      <c r="Z63" s="38" t="str">
        <f ca="1">Master_List!$AW$12</f>
        <v>750kVA</v>
      </c>
      <c r="AA63" s="38" t="str">
        <f ca="1">Master_List!$AW$13</f>
        <v>1317</v>
      </c>
      <c r="AB63" s="38">
        <f ca="1">Master_List!$AW$14</f>
        <v>0</v>
      </c>
      <c r="AC63" s="38">
        <f ca="1">Master_List!$AW$15</f>
        <v>0</v>
      </c>
      <c r="AD63" s="38">
        <f ca="1">Master_List!$AW$16</f>
        <v>0</v>
      </c>
      <c r="AE63" s="38">
        <f ca="1">Master_List!$AW$17</f>
        <v>0</v>
      </c>
      <c r="AF63" s="38" t="str">
        <f ca="1">Master_List!$AW$18</f>
        <v>INDKOM</v>
      </c>
      <c r="AG63" s="38" t="str">
        <f ca="1">Master_List!$AW$19</f>
        <v>J-SLOTTED</v>
      </c>
      <c r="AH63" s="38" t="str">
        <f ca="1">Master_List!$AW$20</f>
        <v>1600A</v>
      </c>
      <c r="AI63" s="38" t="str">
        <f ca="1">Master_List!$AW$21</f>
        <v>LV5080090</v>
      </c>
      <c r="AJ63" s="38" t="str">
        <f ca="1">Master_List!$AW$22</f>
        <v>LVDB TX1</v>
      </c>
      <c r="AK63" s="38">
        <f ca="1">Master_List!$AW$23</f>
        <v>0</v>
      </c>
      <c r="AL63" s="38">
        <f ca="1">Master_List!$AW$24</f>
        <v>0</v>
      </c>
      <c r="AM63" s="38">
        <f ca="1">Master_List!$AW$25</f>
        <v>0</v>
      </c>
      <c r="AN63" s="38">
        <f ca="1">Master_List!$AW$26</f>
        <v>0</v>
      </c>
      <c r="AO63" s="38" t="str">
        <f ca="1">Master_List!$AW$27</f>
        <v>LVDB TX2</v>
      </c>
      <c r="AP63" s="38" t="str">
        <f ca="1">Master_List!$AW$28</f>
        <v>SUNPOWER TECHNOLOGIES</v>
      </c>
      <c r="AQ63" s="38" t="str">
        <f ca="1">Master_List!$AW$29</f>
        <v>SPS 30-10 L</v>
      </c>
      <c r="AR63" s="38" t="str">
        <f ca="1">Master_List!$AW$30</f>
        <v>11193-8527</v>
      </c>
      <c r="AS63" s="38">
        <f ca="1">Master_List!$AW$31</f>
        <v>0</v>
      </c>
      <c r="AT63" s="38">
        <f ca="1">Master_List!$AW$32</f>
        <v>0</v>
      </c>
      <c r="AU63" s="38">
        <f ca="1">Master_List!$AW$33</f>
        <v>0</v>
      </c>
      <c r="AV63" s="38">
        <f ca="1">Master_List!$AW$34</f>
        <v>0</v>
      </c>
      <c r="AW63" s="38">
        <f ca="1">Master_List!$AW$35</f>
        <v>0</v>
      </c>
      <c r="AX63" s="38">
        <f ca="1">Master_List!$AW$36</f>
        <v>0</v>
      </c>
      <c r="AY63" s="38">
        <f ca="1">Master_List!$AW$37</f>
        <v>0</v>
      </c>
      <c r="AZ63" s="38">
        <f ca="1">Master_List!$AW$38</f>
        <v>0</v>
      </c>
      <c r="BA63" s="38">
        <f ca="1">Master_List!$AW$39</f>
        <v>0</v>
      </c>
      <c r="BB63" s="38" t="s">
        <v>2240</v>
      </c>
      <c r="BC63" s="38" t="s">
        <v>2241</v>
      </c>
      <c r="BD63" s="6" t="s">
        <v>1744</v>
      </c>
      <c r="BE63" s="6" t="s">
        <v>1781</v>
      </c>
      <c r="BF63" s="6" t="s">
        <v>1748</v>
      </c>
      <c r="BG63" s="6" t="str">
        <f t="shared" si="2"/>
        <v>C:\Users\aremi\Desktop\REPORT CBM\PO 42289580 - Pahang 11kV SECOND CYCLE AZZAD 2026\RAW MATERIAL\047. TNB BARU (IR+VI)\RAW DATA\IR</v>
      </c>
      <c r="BH63" s="23" t="s">
        <v>587</v>
      </c>
      <c r="BU63" s="3"/>
      <c r="BV63" s="3"/>
    </row>
    <row r="64" spans="1:74" ht="12.75" customHeight="1" x14ac:dyDescent="0.2">
      <c r="A64" s="6">
        <v>32</v>
      </c>
      <c r="B64" s="6" t="s">
        <v>1570</v>
      </c>
      <c r="C64" s="6">
        <v>1</v>
      </c>
      <c r="D64" s="6" t="s">
        <v>2249</v>
      </c>
      <c r="E64" s="6">
        <v>32</v>
      </c>
      <c r="F64" s="6" t="str">
        <f ca="1">Master_List!$AW$1</f>
        <v>PERPUSTAKAAN PUSAT</v>
      </c>
      <c r="G64" s="27" t="str">
        <f ca="1">Master_List!$AW$2</f>
        <v>09:30 PM</v>
      </c>
      <c r="H64" s="32" t="str">
        <f ca="1">Master_List!$AW$3</f>
        <v>20/07/2026</v>
      </c>
      <c r="I64" s="28" t="str">
        <f ca="1">Master_List!$AW$4</f>
        <v>28.5</v>
      </c>
      <c r="J64" s="6" t="str">
        <f ca="1">Master_List!$AW$5</f>
        <v>65</v>
      </c>
      <c r="K64" s="6" t="s">
        <v>1571</v>
      </c>
      <c r="L64" s="21">
        <v>1</v>
      </c>
      <c r="M64" s="21" t="s">
        <v>2250</v>
      </c>
      <c r="N64" s="39"/>
      <c r="O64" s="39"/>
      <c r="P64" s="39"/>
      <c r="Q64" s="39"/>
      <c r="R64" s="39"/>
      <c r="S64" s="39"/>
      <c r="T64" s="38" t="str">
        <f ca="1">Master_List!$AW$6</f>
        <v>TOSHIBA</v>
      </c>
      <c r="U64" s="38" t="str">
        <f ca="1">Master_List!$AW$7</f>
        <v>MRMU</v>
      </c>
      <c r="V64" s="38" t="str">
        <f ca="1">Master_List!$AW$8</f>
        <v>12kV</v>
      </c>
      <c r="W64" s="38" t="str">
        <f ca="1">Master_List!$AW$9</f>
        <v>2S1F</v>
      </c>
      <c r="X64" s="38" t="str">
        <f ca="1">Master_List!$AW$10</f>
        <v>MTM</v>
      </c>
      <c r="Y64" s="38" t="str">
        <f ca="1">Master_List!$AW$11</f>
        <v>HERMETICALLY SEAL</v>
      </c>
      <c r="Z64" s="38" t="str">
        <f ca="1">Master_List!$AW$12</f>
        <v>750kVA</v>
      </c>
      <c r="AA64" s="38" t="str">
        <f ca="1">Master_List!$AW$13</f>
        <v>1317</v>
      </c>
      <c r="AB64" s="38">
        <f ca="1">Master_List!$AW$14</f>
        <v>0</v>
      </c>
      <c r="AC64" s="38">
        <f ca="1">Master_List!$AW$15</f>
        <v>0</v>
      </c>
      <c r="AD64" s="38">
        <f ca="1">Master_List!$AW$16</f>
        <v>0</v>
      </c>
      <c r="AE64" s="38">
        <f ca="1">Master_List!$AW$17</f>
        <v>0</v>
      </c>
      <c r="AF64" s="38" t="str">
        <f ca="1">Master_List!$AW$18</f>
        <v>INDKOM</v>
      </c>
      <c r="AG64" s="38" t="str">
        <f ca="1">Master_List!$AW$19</f>
        <v>J-SLOTTED</v>
      </c>
      <c r="AH64" s="38" t="str">
        <f ca="1">Master_List!$AW$20</f>
        <v>1600A</v>
      </c>
      <c r="AI64" s="38" t="str">
        <f ca="1">Master_List!$AW$21</f>
        <v>LV5080090</v>
      </c>
      <c r="AJ64" s="38" t="str">
        <f ca="1">Master_List!$AW$22</f>
        <v>LVDB TX1</v>
      </c>
      <c r="AK64" s="38">
        <f ca="1">Master_List!$AW$23</f>
        <v>0</v>
      </c>
      <c r="AL64" s="38">
        <f ca="1">Master_List!$AW$24</f>
        <v>0</v>
      </c>
      <c r="AM64" s="38">
        <f ca="1">Master_List!$AW$25</f>
        <v>0</v>
      </c>
      <c r="AN64" s="38">
        <f ca="1">Master_List!$AW$26</f>
        <v>0</v>
      </c>
      <c r="AO64" s="38" t="str">
        <f ca="1">Master_List!$AW$27</f>
        <v>LVDB TX2</v>
      </c>
      <c r="AP64" s="38" t="str">
        <f ca="1">Master_List!$AW$28</f>
        <v>SUNPOWER TECHNOLOGIES</v>
      </c>
      <c r="AQ64" s="38" t="str">
        <f ca="1">Master_List!$AW$29</f>
        <v>SPS 30-10 L</v>
      </c>
      <c r="AR64" s="38" t="str">
        <f ca="1">Master_List!$AW$30</f>
        <v>11193-8527</v>
      </c>
      <c r="AS64" s="38">
        <f ca="1">Master_List!$AW$31</f>
        <v>0</v>
      </c>
      <c r="AT64" s="38">
        <f ca="1">Master_List!$AW$32</f>
        <v>0</v>
      </c>
      <c r="AU64" s="38">
        <f ca="1">Master_List!$AW$33</f>
        <v>0</v>
      </c>
      <c r="AV64" s="38">
        <f ca="1">Master_List!$AW$34</f>
        <v>0</v>
      </c>
      <c r="AW64" s="38">
        <f ca="1">Master_List!$AW$35</f>
        <v>0</v>
      </c>
      <c r="AX64" s="38">
        <f ca="1">Master_List!$AW$36</f>
        <v>0</v>
      </c>
      <c r="AY64" s="38">
        <f ca="1">Master_List!$AW$37</f>
        <v>0</v>
      </c>
      <c r="AZ64" s="38">
        <f ca="1">Master_List!$AW$38</f>
        <v>0</v>
      </c>
      <c r="BA64" s="38">
        <f ca="1">Master_List!$AW$39</f>
        <v>0</v>
      </c>
      <c r="BB64" s="38" t="s">
        <v>2240</v>
      </c>
      <c r="BC64" s="38" t="s">
        <v>2241</v>
      </c>
      <c r="BD64" s="6" t="s">
        <v>1744</v>
      </c>
      <c r="BE64" s="6" t="s">
        <v>1782</v>
      </c>
      <c r="BF64" s="6" t="s">
        <v>1746</v>
      </c>
      <c r="BG64" s="6" t="str">
        <f t="shared" si="2"/>
        <v>C:\Users\aremi\Desktop\REPORT CBM\PO 42289580 - Pahang 11kV SECOND CYCLE AZZAD 2026\RAW MATERIAL\047. TNB BARU (IR+VI)\RAW DATA\IR</v>
      </c>
      <c r="BH64" s="23" t="s">
        <v>589</v>
      </c>
      <c r="BU64" s="3"/>
      <c r="BV64" s="3"/>
    </row>
    <row r="65" spans="1:74" ht="12.75" customHeight="1" x14ac:dyDescent="0.2">
      <c r="A65" s="6">
        <v>32</v>
      </c>
      <c r="B65" s="6" t="s">
        <v>1570</v>
      </c>
      <c r="C65" s="6">
        <v>1</v>
      </c>
      <c r="D65" s="6" t="s">
        <v>2249</v>
      </c>
      <c r="E65" s="6">
        <v>32</v>
      </c>
      <c r="F65" s="6" t="str">
        <f ca="1">Master_List!$AW$1</f>
        <v>PERPUSTAKAAN PUSAT</v>
      </c>
      <c r="G65" s="27" t="str">
        <f ca="1">Master_List!$AW$2</f>
        <v>09:30 PM</v>
      </c>
      <c r="H65" s="32" t="str">
        <f ca="1">Master_List!$AW$3</f>
        <v>20/07/2026</v>
      </c>
      <c r="I65" s="28" t="str">
        <f ca="1">Master_List!$AW$4</f>
        <v>28.5</v>
      </c>
      <c r="J65" s="6" t="str">
        <f ca="1">Master_List!$AW$5</f>
        <v>65</v>
      </c>
      <c r="K65" s="6" t="s">
        <v>1571</v>
      </c>
      <c r="L65" s="21">
        <v>1</v>
      </c>
      <c r="M65" s="21" t="s">
        <v>2250</v>
      </c>
      <c r="N65" s="39"/>
      <c r="O65" s="39"/>
      <c r="P65" s="39"/>
      <c r="Q65" s="39"/>
      <c r="R65" s="39"/>
      <c r="S65" s="39"/>
      <c r="T65" s="38" t="str">
        <f ca="1">Master_List!$AW$6</f>
        <v>TOSHIBA</v>
      </c>
      <c r="U65" s="38" t="str">
        <f ca="1">Master_List!$AW$7</f>
        <v>MRMU</v>
      </c>
      <c r="V65" s="38" t="str">
        <f ca="1">Master_List!$AW$8</f>
        <v>12kV</v>
      </c>
      <c r="W65" s="38" t="str">
        <f ca="1">Master_List!$AW$9</f>
        <v>2S1F</v>
      </c>
      <c r="X65" s="38" t="str">
        <f ca="1">Master_List!$AW$10</f>
        <v>MTM</v>
      </c>
      <c r="Y65" s="38" t="str">
        <f ca="1">Master_List!$AW$11</f>
        <v>HERMETICALLY SEAL</v>
      </c>
      <c r="Z65" s="38" t="str">
        <f ca="1">Master_List!$AW$12</f>
        <v>750kVA</v>
      </c>
      <c r="AA65" s="38" t="str">
        <f ca="1">Master_List!$AW$13</f>
        <v>1317</v>
      </c>
      <c r="AB65" s="38">
        <f ca="1">Master_List!$AW$14</f>
        <v>0</v>
      </c>
      <c r="AC65" s="38">
        <f ca="1">Master_List!$AW$15</f>
        <v>0</v>
      </c>
      <c r="AD65" s="38">
        <f ca="1">Master_List!$AW$16</f>
        <v>0</v>
      </c>
      <c r="AE65" s="38">
        <f ca="1">Master_List!$AW$17</f>
        <v>0</v>
      </c>
      <c r="AF65" s="38" t="str">
        <f ca="1">Master_List!$AW$18</f>
        <v>INDKOM</v>
      </c>
      <c r="AG65" s="38" t="str">
        <f ca="1">Master_List!$AW$19</f>
        <v>J-SLOTTED</v>
      </c>
      <c r="AH65" s="38" t="str">
        <f ca="1">Master_List!$AW$20</f>
        <v>1600A</v>
      </c>
      <c r="AI65" s="38" t="str">
        <f ca="1">Master_List!$AW$21</f>
        <v>LV5080090</v>
      </c>
      <c r="AJ65" s="38" t="str">
        <f ca="1">Master_List!$AW$22</f>
        <v>LVDB TX1</v>
      </c>
      <c r="AK65" s="38">
        <f ca="1">Master_List!$AW$23</f>
        <v>0</v>
      </c>
      <c r="AL65" s="38">
        <f ca="1">Master_List!$AW$24</f>
        <v>0</v>
      </c>
      <c r="AM65" s="38">
        <f ca="1">Master_List!$AW$25</f>
        <v>0</v>
      </c>
      <c r="AN65" s="38">
        <f ca="1">Master_List!$AW$26</f>
        <v>0</v>
      </c>
      <c r="AO65" s="38" t="str">
        <f ca="1">Master_List!$AW$27</f>
        <v>LVDB TX2</v>
      </c>
      <c r="AP65" s="38" t="str">
        <f ca="1">Master_List!$AW$28</f>
        <v>SUNPOWER TECHNOLOGIES</v>
      </c>
      <c r="AQ65" s="38" t="str">
        <f ca="1">Master_List!$AW$29</f>
        <v>SPS 30-10 L</v>
      </c>
      <c r="AR65" s="38" t="str">
        <f ca="1">Master_List!$AW$30</f>
        <v>11193-8527</v>
      </c>
      <c r="AS65" s="38">
        <f ca="1">Master_List!$AW$31</f>
        <v>0</v>
      </c>
      <c r="AT65" s="38">
        <f ca="1">Master_List!$AW$32</f>
        <v>0</v>
      </c>
      <c r="AU65" s="38">
        <f ca="1">Master_List!$AW$33</f>
        <v>0</v>
      </c>
      <c r="AV65" s="38">
        <f ca="1">Master_List!$AW$34</f>
        <v>0</v>
      </c>
      <c r="AW65" s="38">
        <f ca="1">Master_List!$AW$35</f>
        <v>0</v>
      </c>
      <c r="AX65" s="38">
        <f ca="1">Master_List!$AW$36</f>
        <v>0</v>
      </c>
      <c r="AY65" s="38">
        <f ca="1">Master_List!$AW$37</f>
        <v>0</v>
      </c>
      <c r="AZ65" s="38">
        <f ca="1">Master_List!$AW$38</f>
        <v>0</v>
      </c>
      <c r="BA65" s="38">
        <f ca="1">Master_List!$AW$39</f>
        <v>0</v>
      </c>
      <c r="BB65" s="38" t="s">
        <v>2240</v>
      </c>
      <c r="BC65" s="38" t="s">
        <v>2241</v>
      </c>
      <c r="BD65" s="6" t="s">
        <v>1744</v>
      </c>
      <c r="BE65" s="6" t="s">
        <v>1782</v>
      </c>
      <c r="BF65" s="6" t="s">
        <v>1748</v>
      </c>
      <c r="BG65" s="6" t="str">
        <f t="shared" si="2"/>
        <v>C:\Users\aremi\Desktop\REPORT CBM\PO 42289580 - Pahang 11kV SECOND CYCLE AZZAD 2026\RAW MATERIAL\047. TNB BARU (IR+VI)\RAW DATA\IR</v>
      </c>
      <c r="BH65" s="23" t="s">
        <v>590</v>
      </c>
      <c r="BU65" s="3"/>
      <c r="BV65" s="3"/>
    </row>
    <row r="66" spans="1:74" ht="12.75" customHeight="1" x14ac:dyDescent="0.2">
      <c r="A66" s="6">
        <v>33</v>
      </c>
      <c r="B66" s="6" t="s">
        <v>1570</v>
      </c>
      <c r="C66" s="6">
        <v>1</v>
      </c>
      <c r="D66" s="6" t="s">
        <v>2249</v>
      </c>
      <c r="E66" s="6">
        <v>33</v>
      </c>
      <c r="F66" s="6" t="str">
        <f ca="1">Master_List!$AW$1</f>
        <v>PERPUSTAKAAN PUSAT</v>
      </c>
      <c r="G66" s="27" t="str">
        <f ca="1">Master_List!$AW$2</f>
        <v>09:30 PM</v>
      </c>
      <c r="H66" s="32" t="str">
        <f ca="1">Master_List!$AW$3</f>
        <v>20/07/2026</v>
      </c>
      <c r="I66" s="28" t="str">
        <f ca="1">Master_List!$AW$4</f>
        <v>28.5</v>
      </c>
      <c r="J66" s="6" t="str">
        <f ca="1">Master_List!$AW$5</f>
        <v>65</v>
      </c>
      <c r="K66" s="6" t="s">
        <v>1572</v>
      </c>
      <c r="L66" s="21">
        <v>1</v>
      </c>
      <c r="M66" s="21" t="s">
        <v>2250</v>
      </c>
      <c r="N66" s="39"/>
      <c r="O66" s="39"/>
      <c r="P66" s="39"/>
      <c r="Q66" s="39"/>
      <c r="R66" s="39"/>
      <c r="S66" s="39"/>
      <c r="T66" s="38" t="str">
        <f ca="1">Master_List!$AW$6</f>
        <v>TOSHIBA</v>
      </c>
      <c r="U66" s="38" t="str">
        <f ca="1">Master_List!$AW$7</f>
        <v>MRMU</v>
      </c>
      <c r="V66" s="38" t="str">
        <f ca="1">Master_List!$AW$8</f>
        <v>12kV</v>
      </c>
      <c r="W66" s="38" t="str">
        <f ca="1">Master_List!$AW$9</f>
        <v>2S1F</v>
      </c>
      <c r="X66" s="38" t="str">
        <f ca="1">Master_List!$AW$10</f>
        <v>MTM</v>
      </c>
      <c r="Y66" s="38" t="str">
        <f ca="1">Master_List!$AW$11</f>
        <v>HERMETICALLY SEAL</v>
      </c>
      <c r="Z66" s="38" t="str">
        <f ca="1">Master_List!$AW$12</f>
        <v>750kVA</v>
      </c>
      <c r="AA66" s="38" t="str">
        <f ca="1">Master_List!$AW$13</f>
        <v>1317</v>
      </c>
      <c r="AB66" s="38">
        <f ca="1">Master_List!$AW$14</f>
        <v>0</v>
      </c>
      <c r="AC66" s="38">
        <f ca="1">Master_List!$AW$15</f>
        <v>0</v>
      </c>
      <c r="AD66" s="38">
        <f ca="1">Master_List!$AW$16</f>
        <v>0</v>
      </c>
      <c r="AE66" s="38">
        <f ca="1">Master_List!$AW$17</f>
        <v>0</v>
      </c>
      <c r="AF66" s="38" t="str">
        <f ca="1">Master_List!$AW$18</f>
        <v>INDKOM</v>
      </c>
      <c r="AG66" s="38" t="str">
        <f ca="1">Master_List!$AW$19</f>
        <v>J-SLOTTED</v>
      </c>
      <c r="AH66" s="38" t="str">
        <f ca="1">Master_List!$AW$20</f>
        <v>1600A</v>
      </c>
      <c r="AI66" s="38" t="str">
        <f ca="1">Master_List!$AW$21</f>
        <v>LV5080090</v>
      </c>
      <c r="AJ66" s="38" t="str">
        <f ca="1">Master_List!$AW$22</f>
        <v>LVDB TX1</v>
      </c>
      <c r="AK66" s="38">
        <f ca="1">Master_List!$AW$23</f>
        <v>0</v>
      </c>
      <c r="AL66" s="38">
        <f ca="1">Master_List!$AW$24</f>
        <v>0</v>
      </c>
      <c r="AM66" s="38">
        <f ca="1">Master_List!$AW$25</f>
        <v>0</v>
      </c>
      <c r="AN66" s="38">
        <f ca="1">Master_List!$AW$26</f>
        <v>0</v>
      </c>
      <c r="AO66" s="38" t="str">
        <f ca="1">Master_List!$AW$27</f>
        <v>LVDB TX2</v>
      </c>
      <c r="AP66" s="38" t="str">
        <f ca="1">Master_List!$AW$28</f>
        <v>SUNPOWER TECHNOLOGIES</v>
      </c>
      <c r="AQ66" s="38" t="str">
        <f ca="1">Master_List!$AW$29</f>
        <v>SPS 30-10 L</v>
      </c>
      <c r="AR66" s="38" t="str">
        <f ca="1">Master_List!$AW$30</f>
        <v>11193-8527</v>
      </c>
      <c r="AS66" s="38">
        <f ca="1">Master_List!$AW$31</f>
        <v>0</v>
      </c>
      <c r="AT66" s="38">
        <f ca="1">Master_List!$AW$32</f>
        <v>0</v>
      </c>
      <c r="AU66" s="38">
        <f ca="1">Master_List!$AW$33</f>
        <v>0</v>
      </c>
      <c r="AV66" s="38">
        <f ca="1">Master_List!$AW$34</f>
        <v>0</v>
      </c>
      <c r="AW66" s="38">
        <f ca="1">Master_List!$AW$35</f>
        <v>0</v>
      </c>
      <c r="AX66" s="38">
        <f ca="1">Master_List!$AW$36</f>
        <v>0</v>
      </c>
      <c r="AY66" s="38">
        <f ca="1">Master_List!$AW$37</f>
        <v>0</v>
      </c>
      <c r="AZ66" s="38">
        <f ca="1">Master_List!$AW$38</f>
        <v>0</v>
      </c>
      <c r="BA66" s="38">
        <f ca="1">Master_List!$AW$39</f>
        <v>0</v>
      </c>
      <c r="BB66" s="38" t="s">
        <v>2240</v>
      </c>
      <c r="BC66" s="38" t="s">
        <v>2241</v>
      </c>
      <c r="BD66" s="6" t="s">
        <v>1744</v>
      </c>
      <c r="BE66" s="6" t="s">
        <v>1783</v>
      </c>
      <c r="BF66" s="6" t="s">
        <v>1746</v>
      </c>
      <c r="BG66" s="6" t="str">
        <f t="shared" si="2"/>
        <v>C:\Users\aremi\Desktop\REPORT CBM\PO 42289580 - Pahang 11kV SECOND CYCLE AZZAD 2026\RAW MATERIAL\047. TNB BARU (IR+VI)\RAW DATA\IR</v>
      </c>
      <c r="BH66" s="23" t="s">
        <v>592</v>
      </c>
      <c r="BU66" s="3"/>
      <c r="BV66" s="3"/>
    </row>
    <row r="67" spans="1:74" ht="12.75" customHeight="1" x14ac:dyDescent="0.2">
      <c r="A67" s="6">
        <v>33</v>
      </c>
      <c r="B67" s="6" t="s">
        <v>1570</v>
      </c>
      <c r="C67" s="6">
        <v>1</v>
      </c>
      <c r="D67" s="6" t="s">
        <v>2249</v>
      </c>
      <c r="E67" s="6">
        <v>33</v>
      </c>
      <c r="F67" s="6" t="str">
        <f ca="1">Master_List!$AW$1</f>
        <v>PERPUSTAKAAN PUSAT</v>
      </c>
      <c r="G67" s="27" t="str">
        <f ca="1">Master_List!$AW$2</f>
        <v>09:30 PM</v>
      </c>
      <c r="H67" s="32" t="str">
        <f ca="1">Master_List!$AW$3</f>
        <v>20/07/2026</v>
      </c>
      <c r="I67" s="28" t="str">
        <f ca="1">Master_List!$AW$4</f>
        <v>28.5</v>
      </c>
      <c r="J67" s="6" t="str">
        <f ca="1">Master_List!$AW$5</f>
        <v>65</v>
      </c>
      <c r="K67" s="6" t="s">
        <v>1572</v>
      </c>
      <c r="L67" s="21">
        <v>1</v>
      </c>
      <c r="M67" s="21" t="s">
        <v>2250</v>
      </c>
      <c r="N67" s="39"/>
      <c r="O67" s="39"/>
      <c r="P67" s="39"/>
      <c r="Q67" s="39"/>
      <c r="R67" s="39"/>
      <c r="S67" s="39"/>
      <c r="T67" s="38" t="str">
        <f ca="1">Master_List!$AW$6</f>
        <v>TOSHIBA</v>
      </c>
      <c r="U67" s="38" t="str">
        <f ca="1">Master_List!$AW$7</f>
        <v>MRMU</v>
      </c>
      <c r="V67" s="38" t="str">
        <f ca="1">Master_List!$AW$8</f>
        <v>12kV</v>
      </c>
      <c r="W67" s="38" t="str">
        <f ca="1">Master_List!$AW$9</f>
        <v>2S1F</v>
      </c>
      <c r="X67" s="38" t="str">
        <f ca="1">Master_List!$AW$10</f>
        <v>MTM</v>
      </c>
      <c r="Y67" s="38" t="str">
        <f ca="1">Master_List!$AW$11</f>
        <v>HERMETICALLY SEAL</v>
      </c>
      <c r="Z67" s="38" t="str">
        <f ca="1">Master_List!$AW$12</f>
        <v>750kVA</v>
      </c>
      <c r="AA67" s="38" t="str">
        <f ca="1">Master_List!$AW$13</f>
        <v>1317</v>
      </c>
      <c r="AB67" s="38">
        <f ca="1">Master_List!$AW$14</f>
        <v>0</v>
      </c>
      <c r="AC67" s="38">
        <f ca="1">Master_List!$AW$15</f>
        <v>0</v>
      </c>
      <c r="AD67" s="38">
        <f ca="1">Master_List!$AW$16</f>
        <v>0</v>
      </c>
      <c r="AE67" s="38">
        <f ca="1">Master_List!$AW$17</f>
        <v>0</v>
      </c>
      <c r="AF67" s="38" t="str">
        <f ca="1">Master_List!$AW$18</f>
        <v>INDKOM</v>
      </c>
      <c r="AG67" s="38" t="str">
        <f ca="1">Master_List!$AW$19</f>
        <v>J-SLOTTED</v>
      </c>
      <c r="AH67" s="38" t="str">
        <f ca="1">Master_List!$AW$20</f>
        <v>1600A</v>
      </c>
      <c r="AI67" s="38" t="str">
        <f ca="1">Master_List!$AW$21</f>
        <v>LV5080090</v>
      </c>
      <c r="AJ67" s="38" t="str">
        <f ca="1">Master_List!$AW$22</f>
        <v>LVDB TX1</v>
      </c>
      <c r="AK67" s="38">
        <f ca="1">Master_List!$AW$23</f>
        <v>0</v>
      </c>
      <c r="AL67" s="38">
        <f ca="1">Master_List!$AW$24</f>
        <v>0</v>
      </c>
      <c r="AM67" s="38">
        <f ca="1">Master_List!$AW$25</f>
        <v>0</v>
      </c>
      <c r="AN67" s="38">
        <f ca="1">Master_List!$AW$26</f>
        <v>0</v>
      </c>
      <c r="AO67" s="38" t="str">
        <f ca="1">Master_List!$AW$27</f>
        <v>LVDB TX2</v>
      </c>
      <c r="AP67" s="38" t="str">
        <f ca="1">Master_List!$AW$28</f>
        <v>SUNPOWER TECHNOLOGIES</v>
      </c>
      <c r="AQ67" s="38" t="str">
        <f ca="1">Master_List!$AW$29</f>
        <v>SPS 30-10 L</v>
      </c>
      <c r="AR67" s="38" t="str">
        <f ca="1">Master_List!$AW$30</f>
        <v>11193-8527</v>
      </c>
      <c r="AS67" s="38">
        <f ca="1">Master_List!$AW$31</f>
        <v>0</v>
      </c>
      <c r="AT67" s="38">
        <f ca="1">Master_List!$AW$32</f>
        <v>0</v>
      </c>
      <c r="AU67" s="38">
        <f ca="1">Master_List!$AW$33</f>
        <v>0</v>
      </c>
      <c r="AV67" s="38">
        <f ca="1">Master_List!$AW$34</f>
        <v>0</v>
      </c>
      <c r="AW67" s="38">
        <f ca="1">Master_List!$AW$35</f>
        <v>0</v>
      </c>
      <c r="AX67" s="38">
        <f ca="1">Master_List!$AW$36</f>
        <v>0</v>
      </c>
      <c r="AY67" s="38">
        <f ca="1">Master_List!$AW$37</f>
        <v>0</v>
      </c>
      <c r="AZ67" s="38">
        <f ca="1">Master_List!$AW$38</f>
        <v>0</v>
      </c>
      <c r="BA67" s="38">
        <f ca="1">Master_List!$AW$39</f>
        <v>0</v>
      </c>
      <c r="BB67" s="38" t="s">
        <v>2240</v>
      </c>
      <c r="BC67" s="38" t="s">
        <v>2241</v>
      </c>
      <c r="BD67" s="6" t="s">
        <v>1744</v>
      </c>
      <c r="BE67" s="6" t="s">
        <v>1783</v>
      </c>
      <c r="BF67" s="6" t="s">
        <v>1748</v>
      </c>
      <c r="BG67" s="6" t="str">
        <f t="shared" ref="BG67:BG101" si="3">BG66</f>
        <v>C:\Users\aremi\Desktop\REPORT CBM\PO 42289580 - Pahang 11kV SECOND CYCLE AZZAD 2026\RAW MATERIAL\047. TNB BARU (IR+VI)\RAW DATA\IR</v>
      </c>
      <c r="BH67" s="23" t="s">
        <v>593</v>
      </c>
      <c r="BU67" s="3"/>
      <c r="BV67" s="3"/>
    </row>
    <row r="68" spans="1:74" ht="12.75" customHeight="1" x14ac:dyDescent="0.2">
      <c r="A68" s="6">
        <v>34</v>
      </c>
      <c r="B68" s="6" t="s">
        <v>1570</v>
      </c>
      <c r="C68" s="6">
        <v>1</v>
      </c>
      <c r="D68" s="6" t="s">
        <v>2249</v>
      </c>
      <c r="E68" s="6">
        <v>34</v>
      </c>
      <c r="F68" s="6" t="str">
        <f ca="1">Master_List!$AW$1</f>
        <v>PERPUSTAKAAN PUSAT</v>
      </c>
      <c r="G68" s="27" t="str">
        <f ca="1">Master_List!$AW$2</f>
        <v>09:30 PM</v>
      </c>
      <c r="H68" s="32" t="str">
        <f ca="1">Master_List!$AW$3</f>
        <v>20/07/2026</v>
      </c>
      <c r="I68" s="28" t="str">
        <f ca="1">Master_List!$AW$4</f>
        <v>28.5</v>
      </c>
      <c r="J68" s="6" t="str">
        <f ca="1">Master_List!$AW$5</f>
        <v>65</v>
      </c>
      <c r="K68" s="6" t="s">
        <v>1573</v>
      </c>
      <c r="L68" s="21">
        <v>1</v>
      </c>
      <c r="M68" s="21" t="s">
        <v>2250</v>
      </c>
      <c r="N68" s="39"/>
      <c r="O68" s="39"/>
      <c r="P68" s="39"/>
      <c r="Q68" s="39"/>
      <c r="R68" s="39"/>
      <c r="S68" s="39"/>
      <c r="T68" s="38" t="str">
        <f ca="1">Master_List!$AW$6</f>
        <v>TOSHIBA</v>
      </c>
      <c r="U68" s="38" t="str">
        <f ca="1">Master_List!$AW$7</f>
        <v>MRMU</v>
      </c>
      <c r="V68" s="38" t="str">
        <f ca="1">Master_List!$AW$8</f>
        <v>12kV</v>
      </c>
      <c r="W68" s="38" t="str">
        <f ca="1">Master_List!$AW$9</f>
        <v>2S1F</v>
      </c>
      <c r="X68" s="38" t="str">
        <f ca="1">Master_List!$AW$10</f>
        <v>MTM</v>
      </c>
      <c r="Y68" s="38" t="str">
        <f ca="1">Master_List!$AW$11</f>
        <v>HERMETICALLY SEAL</v>
      </c>
      <c r="Z68" s="38" t="str">
        <f ca="1">Master_List!$AW$12</f>
        <v>750kVA</v>
      </c>
      <c r="AA68" s="38" t="str">
        <f ca="1">Master_List!$AW$13</f>
        <v>1317</v>
      </c>
      <c r="AB68" s="38">
        <f ca="1">Master_List!$AW$14</f>
        <v>0</v>
      </c>
      <c r="AC68" s="38">
        <f ca="1">Master_List!$AW$15</f>
        <v>0</v>
      </c>
      <c r="AD68" s="38">
        <f ca="1">Master_List!$AW$16</f>
        <v>0</v>
      </c>
      <c r="AE68" s="38">
        <f ca="1">Master_List!$AW$17</f>
        <v>0</v>
      </c>
      <c r="AF68" s="38" t="str">
        <f ca="1">Master_List!$AW$18</f>
        <v>INDKOM</v>
      </c>
      <c r="AG68" s="38" t="str">
        <f ca="1">Master_List!$AW$19</f>
        <v>J-SLOTTED</v>
      </c>
      <c r="AH68" s="38" t="str">
        <f ca="1">Master_List!$AW$20</f>
        <v>1600A</v>
      </c>
      <c r="AI68" s="38" t="str">
        <f ca="1">Master_List!$AW$21</f>
        <v>LV5080090</v>
      </c>
      <c r="AJ68" s="38" t="str">
        <f ca="1">Master_List!$AW$22</f>
        <v>LVDB TX1</v>
      </c>
      <c r="AK68" s="38">
        <f ca="1">Master_List!$AW$23</f>
        <v>0</v>
      </c>
      <c r="AL68" s="38">
        <f ca="1">Master_List!$AW$24</f>
        <v>0</v>
      </c>
      <c r="AM68" s="38">
        <f ca="1">Master_List!$AW$25</f>
        <v>0</v>
      </c>
      <c r="AN68" s="38">
        <f ca="1">Master_List!$AW$26</f>
        <v>0</v>
      </c>
      <c r="AO68" s="38" t="str">
        <f ca="1">Master_List!$AW$27</f>
        <v>LVDB TX2</v>
      </c>
      <c r="AP68" s="38" t="str">
        <f ca="1">Master_List!$AW$28</f>
        <v>SUNPOWER TECHNOLOGIES</v>
      </c>
      <c r="AQ68" s="38" t="str">
        <f ca="1">Master_List!$AW$29</f>
        <v>SPS 30-10 L</v>
      </c>
      <c r="AR68" s="38" t="str">
        <f ca="1">Master_List!$AW$30</f>
        <v>11193-8527</v>
      </c>
      <c r="AS68" s="38">
        <f ca="1">Master_List!$AW$31</f>
        <v>0</v>
      </c>
      <c r="AT68" s="38">
        <f ca="1">Master_List!$AW$32</f>
        <v>0</v>
      </c>
      <c r="AU68" s="38">
        <f ca="1">Master_List!$AW$33</f>
        <v>0</v>
      </c>
      <c r="AV68" s="38">
        <f ca="1">Master_List!$AW$34</f>
        <v>0</v>
      </c>
      <c r="AW68" s="38">
        <f ca="1">Master_List!$AW$35</f>
        <v>0</v>
      </c>
      <c r="AX68" s="38">
        <f ca="1">Master_List!$AW$36</f>
        <v>0</v>
      </c>
      <c r="AY68" s="38">
        <f ca="1">Master_List!$AW$37</f>
        <v>0</v>
      </c>
      <c r="AZ68" s="38">
        <f ca="1">Master_List!$AW$38</f>
        <v>0</v>
      </c>
      <c r="BA68" s="38">
        <f ca="1">Master_List!$AW$39</f>
        <v>0</v>
      </c>
      <c r="BB68" s="38" t="s">
        <v>2240</v>
      </c>
      <c r="BC68" s="38" t="s">
        <v>2241</v>
      </c>
      <c r="BD68" s="6" t="s">
        <v>1744</v>
      </c>
      <c r="BE68" s="6" t="s">
        <v>1784</v>
      </c>
      <c r="BF68" s="6" t="s">
        <v>1746</v>
      </c>
      <c r="BG68" s="6" t="str">
        <f t="shared" si="3"/>
        <v>C:\Users\aremi\Desktop\REPORT CBM\PO 42289580 - Pahang 11kV SECOND CYCLE AZZAD 2026\RAW MATERIAL\047. TNB BARU (IR+VI)\RAW DATA\IR</v>
      </c>
      <c r="BH68" s="23" t="s">
        <v>595</v>
      </c>
      <c r="BU68" s="3"/>
      <c r="BV68" s="3"/>
    </row>
    <row r="69" spans="1:74" ht="12.75" customHeight="1" x14ac:dyDescent="0.2">
      <c r="A69" s="6">
        <v>34</v>
      </c>
      <c r="B69" s="6" t="s">
        <v>1570</v>
      </c>
      <c r="C69" s="6">
        <v>1</v>
      </c>
      <c r="D69" s="6" t="s">
        <v>2249</v>
      </c>
      <c r="E69" s="6">
        <v>34</v>
      </c>
      <c r="F69" s="6" t="str">
        <f ca="1">Master_List!$AW$1</f>
        <v>PERPUSTAKAAN PUSAT</v>
      </c>
      <c r="G69" s="27" t="str">
        <f ca="1">Master_List!$AW$2</f>
        <v>09:30 PM</v>
      </c>
      <c r="H69" s="32" t="str">
        <f ca="1">Master_List!$AW$3</f>
        <v>20/07/2026</v>
      </c>
      <c r="I69" s="28" t="str">
        <f ca="1">Master_List!$AW$4</f>
        <v>28.5</v>
      </c>
      <c r="J69" s="6" t="str">
        <f ca="1">Master_List!$AW$5</f>
        <v>65</v>
      </c>
      <c r="K69" s="6" t="s">
        <v>1573</v>
      </c>
      <c r="L69" s="21">
        <v>1</v>
      </c>
      <c r="M69" s="21" t="s">
        <v>2250</v>
      </c>
      <c r="N69" s="39"/>
      <c r="O69" s="39"/>
      <c r="P69" s="39"/>
      <c r="Q69" s="39"/>
      <c r="R69" s="39"/>
      <c r="S69" s="39"/>
      <c r="T69" s="38" t="str">
        <f ca="1">Master_List!$AW$6</f>
        <v>TOSHIBA</v>
      </c>
      <c r="U69" s="38" t="str">
        <f ca="1">Master_List!$AW$7</f>
        <v>MRMU</v>
      </c>
      <c r="V69" s="38" t="str">
        <f ca="1">Master_List!$AW$8</f>
        <v>12kV</v>
      </c>
      <c r="W69" s="38" t="str">
        <f ca="1">Master_List!$AW$9</f>
        <v>2S1F</v>
      </c>
      <c r="X69" s="38" t="str">
        <f ca="1">Master_List!$AW$10</f>
        <v>MTM</v>
      </c>
      <c r="Y69" s="38" t="str">
        <f ca="1">Master_List!$AW$11</f>
        <v>HERMETICALLY SEAL</v>
      </c>
      <c r="Z69" s="38" t="str">
        <f ca="1">Master_List!$AW$12</f>
        <v>750kVA</v>
      </c>
      <c r="AA69" s="38" t="str">
        <f ca="1">Master_List!$AW$13</f>
        <v>1317</v>
      </c>
      <c r="AB69" s="38">
        <f ca="1">Master_List!$AW$14</f>
        <v>0</v>
      </c>
      <c r="AC69" s="38">
        <f ca="1">Master_List!$AW$15</f>
        <v>0</v>
      </c>
      <c r="AD69" s="38">
        <f ca="1">Master_List!$AW$16</f>
        <v>0</v>
      </c>
      <c r="AE69" s="38">
        <f ca="1">Master_List!$AW$17</f>
        <v>0</v>
      </c>
      <c r="AF69" s="38" t="str">
        <f ca="1">Master_List!$AW$18</f>
        <v>INDKOM</v>
      </c>
      <c r="AG69" s="38" t="str">
        <f ca="1">Master_List!$AW$19</f>
        <v>J-SLOTTED</v>
      </c>
      <c r="AH69" s="38" t="str">
        <f ca="1">Master_List!$AW$20</f>
        <v>1600A</v>
      </c>
      <c r="AI69" s="38" t="str">
        <f ca="1">Master_List!$AW$21</f>
        <v>LV5080090</v>
      </c>
      <c r="AJ69" s="38" t="str">
        <f ca="1">Master_List!$AW$22</f>
        <v>LVDB TX1</v>
      </c>
      <c r="AK69" s="38">
        <f ca="1">Master_List!$AW$23</f>
        <v>0</v>
      </c>
      <c r="AL69" s="38">
        <f ca="1">Master_List!$AW$24</f>
        <v>0</v>
      </c>
      <c r="AM69" s="38">
        <f ca="1">Master_List!$AW$25</f>
        <v>0</v>
      </c>
      <c r="AN69" s="38">
        <f ca="1">Master_List!$AW$26</f>
        <v>0</v>
      </c>
      <c r="AO69" s="38" t="str">
        <f ca="1">Master_List!$AW$27</f>
        <v>LVDB TX2</v>
      </c>
      <c r="AP69" s="38" t="str">
        <f ca="1">Master_List!$AW$28</f>
        <v>SUNPOWER TECHNOLOGIES</v>
      </c>
      <c r="AQ69" s="38" t="str">
        <f ca="1">Master_List!$AW$29</f>
        <v>SPS 30-10 L</v>
      </c>
      <c r="AR69" s="38" t="str">
        <f ca="1">Master_List!$AW$30</f>
        <v>11193-8527</v>
      </c>
      <c r="AS69" s="38">
        <f ca="1">Master_List!$AW$31</f>
        <v>0</v>
      </c>
      <c r="AT69" s="38">
        <f ca="1">Master_List!$AW$32</f>
        <v>0</v>
      </c>
      <c r="AU69" s="38">
        <f ca="1">Master_List!$AW$33</f>
        <v>0</v>
      </c>
      <c r="AV69" s="38">
        <f ca="1">Master_List!$AW$34</f>
        <v>0</v>
      </c>
      <c r="AW69" s="38">
        <f ca="1">Master_List!$AW$35</f>
        <v>0</v>
      </c>
      <c r="AX69" s="38">
        <f ca="1">Master_List!$AW$36</f>
        <v>0</v>
      </c>
      <c r="AY69" s="38">
        <f ca="1">Master_List!$AW$37</f>
        <v>0</v>
      </c>
      <c r="AZ69" s="38">
        <f ca="1">Master_List!$AW$38</f>
        <v>0</v>
      </c>
      <c r="BA69" s="38">
        <f ca="1">Master_List!$AW$39</f>
        <v>0</v>
      </c>
      <c r="BB69" s="38" t="s">
        <v>2240</v>
      </c>
      <c r="BC69" s="38" t="s">
        <v>2241</v>
      </c>
      <c r="BD69" s="6" t="s">
        <v>1744</v>
      </c>
      <c r="BE69" s="6" t="s">
        <v>1784</v>
      </c>
      <c r="BF69" s="6" t="s">
        <v>1748</v>
      </c>
      <c r="BG69" s="6" t="str">
        <f t="shared" si="3"/>
        <v>C:\Users\aremi\Desktop\REPORT CBM\PO 42289580 - Pahang 11kV SECOND CYCLE AZZAD 2026\RAW MATERIAL\047. TNB BARU (IR+VI)\RAW DATA\IR</v>
      </c>
      <c r="BH69" s="23" t="s">
        <v>596</v>
      </c>
      <c r="BU69" s="3"/>
      <c r="BV69" s="3"/>
    </row>
    <row r="70" spans="1:74" ht="12.75" customHeight="1" x14ac:dyDescent="0.2">
      <c r="A70" s="6">
        <v>35</v>
      </c>
      <c r="B70" s="6" t="s">
        <v>1574</v>
      </c>
      <c r="C70" s="6">
        <v>1</v>
      </c>
      <c r="D70" s="6" t="s">
        <v>2251</v>
      </c>
      <c r="E70" s="6">
        <v>35</v>
      </c>
      <c r="F70" s="6" t="str">
        <f ca="1">Master_List!$AW$1</f>
        <v>PERPUSTAKAAN PUSAT</v>
      </c>
      <c r="G70" s="27" t="str">
        <f ca="1">Master_List!$AW$2</f>
        <v>09:30 PM</v>
      </c>
      <c r="H70" s="32" t="str">
        <f ca="1">Master_List!$AW$3</f>
        <v>20/07/2026</v>
      </c>
      <c r="I70" s="28" t="str">
        <f ca="1">Master_List!$AW$4</f>
        <v>28.5</v>
      </c>
      <c r="J70" s="6" t="str">
        <f ca="1">Master_List!$AW$5</f>
        <v>65</v>
      </c>
      <c r="K70" s="6" t="s">
        <v>1453</v>
      </c>
      <c r="L70" s="21">
        <v>2</v>
      </c>
      <c r="M70" s="39"/>
      <c r="N70" s="39"/>
      <c r="O70" s="39"/>
      <c r="P70" s="39"/>
      <c r="Q70" s="39"/>
      <c r="R70" s="39"/>
      <c r="S70" s="39"/>
      <c r="T70" s="38" t="str">
        <f ca="1">Master_List!$AW$6</f>
        <v>TOSHIBA</v>
      </c>
      <c r="U70" s="38" t="str">
        <f ca="1">Master_List!$AW$7</f>
        <v>MRMU</v>
      </c>
      <c r="V70" s="38" t="str">
        <f ca="1">Master_List!$AW$8</f>
        <v>12kV</v>
      </c>
      <c r="W70" s="38" t="str">
        <f ca="1">Master_List!$AW$9</f>
        <v>2S1F</v>
      </c>
      <c r="X70" s="38" t="str">
        <f ca="1">Master_List!$AW$10</f>
        <v>MTM</v>
      </c>
      <c r="Y70" s="38" t="str">
        <f ca="1">Master_List!$AW$11</f>
        <v>HERMETICALLY SEAL</v>
      </c>
      <c r="Z70" s="38" t="str">
        <f ca="1">Master_List!$AW$12</f>
        <v>750kVA</v>
      </c>
      <c r="AA70" s="38" t="str">
        <f ca="1">Master_List!$AW$13</f>
        <v>1317</v>
      </c>
      <c r="AB70" s="38">
        <f ca="1">Master_List!$AW$14</f>
        <v>0</v>
      </c>
      <c r="AC70" s="38">
        <f ca="1">Master_List!$AW$15</f>
        <v>0</v>
      </c>
      <c r="AD70" s="38">
        <f ca="1">Master_List!$AW$16</f>
        <v>0</v>
      </c>
      <c r="AE70" s="38">
        <f ca="1">Master_List!$AW$17</f>
        <v>0</v>
      </c>
      <c r="AF70" s="38" t="str">
        <f ca="1">Master_List!$AW$18</f>
        <v>INDKOM</v>
      </c>
      <c r="AG70" s="38" t="str">
        <f ca="1">Master_List!$AW$19</f>
        <v>J-SLOTTED</v>
      </c>
      <c r="AH70" s="38" t="str">
        <f ca="1">Master_List!$AW$20</f>
        <v>1600A</v>
      </c>
      <c r="AI70" s="38" t="str">
        <f ca="1">Master_List!$AW$21</f>
        <v>LV5080090</v>
      </c>
      <c r="AJ70" s="38" t="str">
        <f ca="1">Master_List!$AW$22</f>
        <v>LVDB TX1</v>
      </c>
      <c r="AK70" s="38">
        <f ca="1">Master_List!$AW$23</f>
        <v>0</v>
      </c>
      <c r="AL70" s="38">
        <f ca="1">Master_List!$AW$24</f>
        <v>0</v>
      </c>
      <c r="AM70" s="38">
        <f ca="1">Master_List!$AW$25</f>
        <v>0</v>
      </c>
      <c r="AN70" s="38">
        <f ca="1">Master_List!$AW$26</f>
        <v>0</v>
      </c>
      <c r="AO70" s="38" t="str">
        <f ca="1">Master_List!$AW$27</f>
        <v>LVDB TX2</v>
      </c>
      <c r="AP70" s="38" t="str">
        <f ca="1">Master_List!$AW$28</f>
        <v>SUNPOWER TECHNOLOGIES</v>
      </c>
      <c r="AQ70" s="38" t="str">
        <f ca="1">Master_List!$AW$29</f>
        <v>SPS 30-10 L</v>
      </c>
      <c r="AR70" s="38" t="str">
        <f ca="1">Master_List!$AW$30</f>
        <v>11193-8527</v>
      </c>
      <c r="AS70" s="38">
        <f ca="1">Master_List!$AW$31</f>
        <v>0</v>
      </c>
      <c r="AT70" s="38">
        <f ca="1">Master_List!$AW$32</f>
        <v>0</v>
      </c>
      <c r="AU70" s="38">
        <f ca="1">Master_List!$AW$33</f>
        <v>0</v>
      </c>
      <c r="AV70" s="38">
        <f ca="1">Master_List!$AW$34</f>
        <v>0</v>
      </c>
      <c r="AW70" s="38">
        <f ca="1">Master_List!$AW$35</f>
        <v>0</v>
      </c>
      <c r="AX70" s="38">
        <f ca="1">Master_List!$AW$36</f>
        <v>0</v>
      </c>
      <c r="AY70" s="38">
        <f ca="1">Master_List!$AW$37</f>
        <v>0</v>
      </c>
      <c r="AZ70" s="38">
        <f ca="1">Master_List!$AW$38</f>
        <v>0</v>
      </c>
      <c r="BA70" s="38">
        <f ca="1">Master_List!$AW$39</f>
        <v>0</v>
      </c>
      <c r="BB70" s="38" t="s">
        <v>2240</v>
      </c>
      <c r="BC70" s="38" t="s">
        <v>2241</v>
      </c>
      <c r="BD70" s="6" t="s">
        <v>1744</v>
      </c>
      <c r="BE70" s="6" t="s">
        <v>1785</v>
      </c>
      <c r="BF70" s="6" t="s">
        <v>1746</v>
      </c>
      <c r="BG70" s="6" t="str">
        <f t="shared" si="3"/>
        <v>C:\Users\aremi\Desktop\REPORT CBM\PO 42289580 - Pahang 11kV SECOND CYCLE AZZAD 2026\RAW MATERIAL\047. TNB BARU (IR+VI)\RAW DATA\IR</v>
      </c>
      <c r="BH70" s="23" t="s">
        <v>597</v>
      </c>
      <c r="BU70" s="3"/>
      <c r="BV70" s="3"/>
    </row>
    <row r="71" spans="1:74" ht="12.75" customHeight="1" x14ac:dyDescent="0.2">
      <c r="A71" s="6">
        <v>35</v>
      </c>
      <c r="B71" s="6" t="s">
        <v>1574</v>
      </c>
      <c r="C71" s="6">
        <v>1</v>
      </c>
      <c r="D71" s="6" t="s">
        <v>2251</v>
      </c>
      <c r="E71" s="6">
        <v>35</v>
      </c>
      <c r="F71" s="6" t="str">
        <f ca="1">Master_List!$AW$1</f>
        <v>PERPUSTAKAAN PUSAT</v>
      </c>
      <c r="G71" s="27" t="str">
        <f ca="1">Master_List!$AW$2</f>
        <v>09:30 PM</v>
      </c>
      <c r="H71" s="32" t="str">
        <f ca="1">Master_List!$AW$3</f>
        <v>20/07/2026</v>
      </c>
      <c r="I71" s="28" t="str">
        <f ca="1">Master_List!$AW$4</f>
        <v>28.5</v>
      </c>
      <c r="J71" s="6" t="str">
        <f ca="1">Master_List!$AW$5</f>
        <v>65</v>
      </c>
      <c r="K71" s="6" t="s">
        <v>1453</v>
      </c>
      <c r="L71" s="21">
        <v>2</v>
      </c>
      <c r="M71" s="39"/>
      <c r="N71" s="39"/>
      <c r="O71" s="39"/>
      <c r="P71" s="39"/>
      <c r="Q71" s="39"/>
      <c r="R71" s="39"/>
      <c r="S71" s="39"/>
      <c r="T71" s="38" t="str">
        <f ca="1">Master_List!$AW$6</f>
        <v>TOSHIBA</v>
      </c>
      <c r="U71" s="38" t="str">
        <f ca="1">Master_List!$AW$7</f>
        <v>MRMU</v>
      </c>
      <c r="V71" s="38" t="str">
        <f ca="1">Master_List!$AW$8</f>
        <v>12kV</v>
      </c>
      <c r="W71" s="38" t="str">
        <f ca="1">Master_List!$AW$9</f>
        <v>2S1F</v>
      </c>
      <c r="X71" s="38" t="str">
        <f ca="1">Master_List!$AW$10</f>
        <v>MTM</v>
      </c>
      <c r="Y71" s="38" t="str">
        <f ca="1">Master_List!$AW$11</f>
        <v>HERMETICALLY SEAL</v>
      </c>
      <c r="Z71" s="38" t="str">
        <f ca="1">Master_List!$AW$12</f>
        <v>750kVA</v>
      </c>
      <c r="AA71" s="38" t="str">
        <f ca="1">Master_List!$AW$13</f>
        <v>1317</v>
      </c>
      <c r="AB71" s="38">
        <f ca="1">Master_List!$AW$14</f>
        <v>0</v>
      </c>
      <c r="AC71" s="38">
        <f ca="1">Master_List!$AW$15</f>
        <v>0</v>
      </c>
      <c r="AD71" s="38">
        <f ca="1">Master_List!$AW$16</f>
        <v>0</v>
      </c>
      <c r="AE71" s="38">
        <f ca="1">Master_List!$AW$17</f>
        <v>0</v>
      </c>
      <c r="AF71" s="38" t="str">
        <f ca="1">Master_List!$AW$18</f>
        <v>INDKOM</v>
      </c>
      <c r="AG71" s="38" t="str">
        <f ca="1">Master_List!$AW$19</f>
        <v>J-SLOTTED</v>
      </c>
      <c r="AH71" s="38" t="str">
        <f ca="1">Master_List!$AW$20</f>
        <v>1600A</v>
      </c>
      <c r="AI71" s="38" t="str">
        <f ca="1">Master_List!$AW$21</f>
        <v>LV5080090</v>
      </c>
      <c r="AJ71" s="38" t="str">
        <f ca="1">Master_List!$AW$22</f>
        <v>LVDB TX1</v>
      </c>
      <c r="AK71" s="38">
        <f ca="1">Master_List!$AW$23</f>
        <v>0</v>
      </c>
      <c r="AL71" s="38">
        <f ca="1">Master_List!$AW$24</f>
        <v>0</v>
      </c>
      <c r="AM71" s="38">
        <f ca="1">Master_List!$AW$25</f>
        <v>0</v>
      </c>
      <c r="AN71" s="38">
        <f ca="1">Master_List!$AW$26</f>
        <v>0</v>
      </c>
      <c r="AO71" s="38" t="str">
        <f ca="1">Master_List!$AW$27</f>
        <v>LVDB TX2</v>
      </c>
      <c r="AP71" s="38" t="str">
        <f ca="1">Master_List!$AW$28</f>
        <v>SUNPOWER TECHNOLOGIES</v>
      </c>
      <c r="AQ71" s="38" t="str">
        <f ca="1">Master_List!$AW$29</f>
        <v>SPS 30-10 L</v>
      </c>
      <c r="AR71" s="38" t="str">
        <f ca="1">Master_List!$AW$30</f>
        <v>11193-8527</v>
      </c>
      <c r="AS71" s="38">
        <f ca="1">Master_List!$AW$31</f>
        <v>0</v>
      </c>
      <c r="AT71" s="38">
        <f ca="1">Master_List!$AW$32</f>
        <v>0</v>
      </c>
      <c r="AU71" s="38">
        <f ca="1">Master_List!$AW$33</f>
        <v>0</v>
      </c>
      <c r="AV71" s="38">
        <f ca="1">Master_List!$AW$34</f>
        <v>0</v>
      </c>
      <c r="AW71" s="38">
        <f ca="1">Master_List!$AW$35</f>
        <v>0</v>
      </c>
      <c r="AX71" s="38">
        <f ca="1">Master_List!$AW$36</f>
        <v>0</v>
      </c>
      <c r="AY71" s="38">
        <f ca="1">Master_List!$AW$37</f>
        <v>0</v>
      </c>
      <c r="AZ71" s="38">
        <f ca="1">Master_List!$AW$38</f>
        <v>0</v>
      </c>
      <c r="BA71" s="38">
        <f ca="1">Master_List!$AW$39</f>
        <v>0</v>
      </c>
      <c r="BB71" s="38" t="s">
        <v>2240</v>
      </c>
      <c r="BC71" s="38" t="s">
        <v>2241</v>
      </c>
      <c r="BD71" s="6" t="s">
        <v>1744</v>
      </c>
      <c r="BE71" s="6" t="s">
        <v>1785</v>
      </c>
      <c r="BF71" s="6" t="s">
        <v>1748</v>
      </c>
      <c r="BG71" s="6" t="str">
        <f t="shared" si="3"/>
        <v>C:\Users\aremi\Desktop\REPORT CBM\PO 42289580 - Pahang 11kV SECOND CYCLE AZZAD 2026\RAW MATERIAL\047. TNB BARU (IR+VI)\RAW DATA\IR</v>
      </c>
      <c r="BH71" s="23" t="s">
        <v>598</v>
      </c>
      <c r="BU71" s="3"/>
      <c r="BV71" s="3"/>
    </row>
    <row r="72" spans="1:74" ht="12.75" customHeight="1" x14ac:dyDescent="0.2">
      <c r="A72" s="6">
        <v>36</v>
      </c>
      <c r="B72" s="6" t="s">
        <v>1574</v>
      </c>
      <c r="C72" s="6">
        <v>1</v>
      </c>
      <c r="D72" s="6" t="s">
        <v>2251</v>
      </c>
      <c r="E72" s="6">
        <v>36</v>
      </c>
      <c r="F72" s="6" t="str">
        <f ca="1">Master_List!$AW$1</f>
        <v>PERPUSTAKAAN PUSAT</v>
      </c>
      <c r="G72" s="27" t="str">
        <f ca="1">Master_List!$AW$2</f>
        <v>09:30 PM</v>
      </c>
      <c r="H72" s="32" t="str">
        <f ca="1">Master_List!$AW$3</f>
        <v>20/07/2026</v>
      </c>
      <c r="I72" s="28" t="str">
        <f ca="1">Master_List!$AW$4</f>
        <v>28.5</v>
      </c>
      <c r="J72" s="6" t="str">
        <f ca="1">Master_List!$AW$5</f>
        <v>65</v>
      </c>
      <c r="K72" s="6" t="s">
        <v>1497</v>
      </c>
      <c r="L72" s="21">
        <v>2</v>
      </c>
      <c r="M72" s="39"/>
      <c r="N72" s="39"/>
      <c r="O72" s="39"/>
      <c r="P72" s="39"/>
      <c r="Q72" s="39"/>
      <c r="R72" s="39"/>
      <c r="S72" s="39"/>
      <c r="T72" s="38" t="str">
        <f ca="1">Master_List!$AW$6</f>
        <v>TOSHIBA</v>
      </c>
      <c r="U72" s="38" t="str">
        <f ca="1">Master_List!$AW$7</f>
        <v>MRMU</v>
      </c>
      <c r="V72" s="38" t="str">
        <f ca="1">Master_List!$AW$8</f>
        <v>12kV</v>
      </c>
      <c r="W72" s="38" t="str">
        <f ca="1">Master_List!$AW$9</f>
        <v>2S1F</v>
      </c>
      <c r="X72" s="38" t="str">
        <f ca="1">Master_List!$AW$10</f>
        <v>MTM</v>
      </c>
      <c r="Y72" s="38" t="str">
        <f ca="1">Master_List!$AW$11</f>
        <v>HERMETICALLY SEAL</v>
      </c>
      <c r="Z72" s="38" t="str">
        <f ca="1">Master_List!$AW$12</f>
        <v>750kVA</v>
      </c>
      <c r="AA72" s="38" t="str">
        <f ca="1">Master_List!$AW$13</f>
        <v>1317</v>
      </c>
      <c r="AB72" s="38">
        <f ca="1">Master_List!$AW$14</f>
        <v>0</v>
      </c>
      <c r="AC72" s="38">
        <f ca="1">Master_List!$AW$15</f>
        <v>0</v>
      </c>
      <c r="AD72" s="38">
        <f ca="1">Master_List!$AW$16</f>
        <v>0</v>
      </c>
      <c r="AE72" s="38">
        <f ca="1">Master_List!$AW$17</f>
        <v>0</v>
      </c>
      <c r="AF72" s="38" t="str">
        <f ca="1">Master_List!$AW$18</f>
        <v>INDKOM</v>
      </c>
      <c r="AG72" s="38" t="str">
        <f ca="1">Master_List!$AW$19</f>
        <v>J-SLOTTED</v>
      </c>
      <c r="AH72" s="38" t="str">
        <f ca="1">Master_List!$AW$20</f>
        <v>1600A</v>
      </c>
      <c r="AI72" s="38" t="str">
        <f ca="1">Master_List!$AW$21</f>
        <v>LV5080090</v>
      </c>
      <c r="AJ72" s="38" t="str">
        <f ca="1">Master_List!$AW$22</f>
        <v>LVDB TX1</v>
      </c>
      <c r="AK72" s="38">
        <f ca="1">Master_List!$AW$23</f>
        <v>0</v>
      </c>
      <c r="AL72" s="38">
        <f ca="1">Master_List!$AW$24</f>
        <v>0</v>
      </c>
      <c r="AM72" s="38">
        <f ca="1">Master_List!$AW$25</f>
        <v>0</v>
      </c>
      <c r="AN72" s="38">
        <f ca="1">Master_List!$AW$26</f>
        <v>0</v>
      </c>
      <c r="AO72" s="38" t="str">
        <f ca="1">Master_List!$AW$27</f>
        <v>LVDB TX2</v>
      </c>
      <c r="AP72" s="38" t="str">
        <f ca="1">Master_List!$AW$28</f>
        <v>SUNPOWER TECHNOLOGIES</v>
      </c>
      <c r="AQ72" s="38" t="str">
        <f ca="1">Master_List!$AW$29</f>
        <v>SPS 30-10 L</v>
      </c>
      <c r="AR72" s="38" t="str">
        <f ca="1">Master_List!$AW$30</f>
        <v>11193-8527</v>
      </c>
      <c r="AS72" s="38">
        <f ca="1">Master_List!$AW$31</f>
        <v>0</v>
      </c>
      <c r="AT72" s="38">
        <f ca="1">Master_List!$AW$32</f>
        <v>0</v>
      </c>
      <c r="AU72" s="38">
        <f ca="1">Master_List!$AW$33</f>
        <v>0</v>
      </c>
      <c r="AV72" s="38">
        <f ca="1">Master_List!$AW$34</f>
        <v>0</v>
      </c>
      <c r="AW72" s="38">
        <f ca="1">Master_List!$AW$35</f>
        <v>0</v>
      </c>
      <c r="AX72" s="38">
        <f ca="1">Master_List!$AW$36</f>
        <v>0</v>
      </c>
      <c r="AY72" s="38">
        <f ca="1">Master_List!$AW$37</f>
        <v>0</v>
      </c>
      <c r="AZ72" s="38">
        <f ca="1">Master_List!$AW$38</f>
        <v>0</v>
      </c>
      <c r="BA72" s="38">
        <f ca="1">Master_List!$AW$39</f>
        <v>0</v>
      </c>
      <c r="BB72" s="38" t="s">
        <v>2240</v>
      </c>
      <c r="BC72" s="38" t="s">
        <v>2241</v>
      </c>
      <c r="BD72" s="6" t="s">
        <v>1744</v>
      </c>
      <c r="BE72" s="6" t="s">
        <v>1786</v>
      </c>
      <c r="BF72" s="6" t="s">
        <v>1746</v>
      </c>
      <c r="BG72" s="6" t="str">
        <f t="shared" si="3"/>
        <v>C:\Users\aremi\Desktop\REPORT CBM\PO 42289580 - Pahang 11kV SECOND CYCLE AZZAD 2026\RAW MATERIAL\047. TNB BARU (IR+VI)\RAW DATA\IR</v>
      </c>
      <c r="BH72" s="23" t="s">
        <v>599</v>
      </c>
      <c r="BU72" s="3"/>
      <c r="BV72" s="3"/>
    </row>
    <row r="73" spans="1:74" ht="12.75" customHeight="1" x14ac:dyDescent="0.2">
      <c r="A73" s="6">
        <v>36</v>
      </c>
      <c r="B73" s="6" t="s">
        <v>1574</v>
      </c>
      <c r="C73" s="6">
        <v>1</v>
      </c>
      <c r="D73" s="6" t="s">
        <v>2251</v>
      </c>
      <c r="E73" s="6">
        <v>36</v>
      </c>
      <c r="F73" s="6" t="str">
        <f ca="1">Master_List!$AW$1</f>
        <v>PERPUSTAKAAN PUSAT</v>
      </c>
      <c r="G73" s="27" t="str">
        <f ca="1">Master_List!$AW$2</f>
        <v>09:30 PM</v>
      </c>
      <c r="H73" s="32" t="str">
        <f ca="1">Master_List!$AW$3</f>
        <v>20/07/2026</v>
      </c>
      <c r="I73" s="28" t="str">
        <f ca="1">Master_List!$AW$4</f>
        <v>28.5</v>
      </c>
      <c r="J73" s="6" t="str">
        <f ca="1">Master_List!$AW$5</f>
        <v>65</v>
      </c>
      <c r="K73" s="6" t="s">
        <v>1497</v>
      </c>
      <c r="L73" s="21">
        <v>2</v>
      </c>
      <c r="M73" s="39"/>
      <c r="N73" s="39"/>
      <c r="O73" s="39"/>
      <c r="P73" s="39"/>
      <c r="Q73" s="39"/>
      <c r="R73" s="39"/>
      <c r="S73" s="39"/>
      <c r="T73" s="38" t="str">
        <f ca="1">Master_List!$AW$6</f>
        <v>TOSHIBA</v>
      </c>
      <c r="U73" s="38" t="str">
        <f ca="1">Master_List!$AW$7</f>
        <v>MRMU</v>
      </c>
      <c r="V73" s="38" t="str">
        <f ca="1">Master_List!$AW$8</f>
        <v>12kV</v>
      </c>
      <c r="W73" s="38" t="str">
        <f ca="1">Master_List!$AW$9</f>
        <v>2S1F</v>
      </c>
      <c r="X73" s="38" t="str">
        <f ca="1">Master_List!$AW$10</f>
        <v>MTM</v>
      </c>
      <c r="Y73" s="38" t="str">
        <f ca="1">Master_List!$AW$11</f>
        <v>HERMETICALLY SEAL</v>
      </c>
      <c r="Z73" s="38" t="str">
        <f ca="1">Master_List!$AW$12</f>
        <v>750kVA</v>
      </c>
      <c r="AA73" s="38" t="str">
        <f ca="1">Master_List!$AW$13</f>
        <v>1317</v>
      </c>
      <c r="AB73" s="38">
        <f ca="1">Master_List!$AW$14</f>
        <v>0</v>
      </c>
      <c r="AC73" s="38">
        <f ca="1">Master_List!$AW$15</f>
        <v>0</v>
      </c>
      <c r="AD73" s="38">
        <f ca="1">Master_List!$AW$16</f>
        <v>0</v>
      </c>
      <c r="AE73" s="38">
        <f ca="1">Master_List!$AW$17</f>
        <v>0</v>
      </c>
      <c r="AF73" s="38" t="str">
        <f ca="1">Master_List!$AW$18</f>
        <v>INDKOM</v>
      </c>
      <c r="AG73" s="38" t="str">
        <f ca="1">Master_List!$AW$19</f>
        <v>J-SLOTTED</v>
      </c>
      <c r="AH73" s="38" t="str">
        <f ca="1">Master_List!$AW$20</f>
        <v>1600A</v>
      </c>
      <c r="AI73" s="38" t="str">
        <f ca="1">Master_List!$AW$21</f>
        <v>LV5080090</v>
      </c>
      <c r="AJ73" s="38" t="str">
        <f ca="1">Master_List!$AW$22</f>
        <v>LVDB TX1</v>
      </c>
      <c r="AK73" s="38">
        <f ca="1">Master_List!$AW$23</f>
        <v>0</v>
      </c>
      <c r="AL73" s="38">
        <f ca="1">Master_List!$AW$24</f>
        <v>0</v>
      </c>
      <c r="AM73" s="38">
        <f ca="1">Master_List!$AW$25</f>
        <v>0</v>
      </c>
      <c r="AN73" s="38">
        <f ca="1">Master_List!$AW$26</f>
        <v>0</v>
      </c>
      <c r="AO73" s="38" t="str">
        <f ca="1">Master_List!$AW$27</f>
        <v>LVDB TX2</v>
      </c>
      <c r="AP73" s="38" t="str">
        <f ca="1">Master_List!$AW$28</f>
        <v>SUNPOWER TECHNOLOGIES</v>
      </c>
      <c r="AQ73" s="38" t="str">
        <f ca="1">Master_List!$AW$29</f>
        <v>SPS 30-10 L</v>
      </c>
      <c r="AR73" s="38" t="str">
        <f ca="1">Master_List!$AW$30</f>
        <v>11193-8527</v>
      </c>
      <c r="AS73" s="38">
        <f ca="1">Master_List!$AW$31</f>
        <v>0</v>
      </c>
      <c r="AT73" s="38">
        <f ca="1">Master_List!$AW$32</f>
        <v>0</v>
      </c>
      <c r="AU73" s="38">
        <f ca="1">Master_List!$AW$33</f>
        <v>0</v>
      </c>
      <c r="AV73" s="38">
        <f ca="1">Master_List!$AW$34</f>
        <v>0</v>
      </c>
      <c r="AW73" s="38">
        <f ca="1">Master_List!$AW$35</f>
        <v>0</v>
      </c>
      <c r="AX73" s="38">
        <f ca="1">Master_List!$AW$36</f>
        <v>0</v>
      </c>
      <c r="AY73" s="38">
        <f ca="1">Master_List!$AW$37</f>
        <v>0</v>
      </c>
      <c r="AZ73" s="38">
        <f ca="1">Master_List!$AW$38</f>
        <v>0</v>
      </c>
      <c r="BA73" s="38">
        <f ca="1">Master_List!$AW$39</f>
        <v>0</v>
      </c>
      <c r="BB73" s="38" t="s">
        <v>2240</v>
      </c>
      <c r="BC73" s="38" t="s">
        <v>2241</v>
      </c>
      <c r="BD73" s="6" t="s">
        <v>1744</v>
      </c>
      <c r="BE73" s="6" t="s">
        <v>1786</v>
      </c>
      <c r="BF73" s="6" t="s">
        <v>1748</v>
      </c>
      <c r="BG73" s="6" t="str">
        <f t="shared" si="3"/>
        <v>C:\Users\aremi\Desktop\REPORT CBM\PO 42289580 - Pahang 11kV SECOND CYCLE AZZAD 2026\RAW MATERIAL\047. TNB BARU (IR+VI)\RAW DATA\IR</v>
      </c>
      <c r="BH73" s="23" t="s">
        <v>600</v>
      </c>
      <c r="BU73" s="3"/>
      <c r="BV73" s="3"/>
    </row>
    <row r="74" spans="1:74" ht="12.75" customHeight="1" x14ac:dyDescent="0.2">
      <c r="A74" s="6">
        <v>37</v>
      </c>
      <c r="B74" s="6" t="s">
        <v>1574</v>
      </c>
      <c r="C74" s="6">
        <v>1</v>
      </c>
      <c r="D74" s="6" t="s">
        <v>2252</v>
      </c>
      <c r="E74" s="6">
        <v>37</v>
      </c>
      <c r="F74" s="6" t="str">
        <f ca="1">Master_List!$AW$1</f>
        <v>PERPUSTAKAAN PUSAT</v>
      </c>
      <c r="G74" s="27" t="str">
        <f ca="1">Master_List!$AW$2</f>
        <v>09:30 PM</v>
      </c>
      <c r="H74" s="32" t="str">
        <f ca="1">Master_List!$AW$3</f>
        <v>20/07/2026</v>
      </c>
      <c r="I74" s="28" t="str">
        <f ca="1">Master_List!$AW$4</f>
        <v>28.5</v>
      </c>
      <c r="J74" s="6" t="str">
        <f ca="1">Master_List!$AW$5</f>
        <v>65</v>
      </c>
      <c r="K74" s="6" t="s">
        <v>1571</v>
      </c>
      <c r="L74" s="21">
        <v>2</v>
      </c>
      <c r="M74" s="21" t="s">
        <v>2248</v>
      </c>
      <c r="N74" s="39"/>
      <c r="O74" s="39"/>
      <c r="P74" s="39"/>
      <c r="Q74" s="39"/>
      <c r="R74" s="39"/>
      <c r="S74" s="39"/>
      <c r="T74" s="38" t="str">
        <f ca="1">Master_List!$AW$6</f>
        <v>TOSHIBA</v>
      </c>
      <c r="U74" s="38" t="str">
        <f ca="1">Master_List!$AW$7</f>
        <v>MRMU</v>
      </c>
      <c r="V74" s="38" t="str">
        <f ca="1">Master_List!$AW$8</f>
        <v>12kV</v>
      </c>
      <c r="W74" s="38" t="str">
        <f ca="1">Master_List!$AW$9</f>
        <v>2S1F</v>
      </c>
      <c r="X74" s="38" t="str">
        <f ca="1">Master_List!$AW$10</f>
        <v>MTM</v>
      </c>
      <c r="Y74" s="38" t="str">
        <f ca="1">Master_List!$AW$11</f>
        <v>HERMETICALLY SEAL</v>
      </c>
      <c r="Z74" s="38" t="str">
        <f ca="1">Master_List!$AW$12</f>
        <v>750kVA</v>
      </c>
      <c r="AA74" s="38" t="str">
        <f ca="1">Master_List!$AW$13</f>
        <v>1317</v>
      </c>
      <c r="AB74" s="38">
        <f ca="1">Master_List!$AW$14</f>
        <v>0</v>
      </c>
      <c r="AC74" s="38">
        <f ca="1">Master_List!$AW$15</f>
        <v>0</v>
      </c>
      <c r="AD74" s="38">
        <f ca="1">Master_List!$AW$16</f>
        <v>0</v>
      </c>
      <c r="AE74" s="38">
        <f ca="1">Master_List!$AW$17</f>
        <v>0</v>
      </c>
      <c r="AF74" s="38" t="str">
        <f ca="1">Master_List!$AW$18</f>
        <v>INDKOM</v>
      </c>
      <c r="AG74" s="38" t="str">
        <f ca="1">Master_List!$AW$19</f>
        <v>J-SLOTTED</v>
      </c>
      <c r="AH74" s="38" t="str">
        <f ca="1">Master_List!$AW$20</f>
        <v>1600A</v>
      </c>
      <c r="AI74" s="38" t="str">
        <f ca="1">Master_List!$AW$21</f>
        <v>LV5080090</v>
      </c>
      <c r="AJ74" s="38" t="str">
        <f ca="1">Master_List!$AW$22</f>
        <v>LVDB TX1</v>
      </c>
      <c r="AK74" s="38">
        <f ca="1">Master_List!$AW$23</f>
        <v>0</v>
      </c>
      <c r="AL74" s="38">
        <f ca="1">Master_List!$AW$24</f>
        <v>0</v>
      </c>
      <c r="AM74" s="38">
        <f ca="1">Master_List!$AW$25</f>
        <v>0</v>
      </c>
      <c r="AN74" s="38">
        <f ca="1">Master_List!$AW$26</f>
        <v>0</v>
      </c>
      <c r="AO74" s="38" t="str">
        <f ca="1">Master_List!$AW$27</f>
        <v>LVDB TX2</v>
      </c>
      <c r="AP74" s="38" t="str">
        <f ca="1">Master_List!$AW$28</f>
        <v>SUNPOWER TECHNOLOGIES</v>
      </c>
      <c r="AQ74" s="38" t="str">
        <f ca="1">Master_List!$AW$29</f>
        <v>SPS 30-10 L</v>
      </c>
      <c r="AR74" s="38" t="str">
        <f ca="1">Master_List!$AW$30</f>
        <v>11193-8527</v>
      </c>
      <c r="AS74" s="38">
        <f ca="1">Master_List!$AW$31</f>
        <v>0</v>
      </c>
      <c r="AT74" s="38">
        <f ca="1">Master_List!$AW$32</f>
        <v>0</v>
      </c>
      <c r="AU74" s="38">
        <f ca="1">Master_List!$AW$33</f>
        <v>0</v>
      </c>
      <c r="AV74" s="38">
        <f ca="1">Master_List!$AW$34</f>
        <v>0</v>
      </c>
      <c r="AW74" s="38">
        <f ca="1">Master_List!$AW$35</f>
        <v>0</v>
      </c>
      <c r="AX74" s="38">
        <f ca="1">Master_List!$AW$36</f>
        <v>0</v>
      </c>
      <c r="AY74" s="38">
        <f ca="1">Master_List!$AW$37</f>
        <v>0</v>
      </c>
      <c r="AZ74" s="38">
        <f ca="1">Master_List!$AW$38</f>
        <v>0</v>
      </c>
      <c r="BA74" s="38">
        <f ca="1">Master_List!$AW$39</f>
        <v>0</v>
      </c>
      <c r="BB74" s="38" t="s">
        <v>2240</v>
      </c>
      <c r="BC74" s="38" t="s">
        <v>2241</v>
      </c>
      <c r="BD74" s="6" t="s">
        <v>1744</v>
      </c>
      <c r="BE74" s="6" t="s">
        <v>1787</v>
      </c>
      <c r="BF74" s="6" t="s">
        <v>1746</v>
      </c>
      <c r="BG74" s="6" t="str">
        <f t="shared" si="3"/>
        <v>C:\Users\aremi\Desktop\REPORT CBM\PO 42289580 - Pahang 11kV SECOND CYCLE AZZAD 2026\RAW MATERIAL\047. TNB BARU (IR+VI)\RAW DATA\IR</v>
      </c>
      <c r="BH74" s="23" t="s">
        <v>601</v>
      </c>
      <c r="BU74" s="3"/>
      <c r="BV74" s="3"/>
    </row>
    <row r="75" spans="1:74" ht="12.75" customHeight="1" x14ac:dyDescent="0.2">
      <c r="A75" s="6">
        <v>37</v>
      </c>
      <c r="B75" s="6" t="s">
        <v>1574</v>
      </c>
      <c r="C75" s="6">
        <v>1</v>
      </c>
      <c r="D75" s="6" t="s">
        <v>2252</v>
      </c>
      <c r="E75" s="6">
        <v>37</v>
      </c>
      <c r="F75" s="6" t="str">
        <f ca="1">Master_List!$AW$1</f>
        <v>PERPUSTAKAAN PUSAT</v>
      </c>
      <c r="G75" s="27" t="str">
        <f ca="1">Master_List!$AW$2</f>
        <v>09:30 PM</v>
      </c>
      <c r="H75" s="32" t="str">
        <f ca="1">Master_List!$AW$3</f>
        <v>20/07/2026</v>
      </c>
      <c r="I75" s="28" t="str">
        <f ca="1">Master_List!$AW$4</f>
        <v>28.5</v>
      </c>
      <c r="J75" s="6" t="str">
        <f ca="1">Master_List!$AW$5</f>
        <v>65</v>
      </c>
      <c r="K75" s="6" t="s">
        <v>1571</v>
      </c>
      <c r="L75" s="21">
        <v>2</v>
      </c>
      <c r="M75" s="21" t="s">
        <v>2248</v>
      </c>
      <c r="N75" s="39"/>
      <c r="O75" s="39"/>
      <c r="P75" s="39"/>
      <c r="Q75" s="39"/>
      <c r="R75" s="39"/>
      <c r="S75" s="39"/>
      <c r="T75" s="38" t="str">
        <f ca="1">Master_List!$AW$6</f>
        <v>TOSHIBA</v>
      </c>
      <c r="U75" s="38" t="str">
        <f ca="1">Master_List!$AW$7</f>
        <v>MRMU</v>
      </c>
      <c r="V75" s="38" t="str">
        <f ca="1">Master_List!$AW$8</f>
        <v>12kV</v>
      </c>
      <c r="W75" s="38" t="str">
        <f ca="1">Master_List!$AW$9</f>
        <v>2S1F</v>
      </c>
      <c r="X75" s="38" t="str">
        <f ca="1">Master_List!$AW$10</f>
        <v>MTM</v>
      </c>
      <c r="Y75" s="38" t="str">
        <f ca="1">Master_List!$AW$11</f>
        <v>HERMETICALLY SEAL</v>
      </c>
      <c r="Z75" s="38" t="str">
        <f ca="1">Master_List!$AW$12</f>
        <v>750kVA</v>
      </c>
      <c r="AA75" s="38" t="str">
        <f ca="1">Master_List!$AW$13</f>
        <v>1317</v>
      </c>
      <c r="AB75" s="38">
        <f ca="1">Master_List!$AW$14</f>
        <v>0</v>
      </c>
      <c r="AC75" s="38">
        <f ca="1">Master_List!$AW$15</f>
        <v>0</v>
      </c>
      <c r="AD75" s="38">
        <f ca="1">Master_List!$AW$16</f>
        <v>0</v>
      </c>
      <c r="AE75" s="38">
        <f ca="1">Master_List!$AW$17</f>
        <v>0</v>
      </c>
      <c r="AF75" s="38" t="str">
        <f ca="1">Master_List!$AW$18</f>
        <v>INDKOM</v>
      </c>
      <c r="AG75" s="38" t="str">
        <f ca="1">Master_List!$AW$19</f>
        <v>J-SLOTTED</v>
      </c>
      <c r="AH75" s="38" t="str">
        <f ca="1">Master_List!$AW$20</f>
        <v>1600A</v>
      </c>
      <c r="AI75" s="38" t="str">
        <f ca="1">Master_List!$AW$21</f>
        <v>LV5080090</v>
      </c>
      <c r="AJ75" s="38" t="str">
        <f ca="1">Master_List!$AW$22</f>
        <v>LVDB TX1</v>
      </c>
      <c r="AK75" s="38">
        <f ca="1">Master_List!$AW$23</f>
        <v>0</v>
      </c>
      <c r="AL75" s="38">
        <f ca="1">Master_List!$AW$24</f>
        <v>0</v>
      </c>
      <c r="AM75" s="38">
        <f ca="1">Master_List!$AW$25</f>
        <v>0</v>
      </c>
      <c r="AN75" s="38">
        <f ca="1">Master_List!$AW$26</f>
        <v>0</v>
      </c>
      <c r="AO75" s="38" t="str">
        <f ca="1">Master_List!$AW$27</f>
        <v>LVDB TX2</v>
      </c>
      <c r="AP75" s="38" t="str">
        <f ca="1">Master_List!$AW$28</f>
        <v>SUNPOWER TECHNOLOGIES</v>
      </c>
      <c r="AQ75" s="38" t="str">
        <f ca="1">Master_List!$AW$29</f>
        <v>SPS 30-10 L</v>
      </c>
      <c r="AR75" s="38" t="str">
        <f ca="1">Master_List!$AW$30</f>
        <v>11193-8527</v>
      </c>
      <c r="AS75" s="38">
        <f ca="1">Master_List!$AW$31</f>
        <v>0</v>
      </c>
      <c r="AT75" s="38">
        <f ca="1">Master_List!$AW$32</f>
        <v>0</v>
      </c>
      <c r="AU75" s="38">
        <f ca="1">Master_List!$AW$33</f>
        <v>0</v>
      </c>
      <c r="AV75" s="38">
        <f ca="1">Master_List!$AW$34</f>
        <v>0</v>
      </c>
      <c r="AW75" s="38">
        <f ca="1">Master_List!$AW$35</f>
        <v>0</v>
      </c>
      <c r="AX75" s="38">
        <f ca="1">Master_List!$AW$36</f>
        <v>0</v>
      </c>
      <c r="AY75" s="38">
        <f ca="1">Master_List!$AW$37</f>
        <v>0</v>
      </c>
      <c r="AZ75" s="38">
        <f ca="1">Master_List!$AW$38</f>
        <v>0</v>
      </c>
      <c r="BA75" s="38">
        <f ca="1">Master_List!$AW$39</f>
        <v>0</v>
      </c>
      <c r="BB75" s="38" t="s">
        <v>2240</v>
      </c>
      <c r="BC75" s="38" t="s">
        <v>2241</v>
      </c>
      <c r="BD75" s="6" t="s">
        <v>1744</v>
      </c>
      <c r="BE75" s="6" t="s">
        <v>1787</v>
      </c>
      <c r="BF75" s="6" t="s">
        <v>1748</v>
      </c>
      <c r="BG75" s="6" t="str">
        <f t="shared" si="3"/>
        <v>C:\Users\aremi\Desktop\REPORT CBM\PO 42289580 - Pahang 11kV SECOND CYCLE AZZAD 2026\RAW MATERIAL\047. TNB BARU (IR+VI)\RAW DATA\IR</v>
      </c>
      <c r="BH75" s="23" t="s">
        <v>602</v>
      </c>
      <c r="BU75" s="3"/>
      <c r="BV75" s="3"/>
    </row>
    <row r="76" spans="1:74" ht="12.75" customHeight="1" x14ac:dyDescent="0.2">
      <c r="A76" s="6">
        <v>38</v>
      </c>
      <c r="B76" s="6" t="s">
        <v>1574</v>
      </c>
      <c r="C76" s="6">
        <v>1</v>
      </c>
      <c r="D76" s="6" t="s">
        <v>2252</v>
      </c>
      <c r="E76" s="6">
        <v>38</v>
      </c>
      <c r="F76" s="6" t="str">
        <f ca="1">Master_List!$AW$1</f>
        <v>PERPUSTAKAAN PUSAT</v>
      </c>
      <c r="G76" s="27" t="str">
        <f ca="1">Master_List!$AW$2</f>
        <v>09:30 PM</v>
      </c>
      <c r="H76" s="32" t="str">
        <f ca="1">Master_List!$AW$3</f>
        <v>20/07/2026</v>
      </c>
      <c r="I76" s="28" t="str">
        <f ca="1">Master_List!$AW$4</f>
        <v>28.5</v>
      </c>
      <c r="J76" s="6" t="str">
        <f ca="1">Master_List!$AW$5</f>
        <v>65</v>
      </c>
      <c r="K76" s="6" t="s">
        <v>1572</v>
      </c>
      <c r="L76" s="21">
        <v>2</v>
      </c>
      <c r="M76" s="21" t="s">
        <v>2248</v>
      </c>
      <c r="N76" s="39"/>
      <c r="O76" s="39"/>
      <c r="P76" s="39"/>
      <c r="Q76" s="39"/>
      <c r="R76" s="39"/>
      <c r="S76" s="39"/>
      <c r="T76" s="38" t="str">
        <f ca="1">Master_List!$AW$6</f>
        <v>TOSHIBA</v>
      </c>
      <c r="U76" s="38" t="str">
        <f ca="1">Master_List!$AW$7</f>
        <v>MRMU</v>
      </c>
      <c r="V76" s="38" t="str">
        <f ca="1">Master_List!$AW$8</f>
        <v>12kV</v>
      </c>
      <c r="W76" s="38" t="str">
        <f ca="1">Master_List!$AW$9</f>
        <v>2S1F</v>
      </c>
      <c r="X76" s="38" t="str">
        <f ca="1">Master_List!$AW$10</f>
        <v>MTM</v>
      </c>
      <c r="Y76" s="38" t="str">
        <f ca="1">Master_List!$AW$11</f>
        <v>HERMETICALLY SEAL</v>
      </c>
      <c r="Z76" s="38" t="str">
        <f ca="1">Master_List!$AW$12</f>
        <v>750kVA</v>
      </c>
      <c r="AA76" s="38" t="str">
        <f ca="1">Master_List!$AW$13</f>
        <v>1317</v>
      </c>
      <c r="AB76" s="38">
        <f ca="1">Master_List!$AW$14</f>
        <v>0</v>
      </c>
      <c r="AC76" s="38">
        <f ca="1">Master_List!$AW$15</f>
        <v>0</v>
      </c>
      <c r="AD76" s="38">
        <f ca="1">Master_List!$AW$16</f>
        <v>0</v>
      </c>
      <c r="AE76" s="38">
        <f ca="1">Master_List!$AW$17</f>
        <v>0</v>
      </c>
      <c r="AF76" s="38" t="str">
        <f ca="1">Master_List!$AW$18</f>
        <v>INDKOM</v>
      </c>
      <c r="AG76" s="38" t="str">
        <f ca="1">Master_List!$AW$19</f>
        <v>J-SLOTTED</v>
      </c>
      <c r="AH76" s="38" t="str">
        <f ca="1">Master_List!$AW$20</f>
        <v>1600A</v>
      </c>
      <c r="AI76" s="38" t="str">
        <f ca="1">Master_List!$AW$21</f>
        <v>LV5080090</v>
      </c>
      <c r="AJ76" s="38" t="str">
        <f ca="1">Master_List!$AW$22</f>
        <v>LVDB TX1</v>
      </c>
      <c r="AK76" s="38">
        <f ca="1">Master_List!$AW$23</f>
        <v>0</v>
      </c>
      <c r="AL76" s="38">
        <f ca="1">Master_List!$AW$24</f>
        <v>0</v>
      </c>
      <c r="AM76" s="38">
        <f ca="1">Master_List!$AW$25</f>
        <v>0</v>
      </c>
      <c r="AN76" s="38">
        <f ca="1">Master_List!$AW$26</f>
        <v>0</v>
      </c>
      <c r="AO76" s="38" t="str">
        <f ca="1">Master_List!$AW$27</f>
        <v>LVDB TX2</v>
      </c>
      <c r="AP76" s="38" t="str">
        <f ca="1">Master_List!$AW$28</f>
        <v>SUNPOWER TECHNOLOGIES</v>
      </c>
      <c r="AQ76" s="38" t="str">
        <f ca="1">Master_List!$AW$29</f>
        <v>SPS 30-10 L</v>
      </c>
      <c r="AR76" s="38" t="str">
        <f ca="1">Master_List!$AW$30</f>
        <v>11193-8527</v>
      </c>
      <c r="AS76" s="38">
        <f ca="1">Master_List!$AW$31</f>
        <v>0</v>
      </c>
      <c r="AT76" s="38">
        <f ca="1">Master_List!$AW$32</f>
        <v>0</v>
      </c>
      <c r="AU76" s="38">
        <f ca="1">Master_List!$AW$33</f>
        <v>0</v>
      </c>
      <c r="AV76" s="38">
        <f ca="1">Master_List!$AW$34</f>
        <v>0</v>
      </c>
      <c r="AW76" s="38">
        <f ca="1">Master_List!$AW$35</f>
        <v>0</v>
      </c>
      <c r="AX76" s="38">
        <f ca="1">Master_List!$AW$36</f>
        <v>0</v>
      </c>
      <c r="AY76" s="38">
        <f ca="1">Master_List!$AW$37</f>
        <v>0</v>
      </c>
      <c r="AZ76" s="38">
        <f ca="1">Master_List!$AW$38</f>
        <v>0</v>
      </c>
      <c r="BA76" s="38">
        <f ca="1">Master_List!$AW$39</f>
        <v>0</v>
      </c>
      <c r="BB76" s="38" t="s">
        <v>2240</v>
      </c>
      <c r="BC76" s="38" t="s">
        <v>2241</v>
      </c>
      <c r="BD76" s="6" t="s">
        <v>1744</v>
      </c>
      <c r="BE76" s="6" t="s">
        <v>1788</v>
      </c>
      <c r="BF76" s="6" t="s">
        <v>1746</v>
      </c>
      <c r="BG76" s="6" t="str">
        <f t="shared" si="3"/>
        <v>C:\Users\aremi\Desktop\REPORT CBM\PO 42289580 - Pahang 11kV SECOND CYCLE AZZAD 2026\RAW MATERIAL\047. TNB BARU (IR+VI)\RAW DATA\IR</v>
      </c>
      <c r="BH76" s="23" t="s">
        <v>603</v>
      </c>
      <c r="BU76" s="3"/>
      <c r="BV76" s="3"/>
    </row>
    <row r="77" spans="1:74" ht="12.75" customHeight="1" x14ac:dyDescent="0.2">
      <c r="A77" s="6">
        <v>38</v>
      </c>
      <c r="B77" s="6" t="s">
        <v>1574</v>
      </c>
      <c r="C77" s="6">
        <v>1</v>
      </c>
      <c r="D77" s="6" t="s">
        <v>2252</v>
      </c>
      <c r="E77" s="6">
        <v>38</v>
      </c>
      <c r="F77" s="6" t="str">
        <f ca="1">Master_List!$AW$1</f>
        <v>PERPUSTAKAAN PUSAT</v>
      </c>
      <c r="G77" s="27" t="str">
        <f ca="1">Master_List!$AW$2</f>
        <v>09:30 PM</v>
      </c>
      <c r="H77" s="32" t="str">
        <f ca="1">Master_List!$AW$3</f>
        <v>20/07/2026</v>
      </c>
      <c r="I77" s="28" t="str">
        <f ca="1">Master_List!$AW$4</f>
        <v>28.5</v>
      </c>
      <c r="J77" s="6" t="str">
        <f ca="1">Master_List!$AW$5</f>
        <v>65</v>
      </c>
      <c r="K77" s="6" t="s">
        <v>1572</v>
      </c>
      <c r="L77" s="21">
        <v>2</v>
      </c>
      <c r="M77" s="21" t="s">
        <v>2248</v>
      </c>
      <c r="N77" s="39"/>
      <c r="O77" s="39"/>
      <c r="P77" s="39"/>
      <c r="Q77" s="39"/>
      <c r="R77" s="39"/>
      <c r="S77" s="39"/>
      <c r="T77" s="38" t="str">
        <f ca="1">Master_List!$AW$6</f>
        <v>TOSHIBA</v>
      </c>
      <c r="U77" s="38" t="str">
        <f ca="1">Master_List!$AW$7</f>
        <v>MRMU</v>
      </c>
      <c r="V77" s="38" t="str">
        <f ca="1">Master_List!$AW$8</f>
        <v>12kV</v>
      </c>
      <c r="W77" s="38" t="str">
        <f ca="1">Master_List!$AW$9</f>
        <v>2S1F</v>
      </c>
      <c r="X77" s="38" t="str">
        <f ca="1">Master_List!$AW$10</f>
        <v>MTM</v>
      </c>
      <c r="Y77" s="38" t="str">
        <f ca="1">Master_List!$AW$11</f>
        <v>HERMETICALLY SEAL</v>
      </c>
      <c r="Z77" s="38" t="str">
        <f ca="1">Master_List!$AW$12</f>
        <v>750kVA</v>
      </c>
      <c r="AA77" s="38" t="str">
        <f ca="1">Master_List!$AW$13</f>
        <v>1317</v>
      </c>
      <c r="AB77" s="38">
        <f ca="1">Master_List!$AW$14</f>
        <v>0</v>
      </c>
      <c r="AC77" s="38">
        <f ca="1">Master_List!$AW$15</f>
        <v>0</v>
      </c>
      <c r="AD77" s="38">
        <f ca="1">Master_List!$AW$16</f>
        <v>0</v>
      </c>
      <c r="AE77" s="38">
        <f ca="1">Master_List!$AW$17</f>
        <v>0</v>
      </c>
      <c r="AF77" s="38" t="str">
        <f ca="1">Master_List!$AW$18</f>
        <v>INDKOM</v>
      </c>
      <c r="AG77" s="38" t="str">
        <f ca="1">Master_List!$AW$19</f>
        <v>J-SLOTTED</v>
      </c>
      <c r="AH77" s="38" t="str">
        <f ca="1">Master_List!$AW$20</f>
        <v>1600A</v>
      </c>
      <c r="AI77" s="38" t="str">
        <f ca="1">Master_List!$AW$21</f>
        <v>LV5080090</v>
      </c>
      <c r="AJ77" s="38" t="str">
        <f ca="1">Master_List!$AW$22</f>
        <v>LVDB TX1</v>
      </c>
      <c r="AK77" s="38">
        <f ca="1">Master_List!$AW$23</f>
        <v>0</v>
      </c>
      <c r="AL77" s="38">
        <f ca="1">Master_List!$AW$24</f>
        <v>0</v>
      </c>
      <c r="AM77" s="38">
        <f ca="1">Master_List!$AW$25</f>
        <v>0</v>
      </c>
      <c r="AN77" s="38">
        <f ca="1">Master_List!$AW$26</f>
        <v>0</v>
      </c>
      <c r="AO77" s="38" t="str">
        <f ca="1">Master_List!$AW$27</f>
        <v>LVDB TX2</v>
      </c>
      <c r="AP77" s="38" t="str">
        <f ca="1">Master_List!$AW$28</f>
        <v>SUNPOWER TECHNOLOGIES</v>
      </c>
      <c r="AQ77" s="38" t="str">
        <f ca="1">Master_List!$AW$29</f>
        <v>SPS 30-10 L</v>
      </c>
      <c r="AR77" s="38" t="str">
        <f ca="1">Master_List!$AW$30</f>
        <v>11193-8527</v>
      </c>
      <c r="AS77" s="38">
        <f ca="1">Master_List!$AW$31</f>
        <v>0</v>
      </c>
      <c r="AT77" s="38">
        <f ca="1">Master_List!$AW$32</f>
        <v>0</v>
      </c>
      <c r="AU77" s="38">
        <f ca="1">Master_List!$AW$33</f>
        <v>0</v>
      </c>
      <c r="AV77" s="38">
        <f ca="1">Master_List!$AW$34</f>
        <v>0</v>
      </c>
      <c r="AW77" s="38">
        <f ca="1">Master_List!$AW$35</f>
        <v>0</v>
      </c>
      <c r="AX77" s="38">
        <f ca="1">Master_List!$AW$36</f>
        <v>0</v>
      </c>
      <c r="AY77" s="38">
        <f ca="1">Master_List!$AW$37</f>
        <v>0</v>
      </c>
      <c r="AZ77" s="38">
        <f ca="1">Master_List!$AW$38</f>
        <v>0</v>
      </c>
      <c r="BA77" s="38">
        <f ca="1">Master_List!$AW$39</f>
        <v>0</v>
      </c>
      <c r="BB77" s="38" t="s">
        <v>2240</v>
      </c>
      <c r="BC77" s="38" t="s">
        <v>2241</v>
      </c>
      <c r="BD77" s="6" t="s">
        <v>1744</v>
      </c>
      <c r="BE77" s="6" t="s">
        <v>1788</v>
      </c>
      <c r="BF77" s="6" t="s">
        <v>1748</v>
      </c>
      <c r="BG77" s="6" t="str">
        <f t="shared" si="3"/>
        <v>C:\Users\aremi\Desktop\REPORT CBM\PO 42289580 - Pahang 11kV SECOND CYCLE AZZAD 2026\RAW MATERIAL\047. TNB BARU (IR+VI)\RAW DATA\IR</v>
      </c>
      <c r="BH77" s="23" t="s">
        <v>604</v>
      </c>
      <c r="BU77" s="3"/>
      <c r="BV77" s="3"/>
    </row>
    <row r="78" spans="1:74" ht="12.75" customHeight="1" x14ac:dyDescent="0.2">
      <c r="A78" s="6">
        <v>39</v>
      </c>
      <c r="B78" s="6" t="s">
        <v>1574</v>
      </c>
      <c r="C78" s="6">
        <v>1</v>
      </c>
      <c r="D78" s="6" t="s">
        <v>2252</v>
      </c>
      <c r="E78" s="6">
        <v>39</v>
      </c>
      <c r="F78" s="6" t="str">
        <f ca="1">Master_List!$AW$1</f>
        <v>PERPUSTAKAAN PUSAT</v>
      </c>
      <c r="G78" s="27" t="str">
        <f ca="1">Master_List!$AW$2</f>
        <v>09:30 PM</v>
      </c>
      <c r="H78" s="32" t="str">
        <f ca="1">Master_List!$AW$3</f>
        <v>20/07/2026</v>
      </c>
      <c r="I78" s="28" t="str">
        <f ca="1">Master_List!$AW$4</f>
        <v>28.5</v>
      </c>
      <c r="J78" s="6" t="str">
        <f ca="1">Master_List!$AW$5</f>
        <v>65</v>
      </c>
      <c r="K78" s="6" t="s">
        <v>1573</v>
      </c>
      <c r="L78" s="21">
        <v>2</v>
      </c>
      <c r="M78" s="21" t="s">
        <v>2248</v>
      </c>
      <c r="N78" s="39"/>
      <c r="O78" s="39"/>
      <c r="P78" s="39"/>
      <c r="Q78" s="39"/>
      <c r="R78" s="39"/>
      <c r="S78" s="39"/>
      <c r="T78" s="38" t="str">
        <f ca="1">Master_List!$AW$6</f>
        <v>TOSHIBA</v>
      </c>
      <c r="U78" s="38" t="str">
        <f ca="1">Master_List!$AW$7</f>
        <v>MRMU</v>
      </c>
      <c r="V78" s="38" t="str">
        <f ca="1">Master_List!$AW$8</f>
        <v>12kV</v>
      </c>
      <c r="W78" s="38" t="str">
        <f ca="1">Master_List!$AW$9</f>
        <v>2S1F</v>
      </c>
      <c r="X78" s="38" t="str">
        <f ca="1">Master_List!$AW$10</f>
        <v>MTM</v>
      </c>
      <c r="Y78" s="38" t="str">
        <f ca="1">Master_List!$AW$11</f>
        <v>HERMETICALLY SEAL</v>
      </c>
      <c r="Z78" s="38" t="str">
        <f ca="1">Master_List!$AW$12</f>
        <v>750kVA</v>
      </c>
      <c r="AA78" s="38" t="str">
        <f ca="1">Master_List!$AW$13</f>
        <v>1317</v>
      </c>
      <c r="AB78" s="38">
        <f ca="1">Master_List!$AW$14</f>
        <v>0</v>
      </c>
      <c r="AC78" s="38">
        <f ca="1">Master_List!$AW$15</f>
        <v>0</v>
      </c>
      <c r="AD78" s="38">
        <f ca="1">Master_List!$AW$16</f>
        <v>0</v>
      </c>
      <c r="AE78" s="38">
        <f ca="1">Master_List!$AW$17</f>
        <v>0</v>
      </c>
      <c r="AF78" s="38" t="str">
        <f ca="1">Master_List!$AW$18</f>
        <v>INDKOM</v>
      </c>
      <c r="AG78" s="38" t="str">
        <f ca="1">Master_List!$AW$19</f>
        <v>J-SLOTTED</v>
      </c>
      <c r="AH78" s="38" t="str">
        <f ca="1">Master_List!$AW$20</f>
        <v>1600A</v>
      </c>
      <c r="AI78" s="38" t="str">
        <f ca="1">Master_List!$AW$21</f>
        <v>LV5080090</v>
      </c>
      <c r="AJ78" s="38" t="str">
        <f ca="1">Master_List!$AW$22</f>
        <v>LVDB TX1</v>
      </c>
      <c r="AK78" s="38">
        <f ca="1">Master_List!$AW$23</f>
        <v>0</v>
      </c>
      <c r="AL78" s="38">
        <f ca="1">Master_List!$AW$24</f>
        <v>0</v>
      </c>
      <c r="AM78" s="38">
        <f ca="1">Master_List!$AW$25</f>
        <v>0</v>
      </c>
      <c r="AN78" s="38">
        <f ca="1">Master_List!$AW$26</f>
        <v>0</v>
      </c>
      <c r="AO78" s="38" t="str">
        <f ca="1">Master_List!$AW$27</f>
        <v>LVDB TX2</v>
      </c>
      <c r="AP78" s="38" t="str">
        <f ca="1">Master_List!$AW$28</f>
        <v>SUNPOWER TECHNOLOGIES</v>
      </c>
      <c r="AQ78" s="38" t="str">
        <f ca="1">Master_List!$AW$29</f>
        <v>SPS 30-10 L</v>
      </c>
      <c r="AR78" s="38" t="str">
        <f ca="1">Master_List!$AW$30</f>
        <v>11193-8527</v>
      </c>
      <c r="AS78" s="38">
        <f ca="1">Master_List!$AW$31</f>
        <v>0</v>
      </c>
      <c r="AT78" s="38">
        <f ca="1">Master_List!$AW$32</f>
        <v>0</v>
      </c>
      <c r="AU78" s="38">
        <f ca="1">Master_List!$AW$33</f>
        <v>0</v>
      </c>
      <c r="AV78" s="38">
        <f ca="1">Master_List!$AW$34</f>
        <v>0</v>
      </c>
      <c r="AW78" s="38">
        <f ca="1">Master_List!$AW$35</f>
        <v>0</v>
      </c>
      <c r="AX78" s="38">
        <f ca="1">Master_List!$AW$36</f>
        <v>0</v>
      </c>
      <c r="AY78" s="38">
        <f ca="1">Master_List!$AW$37</f>
        <v>0</v>
      </c>
      <c r="AZ78" s="38">
        <f ca="1">Master_List!$AW$38</f>
        <v>0</v>
      </c>
      <c r="BA78" s="38">
        <f ca="1">Master_List!$AW$39</f>
        <v>0</v>
      </c>
      <c r="BB78" s="38" t="s">
        <v>2240</v>
      </c>
      <c r="BC78" s="38" t="s">
        <v>2241</v>
      </c>
      <c r="BD78" s="6" t="s">
        <v>1744</v>
      </c>
      <c r="BE78" s="6" t="s">
        <v>1789</v>
      </c>
      <c r="BF78" s="6" t="s">
        <v>1746</v>
      </c>
      <c r="BG78" s="6" t="str">
        <f t="shared" si="3"/>
        <v>C:\Users\aremi\Desktop\REPORT CBM\PO 42289580 - Pahang 11kV SECOND CYCLE AZZAD 2026\RAW MATERIAL\047. TNB BARU (IR+VI)\RAW DATA\IR</v>
      </c>
      <c r="BH78" s="23" t="s">
        <v>605</v>
      </c>
      <c r="BU78" s="3"/>
      <c r="BV78" s="3"/>
    </row>
    <row r="79" spans="1:74" ht="12.75" customHeight="1" x14ac:dyDescent="0.2">
      <c r="A79" s="6">
        <v>39</v>
      </c>
      <c r="B79" s="6" t="s">
        <v>1574</v>
      </c>
      <c r="C79" s="6">
        <v>1</v>
      </c>
      <c r="D79" s="6" t="s">
        <v>2253</v>
      </c>
      <c r="E79" s="6">
        <v>39</v>
      </c>
      <c r="F79" s="6" t="str">
        <f ca="1">Master_List!$AW$1</f>
        <v>PERPUSTAKAAN PUSAT</v>
      </c>
      <c r="G79" s="27" t="str">
        <f ca="1">Master_List!$AW$2</f>
        <v>09:30 PM</v>
      </c>
      <c r="H79" s="32" t="str">
        <f ca="1">Master_List!$AW$3</f>
        <v>20/07/2026</v>
      </c>
      <c r="I79" s="28" t="str">
        <f ca="1">Master_List!$AW$4</f>
        <v>28.5</v>
      </c>
      <c r="J79" s="6" t="str">
        <f ca="1">Master_List!$AW$5</f>
        <v>65</v>
      </c>
      <c r="K79" s="6" t="s">
        <v>1573</v>
      </c>
      <c r="L79" s="21">
        <v>2</v>
      </c>
      <c r="M79" s="21" t="s">
        <v>2248</v>
      </c>
      <c r="N79" s="39"/>
      <c r="O79" s="39"/>
      <c r="P79" s="39"/>
      <c r="Q79" s="39"/>
      <c r="R79" s="39"/>
      <c r="S79" s="39"/>
      <c r="T79" s="38" t="str">
        <f ca="1">Master_List!$AW$6</f>
        <v>TOSHIBA</v>
      </c>
      <c r="U79" s="38" t="str">
        <f ca="1">Master_List!$AW$7</f>
        <v>MRMU</v>
      </c>
      <c r="V79" s="38" t="str">
        <f ca="1">Master_List!$AW$8</f>
        <v>12kV</v>
      </c>
      <c r="W79" s="38" t="str">
        <f ca="1">Master_List!$AW$9</f>
        <v>2S1F</v>
      </c>
      <c r="X79" s="38" t="str">
        <f ca="1">Master_List!$AW$10</f>
        <v>MTM</v>
      </c>
      <c r="Y79" s="38" t="str">
        <f ca="1">Master_List!$AW$11</f>
        <v>HERMETICALLY SEAL</v>
      </c>
      <c r="Z79" s="38" t="str">
        <f ca="1">Master_List!$AW$12</f>
        <v>750kVA</v>
      </c>
      <c r="AA79" s="38" t="str">
        <f ca="1">Master_List!$AW$13</f>
        <v>1317</v>
      </c>
      <c r="AB79" s="38">
        <f ca="1">Master_List!$AW$14</f>
        <v>0</v>
      </c>
      <c r="AC79" s="38">
        <f ca="1">Master_List!$AW$15</f>
        <v>0</v>
      </c>
      <c r="AD79" s="38">
        <f ca="1">Master_List!$AW$16</f>
        <v>0</v>
      </c>
      <c r="AE79" s="38">
        <f ca="1">Master_List!$AW$17</f>
        <v>0</v>
      </c>
      <c r="AF79" s="38" t="str">
        <f ca="1">Master_List!$AW$18</f>
        <v>INDKOM</v>
      </c>
      <c r="AG79" s="38" t="str">
        <f ca="1">Master_List!$AW$19</f>
        <v>J-SLOTTED</v>
      </c>
      <c r="AH79" s="38" t="str">
        <f ca="1">Master_List!$AW$20</f>
        <v>1600A</v>
      </c>
      <c r="AI79" s="38" t="str">
        <f ca="1">Master_List!$AW$21</f>
        <v>LV5080090</v>
      </c>
      <c r="AJ79" s="38" t="str">
        <f ca="1">Master_List!$AW$22</f>
        <v>LVDB TX1</v>
      </c>
      <c r="AK79" s="38">
        <f ca="1">Master_List!$AW$23</f>
        <v>0</v>
      </c>
      <c r="AL79" s="38">
        <f ca="1">Master_List!$AW$24</f>
        <v>0</v>
      </c>
      <c r="AM79" s="38">
        <f ca="1">Master_List!$AW$25</f>
        <v>0</v>
      </c>
      <c r="AN79" s="38">
        <f ca="1">Master_List!$AW$26</f>
        <v>0</v>
      </c>
      <c r="AO79" s="38" t="str">
        <f ca="1">Master_List!$AW$27</f>
        <v>LVDB TX2</v>
      </c>
      <c r="AP79" s="38" t="str">
        <f ca="1">Master_List!$AW$28</f>
        <v>SUNPOWER TECHNOLOGIES</v>
      </c>
      <c r="AQ79" s="38" t="str">
        <f ca="1">Master_List!$AW$29</f>
        <v>SPS 30-10 L</v>
      </c>
      <c r="AR79" s="38" t="str">
        <f ca="1">Master_List!$AW$30</f>
        <v>11193-8527</v>
      </c>
      <c r="AS79" s="38">
        <f ca="1">Master_List!$AW$31</f>
        <v>0</v>
      </c>
      <c r="AT79" s="38">
        <f ca="1">Master_List!$AW$32</f>
        <v>0</v>
      </c>
      <c r="AU79" s="38">
        <f ca="1">Master_List!$AW$33</f>
        <v>0</v>
      </c>
      <c r="AV79" s="38">
        <f ca="1">Master_List!$AW$34</f>
        <v>0</v>
      </c>
      <c r="AW79" s="38">
        <f ca="1">Master_List!$AW$35</f>
        <v>0</v>
      </c>
      <c r="AX79" s="38">
        <f ca="1">Master_List!$AW$36</f>
        <v>0</v>
      </c>
      <c r="AY79" s="38">
        <f ca="1">Master_List!$AW$37</f>
        <v>0</v>
      </c>
      <c r="AZ79" s="38">
        <f ca="1">Master_List!$AW$38</f>
        <v>0</v>
      </c>
      <c r="BA79" s="38">
        <f ca="1">Master_List!$AW$39</f>
        <v>0</v>
      </c>
      <c r="BB79" s="38" t="s">
        <v>2240</v>
      </c>
      <c r="BC79" s="38" t="s">
        <v>2241</v>
      </c>
      <c r="BD79" s="6" t="s">
        <v>1744</v>
      </c>
      <c r="BE79" s="6" t="s">
        <v>1789</v>
      </c>
      <c r="BF79" s="6" t="s">
        <v>1748</v>
      </c>
      <c r="BG79" s="6" t="str">
        <f t="shared" si="3"/>
        <v>C:\Users\aremi\Desktop\REPORT CBM\PO 42289580 - Pahang 11kV SECOND CYCLE AZZAD 2026\RAW MATERIAL\047. TNB BARU (IR+VI)\RAW DATA\IR</v>
      </c>
      <c r="BH79" s="23" t="s">
        <v>606</v>
      </c>
      <c r="BU79" s="3"/>
      <c r="BV79" s="3"/>
    </row>
    <row r="80" spans="1:74" ht="12.75" customHeight="1" x14ac:dyDescent="0.2">
      <c r="A80" s="6">
        <v>40</v>
      </c>
      <c r="B80" s="6" t="s">
        <v>1574</v>
      </c>
      <c r="C80" s="6">
        <v>1</v>
      </c>
      <c r="D80" s="6" t="s">
        <v>2253</v>
      </c>
      <c r="E80" s="6">
        <v>40</v>
      </c>
      <c r="F80" s="6" t="str">
        <f ca="1">Master_List!$AW$1</f>
        <v>PERPUSTAKAAN PUSAT</v>
      </c>
      <c r="G80" s="27" t="str">
        <f ca="1">Master_List!$AW$2</f>
        <v>09:30 PM</v>
      </c>
      <c r="H80" s="32" t="str">
        <f ca="1">Master_List!$AW$3</f>
        <v>20/07/2026</v>
      </c>
      <c r="I80" s="28" t="str">
        <f ca="1">Master_List!$AW$4</f>
        <v>28.5</v>
      </c>
      <c r="J80" s="6" t="str">
        <f ca="1">Master_List!$AW$5</f>
        <v>65</v>
      </c>
      <c r="K80" s="6" t="s">
        <v>1571</v>
      </c>
      <c r="L80" s="21">
        <v>2</v>
      </c>
      <c r="M80" s="21" t="s">
        <v>2250</v>
      </c>
      <c r="N80" s="39"/>
      <c r="O80" s="39"/>
      <c r="P80" s="39"/>
      <c r="Q80" s="39"/>
      <c r="R80" s="39"/>
      <c r="S80" s="39"/>
      <c r="T80" s="38" t="str">
        <f ca="1">Master_List!$AW$6</f>
        <v>TOSHIBA</v>
      </c>
      <c r="U80" s="38" t="str">
        <f ca="1">Master_List!$AW$7</f>
        <v>MRMU</v>
      </c>
      <c r="V80" s="38" t="str">
        <f ca="1">Master_List!$AW$8</f>
        <v>12kV</v>
      </c>
      <c r="W80" s="38" t="str">
        <f ca="1">Master_List!$AW$9</f>
        <v>2S1F</v>
      </c>
      <c r="X80" s="38" t="str">
        <f ca="1">Master_List!$AW$10</f>
        <v>MTM</v>
      </c>
      <c r="Y80" s="38" t="str">
        <f ca="1">Master_List!$AW$11</f>
        <v>HERMETICALLY SEAL</v>
      </c>
      <c r="Z80" s="38" t="str">
        <f ca="1">Master_List!$AW$12</f>
        <v>750kVA</v>
      </c>
      <c r="AA80" s="38" t="str">
        <f ca="1">Master_List!$AW$13</f>
        <v>1317</v>
      </c>
      <c r="AB80" s="38">
        <f ca="1">Master_List!$AW$14</f>
        <v>0</v>
      </c>
      <c r="AC80" s="38">
        <f ca="1">Master_List!$AW$15</f>
        <v>0</v>
      </c>
      <c r="AD80" s="38">
        <f ca="1">Master_List!$AW$16</f>
        <v>0</v>
      </c>
      <c r="AE80" s="38">
        <f ca="1">Master_List!$AW$17</f>
        <v>0</v>
      </c>
      <c r="AF80" s="38" t="str">
        <f ca="1">Master_List!$AW$18</f>
        <v>INDKOM</v>
      </c>
      <c r="AG80" s="38" t="str">
        <f ca="1">Master_List!$AW$19</f>
        <v>J-SLOTTED</v>
      </c>
      <c r="AH80" s="38" t="str">
        <f ca="1">Master_List!$AW$20</f>
        <v>1600A</v>
      </c>
      <c r="AI80" s="38" t="str">
        <f ca="1">Master_List!$AW$21</f>
        <v>LV5080090</v>
      </c>
      <c r="AJ80" s="38" t="str">
        <f ca="1">Master_List!$AW$22</f>
        <v>LVDB TX1</v>
      </c>
      <c r="AK80" s="38">
        <f ca="1">Master_List!$AW$23</f>
        <v>0</v>
      </c>
      <c r="AL80" s="38">
        <f ca="1">Master_List!$AW$24</f>
        <v>0</v>
      </c>
      <c r="AM80" s="38">
        <f ca="1">Master_List!$AW$25</f>
        <v>0</v>
      </c>
      <c r="AN80" s="38">
        <f ca="1">Master_List!$AW$26</f>
        <v>0</v>
      </c>
      <c r="AO80" s="38" t="str">
        <f ca="1">Master_List!$AW$27</f>
        <v>LVDB TX2</v>
      </c>
      <c r="AP80" s="38" t="str">
        <f ca="1">Master_List!$AW$28</f>
        <v>SUNPOWER TECHNOLOGIES</v>
      </c>
      <c r="AQ80" s="38" t="str">
        <f ca="1">Master_List!$AW$29</f>
        <v>SPS 30-10 L</v>
      </c>
      <c r="AR80" s="38" t="str">
        <f ca="1">Master_List!$AW$30</f>
        <v>11193-8527</v>
      </c>
      <c r="AS80" s="38">
        <f ca="1">Master_List!$AW$31</f>
        <v>0</v>
      </c>
      <c r="AT80" s="38">
        <f ca="1">Master_List!$AW$32</f>
        <v>0</v>
      </c>
      <c r="AU80" s="38">
        <f ca="1">Master_List!$AW$33</f>
        <v>0</v>
      </c>
      <c r="AV80" s="38">
        <f ca="1">Master_List!$AW$34</f>
        <v>0</v>
      </c>
      <c r="AW80" s="38">
        <f ca="1">Master_List!$AW$35</f>
        <v>0</v>
      </c>
      <c r="AX80" s="38">
        <f ca="1">Master_List!$AW$36</f>
        <v>0</v>
      </c>
      <c r="AY80" s="38">
        <f ca="1">Master_List!$AW$37</f>
        <v>0</v>
      </c>
      <c r="AZ80" s="38">
        <f ca="1">Master_List!$AW$38</f>
        <v>0</v>
      </c>
      <c r="BA80" s="38">
        <f ca="1">Master_List!$AW$39</f>
        <v>0</v>
      </c>
      <c r="BB80" s="38" t="s">
        <v>2240</v>
      </c>
      <c r="BC80" s="38" t="s">
        <v>2241</v>
      </c>
      <c r="BD80" s="6" t="s">
        <v>1744</v>
      </c>
      <c r="BE80" s="6" t="s">
        <v>1790</v>
      </c>
      <c r="BF80" s="6" t="s">
        <v>1746</v>
      </c>
      <c r="BG80" s="6" t="str">
        <f t="shared" si="3"/>
        <v>C:\Users\aremi\Desktop\REPORT CBM\PO 42289580 - Pahang 11kV SECOND CYCLE AZZAD 2026\RAW MATERIAL\047. TNB BARU (IR+VI)\RAW DATA\IR</v>
      </c>
      <c r="BH80" s="23" t="s">
        <v>607</v>
      </c>
      <c r="BU80" s="3"/>
      <c r="BV80" s="3"/>
    </row>
    <row r="81" spans="1:74" ht="12.75" customHeight="1" x14ac:dyDescent="0.2">
      <c r="A81" s="6">
        <v>40</v>
      </c>
      <c r="B81" s="6" t="s">
        <v>1574</v>
      </c>
      <c r="C81" s="6">
        <v>1</v>
      </c>
      <c r="D81" s="6" t="s">
        <v>2253</v>
      </c>
      <c r="E81" s="6">
        <v>40</v>
      </c>
      <c r="F81" s="6" t="str">
        <f ca="1">Master_List!$AW$1</f>
        <v>PERPUSTAKAAN PUSAT</v>
      </c>
      <c r="G81" s="27" t="str">
        <f ca="1">Master_List!$AW$2</f>
        <v>09:30 PM</v>
      </c>
      <c r="H81" s="32" t="str">
        <f ca="1">Master_List!$AW$3</f>
        <v>20/07/2026</v>
      </c>
      <c r="I81" s="28" t="str">
        <f ca="1">Master_List!$AW$4</f>
        <v>28.5</v>
      </c>
      <c r="J81" s="6" t="str">
        <f ca="1">Master_List!$AW$5</f>
        <v>65</v>
      </c>
      <c r="K81" s="6" t="s">
        <v>1571</v>
      </c>
      <c r="L81" s="21">
        <v>2</v>
      </c>
      <c r="M81" s="21" t="s">
        <v>2250</v>
      </c>
      <c r="N81" s="39"/>
      <c r="O81" s="39"/>
      <c r="P81" s="39"/>
      <c r="Q81" s="39"/>
      <c r="R81" s="39"/>
      <c r="S81" s="39"/>
      <c r="T81" s="38" t="str">
        <f ca="1">Master_List!$AW$6</f>
        <v>TOSHIBA</v>
      </c>
      <c r="U81" s="38" t="str">
        <f ca="1">Master_List!$AW$7</f>
        <v>MRMU</v>
      </c>
      <c r="V81" s="38" t="str">
        <f ca="1">Master_List!$AW$8</f>
        <v>12kV</v>
      </c>
      <c r="W81" s="38" t="str">
        <f ca="1">Master_List!$AW$9</f>
        <v>2S1F</v>
      </c>
      <c r="X81" s="38" t="str">
        <f ca="1">Master_List!$AW$10</f>
        <v>MTM</v>
      </c>
      <c r="Y81" s="38" t="str">
        <f ca="1">Master_List!$AW$11</f>
        <v>HERMETICALLY SEAL</v>
      </c>
      <c r="Z81" s="38" t="str">
        <f ca="1">Master_List!$AW$12</f>
        <v>750kVA</v>
      </c>
      <c r="AA81" s="38" t="str">
        <f ca="1">Master_List!$AW$13</f>
        <v>1317</v>
      </c>
      <c r="AB81" s="38">
        <f ca="1">Master_List!$AW$14</f>
        <v>0</v>
      </c>
      <c r="AC81" s="38">
        <f ca="1">Master_List!$AW$15</f>
        <v>0</v>
      </c>
      <c r="AD81" s="38">
        <f ca="1">Master_List!$AW$16</f>
        <v>0</v>
      </c>
      <c r="AE81" s="38">
        <f ca="1">Master_List!$AW$17</f>
        <v>0</v>
      </c>
      <c r="AF81" s="38" t="str">
        <f ca="1">Master_List!$AW$18</f>
        <v>INDKOM</v>
      </c>
      <c r="AG81" s="38" t="str">
        <f ca="1">Master_List!$AW$19</f>
        <v>J-SLOTTED</v>
      </c>
      <c r="AH81" s="38" t="str">
        <f ca="1">Master_List!$AW$20</f>
        <v>1600A</v>
      </c>
      <c r="AI81" s="38" t="str">
        <f ca="1">Master_List!$AW$21</f>
        <v>LV5080090</v>
      </c>
      <c r="AJ81" s="38" t="str">
        <f ca="1">Master_List!$AW$22</f>
        <v>LVDB TX1</v>
      </c>
      <c r="AK81" s="38">
        <f ca="1">Master_List!$AW$23</f>
        <v>0</v>
      </c>
      <c r="AL81" s="38">
        <f ca="1">Master_List!$AW$24</f>
        <v>0</v>
      </c>
      <c r="AM81" s="38">
        <f ca="1">Master_List!$AW$25</f>
        <v>0</v>
      </c>
      <c r="AN81" s="38">
        <f ca="1">Master_List!$AW$26</f>
        <v>0</v>
      </c>
      <c r="AO81" s="38" t="str">
        <f ca="1">Master_List!$AW$27</f>
        <v>LVDB TX2</v>
      </c>
      <c r="AP81" s="38" t="str">
        <f ca="1">Master_List!$AW$28</f>
        <v>SUNPOWER TECHNOLOGIES</v>
      </c>
      <c r="AQ81" s="38" t="str">
        <f ca="1">Master_List!$AW$29</f>
        <v>SPS 30-10 L</v>
      </c>
      <c r="AR81" s="38" t="str">
        <f ca="1">Master_List!$AW$30</f>
        <v>11193-8527</v>
      </c>
      <c r="AS81" s="38">
        <f ca="1">Master_List!$AW$31</f>
        <v>0</v>
      </c>
      <c r="AT81" s="38">
        <f ca="1">Master_List!$AW$32</f>
        <v>0</v>
      </c>
      <c r="AU81" s="38">
        <f ca="1">Master_List!$AW$33</f>
        <v>0</v>
      </c>
      <c r="AV81" s="38">
        <f ca="1">Master_List!$AW$34</f>
        <v>0</v>
      </c>
      <c r="AW81" s="38">
        <f ca="1">Master_List!$AW$35</f>
        <v>0</v>
      </c>
      <c r="AX81" s="38">
        <f ca="1">Master_List!$AW$36</f>
        <v>0</v>
      </c>
      <c r="AY81" s="38">
        <f ca="1">Master_List!$AW$37</f>
        <v>0</v>
      </c>
      <c r="AZ81" s="38">
        <f ca="1">Master_List!$AW$38</f>
        <v>0</v>
      </c>
      <c r="BA81" s="38">
        <f ca="1">Master_List!$AW$39</f>
        <v>0</v>
      </c>
      <c r="BB81" s="38" t="s">
        <v>2240</v>
      </c>
      <c r="BC81" s="38" t="s">
        <v>2241</v>
      </c>
      <c r="BD81" s="6" t="s">
        <v>1744</v>
      </c>
      <c r="BE81" s="6" t="s">
        <v>1790</v>
      </c>
      <c r="BF81" s="6" t="s">
        <v>1748</v>
      </c>
      <c r="BG81" s="6" t="str">
        <f t="shared" si="3"/>
        <v>C:\Users\aremi\Desktop\REPORT CBM\PO 42289580 - Pahang 11kV SECOND CYCLE AZZAD 2026\RAW MATERIAL\047. TNB BARU (IR+VI)\RAW DATA\IR</v>
      </c>
      <c r="BH81" s="23" t="s">
        <v>608</v>
      </c>
      <c r="BU81" s="3"/>
      <c r="BV81" s="3"/>
    </row>
    <row r="82" spans="1:74" ht="12.75" customHeight="1" x14ac:dyDescent="0.2">
      <c r="A82" s="6">
        <v>41</v>
      </c>
      <c r="B82" s="6" t="s">
        <v>1574</v>
      </c>
      <c r="C82" s="6">
        <v>1</v>
      </c>
      <c r="D82" s="6" t="s">
        <v>2253</v>
      </c>
      <c r="E82" s="6">
        <v>41</v>
      </c>
      <c r="F82" s="6" t="str">
        <f ca="1">Master_List!$AW$1</f>
        <v>PERPUSTAKAAN PUSAT</v>
      </c>
      <c r="G82" s="27" t="str">
        <f ca="1">Master_List!$AW$2</f>
        <v>09:30 PM</v>
      </c>
      <c r="H82" s="32" t="str">
        <f ca="1">Master_List!$AW$3</f>
        <v>20/07/2026</v>
      </c>
      <c r="I82" s="28" t="str">
        <f ca="1">Master_List!$AW$4</f>
        <v>28.5</v>
      </c>
      <c r="J82" s="6" t="str">
        <f ca="1">Master_List!$AW$5</f>
        <v>65</v>
      </c>
      <c r="K82" s="6" t="s">
        <v>1572</v>
      </c>
      <c r="L82" s="21">
        <v>2</v>
      </c>
      <c r="M82" s="21" t="s">
        <v>2250</v>
      </c>
      <c r="N82" s="39"/>
      <c r="O82" s="39"/>
      <c r="P82" s="39"/>
      <c r="Q82" s="39"/>
      <c r="R82" s="39"/>
      <c r="S82" s="39"/>
      <c r="T82" s="38" t="str">
        <f ca="1">Master_List!$AW$6</f>
        <v>TOSHIBA</v>
      </c>
      <c r="U82" s="38" t="str">
        <f ca="1">Master_List!$AW$7</f>
        <v>MRMU</v>
      </c>
      <c r="V82" s="38" t="str">
        <f ca="1">Master_List!$AW$8</f>
        <v>12kV</v>
      </c>
      <c r="W82" s="38" t="str">
        <f ca="1">Master_List!$AW$9</f>
        <v>2S1F</v>
      </c>
      <c r="X82" s="38" t="str">
        <f ca="1">Master_List!$AW$10</f>
        <v>MTM</v>
      </c>
      <c r="Y82" s="38" t="str">
        <f ca="1">Master_List!$AW$11</f>
        <v>HERMETICALLY SEAL</v>
      </c>
      <c r="Z82" s="38" t="str">
        <f ca="1">Master_List!$AW$12</f>
        <v>750kVA</v>
      </c>
      <c r="AA82" s="38" t="str">
        <f ca="1">Master_List!$AW$13</f>
        <v>1317</v>
      </c>
      <c r="AB82" s="38">
        <f ca="1">Master_List!$AW$14</f>
        <v>0</v>
      </c>
      <c r="AC82" s="38">
        <f ca="1">Master_List!$AW$15</f>
        <v>0</v>
      </c>
      <c r="AD82" s="38">
        <f ca="1">Master_List!$AW$16</f>
        <v>0</v>
      </c>
      <c r="AE82" s="38">
        <f ca="1">Master_List!$AW$17</f>
        <v>0</v>
      </c>
      <c r="AF82" s="38" t="str">
        <f ca="1">Master_List!$AW$18</f>
        <v>INDKOM</v>
      </c>
      <c r="AG82" s="38" t="str">
        <f ca="1">Master_List!$AW$19</f>
        <v>J-SLOTTED</v>
      </c>
      <c r="AH82" s="38" t="str">
        <f ca="1">Master_List!$AW$20</f>
        <v>1600A</v>
      </c>
      <c r="AI82" s="38" t="str">
        <f ca="1">Master_List!$AW$21</f>
        <v>LV5080090</v>
      </c>
      <c r="AJ82" s="38" t="str">
        <f ca="1">Master_List!$AW$22</f>
        <v>LVDB TX1</v>
      </c>
      <c r="AK82" s="38">
        <f ca="1">Master_List!$AW$23</f>
        <v>0</v>
      </c>
      <c r="AL82" s="38">
        <f ca="1">Master_List!$AW$24</f>
        <v>0</v>
      </c>
      <c r="AM82" s="38">
        <f ca="1">Master_List!$AW$25</f>
        <v>0</v>
      </c>
      <c r="AN82" s="38">
        <f ca="1">Master_List!$AW$26</f>
        <v>0</v>
      </c>
      <c r="AO82" s="38" t="str">
        <f ca="1">Master_List!$AW$27</f>
        <v>LVDB TX2</v>
      </c>
      <c r="AP82" s="38" t="str">
        <f ca="1">Master_List!$AW$28</f>
        <v>SUNPOWER TECHNOLOGIES</v>
      </c>
      <c r="AQ82" s="38" t="str">
        <f ca="1">Master_List!$AW$29</f>
        <v>SPS 30-10 L</v>
      </c>
      <c r="AR82" s="38" t="str">
        <f ca="1">Master_List!$AW$30</f>
        <v>11193-8527</v>
      </c>
      <c r="AS82" s="38">
        <f ca="1">Master_List!$AW$31</f>
        <v>0</v>
      </c>
      <c r="AT82" s="38">
        <f ca="1">Master_List!$AW$32</f>
        <v>0</v>
      </c>
      <c r="AU82" s="38">
        <f ca="1">Master_List!$AW$33</f>
        <v>0</v>
      </c>
      <c r="AV82" s="38">
        <f ca="1">Master_List!$AW$34</f>
        <v>0</v>
      </c>
      <c r="AW82" s="38">
        <f ca="1">Master_List!$AW$35</f>
        <v>0</v>
      </c>
      <c r="AX82" s="38">
        <f ca="1">Master_List!$AW$36</f>
        <v>0</v>
      </c>
      <c r="AY82" s="38">
        <f ca="1">Master_List!$AW$37</f>
        <v>0</v>
      </c>
      <c r="AZ82" s="38">
        <f ca="1">Master_List!$AW$38</f>
        <v>0</v>
      </c>
      <c r="BA82" s="38">
        <f ca="1">Master_List!$AW$39</f>
        <v>0</v>
      </c>
      <c r="BB82" s="38" t="s">
        <v>2240</v>
      </c>
      <c r="BC82" s="38" t="s">
        <v>2241</v>
      </c>
      <c r="BD82" s="6" t="s">
        <v>1744</v>
      </c>
      <c r="BE82" s="6" t="s">
        <v>1791</v>
      </c>
      <c r="BF82" s="6" t="s">
        <v>1746</v>
      </c>
      <c r="BG82" s="6" t="str">
        <f t="shared" si="3"/>
        <v>C:\Users\aremi\Desktop\REPORT CBM\PO 42289580 - Pahang 11kV SECOND CYCLE AZZAD 2026\RAW MATERIAL\047. TNB BARU (IR+VI)\RAW DATA\IR</v>
      </c>
      <c r="BH82" s="23" t="s">
        <v>609</v>
      </c>
      <c r="BU82" s="3"/>
      <c r="BV82" s="3"/>
    </row>
    <row r="83" spans="1:74" ht="12.75" customHeight="1" x14ac:dyDescent="0.2">
      <c r="A83" s="6">
        <v>41</v>
      </c>
      <c r="B83" s="6" t="s">
        <v>1574</v>
      </c>
      <c r="C83" s="6">
        <v>1</v>
      </c>
      <c r="D83" s="6" t="s">
        <v>2253</v>
      </c>
      <c r="E83" s="6">
        <v>41</v>
      </c>
      <c r="F83" s="6" t="str">
        <f ca="1">Master_List!$AW$1</f>
        <v>PERPUSTAKAAN PUSAT</v>
      </c>
      <c r="G83" s="27" t="str">
        <f ca="1">Master_List!$AW$2</f>
        <v>09:30 PM</v>
      </c>
      <c r="H83" s="32" t="str">
        <f ca="1">Master_List!$AW$3</f>
        <v>20/07/2026</v>
      </c>
      <c r="I83" s="28" t="str">
        <f ca="1">Master_List!$AW$4</f>
        <v>28.5</v>
      </c>
      <c r="J83" s="6" t="str">
        <f ca="1">Master_List!$AW$5</f>
        <v>65</v>
      </c>
      <c r="K83" s="6" t="s">
        <v>1572</v>
      </c>
      <c r="L83" s="21">
        <v>2</v>
      </c>
      <c r="M83" s="21" t="s">
        <v>2250</v>
      </c>
      <c r="N83" s="39"/>
      <c r="O83" s="39"/>
      <c r="P83" s="39"/>
      <c r="Q83" s="39"/>
      <c r="R83" s="39"/>
      <c r="S83" s="39"/>
      <c r="T83" s="38" t="str">
        <f ca="1">Master_List!$AW$6</f>
        <v>TOSHIBA</v>
      </c>
      <c r="U83" s="38" t="str">
        <f ca="1">Master_List!$AW$7</f>
        <v>MRMU</v>
      </c>
      <c r="V83" s="38" t="str">
        <f ca="1">Master_List!$AW$8</f>
        <v>12kV</v>
      </c>
      <c r="W83" s="38" t="str">
        <f ca="1">Master_List!$AW$9</f>
        <v>2S1F</v>
      </c>
      <c r="X83" s="38" t="str">
        <f ca="1">Master_List!$AW$10</f>
        <v>MTM</v>
      </c>
      <c r="Y83" s="38" t="str">
        <f ca="1">Master_List!$AW$11</f>
        <v>HERMETICALLY SEAL</v>
      </c>
      <c r="Z83" s="38" t="str">
        <f ca="1">Master_List!$AW$12</f>
        <v>750kVA</v>
      </c>
      <c r="AA83" s="38" t="str">
        <f ca="1">Master_List!$AW$13</f>
        <v>1317</v>
      </c>
      <c r="AB83" s="38">
        <f ca="1">Master_List!$AW$14</f>
        <v>0</v>
      </c>
      <c r="AC83" s="38">
        <f ca="1">Master_List!$AW$15</f>
        <v>0</v>
      </c>
      <c r="AD83" s="38">
        <f ca="1">Master_List!$AW$16</f>
        <v>0</v>
      </c>
      <c r="AE83" s="38">
        <f ca="1">Master_List!$AW$17</f>
        <v>0</v>
      </c>
      <c r="AF83" s="38" t="str">
        <f ca="1">Master_List!$AW$18</f>
        <v>INDKOM</v>
      </c>
      <c r="AG83" s="38" t="str">
        <f ca="1">Master_List!$AW$19</f>
        <v>J-SLOTTED</v>
      </c>
      <c r="AH83" s="38" t="str">
        <f ca="1">Master_List!$AW$20</f>
        <v>1600A</v>
      </c>
      <c r="AI83" s="38" t="str">
        <f ca="1">Master_List!$AW$21</f>
        <v>LV5080090</v>
      </c>
      <c r="AJ83" s="38" t="str">
        <f ca="1">Master_List!$AW$22</f>
        <v>LVDB TX1</v>
      </c>
      <c r="AK83" s="38">
        <f ca="1">Master_List!$AW$23</f>
        <v>0</v>
      </c>
      <c r="AL83" s="38">
        <f ca="1">Master_List!$AW$24</f>
        <v>0</v>
      </c>
      <c r="AM83" s="38">
        <f ca="1">Master_List!$AW$25</f>
        <v>0</v>
      </c>
      <c r="AN83" s="38">
        <f ca="1">Master_List!$AW$26</f>
        <v>0</v>
      </c>
      <c r="AO83" s="38" t="str">
        <f ca="1">Master_List!$AW$27</f>
        <v>LVDB TX2</v>
      </c>
      <c r="AP83" s="38" t="str">
        <f ca="1">Master_List!$AW$28</f>
        <v>SUNPOWER TECHNOLOGIES</v>
      </c>
      <c r="AQ83" s="38" t="str">
        <f ca="1">Master_List!$AW$29</f>
        <v>SPS 30-10 L</v>
      </c>
      <c r="AR83" s="38" t="str">
        <f ca="1">Master_List!$AW$30</f>
        <v>11193-8527</v>
      </c>
      <c r="AS83" s="38">
        <f ca="1">Master_List!$AW$31</f>
        <v>0</v>
      </c>
      <c r="AT83" s="38">
        <f ca="1">Master_List!$AW$32</f>
        <v>0</v>
      </c>
      <c r="AU83" s="38">
        <f ca="1">Master_List!$AW$33</f>
        <v>0</v>
      </c>
      <c r="AV83" s="38">
        <f ca="1">Master_List!$AW$34</f>
        <v>0</v>
      </c>
      <c r="AW83" s="38">
        <f ca="1">Master_List!$AW$35</f>
        <v>0</v>
      </c>
      <c r="AX83" s="38">
        <f ca="1">Master_List!$AW$36</f>
        <v>0</v>
      </c>
      <c r="AY83" s="38">
        <f ca="1">Master_List!$AW$37</f>
        <v>0</v>
      </c>
      <c r="AZ83" s="38">
        <f ca="1">Master_List!$AW$38</f>
        <v>0</v>
      </c>
      <c r="BA83" s="38">
        <f ca="1">Master_List!$AW$39</f>
        <v>0</v>
      </c>
      <c r="BB83" s="38" t="s">
        <v>2240</v>
      </c>
      <c r="BC83" s="38" t="s">
        <v>2241</v>
      </c>
      <c r="BD83" s="6" t="s">
        <v>1744</v>
      </c>
      <c r="BE83" s="6" t="s">
        <v>1791</v>
      </c>
      <c r="BF83" s="6" t="s">
        <v>1748</v>
      </c>
      <c r="BG83" s="6" t="str">
        <f t="shared" si="3"/>
        <v>C:\Users\aremi\Desktop\REPORT CBM\PO 42289580 - Pahang 11kV SECOND CYCLE AZZAD 2026\RAW MATERIAL\047. TNB BARU (IR+VI)\RAW DATA\IR</v>
      </c>
      <c r="BH83" s="23" t="s">
        <v>610</v>
      </c>
      <c r="BU83" s="3"/>
      <c r="BV83" s="3"/>
    </row>
    <row r="84" spans="1:74" ht="12.75" customHeight="1" x14ac:dyDescent="0.2">
      <c r="A84" s="6">
        <v>42</v>
      </c>
      <c r="B84" s="6" t="s">
        <v>1574</v>
      </c>
      <c r="C84" s="6">
        <v>1</v>
      </c>
      <c r="D84" s="6" t="s">
        <v>2253</v>
      </c>
      <c r="E84" s="6">
        <v>42</v>
      </c>
      <c r="F84" s="6" t="str">
        <f ca="1">Master_List!$AW$1</f>
        <v>PERPUSTAKAAN PUSAT</v>
      </c>
      <c r="G84" s="27" t="str">
        <f ca="1">Master_List!$AW$2</f>
        <v>09:30 PM</v>
      </c>
      <c r="H84" s="32" t="str">
        <f ca="1">Master_List!$AW$3</f>
        <v>20/07/2026</v>
      </c>
      <c r="I84" s="28" t="str">
        <f ca="1">Master_List!$AW$4</f>
        <v>28.5</v>
      </c>
      <c r="J84" s="6" t="str">
        <f ca="1">Master_List!$AW$5</f>
        <v>65</v>
      </c>
      <c r="K84" s="6" t="s">
        <v>1573</v>
      </c>
      <c r="L84" s="21">
        <v>2</v>
      </c>
      <c r="M84" s="21" t="s">
        <v>2250</v>
      </c>
      <c r="N84" s="39"/>
      <c r="O84" s="39"/>
      <c r="P84" s="39"/>
      <c r="Q84" s="39"/>
      <c r="R84" s="39"/>
      <c r="S84" s="39"/>
      <c r="T84" s="38" t="str">
        <f ca="1">Master_List!$AW$6</f>
        <v>TOSHIBA</v>
      </c>
      <c r="U84" s="38" t="str">
        <f ca="1">Master_List!$AW$7</f>
        <v>MRMU</v>
      </c>
      <c r="V84" s="38" t="str">
        <f ca="1">Master_List!$AW$8</f>
        <v>12kV</v>
      </c>
      <c r="W84" s="38" t="str">
        <f ca="1">Master_List!$AW$9</f>
        <v>2S1F</v>
      </c>
      <c r="X84" s="38" t="str">
        <f ca="1">Master_List!$AW$10</f>
        <v>MTM</v>
      </c>
      <c r="Y84" s="38" t="str">
        <f ca="1">Master_List!$AW$11</f>
        <v>HERMETICALLY SEAL</v>
      </c>
      <c r="Z84" s="38" t="str">
        <f ca="1">Master_List!$AW$12</f>
        <v>750kVA</v>
      </c>
      <c r="AA84" s="38" t="str">
        <f ca="1">Master_List!$AW$13</f>
        <v>1317</v>
      </c>
      <c r="AB84" s="38">
        <f ca="1">Master_List!$AW$14</f>
        <v>0</v>
      </c>
      <c r="AC84" s="38">
        <f ca="1">Master_List!$AW$15</f>
        <v>0</v>
      </c>
      <c r="AD84" s="38">
        <f ca="1">Master_List!$AW$16</f>
        <v>0</v>
      </c>
      <c r="AE84" s="38">
        <f ca="1">Master_List!$AW$17</f>
        <v>0</v>
      </c>
      <c r="AF84" s="38" t="str">
        <f ca="1">Master_List!$AW$18</f>
        <v>INDKOM</v>
      </c>
      <c r="AG84" s="38" t="str">
        <f ca="1">Master_List!$AW$19</f>
        <v>J-SLOTTED</v>
      </c>
      <c r="AH84" s="38" t="str">
        <f ca="1">Master_List!$AW$20</f>
        <v>1600A</v>
      </c>
      <c r="AI84" s="38" t="str">
        <f ca="1">Master_List!$AW$21</f>
        <v>LV5080090</v>
      </c>
      <c r="AJ84" s="38" t="str">
        <f ca="1">Master_List!$AW$22</f>
        <v>LVDB TX1</v>
      </c>
      <c r="AK84" s="38">
        <f ca="1">Master_List!$AW$23</f>
        <v>0</v>
      </c>
      <c r="AL84" s="38">
        <f ca="1">Master_List!$AW$24</f>
        <v>0</v>
      </c>
      <c r="AM84" s="38">
        <f ca="1">Master_List!$AW$25</f>
        <v>0</v>
      </c>
      <c r="AN84" s="38">
        <f ca="1">Master_List!$AW$26</f>
        <v>0</v>
      </c>
      <c r="AO84" s="38" t="str">
        <f ca="1">Master_List!$AW$27</f>
        <v>LVDB TX2</v>
      </c>
      <c r="AP84" s="38" t="str">
        <f ca="1">Master_List!$AW$28</f>
        <v>SUNPOWER TECHNOLOGIES</v>
      </c>
      <c r="AQ84" s="38" t="str">
        <f ca="1">Master_List!$AW$29</f>
        <v>SPS 30-10 L</v>
      </c>
      <c r="AR84" s="38" t="str">
        <f ca="1">Master_List!$AW$30</f>
        <v>11193-8527</v>
      </c>
      <c r="AS84" s="38">
        <f ca="1">Master_List!$AW$31</f>
        <v>0</v>
      </c>
      <c r="AT84" s="38">
        <f ca="1">Master_List!$AW$32</f>
        <v>0</v>
      </c>
      <c r="AU84" s="38">
        <f ca="1">Master_List!$AW$33</f>
        <v>0</v>
      </c>
      <c r="AV84" s="38">
        <f ca="1">Master_List!$AW$34</f>
        <v>0</v>
      </c>
      <c r="AW84" s="38">
        <f ca="1">Master_List!$AW$35</f>
        <v>0</v>
      </c>
      <c r="AX84" s="38">
        <f ca="1">Master_List!$AW$36</f>
        <v>0</v>
      </c>
      <c r="AY84" s="38">
        <f ca="1">Master_List!$AW$37</f>
        <v>0</v>
      </c>
      <c r="AZ84" s="38">
        <f ca="1">Master_List!$AW$38</f>
        <v>0</v>
      </c>
      <c r="BA84" s="38">
        <f ca="1">Master_List!$AW$39</f>
        <v>0</v>
      </c>
      <c r="BB84" s="38" t="s">
        <v>2240</v>
      </c>
      <c r="BC84" s="38" t="s">
        <v>2241</v>
      </c>
      <c r="BD84" s="6" t="s">
        <v>1744</v>
      </c>
      <c r="BE84" s="6" t="s">
        <v>1792</v>
      </c>
      <c r="BF84" s="6" t="s">
        <v>1746</v>
      </c>
      <c r="BG84" s="6" t="str">
        <f t="shared" si="3"/>
        <v>C:\Users\aremi\Desktop\REPORT CBM\PO 42289580 - Pahang 11kV SECOND CYCLE AZZAD 2026\RAW MATERIAL\047. TNB BARU (IR+VI)\RAW DATA\IR</v>
      </c>
      <c r="BH84" s="23" t="s">
        <v>612</v>
      </c>
      <c r="BU84" s="3"/>
      <c r="BV84" s="3"/>
    </row>
    <row r="85" spans="1:74" ht="12.75" customHeight="1" x14ac:dyDescent="0.2">
      <c r="A85" s="6">
        <v>42</v>
      </c>
      <c r="B85" s="6" t="s">
        <v>1574</v>
      </c>
      <c r="C85" s="6">
        <v>1</v>
      </c>
      <c r="D85" s="6" t="s">
        <v>2253</v>
      </c>
      <c r="E85" s="6">
        <v>42</v>
      </c>
      <c r="F85" s="6" t="str">
        <f ca="1">Master_List!$AW$1</f>
        <v>PERPUSTAKAAN PUSAT</v>
      </c>
      <c r="G85" s="27" t="str">
        <f ca="1">Master_List!$AW$2</f>
        <v>09:30 PM</v>
      </c>
      <c r="H85" s="32" t="str">
        <f ca="1">Master_List!$AW$3</f>
        <v>20/07/2026</v>
      </c>
      <c r="I85" s="28" t="str">
        <f ca="1">Master_List!$AW$4</f>
        <v>28.5</v>
      </c>
      <c r="J85" s="6" t="str">
        <f ca="1">Master_List!$AW$5</f>
        <v>65</v>
      </c>
      <c r="K85" s="6" t="s">
        <v>1573</v>
      </c>
      <c r="L85" s="21">
        <v>2</v>
      </c>
      <c r="M85" s="21" t="s">
        <v>2250</v>
      </c>
      <c r="N85" s="39"/>
      <c r="O85" s="39"/>
      <c r="P85" s="39"/>
      <c r="Q85" s="39"/>
      <c r="R85" s="39"/>
      <c r="S85" s="39"/>
      <c r="T85" s="38" t="str">
        <f ca="1">Master_List!$AW$6</f>
        <v>TOSHIBA</v>
      </c>
      <c r="U85" s="38" t="str">
        <f ca="1">Master_List!$AW$7</f>
        <v>MRMU</v>
      </c>
      <c r="V85" s="38" t="str">
        <f ca="1">Master_List!$AW$8</f>
        <v>12kV</v>
      </c>
      <c r="W85" s="38" t="str">
        <f ca="1">Master_List!$AW$9</f>
        <v>2S1F</v>
      </c>
      <c r="X85" s="38" t="str">
        <f ca="1">Master_List!$AW$10</f>
        <v>MTM</v>
      </c>
      <c r="Y85" s="38" t="str">
        <f ca="1">Master_List!$AW$11</f>
        <v>HERMETICALLY SEAL</v>
      </c>
      <c r="Z85" s="38" t="str">
        <f ca="1">Master_List!$AW$12</f>
        <v>750kVA</v>
      </c>
      <c r="AA85" s="38" t="str">
        <f ca="1">Master_List!$AW$13</f>
        <v>1317</v>
      </c>
      <c r="AB85" s="38">
        <f ca="1">Master_List!$AW$14</f>
        <v>0</v>
      </c>
      <c r="AC85" s="38">
        <f ca="1">Master_List!$AW$15</f>
        <v>0</v>
      </c>
      <c r="AD85" s="38">
        <f ca="1">Master_List!$AW$16</f>
        <v>0</v>
      </c>
      <c r="AE85" s="38">
        <f ca="1">Master_List!$AW$17</f>
        <v>0</v>
      </c>
      <c r="AF85" s="38" t="str">
        <f ca="1">Master_List!$AW$18</f>
        <v>INDKOM</v>
      </c>
      <c r="AG85" s="38" t="str">
        <f ca="1">Master_List!$AW$19</f>
        <v>J-SLOTTED</v>
      </c>
      <c r="AH85" s="38" t="str">
        <f ca="1">Master_List!$AW$20</f>
        <v>1600A</v>
      </c>
      <c r="AI85" s="38" t="str">
        <f ca="1">Master_List!$AW$21</f>
        <v>LV5080090</v>
      </c>
      <c r="AJ85" s="38" t="str">
        <f ca="1">Master_List!$AW$22</f>
        <v>LVDB TX1</v>
      </c>
      <c r="AK85" s="38">
        <f ca="1">Master_List!$AW$23</f>
        <v>0</v>
      </c>
      <c r="AL85" s="38">
        <f ca="1">Master_List!$AW$24</f>
        <v>0</v>
      </c>
      <c r="AM85" s="38">
        <f ca="1">Master_List!$AW$25</f>
        <v>0</v>
      </c>
      <c r="AN85" s="38">
        <f ca="1">Master_List!$AW$26</f>
        <v>0</v>
      </c>
      <c r="AO85" s="38" t="str">
        <f ca="1">Master_List!$AW$27</f>
        <v>LVDB TX2</v>
      </c>
      <c r="AP85" s="38" t="str">
        <f ca="1">Master_List!$AW$28</f>
        <v>SUNPOWER TECHNOLOGIES</v>
      </c>
      <c r="AQ85" s="38" t="str">
        <f ca="1">Master_List!$AW$29</f>
        <v>SPS 30-10 L</v>
      </c>
      <c r="AR85" s="38" t="str">
        <f ca="1">Master_List!$AW$30</f>
        <v>11193-8527</v>
      </c>
      <c r="AS85" s="38">
        <f ca="1">Master_List!$AW$31</f>
        <v>0</v>
      </c>
      <c r="AT85" s="38">
        <f ca="1">Master_List!$AW$32</f>
        <v>0</v>
      </c>
      <c r="AU85" s="38">
        <f ca="1">Master_List!$AW$33</f>
        <v>0</v>
      </c>
      <c r="AV85" s="38">
        <f ca="1">Master_List!$AW$34</f>
        <v>0</v>
      </c>
      <c r="AW85" s="38">
        <f ca="1">Master_List!$AW$35</f>
        <v>0</v>
      </c>
      <c r="AX85" s="38">
        <f ca="1">Master_List!$AW$36</f>
        <v>0</v>
      </c>
      <c r="AY85" s="38">
        <f ca="1">Master_List!$AW$37</f>
        <v>0</v>
      </c>
      <c r="AZ85" s="38">
        <f ca="1">Master_List!$AW$38</f>
        <v>0</v>
      </c>
      <c r="BA85" s="38">
        <f ca="1">Master_List!$AW$39</f>
        <v>0</v>
      </c>
      <c r="BB85" s="38" t="s">
        <v>2240</v>
      </c>
      <c r="BC85" s="38" t="s">
        <v>2241</v>
      </c>
      <c r="BD85" s="6" t="s">
        <v>1744</v>
      </c>
      <c r="BE85" s="6" t="s">
        <v>1792</v>
      </c>
      <c r="BF85" s="6" t="s">
        <v>1748</v>
      </c>
      <c r="BG85" s="6" t="str">
        <f t="shared" si="3"/>
        <v>C:\Users\aremi\Desktop\REPORT CBM\PO 42289580 - Pahang 11kV SECOND CYCLE AZZAD 2026\RAW MATERIAL\047. TNB BARU (IR+VI)\RAW DATA\IR</v>
      </c>
      <c r="BH85" s="23" t="s">
        <v>613</v>
      </c>
      <c r="BU85" s="3"/>
      <c r="BV85" s="3"/>
    </row>
    <row r="86" spans="1:74" ht="12.75" customHeight="1" x14ac:dyDescent="0.2">
      <c r="A86" s="6">
        <v>43</v>
      </c>
      <c r="B86" s="6" t="s">
        <v>1575</v>
      </c>
      <c r="C86" s="6">
        <v>1</v>
      </c>
      <c r="D86" s="6" t="s">
        <v>2254</v>
      </c>
      <c r="E86" s="6">
        <v>43</v>
      </c>
      <c r="F86" s="6" t="str">
        <f ca="1">Master_List!$AW$1</f>
        <v>PERPUSTAKAAN PUSAT</v>
      </c>
      <c r="G86" s="27" t="str">
        <f ca="1">Master_List!$AW$2</f>
        <v>09:30 PM</v>
      </c>
      <c r="H86" s="32" t="str">
        <f ca="1">Master_List!$AW$3</f>
        <v>20/07/2026</v>
      </c>
      <c r="I86" s="28" t="str">
        <f ca="1">Master_List!$AW$4</f>
        <v>28.5</v>
      </c>
      <c r="J86" s="6" t="str">
        <f ca="1">Master_List!$AW$5</f>
        <v>65</v>
      </c>
      <c r="K86" s="6" t="s">
        <v>1453</v>
      </c>
      <c r="L86" s="21" t="s">
        <v>2246</v>
      </c>
      <c r="M86" s="39"/>
      <c r="N86" s="39"/>
      <c r="O86" s="39"/>
      <c r="P86" s="39"/>
      <c r="Q86" s="39"/>
      <c r="R86" s="39"/>
      <c r="S86" s="39"/>
      <c r="T86" s="38" t="str">
        <f ca="1">Master_List!$AW$6</f>
        <v>TOSHIBA</v>
      </c>
      <c r="U86" s="38" t="str">
        <f ca="1">Master_List!$AW$7</f>
        <v>MRMU</v>
      </c>
      <c r="V86" s="38" t="str">
        <f ca="1">Master_List!$AW$8</f>
        <v>12kV</v>
      </c>
      <c r="W86" s="38" t="str">
        <f ca="1">Master_List!$AW$9</f>
        <v>2S1F</v>
      </c>
      <c r="X86" s="38" t="str">
        <f ca="1">Master_List!$AW$10</f>
        <v>MTM</v>
      </c>
      <c r="Y86" s="38" t="str">
        <f ca="1">Master_List!$AW$11</f>
        <v>HERMETICALLY SEAL</v>
      </c>
      <c r="Z86" s="38" t="str">
        <f ca="1">Master_List!$AW$12</f>
        <v>750kVA</v>
      </c>
      <c r="AA86" s="38" t="str">
        <f ca="1">Master_List!$AW$13</f>
        <v>1317</v>
      </c>
      <c r="AB86" s="38">
        <f ca="1">Master_List!$AW$14</f>
        <v>0</v>
      </c>
      <c r="AC86" s="38">
        <f ca="1">Master_List!$AW$15</f>
        <v>0</v>
      </c>
      <c r="AD86" s="38">
        <f ca="1">Master_List!$AW$16</f>
        <v>0</v>
      </c>
      <c r="AE86" s="38">
        <f ca="1">Master_List!$AW$17</f>
        <v>0</v>
      </c>
      <c r="AF86" s="38" t="str">
        <f ca="1">Master_List!$AW$18</f>
        <v>INDKOM</v>
      </c>
      <c r="AG86" s="38" t="str">
        <f ca="1">Master_List!$AW$19</f>
        <v>J-SLOTTED</v>
      </c>
      <c r="AH86" s="38" t="str">
        <f ca="1">Master_List!$AW$20</f>
        <v>1600A</v>
      </c>
      <c r="AI86" s="38" t="str">
        <f ca="1">Master_List!$AW$21</f>
        <v>LV5080090</v>
      </c>
      <c r="AJ86" s="38" t="str">
        <f ca="1">Master_List!$AW$22</f>
        <v>LVDB TX1</v>
      </c>
      <c r="AK86" s="38">
        <f ca="1">Master_List!$AW$23</f>
        <v>0</v>
      </c>
      <c r="AL86" s="38">
        <f ca="1">Master_List!$AW$24</f>
        <v>0</v>
      </c>
      <c r="AM86" s="38">
        <f ca="1">Master_List!$AW$25</f>
        <v>0</v>
      </c>
      <c r="AN86" s="38">
        <f ca="1">Master_List!$AW$26</f>
        <v>0</v>
      </c>
      <c r="AO86" s="38" t="str">
        <f ca="1">Master_List!$AW$27</f>
        <v>LVDB TX2</v>
      </c>
      <c r="AP86" s="38" t="str">
        <f ca="1">Master_List!$AW$28</f>
        <v>SUNPOWER TECHNOLOGIES</v>
      </c>
      <c r="AQ86" s="38" t="str">
        <f ca="1">Master_List!$AW$29</f>
        <v>SPS 30-10 L</v>
      </c>
      <c r="AR86" s="38" t="str">
        <f ca="1">Master_List!$AW$30</f>
        <v>11193-8527</v>
      </c>
      <c r="AS86" s="38">
        <f ca="1">Master_List!$AW$31</f>
        <v>0</v>
      </c>
      <c r="AT86" s="38">
        <f ca="1">Master_List!$AW$32</f>
        <v>0</v>
      </c>
      <c r="AU86" s="38">
        <f ca="1">Master_List!$AW$33</f>
        <v>0</v>
      </c>
      <c r="AV86" s="38">
        <f ca="1">Master_List!$AW$34</f>
        <v>0</v>
      </c>
      <c r="AW86" s="38">
        <f ca="1">Master_List!$AW$35</f>
        <v>0</v>
      </c>
      <c r="AX86" s="38">
        <f ca="1">Master_List!$AW$36</f>
        <v>0</v>
      </c>
      <c r="AY86" s="38">
        <f ca="1">Master_List!$AW$37</f>
        <v>0</v>
      </c>
      <c r="AZ86" s="38">
        <f ca="1">Master_List!$AW$38</f>
        <v>0</v>
      </c>
      <c r="BA86" s="38">
        <f ca="1">Master_List!$AW$39</f>
        <v>0</v>
      </c>
      <c r="BB86" s="38" t="s">
        <v>2240</v>
      </c>
      <c r="BC86" s="38" t="s">
        <v>2241</v>
      </c>
      <c r="BD86" s="6" t="s">
        <v>1744</v>
      </c>
      <c r="BE86" s="6" t="s">
        <v>1793</v>
      </c>
      <c r="BF86" s="6" t="s">
        <v>1746</v>
      </c>
      <c r="BG86" s="6" t="str">
        <f t="shared" si="3"/>
        <v>C:\Users\aremi\Desktop\REPORT CBM\PO 42289580 - Pahang 11kV SECOND CYCLE AZZAD 2026\RAW MATERIAL\047. TNB BARU (IR+VI)\RAW DATA\IR</v>
      </c>
      <c r="BH86" s="23" t="s">
        <v>614</v>
      </c>
      <c r="BU86" s="3"/>
      <c r="BV86" s="3"/>
    </row>
    <row r="87" spans="1:74" ht="12.75" customHeight="1" x14ac:dyDescent="0.2">
      <c r="A87" s="6">
        <v>43</v>
      </c>
      <c r="B87" s="6" t="s">
        <v>1575</v>
      </c>
      <c r="C87" s="6">
        <v>1</v>
      </c>
      <c r="D87" s="6" t="s">
        <v>2254</v>
      </c>
      <c r="E87" s="6">
        <v>43</v>
      </c>
      <c r="F87" s="6" t="str">
        <f ca="1">Master_List!$AW$1</f>
        <v>PERPUSTAKAAN PUSAT</v>
      </c>
      <c r="G87" s="27" t="str">
        <f ca="1">Master_List!$AW$2</f>
        <v>09:30 PM</v>
      </c>
      <c r="H87" s="32" t="str">
        <f ca="1">Master_List!$AW$3</f>
        <v>20/07/2026</v>
      </c>
      <c r="I87" s="28" t="str">
        <f ca="1">Master_List!$AW$4</f>
        <v>28.5</v>
      </c>
      <c r="J87" s="6" t="str">
        <f ca="1">Master_List!$AW$5</f>
        <v>65</v>
      </c>
      <c r="K87" s="6" t="s">
        <v>1453</v>
      </c>
      <c r="L87" s="21" t="s">
        <v>2246</v>
      </c>
      <c r="M87" s="39"/>
      <c r="N87" s="39"/>
      <c r="O87" s="39"/>
      <c r="P87" s="39"/>
      <c r="Q87" s="39"/>
      <c r="R87" s="39"/>
      <c r="S87" s="39"/>
      <c r="T87" s="38" t="str">
        <f ca="1">Master_List!$AW$6</f>
        <v>TOSHIBA</v>
      </c>
      <c r="U87" s="38" t="str">
        <f ca="1">Master_List!$AW$7</f>
        <v>MRMU</v>
      </c>
      <c r="V87" s="38" t="str">
        <f ca="1">Master_List!$AW$8</f>
        <v>12kV</v>
      </c>
      <c r="W87" s="38" t="str">
        <f ca="1">Master_List!$AW$9</f>
        <v>2S1F</v>
      </c>
      <c r="X87" s="38" t="str">
        <f ca="1">Master_List!$AW$10</f>
        <v>MTM</v>
      </c>
      <c r="Y87" s="38" t="str">
        <f ca="1">Master_List!$AW$11</f>
        <v>HERMETICALLY SEAL</v>
      </c>
      <c r="Z87" s="38" t="str">
        <f ca="1">Master_List!$AW$12</f>
        <v>750kVA</v>
      </c>
      <c r="AA87" s="38" t="str">
        <f ca="1">Master_List!$AW$13</f>
        <v>1317</v>
      </c>
      <c r="AB87" s="38">
        <f ca="1">Master_List!$AW$14</f>
        <v>0</v>
      </c>
      <c r="AC87" s="38">
        <f ca="1">Master_List!$AW$15</f>
        <v>0</v>
      </c>
      <c r="AD87" s="38">
        <f ca="1">Master_List!$AW$16</f>
        <v>0</v>
      </c>
      <c r="AE87" s="38">
        <f ca="1">Master_List!$AW$17</f>
        <v>0</v>
      </c>
      <c r="AF87" s="38" t="str">
        <f ca="1">Master_List!$AW$18</f>
        <v>INDKOM</v>
      </c>
      <c r="AG87" s="38" t="str">
        <f ca="1">Master_List!$AW$19</f>
        <v>J-SLOTTED</v>
      </c>
      <c r="AH87" s="38" t="str">
        <f ca="1">Master_List!$AW$20</f>
        <v>1600A</v>
      </c>
      <c r="AI87" s="38" t="str">
        <f ca="1">Master_List!$AW$21</f>
        <v>LV5080090</v>
      </c>
      <c r="AJ87" s="38" t="str">
        <f ca="1">Master_List!$AW$22</f>
        <v>LVDB TX1</v>
      </c>
      <c r="AK87" s="38">
        <f ca="1">Master_List!$AW$23</f>
        <v>0</v>
      </c>
      <c r="AL87" s="38">
        <f ca="1">Master_List!$AW$24</f>
        <v>0</v>
      </c>
      <c r="AM87" s="38">
        <f ca="1">Master_List!$AW$25</f>
        <v>0</v>
      </c>
      <c r="AN87" s="38">
        <f ca="1">Master_List!$AW$26</f>
        <v>0</v>
      </c>
      <c r="AO87" s="38" t="str">
        <f ca="1">Master_List!$AW$27</f>
        <v>LVDB TX2</v>
      </c>
      <c r="AP87" s="38" t="str">
        <f ca="1">Master_List!$AW$28</f>
        <v>SUNPOWER TECHNOLOGIES</v>
      </c>
      <c r="AQ87" s="38" t="str">
        <f ca="1">Master_List!$AW$29</f>
        <v>SPS 30-10 L</v>
      </c>
      <c r="AR87" s="38" t="str">
        <f ca="1">Master_List!$AW$30</f>
        <v>11193-8527</v>
      </c>
      <c r="AS87" s="38">
        <f ca="1">Master_List!$AW$31</f>
        <v>0</v>
      </c>
      <c r="AT87" s="38">
        <f ca="1">Master_List!$AW$32</f>
        <v>0</v>
      </c>
      <c r="AU87" s="38">
        <f ca="1">Master_List!$AW$33</f>
        <v>0</v>
      </c>
      <c r="AV87" s="38">
        <f ca="1">Master_List!$AW$34</f>
        <v>0</v>
      </c>
      <c r="AW87" s="38">
        <f ca="1">Master_List!$AW$35</f>
        <v>0</v>
      </c>
      <c r="AX87" s="38">
        <f ca="1">Master_List!$AW$36</f>
        <v>0</v>
      </c>
      <c r="AY87" s="38">
        <f ca="1">Master_List!$AW$37</f>
        <v>0</v>
      </c>
      <c r="AZ87" s="38">
        <f ca="1">Master_List!$AW$38</f>
        <v>0</v>
      </c>
      <c r="BA87" s="38">
        <f ca="1">Master_List!$AW$39</f>
        <v>0</v>
      </c>
      <c r="BB87" s="38" t="s">
        <v>2240</v>
      </c>
      <c r="BC87" s="38" t="s">
        <v>2241</v>
      </c>
      <c r="BD87" s="6" t="s">
        <v>1744</v>
      </c>
      <c r="BE87" s="6" t="s">
        <v>1793</v>
      </c>
      <c r="BF87" s="6" t="s">
        <v>1748</v>
      </c>
      <c r="BG87" s="6" t="str">
        <f t="shared" si="3"/>
        <v>C:\Users\aremi\Desktop\REPORT CBM\PO 42289580 - Pahang 11kV SECOND CYCLE AZZAD 2026\RAW MATERIAL\047. TNB BARU (IR+VI)\RAW DATA\IR</v>
      </c>
      <c r="BH87" s="23" t="s">
        <v>615</v>
      </c>
      <c r="BU87" s="3"/>
      <c r="BV87" s="3"/>
    </row>
    <row r="88" spans="1:74" ht="12.75" customHeight="1" x14ac:dyDescent="0.2">
      <c r="A88" s="6">
        <v>44</v>
      </c>
      <c r="B88" s="6" t="s">
        <v>1576</v>
      </c>
      <c r="C88" s="6">
        <v>1</v>
      </c>
      <c r="D88" s="6" t="s">
        <v>2255</v>
      </c>
      <c r="E88" s="6">
        <v>44</v>
      </c>
      <c r="F88" s="6" t="str">
        <f ca="1">Master_List!$AW$1</f>
        <v>PERPUSTAKAAN PUSAT</v>
      </c>
      <c r="G88" s="27" t="str">
        <f ca="1">Master_List!$AW$2</f>
        <v>09:30 PM</v>
      </c>
      <c r="H88" s="32" t="str">
        <f ca="1">Master_List!$AW$3</f>
        <v>20/07/2026</v>
      </c>
      <c r="I88" s="28" t="str">
        <f ca="1">Master_List!$AW$4</f>
        <v>28.5</v>
      </c>
      <c r="J88" s="6" t="str">
        <f ca="1">Master_List!$AW$5</f>
        <v>65</v>
      </c>
      <c r="K88" s="6" t="s">
        <v>1453</v>
      </c>
      <c r="L88" s="21" t="s">
        <v>2246</v>
      </c>
      <c r="M88" s="39"/>
      <c r="N88" s="39"/>
      <c r="O88" s="39"/>
      <c r="P88" s="39"/>
      <c r="Q88" s="39"/>
      <c r="R88" s="39"/>
      <c r="S88" s="39"/>
      <c r="T88" s="38" t="str">
        <f ca="1">Master_List!$AW$6</f>
        <v>TOSHIBA</v>
      </c>
      <c r="U88" s="38" t="str">
        <f ca="1">Master_List!$AW$7</f>
        <v>MRMU</v>
      </c>
      <c r="V88" s="38" t="str">
        <f ca="1">Master_List!$AW$8</f>
        <v>12kV</v>
      </c>
      <c r="W88" s="38" t="str">
        <f ca="1">Master_List!$AW$9</f>
        <v>2S1F</v>
      </c>
      <c r="X88" s="38" t="str">
        <f ca="1">Master_List!$AW$10</f>
        <v>MTM</v>
      </c>
      <c r="Y88" s="38" t="str">
        <f ca="1">Master_List!$AW$11</f>
        <v>HERMETICALLY SEAL</v>
      </c>
      <c r="Z88" s="38" t="str">
        <f ca="1">Master_List!$AW$12</f>
        <v>750kVA</v>
      </c>
      <c r="AA88" s="38" t="str">
        <f ca="1">Master_List!$AW$13</f>
        <v>1317</v>
      </c>
      <c r="AB88" s="38">
        <f ca="1">Master_List!$AW$14</f>
        <v>0</v>
      </c>
      <c r="AC88" s="38">
        <f ca="1">Master_List!$AW$15</f>
        <v>0</v>
      </c>
      <c r="AD88" s="38">
        <f ca="1">Master_List!$AW$16</f>
        <v>0</v>
      </c>
      <c r="AE88" s="38">
        <f ca="1">Master_List!$AW$17</f>
        <v>0</v>
      </c>
      <c r="AF88" s="38" t="str">
        <f ca="1">Master_List!$AW$18</f>
        <v>INDKOM</v>
      </c>
      <c r="AG88" s="38" t="str">
        <f ca="1">Master_List!$AW$19</f>
        <v>J-SLOTTED</v>
      </c>
      <c r="AH88" s="38" t="str">
        <f ca="1">Master_List!$AW$20</f>
        <v>1600A</v>
      </c>
      <c r="AI88" s="38" t="str">
        <f ca="1">Master_List!$AW$21</f>
        <v>LV5080090</v>
      </c>
      <c r="AJ88" s="38" t="str">
        <f ca="1">Master_List!$AW$22</f>
        <v>LVDB TX1</v>
      </c>
      <c r="AK88" s="38">
        <f ca="1">Master_List!$AW$23</f>
        <v>0</v>
      </c>
      <c r="AL88" s="38">
        <f ca="1">Master_List!$AW$24</f>
        <v>0</v>
      </c>
      <c r="AM88" s="38">
        <f ca="1">Master_List!$AW$25</f>
        <v>0</v>
      </c>
      <c r="AN88" s="38">
        <f ca="1">Master_List!$AW$26</f>
        <v>0</v>
      </c>
      <c r="AO88" s="38" t="str">
        <f ca="1">Master_List!$AW$27</f>
        <v>LVDB TX2</v>
      </c>
      <c r="AP88" s="38" t="str">
        <f ca="1">Master_List!$AW$28</f>
        <v>SUNPOWER TECHNOLOGIES</v>
      </c>
      <c r="AQ88" s="38" t="str">
        <f ca="1">Master_List!$AW$29</f>
        <v>SPS 30-10 L</v>
      </c>
      <c r="AR88" s="38" t="str">
        <f ca="1">Master_List!$AW$30</f>
        <v>11193-8527</v>
      </c>
      <c r="AS88" s="38">
        <f ca="1">Master_List!$AW$31</f>
        <v>0</v>
      </c>
      <c r="AT88" s="38">
        <f ca="1">Master_List!$AW$32</f>
        <v>0</v>
      </c>
      <c r="AU88" s="38">
        <f ca="1">Master_List!$AW$33</f>
        <v>0</v>
      </c>
      <c r="AV88" s="38">
        <f ca="1">Master_List!$AW$34</f>
        <v>0</v>
      </c>
      <c r="AW88" s="38">
        <f ca="1">Master_List!$AW$35</f>
        <v>0</v>
      </c>
      <c r="AX88" s="38">
        <f ca="1">Master_List!$AW$36</f>
        <v>0</v>
      </c>
      <c r="AY88" s="38">
        <f ca="1">Master_List!$AW$37</f>
        <v>0</v>
      </c>
      <c r="AZ88" s="38">
        <f ca="1">Master_List!$AW$38</f>
        <v>0</v>
      </c>
      <c r="BA88" s="38">
        <f ca="1">Master_List!$AW$39</f>
        <v>0</v>
      </c>
      <c r="BB88" s="38" t="s">
        <v>2240</v>
      </c>
      <c r="BC88" s="38" t="s">
        <v>2241</v>
      </c>
      <c r="BD88" s="6" t="s">
        <v>1744</v>
      </c>
      <c r="BE88" s="6" t="s">
        <v>1794</v>
      </c>
      <c r="BF88" s="6" t="s">
        <v>1746</v>
      </c>
      <c r="BG88" s="6" t="str">
        <f t="shared" si="3"/>
        <v>C:\Users\aremi\Desktop\REPORT CBM\PO 42289580 - Pahang 11kV SECOND CYCLE AZZAD 2026\RAW MATERIAL\047. TNB BARU (IR+VI)\RAW DATA\IR</v>
      </c>
      <c r="BH88" s="23" t="s">
        <v>616</v>
      </c>
      <c r="BU88" s="3"/>
      <c r="BV88" s="3"/>
    </row>
    <row r="89" spans="1:74" ht="12.75" customHeight="1" x14ac:dyDescent="0.2">
      <c r="A89" s="6">
        <v>44</v>
      </c>
      <c r="B89" s="6" t="s">
        <v>1576</v>
      </c>
      <c r="C89" s="6">
        <v>1</v>
      </c>
      <c r="D89" s="6" t="s">
        <v>2255</v>
      </c>
      <c r="E89" s="6">
        <v>44</v>
      </c>
      <c r="F89" s="6" t="str">
        <f ca="1">Master_List!$AW$1</f>
        <v>PERPUSTAKAAN PUSAT</v>
      </c>
      <c r="G89" s="27" t="str">
        <f ca="1">Master_List!$AW$2</f>
        <v>09:30 PM</v>
      </c>
      <c r="H89" s="32" t="str">
        <f ca="1">Master_List!$AW$3</f>
        <v>20/07/2026</v>
      </c>
      <c r="I89" s="28" t="str">
        <f ca="1">Master_List!$AW$4</f>
        <v>28.5</v>
      </c>
      <c r="J89" s="6" t="str">
        <f ca="1">Master_List!$AW$5</f>
        <v>65</v>
      </c>
      <c r="K89" s="6" t="s">
        <v>1453</v>
      </c>
      <c r="L89" s="21" t="s">
        <v>2246</v>
      </c>
      <c r="M89" s="39"/>
      <c r="N89" s="39"/>
      <c r="O89" s="39"/>
      <c r="P89" s="39"/>
      <c r="Q89" s="39"/>
      <c r="R89" s="39"/>
      <c r="S89" s="39"/>
      <c r="T89" s="38" t="str">
        <f ca="1">Master_List!$AW$6</f>
        <v>TOSHIBA</v>
      </c>
      <c r="U89" s="38" t="str">
        <f ca="1">Master_List!$AW$7</f>
        <v>MRMU</v>
      </c>
      <c r="V89" s="38" t="str">
        <f ca="1">Master_List!$AW$8</f>
        <v>12kV</v>
      </c>
      <c r="W89" s="38" t="str">
        <f ca="1">Master_List!$AW$9</f>
        <v>2S1F</v>
      </c>
      <c r="X89" s="38" t="str">
        <f ca="1">Master_List!$AW$10</f>
        <v>MTM</v>
      </c>
      <c r="Y89" s="38" t="str">
        <f ca="1">Master_List!$AW$11</f>
        <v>HERMETICALLY SEAL</v>
      </c>
      <c r="Z89" s="38" t="str">
        <f ca="1">Master_List!$AW$12</f>
        <v>750kVA</v>
      </c>
      <c r="AA89" s="38" t="str">
        <f ca="1">Master_List!$AW$13</f>
        <v>1317</v>
      </c>
      <c r="AB89" s="38">
        <f ca="1">Master_List!$AW$14</f>
        <v>0</v>
      </c>
      <c r="AC89" s="38">
        <f ca="1">Master_List!$AW$15</f>
        <v>0</v>
      </c>
      <c r="AD89" s="38">
        <f ca="1">Master_List!$AW$16</f>
        <v>0</v>
      </c>
      <c r="AE89" s="38">
        <f ca="1">Master_List!$AW$17</f>
        <v>0</v>
      </c>
      <c r="AF89" s="38" t="str">
        <f ca="1">Master_List!$AW$18</f>
        <v>INDKOM</v>
      </c>
      <c r="AG89" s="38" t="str">
        <f ca="1">Master_List!$AW$19</f>
        <v>J-SLOTTED</v>
      </c>
      <c r="AH89" s="38" t="str">
        <f ca="1">Master_List!$AW$20</f>
        <v>1600A</v>
      </c>
      <c r="AI89" s="38" t="str">
        <f ca="1">Master_List!$AW$21</f>
        <v>LV5080090</v>
      </c>
      <c r="AJ89" s="38" t="str">
        <f ca="1">Master_List!$AW$22</f>
        <v>LVDB TX1</v>
      </c>
      <c r="AK89" s="38">
        <f ca="1">Master_List!$AW$23</f>
        <v>0</v>
      </c>
      <c r="AL89" s="38">
        <f ca="1">Master_List!$AW$24</f>
        <v>0</v>
      </c>
      <c r="AM89" s="38">
        <f ca="1">Master_List!$AW$25</f>
        <v>0</v>
      </c>
      <c r="AN89" s="38">
        <f ca="1">Master_List!$AW$26</f>
        <v>0</v>
      </c>
      <c r="AO89" s="38" t="str">
        <f ca="1">Master_List!$AW$27</f>
        <v>LVDB TX2</v>
      </c>
      <c r="AP89" s="38" t="str">
        <f ca="1">Master_List!$AW$28</f>
        <v>SUNPOWER TECHNOLOGIES</v>
      </c>
      <c r="AQ89" s="38" t="str">
        <f ca="1">Master_List!$AW$29</f>
        <v>SPS 30-10 L</v>
      </c>
      <c r="AR89" s="38" t="str">
        <f ca="1">Master_List!$AW$30</f>
        <v>11193-8527</v>
      </c>
      <c r="AS89" s="38">
        <f ca="1">Master_List!$AW$31</f>
        <v>0</v>
      </c>
      <c r="AT89" s="38">
        <f ca="1">Master_List!$AW$32</f>
        <v>0</v>
      </c>
      <c r="AU89" s="38">
        <f ca="1">Master_List!$AW$33</f>
        <v>0</v>
      </c>
      <c r="AV89" s="38">
        <f ca="1">Master_List!$AW$34</f>
        <v>0</v>
      </c>
      <c r="AW89" s="38">
        <f ca="1">Master_List!$AW$35</f>
        <v>0</v>
      </c>
      <c r="AX89" s="38">
        <f ca="1">Master_List!$AW$36</f>
        <v>0</v>
      </c>
      <c r="AY89" s="38">
        <f ca="1">Master_List!$AW$37</f>
        <v>0</v>
      </c>
      <c r="AZ89" s="38">
        <f ca="1">Master_List!$AW$38</f>
        <v>0</v>
      </c>
      <c r="BA89" s="38">
        <f ca="1">Master_List!$AW$39</f>
        <v>0</v>
      </c>
      <c r="BB89" s="38" t="s">
        <v>2240</v>
      </c>
      <c r="BC89" s="38" t="s">
        <v>2241</v>
      </c>
      <c r="BD89" s="6" t="s">
        <v>1744</v>
      </c>
      <c r="BE89" s="6" t="s">
        <v>1794</v>
      </c>
      <c r="BF89" s="6" t="s">
        <v>1748</v>
      </c>
      <c r="BG89" s="6" t="str">
        <f t="shared" si="3"/>
        <v>C:\Users\aremi\Desktop\REPORT CBM\PO 42289580 - Pahang 11kV SECOND CYCLE AZZAD 2026\RAW MATERIAL\047. TNB BARU (IR+VI)\RAW DATA\IR</v>
      </c>
      <c r="BH89" s="23" t="s">
        <v>617</v>
      </c>
      <c r="BU89" s="3"/>
      <c r="BV89" s="3"/>
    </row>
    <row r="90" spans="1:74" ht="12.75" customHeight="1" x14ac:dyDescent="0.2">
      <c r="A90" s="6">
        <v>45</v>
      </c>
      <c r="B90" s="6" t="s">
        <v>1577</v>
      </c>
      <c r="C90" s="6">
        <v>1</v>
      </c>
      <c r="D90" s="21" t="s">
        <v>2256</v>
      </c>
      <c r="E90" s="6">
        <v>45</v>
      </c>
      <c r="F90" s="6" t="str">
        <f ca="1">Master_List!$AW$1</f>
        <v>PERPUSTAKAAN PUSAT</v>
      </c>
      <c r="G90" s="27" t="str">
        <f ca="1">Master_List!$AW$2</f>
        <v>09:30 PM</v>
      </c>
      <c r="H90" s="32" t="str">
        <f ca="1">Master_List!$AW$3</f>
        <v>20/07/2026</v>
      </c>
      <c r="I90" s="28" t="str">
        <f ca="1">Master_List!$AW$4</f>
        <v>28.5</v>
      </c>
      <c r="J90" s="6" t="str">
        <f ca="1">Master_List!$AW$5</f>
        <v>65</v>
      </c>
      <c r="K90" s="6" t="s">
        <v>1453</v>
      </c>
      <c r="L90" s="21" t="s">
        <v>2246</v>
      </c>
      <c r="M90" s="39"/>
      <c r="N90" s="39"/>
      <c r="O90" s="39"/>
      <c r="P90" s="39"/>
      <c r="Q90" s="39"/>
      <c r="R90" s="39"/>
      <c r="S90" s="39"/>
      <c r="T90" s="38" t="str">
        <f ca="1">Master_List!$AW$6</f>
        <v>TOSHIBA</v>
      </c>
      <c r="U90" s="38" t="str">
        <f ca="1">Master_List!$AW$7</f>
        <v>MRMU</v>
      </c>
      <c r="V90" s="38" t="str">
        <f ca="1">Master_List!$AW$8</f>
        <v>12kV</v>
      </c>
      <c r="W90" s="38" t="str">
        <f ca="1">Master_List!$AW$9</f>
        <v>2S1F</v>
      </c>
      <c r="X90" s="38" t="str">
        <f ca="1">Master_List!$AW$10</f>
        <v>MTM</v>
      </c>
      <c r="Y90" s="38" t="str">
        <f ca="1">Master_List!$AW$11</f>
        <v>HERMETICALLY SEAL</v>
      </c>
      <c r="Z90" s="38" t="str">
        <f ca="1">Master_List!$AW$12</f>
        <v>750kVA</v>
      </c>
      <c r="AA90" s="38" t="str">
        <f ca="1">Master_List!$AW$13</f>
        <v>1317</v>
      </c>
      <c r="AB90" s="38">
        <f ca="1">Master_List!$AW$14</f>
        <v>0</v>
      </c>
      <c r="AC90" s="38">
        <f ca="1">Master_List!$AW$15</f>
        <v>0</v>
      </c>
      <c r="AD90" s="38">
        <f ca="1">Master_List!$AW$16</f>
        <v>0</v>
      </c>
      <c r="AE90" s="38">
        <f ca="1">Master_List!$AW$17</f>
        <v>0</v>
      </c>
      <c r="AF90" s="38" t="str">
        <f ca="1">Master_List!$AW$18</f>
        <v>INDKOM</v>
      </c>
      <c r="AG90" s="38" t="str">
        <f ca="1">Master_List!$AW$19</f>
        <v>J-SLOTTED</v>
      </c>
      <c r="AH90" s="38" t="str">
        <f ca="1">Master_List!$AW$20</f>
        <v>1600A</v>
      </c>
      <c r="AI90" s="38" t="str">
        <f ca="1">Master_List!$AW$21</f>
        <v>LV5080090</v>
      </c>
      <c r="AJ90" s="38" t="str">
        <f ca="1">Master_List!$AW$22</f>
        <v>LVDB TX1</v>
      </c>
      <c r="AK90" s="38">
        <f ca="1">Master_List!$AW$23</f>
        <v>0</v>
      </c>
      <c r="AL90" s="38">
        <f ca="1">Master_List!$AW$24</f>
        <v>0</v>
      </c>
      <c r="AM90" s="38">
        <f ca="1">Master_List!$AW$25</f>
        <v>0</v>
      </c>
      <c r="AN90" s="38">
        <f ca="1">Master_List!$AW$26</f>
        <v>0</v>
      </c>
      <c r="AO90" s="38" t="str">
        <f ca="1">Master_List!$AW$27</f>
        <v>LVDB TX2</v>
      </c>
      <c r="AP90" s="38" t="str">
        <f ca="1">Master_List!$AW$28</f>
        <v>SUNPOWER TECHNOLOGIES</v>
      </c>
      <c r="AQ90" s="38" t="str">
        <f ca="1">Master_List!$AW$29</f>
        <v>SPS 30-10 L</v>
      </c>
      <c r="AR90" s="38" t="str">
        <f ca="1">Master_List!$AW$30</f>
        <v>11193-8527</v>
      </c>
      <c r="AS90" s="38">
        <f ca="1">Master_List!$AW$31</f>
        <v>0</v>
      </c>
      <c r="AT90" s="38">
        <f ca="1">Master_List!$AW$32</f>
        <v>0</v>
      </c>
      <c r="AU90" s="38">
        <f ca="1">Master_List!$AW$33</f>
        <v>0</v>
      </c>
      <c r="AV90" s="38">
        <f ca="1">Master_List!$AW$34</f>
        <v>0</v>
      </c>
      <c r="AW90" s="38">
        <f ca="1">Master_List!$AW$35</f>
        <v>0</v>
      </c>
      <c r="AX90" s="38">
        <f ca="1">Master_List!$AW$36</f>
        <v>0</v>
      </c>
      <c r="AY90" s="38">
        <f ca="1">Master_List!$AW$37</f>
        <v>0</v>
      </c>
      <c r="AZ90" s="38">
        <f ca="1">Master_List!$AW$38</f>
        <v>0</v>
      </c>
      <c r="BA90" s="38">
        <f ca="1">Master_List!$AW$39</f>
        <v>0</v>
      </c>
      <c r="BB90" s="38" t="s">
        <v>2240</v>
      </c>
      <c r="BC90" s="38" t="s">
        <v>2241</v>
      </c>
      <c r="BD90" s="6" t="s">
        <v>1744</v>
      </c>
      <c r="BE90" s="6" t="s">
        <v>1795</v>
      </c>
      <c r="BF90" s="6" t="s">
        <v>1746</v>
      </c>
      <c r="BG90" s="6" t="str">
        <f t="shared" si="3"/>
        <v>C:\Users\aremi\Desktop\REPORT CBM\PO 42289580 - Pahang 11kV SECOND CYCLE AZZAD 2026\RAW MATERIAL\047. TNB BARU (IR+VI)\RAW DATA\IR</v>
      </c>
      <c r="BH90" s="23" t="s">
        <v>618</v>
      </c>
      <c r="BU90" s="3"/>
      <c r="BV90" s="3"/>
    </row>
    <row r="91" spans="1:74" ht="12.75" customHeight="1" x14ac:dyDescent="0.2">
      <c r="A91" s="6">
        <v>45</v>
      </c>
      <c r="B91" s="6" t="s">
        <v>1577</v>
      </c>
      <c r="C91" s="6">
        <v>1</v>
      </c>
      <c r="D91" s="21" t="s">
        <v>2256</v>
      </c>
      <c r="E91" s="6">
        <v>45</v>
      </c>
      <c r="F91" s="6" t="str">
        <f ca="1">Master_List!$AW$1</f>
        <v>PERPUSTAKAAN PUSAT</v>
      </c>
      <c r="G91" s="27" t="str">
        <f ca="1">Master_List!$AW$2</f>
        <v>09:30 PM</v>
      </c>
      <c r="H91" s="32" t="str">
        <f ca="1">Master_List!$AW$3</f>
        <v>20/07/2026</v>
      </c>
      <c r="I91" s="28" t="str">
        <f ca="1">Master_List!$AW$4</f>
        <v>28.5</v>
      </c>
      <c r="J91" s="6" t="str">
        <f ca="1">Master_List!$AW$5</f>
        <v>65</v>
      </c>
      <c r="K91" s="6" t="s">
        <v>1453</v>
      </c>
      <c r="L91" s="21" t="s">
        <v>2246</v>
      </c>
      <c r="M91" s="39"/>
      <c r="N91" s="39"/>
      <c r="O91" s="39"/>
      <c r="P91" s="39"/>
      <c r="Q91" s="39"/>
      <c r="R91" s="39"/>
      <c r="S91" s="39"/>
      <c r="T91" s="38" t="str">
        <f ca="1">Master_List!$AW$6</f>
        <v>TOSHIBA</v>
      </c>
      <c r="U91" s="38" t="str">
        <f ca="1">Master_List!$AW$7</f>
        <v>MRMU</v>
      </c>
      <c r="V91" s="38" t="str">
        <f ca="1">Master_List!$AW$8</f>
        <v>12kV</v>
      </c>
      <c r="W91" s="38" t="str">
        <f ca="1">Master_List!$AW$9</f>
        <v>2S1F</v>
      </c>
      <c r="X91" s="38" t="str">
        <f ca="1">Master_List!$AW$10</f>
        <v>MTM</v>
      </c>
      <c r="Y91" s="38" t="str">
        <f ca="1">Master_List!$AW$11</f>
        <v>HERMETICALLY SEAL</v>
      </c>
      <c r="Z91" s="38" t="str">
        <f ca="1">Master_List!$AW$12</f>
        <v>750kVA</v>
      </c>
      <c r="AA91" s="38" t="str">
        <f ca="1">Master_List!$AW$13</f>
        <v>1317</v>
      </c>
      <c r="AB91" s="38">
        <f ca="1">Master_List!$AW$14</f>
        <v>0</v>
      </c>
      <c r="AC91" s="38">
        <f ca="1">Master_List!$AW$15</f>
        <v>0</v>
      </c>
      <c r="AD91" s="38">
        <f ca="1">Master_List!$AW$16</f>
        <v>0</v>
      </c>
      <c r="AE91" s="38">
        <f ca="1">Master_List!$AW$17</f>
        <v>0</v>
      </c>
      <c r="AF91" s="38" t="str">
        <f ca="1">Master_List!$AW$18</f>
        <v>INDKOM</v>
      </c>
      <c r="AG91" s="38" t="str">
        <f ca="1">Master_List!$AW$19</f>
        <v>J-SLOTTED</v>
      </c>
      <c r="AH91" s="38" t="str">
        <f ca="1">Master_List!$AW$20</f>
        <v>1600A</v>
      </c>
      <c r="AI91" s="38" t="str">
        <f ca="1">Master_List!$AW$21</f>
        <v>LV5080090</v>
      </c>
      <c r="AJ91" s="38" t="str">
        <f ca="1">Master_List!$AW$22</f>
        <v>LVDB TX1</v>
      </c>
      <c r="AK91" s="38">
        <f ca="1">Master_List!$AW$23</f>
        <v>0</v>
      </c>
      <c r="AL91" s="38">
        <f ca="1">Master_List!$AW$24</f>
        <v>0</v>
      </c>
      <c r="AM91" s="38">
        <f ca="1">Master_List!$AW$25</f>
        <v>0</v>
      </c>
      <c r="AN91" s="38">
        <f ca="1">Master_List!$AW$26</f>
        <v>0</v>
      </c>
      <c r="AO91" s="38" t="str">
        <f ca="1">Master_List!$AW$27</f>
        <v>LVDB TX2</v>
      </c>
      <c r="AP91" s="38" t="str">
        <f ca="1">Master_List!$AW$28</f>
        <v>SUNPOWER TECHNOLOGIES</v>
      </c>
      <c r="AQ91" s="38" t="str">
        <f ca="1">Master_List!$AW$29</f>
        <v>SPS 30-10 L</v>
      </c>
      <c r="AR91" s="38" t="str">
        <f ca="1">Master_List!$AW$30</f>
        <v>11193-8527</v>
      </c>
      <c r="AS91" s="38">
        <f ca="1">Master_List!$AW$31</f>
        <v>0</v>
      </c>
      <c r="AT91" s="38">
        <f ca="1">Master_List!$AW$32</f>
        <v>0</v>
      </c>
      <c r="AU91" s="38">
        <f ca="1">Master_List!$AW$33</f>
        <v>0</v>
      </c>
      <c r="AV91" s="38">
        <f ca="1">Master_List!$AW$34</f>
        <v>0</v>
      </c>
      <c r="AW91" s="38">
        <f ca="1">Master_List!$AW$35</f>
        <v>0</v>
      </c>
      <c r="AX91" s="38">
        <f ca="1">Master_List!$AW$36</f>
        <v>0</v>
      </c>
      <c r="AY91" s="38">
        <f ca="1">Master_List!$AW$37</f>
        <v>0</v>
      </c>
      <c r="AZ91" s="38">
        <f ca="1">Master_List!$AW$38</f>
        <v>0</v>
      </c>
      <c r="BA91" s="38">
        <f ca="1">Master_List!$AW$39</f>
        <v>0</v>
      </c>
      <c r="BB91" s="38" t="s">
        <v>2240</v>
      </c>
      <c r="BC91" s="38" t="s">
        <v>2241</v>
      </c>
      <c r="BD91" s="6" t="s">
        <v>1744</v>
      </c>
      <c r="BE91" s="6" t="s">
        <v>1795</v>
      </c>
      <c r="BF91" s="6" t="s">
        <v>1748</v>
      </c>
      <c r="BG91" s="6" t="str">
        <f t="shared" si="3"/>
        <v>C:\Users\aremi\Desktop\REPORT CBM\PO 42289580 - Pahang 11kV SECOND CYCLE AZZAD 2026\RAW MATERIAL\047. TNB BARU (IR+VI)\RAW DATA\IR</v>
      </c>
      <c r="BH91" s="23" t="s">
        <v>619</v>
      </c>
      <c r="BU91" s="3"/>
      <c r="BV91" s="3"/>
    </row>
    <row r="92" spans="1:74" ht="12.75" customHeight="1" x14ac:dyDescent="0.2">
      <c r="A92" s="6">
        <v>46</v>
      </c>
      <c r="B92" s="6" t="s">
        <v>1578</v>
      </c>
      <c r="C92" s="6">
        <v>1</v>
      </c>
      <c r="D92" s="6" t="s">
        <v>2257</v>
      </c>
      <c r="E92" s="6">
        <v>46</v>
      </c>
      <c r="F92" s="6" t="str">
        <f ca="1">Master_List!$AW$1</f>
        <v>PERPUSTAKAAN PUSAT</v>
      </c>
      <c r="G92" s="27" t="str">
        <f ca="1">Master_List!$AW$2</f>
        <v>09:30 PM</v>
      </c>
      <c r="H92" s="32" t="str">
        <f ca="1">Master_List!$AW$3</f>
        <v>20/07/2026</v>
      </c>
      <c r="I92" s="28" t="str">
        <f ca="1">Master_List!$AW$4</f>
        <v>28.5</v>
      </c>
      <c r="J92" s="6" t="str">
        <f ca="1">Master_List!$AW$5</f>
        <v>65</v>
      </c>
      <c r="K92" s="6" t="s">
        <v>1453</v>
      </c>
      <c r="L92" s="21" t="s">
        <v>2246</v>
      </c>
      <c r="M92" s="39"/>
      <c r="N92" s="39"/>
      <c r="O92" s="39"/>
      <c r="P92" s="39"/>
      <c r="Q92" s="39"/>
      <c r="R92" s="39"/>
      <c r="S92" s="39"/>
      <c r="T92" s="38" t="str">
        <f ca="1">Master_List!$AW$6</f>
        <v>TOSHIBA</v>
      </c>
      <c r="U92" s="38" t="str">
        <f ca="1">Master_List!$AW$7</f>
        <v>MRMU</v>
      </c>
      <c r="V92" s="38" t="str">
        <f ca="1">Master_List!$AW$8</f>
        <v>12kV</v>
      </c>
      <c r="W92" s="38" t="str">
        <f ca="1">Master_List!$AW$9</f>
        <v>2S1F</v>
      </c>
      <c r="X92" s="38" t="str">
        <f ca="1">Master_List!$AW$10</f>
        <v>MTM</v>
      </c>
      <c r="Y92" s="38" t="str">
        <f ca="1">Master_List!$AW$11</f>
        <v>HERMETICALLY SEAL</v>
      </c>
      <c r="Z92" s="38" t="str">
        <f ca="1">Master_List!$AW$12</f>
        <v>750kVA</v>
      </c>
      <c r="AA92" s="38" t="str">
        <f ca="1">Master_List!$AW$13</f>
        <v>1317</v>
      </c>
      <c r="AB92" s="38">
        <f ca="1">Master_List!$AW$14</f>
        <v>0</v>
      </c>
      <c r="AC92" s="38">
        <f ca="1">Master_List!$AW$15</f>
        <v>0</v>
      </c>
      <c r="AD92" s="38">
        <f ca="1">Master_List!$AW$16</f>
        <v>0</v>
      </c>
      <c r="AE92" s="38">
        <f ca="1">Master_List!$AW$17</f>
        <v>0</v>
      </c>
      <c r="AF92" s="38" t="str">
        <f ca="1">Master_List!$AW$18</f>
        <v>INDKOM</v>
      </c>
      <c r="AG92" s="38" t="str">
        <f ca="1">Master_List!$AW$19</f>
        <v>J-SLOTTED</v>
      </c>
      <c r="AH92" s="38" t="str">
        <f ca="1">Master_List!$AW$20</f>
        <v>1600A</v>
      </c>
      <c r="AI92" s="38" t="str">
        <f ca="1">Master_List!$AW$21</f>
        <v>LV5080090</v>
      </c>
      <c r="AJ92" s="38" t="str">
        <f ca="1">Master_List!$AW$22</f>
        <v>LVDB TX1</v>
      </c>
      <c r="AK92" s="38">
        <f ca="1">Master_List!$AW$23</f>
        <v>0</v>
      </c>
      <c r="AL92" s="38">
        <f ca="1">Master_List!$AW$24</f>
        <v>0</v>
      </c>
      <c r="AM92" s="38">
        <f ca="1">Master_List!$AW$25</f>
        <v>0</v>
      </c>
      <c r="AN92" s="38">
        <f ca="1">Master_List!$AW$26</f>
        <v>0</v>
      </c>
      <c r="AO92" s="38" t="str">
        <f ca="1">Master_List!$AW$27</f>
        <v>LVDB TX2</v>
      </c>
      <c r="AP92" s="38" t="str">
        <f ca="1">Master_List!$AW$28</f>
        <v>SUNPOWER TECHNOLOGIES</v>
      </c>
      <c r="AQ92" s="38" t="str">
        <f ca="1">Master_List!$AW$29</f>
        <v>SPS 30-10 L</v>
      </c>
      <c r="AR92" s="38" t="str">
        <f ca="1">Master_List!$AW$30</f>
        <v>11193-8527</v>
      </c>
      <c r="AS92" s="38">
        <f ca="1">Master_List!$AW$31</f>
        <v>0</v>
      </c>
      <c r="AT92" s="38">
        <f ca="1">Master_List!$AW$32</f>
        <v>0</v>
      </c>
      <c r="AU92" s="38">
        <f ca="1">Master_List!$AW$33</f>
        <v>0</v>
      </c>
      <c r="AV92" s="38">
        <f ca="1">Master_List!$AW$34</f>
        <v>0</v>
      </c>
      <c r="AW92" s="38">
        <f ca="1">Master_List!$AW$35</f>
        <v>0</v>
      </c>
      <c r="AX92" s="38">
        <f ca="1">Master_List!$AW$36</f>
        <v>0</v>
      </c>
      <c r="AY92" s="38">
        <f ca="1">Master_List!$AW$37</f>
        <v>0</v>
      </c>
      <c r="AZ92" s="38">
        <f ca="1">Master_List!$AW$38</f>
        <v>0</v>
      </c>
      <c r="BA92" s="38">
        <f ca="1">Master_List!$AW$39</f>
        <v>0</v>
      </c>
      <c r="BB92" s="38" t="s">
        <v>2240</v>
      </c>
      <c r="BC92" s="38" t="s">
        <v>2241</v>
      </c>
      <c r="BD92" s="6" t="s">
        <v>1744</v>
      </c>
      <c r="BE92" s="6" t="s">
        <v>1796</v>
      </c>
      <c r="BF92" s="6" t="s">
        <v>1746</v>
      </c>
      <c r="BG92" s="6" t="str">
        <f t="shared" si="3"/>
        <v>C:\Users\aremi\Desktop\REPORT CBM\PO 42289580 - Pahang 11kV SECOND CYCLE AZZAD 2026\RAW MATERIAL\047. TNB BARU (IR+VI)\RAW DATA\IR</v>
      </c>
      <c r="BH92" s="23" t="s">
        <v>620</v>
      </c>
      <c r="BU92" s="3"/>
      <c r="BV92" s="3"/>
    </row>
    <row r="93" spans="1:74" ht="12.75" customHeight="1" x14ac:dyDescent="0.2">
      <c r="A93" s="6">
        <v>46</v>
      </c>
      <c r="B93" s="6" t="s">
        <v>1578</v>
      </c>
      <c r="C93" s="6">
        <v>1</v>
      </c>
      <c r="D93" s="6" t="s">
        <v>2257</v>
      </c>
      <c r="E93" s="6">
        <v>46</v>
      </c>
      <c r="F93" s="6" t="str">
        <f ca="1">Master_List!$AW$1</f>
        <v>PERPUSTAKAAN PUSAT</v>
      </c>
      <c r="G93" s="27" t="str">
        <f ca="1">Master_List!$AW$2</f>
        <v>09:30 PM</v>
      </c>
      <c r="H93" s="32" t="str">
        <f ca="1">Master_List!$AW$3</f>
        <v>20/07/2026</v>
      </c>
      <c r="I93" s="28" t="str">
        <f ca="1">Master_List!$AW$4</f>
        <v>28.5</v>
      </c>
      <c r="J93" s="6" t="str">
        <f ca="1">Master_List!$AW$5</f>
        <v>65</v>
      </c>
      <c r="K93" s="6" t="s">
        <v>1453</v>
      </c>
      <c r="L93" s="21" t="s">
        <v>2246</v>
      </c>
      <c r="M93" s="39"/>
      <c r="N93" s="39"/>
      <c r="O93" s="39"/>
      <c r="P93" s="39"/>
      <c r="Q93" s="39"/>
      <c r="R93" s="39"/>
      <c r="S93" s="39"/>
      <c r="T93" s="38" t="str">
        <f ca="1">Master_List!$AW$6</f>
        <v>TOSHIBA</v>
      </c>
      <c r="U93" s="38" t="str">
        <f ca="1">Master_List!$AW$7</f>
        <v>MRMU</v>
      </c>
      <c r="V93" s="38" t="str">
        <f ca="1">Master_List!$AW$8</f>
        <v>12kV</v>
      </c>
      <c r="W93" s="38" t="str">
        <f ca="1">Master_List!$AW$9</f>
        <v>2S1F</v>
      </c>
      <c r="X93" s="38" t="str">
        <f ca="1">Master_List!$AW$10</f>
        <v>MTM</v>
      </c>
      <c r="Y93" s="38" t="str">
        <f ca="1">Master_List!$AW$11</f>
        <v>HERMETICALLY SEAL</v>
      </c>
      <c r="Z93" s="38" t="str">
        <f ca="1">Master_List!$AW$12</f>
        <v>750kVA</v>
      </c>
      <c r="AA93" s="38" t="str">
        <f ca="1">Master_List!$AW$13</f>
        <v>1317</v>
      </c>
      <c r="AB93" s="38">
        <f ca="1">Master_List!$AW$14</f>
        <v>0</v>
      </c>
      <c r="AC93" s="38">
        <f ca="1">Master_List!$AW$15</f>
        <v>0</v>
      </c>
      <c r="AD93" s="38">
        <f ca="1">Master_List!$AW$16</f>
        <v>0</v>
      </c>
      <c r="AE93" s="38">
        <f ca="1">Master_List!$AW$17</f>
        <v>0</v>
      </c>
      <c r="AF93" s="38" t="str">
        <f ca="1">Master_List!$AW$18</f>
        <v>INDKOM</v>
      </c>
      <c r="AG93" s="38" t="str">
        <f ca="1">Master_List!$AW$19</f>
        <v>J-SLOTTED</v>
      </c>
      <c r="AH93" s="38" t="str">
        <f ca="1">Master_List!$AW$20</f>
        <v>1600A</v>
      </c>
      <c r="AI93" s="38" t="str">
        <f ca="1">Master_List!$AW$21</f>
        <v>LV5080090</v>
      </c>
      <c r="AJ93" s="38" t="str">
        <f ca="1">Master_List!$AW$22</f>
        <v>LVDB TX1</v>
      </c>
      <c r="AK93" s="38">
        <f ca="1">Master_List!$AW$23</f>
        <v>0</v>
      </c>
      <c r="AL93" s="38">
        <f ca="1">Master_List!$AW$24</f>
        <v>0</v>
      </c>
      <c r="AM93" s="38">
        <f ca="1">Master_List!$AW$25</f>
        <v>0</v>
      </c>
      <c r="AN93" s="38">
        <f ca="1">Master_List!$AW$26</f>
        <v>0</v>
      </c>
      <c r="AO93" s="38" t="str">
        <f ca="1">Master_List!$AW$27</f>
        <v>LVDB TX2</v>
      </c>
      <c r="AP93" s="38" t="str">
        <f ca="1">Master_List!$AW$28</f>
        <v>SUNPOWER TECHNOLOGIES</v>
      </c>
      <c r="AQ93" s="38" t="str">
        <f ca="1">Master_List!$AW$29</f>
        <v>SPS 30-10 L</v>
      </c>
      <c r="AR93" s="38" t="str">
        <f ca="1">Master_List!$AW$30</f>
        <v>11193-8527</v>
      </c>
      <c r="AS93" s="38">
        <f ca="1">Master_List!$AW$31</f>
        <v>0</v>
      </c>
      <c r="AT93" s="38">
        <f ca="1">Master_List!$AW$32</f>
        <v>0</v>
      </c>
      <c r="AU93" s="38">
        <f ca="1">Master_List!$AW$33</f>
        <v>0</v>
      </c>
      <c r="AV93" s="38">
        <f ca="1">Master_List!$AW$34</f>
        <v>0</v>
      </c>
      <c r="AW93" s="38">
        <f ca="1">Master_List!$AW$35</f>
        <v>0</v>
      </c>
      <c r="AX93" s="38">
        <f ca="1">Master_List!$AW$36</f>
        <v>0</v>
      </c>
      <c r="AY93" s="38">
        <f ca="1">Master_List!$AW$37</f>
        <v>0</v>
      </c>
      <c r="AZ93" s="38">
        <f ca="1">Master_List!$AW$38</f>
        <v>0</v>
      </c>
      <c r="BA93" s="38">
        <f ca="1">Master_List!$AW$39</f>
        <v>0</v>
      </c>
      <c r="BB93" s="38" t="s">
        <v>2240</v>
      </c>
      <c r="BC93" s="38" t="s">
        <v>2241</v>
      </c>
      <c r="BD93" s="6" t="s">
        <v>1744</v>
      </c>
      <c r="BE93" s="6" t="s">
        <v>1796</v>
      </c>
      <c r="BF93" s="6" t="s">
        <v>1748</v>
      </c>
      <c r="BG93" s="6" t="str">
        <f t="shared" si="3"/>
        <v>C:\Users\aremi\Desktop\REPORT CBM\PO 42289580 - Pahang 11kV SECOND CYCLE AZZAD 2026\RAW MATERIAL\047. TNB BARU (IR+VI)\RAW DATA\IR</v>
      </c>
      <c r="BH93" s="23" t="s">
        <v>621</v>
      </c>
      <c r="BU93" s="3"/>
      <c r="BV93" s="3"/>
    </row>
    <row r="94" spans="1:74" ht="12.75" customHeight="1" x14ac:dyDescent="0.2">
      <c r="A94" s="6">
        <v>47</v>
      </c>
      <c r="B94" s="6" t="s">
        <v>1519</v>
      </c>
      <c r="C94" s="6">
        <v>1</v>
      </c>
      <c r="D94" s="6" t="s">
        <v>2258</v>
      </c>
      <c r="E94" s="6">
        <v>47</v>
      </c>
      <c r="F94" s="6" t="str">
        <f ca="1">Master_List!$AW$1</f>
        <v>PERPUSTAKAAN PUSAT</v>
      </c>
      <c r="G94" s="27" t="str">
        <f ca="1">Master_List!$AW$2</f>
        <v>09:30 PM</v>
      </c>
      <c r="H94" s="32" t="str">
        <f ca="1">Master_List!$AW$3</f>
        <v>20/07/2026</v>
      </c>
      <c r="I94" s="28" t="str">
        <f ca="1">Master_List!$AW$4</f>
        <v>28.5</v>
      </c>
      <c r="J94" s="6" t="str">
        <f ca="1">Master_List!$AW$5</f>
        <v>65</v>
      </c>
      <c r="K94" s="6" t="s">
        <v>1453</v>
      </c>
      <c r="L94" s="21" t="s">
        <v>2246</v>
      </c>
      <c r="M94" s="39"/>
      <c r="N94" s="39"/>
      <c r="O94" s="39"/>
      <c r="P94" s="39"/>
      <c r="Q94" s="39"/>
      <c r="R94" s="39"/>
      <c r="S94" s="39"/>
      <c r="T94" s="38" t="str">
        <f ca="1">Master_List!$AW$6</f>
        <v>TOSHIBA</v>
      </c>
      <c r="U94" s="38" t="str">
        <f ca="1">Master_List!$AW$7</f>
        <v>MRMU</v>
      </c>
      <c r="V94" s="38" t="str">
        <f ca="1">Master_List!$AW$8</f>
        <v>12kV</v>
      </c>
      <c r="W94" s="38" t="str">
        <f ca="1">Master_List!$AW$9</f>
        <v>2S1F</v>
      </c>
      <c r="X94" s="38" t="str">
        <f ca="1">Master_List!$AW$10</f>
        <v>MTM</v>
      </c>
      <c r="Y94" s="38" t="str">
        <f ca="1">Master_List!$AW$11</f>
        <v>HERMETICALLY SEAL</v>
      </c>
      <c r="Z94" s="38" t="str">
        <f ca="1">Master_List!$AW$12</f>
        <v>750kVA</v>
      </c>
      <c r="AA94" s="38" t="str">
        <f ca="1">Master_List!$AW$13</f>
        <v>1317</v>
      </c>
      <c r="AB94" s="38">
        <f ca="1">Master_List!$AW$14</f>
        <v>0</v>
      </c>
      <c r="AC94" s="38">
        <f ca="1">Master_List!$AW$15</f>
        <v>0</v>
      </c>
      <c r="AD94" s="38">
        <f ca="1">Master_List!$AW$16</f>
        <v>0</v>
      </c>
      <c r="AE94" s="38">
        <f ca="1">Master_List!$AW$17</f>
        <v>0</v>
      </c>
      <c r="AF94" s="38" t="str">
        <f ca="1">Master_List!$AW$18</f>
        <v>INDKOM</v>
      </c>
      <c r="AG94" s="38" t="str">
        <f ca="1">Master_List!$AW$19</f>
        <v>J-SLOTTED</v>
      </c>
      <c r="AH94" s="38" t="str">
        <f ca="1">Master_List!$AW$20</f>
        <v>1600A</v>
      </c>
      <c r="AI94" s="38" t="str">
        <f ca="1">Master_List!$AW$21</f>
        <v>LV5080090</v>
      </c>
      <c r="AJ94" s="38" t="str">
        <f ca="1">Master_List!$AW$22</f>
        <v>LVDB TX1</v>
      </c>
      <c r="AK94" s="38">
        <f ca="1">Master_List!$AW$23</f>
        <v>0</v>
      </c>
      <c r="AL94" s="38">
        <f ca="1">Master_List!$AW$24</f>
        <v>0</v>
      </c>
      <c r="AM94" s="38">
        <f ca="1">Master_List!$AW$25</f>
        <v>0</v>
      </c>
      <c r="AN94" s="38">
        <f ca="1">Master_List!$AW$26</f>
        <v>0</v>
      </c>
      <c r="AO94" s="38" t="str">
        <f ca="1">Master_List!$AW$27</f>
        <v>LVDB TX2</v>
      </c>
      <c r="AP94" s="38" t="str">
        <f ca="1">Master_List!$AW$28</f>
        <v>SUNPOWER TECHNOLOGIES</v>
      </c>
      <c r="AQ94" s="38" t="str">
        <f ca="1">Master_List!$AW$29</f>
        <v>SPS 30-10 L</v>
      </c>
      <c r="AR94" s="38" t="str">
        <f ca="1">Master_List!$AW$30</f>
        <v>11193-8527</v>
      </c>
      <c r="AS94" s="38">
        <f ca="1">Master_List!$AW$31</f>
        <v>0</v>
      </c>
      <c r="AT94" s="38">
        <f ca="1">Master_List!$AW$32</f>
        <v>0</v>
      </c>
      <c r="AU94" s="38">
        <f ca="1">Master_List!$AW$33</f>
        <v>0</v>
      </c>
      <c r="AV94" s="38">
        <f ca="1">Master_List!$AW$34</f>
        <v>0</v>
      </c>
      <c r="AW94" s="38">
        <f ca="1">Master_List!$AW$35</f>
        <v>0</v>
      </c>
      <c r="AX94" s="38">
        <f ca="1">Master_List!$AW$36</f>
        <v>0</v>
      </c>
      <c r="AY94" s="38">
        <f ca="1">Master_List!$AW$37</f>
        <v>0</v>
      </c>
      <c r="AZ94" s="38">
        <f ca="1">Master_List!$AW$38</f>
        <v>0</v>
      </c>
      <c r="BA94" s="38">
        <f ca="1">Master_List!$AW$39</f>
        <v>0</v>
      </c>
      <c r="BB94" s="38" t="s">
        <v>2240</v>
      </c>
      <c r="BC94" s="38" t="s">
        <v>2241</v>
      </c>
      <c r="BD94" s="6" t="s">
        <v>1744</v>
      </c>
      <c r="BE94" s="6" t="s">
        <v>1797</v>
      </c>
      <c r="BF94" s="6" t="s">
        <v>1746</v>
      </c>
      <c r="BG94" s="6" t="str">
        <f t="shared" si="3"/>
        <v>C:\Users\aremi\Desktop\REPORT CBM\PO 42289580 - Pahang 11kV SECOND CYCLE AZZAD 2026\RAW MATERIAL\047. TNB BARU (IR+VI)\RAW DATA\IR</v>
      </c>
      <c r="BH94" s="23" t="s">
        <v>622</v>
      </c>
      <c r="BU94" s="3"/>
      <c r="BV94" s="3"/>
    </row>
    <row r="95" spans="1:74" ht="12.75" customHeight="1" x14ac:dyDescent="0.2">
      <c r="A95" s="6">
        <v>47</v>
      </c>
      <c r="B95" s="6" t="s">
        <v>1519</v>
      </c>
      <c r="C95" s="6">
        <v>1</v>
      </c>
      <c r="D95" s="6" t="s">
        <v>2258</v>
      </c>
      <c r="E95" s="6">
        <v>47</v>
      </c>
      <c r="F95" s="6" t="str">
        <f ca="1">Master_List!$AW$1</f>
        <v>PERPUSTAKAAN PUSAT</v>
      </c>
      <c r="G95" s="27" t="str">
        <f ca="1">Master_List!$AW$2</f>
        <v>09:30 PM</v>
      </c>
      <c r="H95" s="32" t="str">
        <f ca="1">Master_List!$AW$3</f>
        <v>20/07/2026</v>
      </c>
      <c r="I95" s="28" t="str">
        <f ca="1">Master_List!$AW$4</f>
        <v>28.5</v>
      </c>
      <c r="J95" s="6" t="str">
        <f ca="1">Master_List!$AW$5</f>
        <v>65</v>
      </c>
      <c r="K95" s="6" t="s">
        <v>1453</v>
      </c>
      <c r="L95" s="21" t="s">
        <v>2246</v>
      </c>
      <c r="M95" s="39"/>
      <c r="N95" s="39"/>
      <c r="O95" s="39"/>
      <c r="P95" s="39"/>
      <c r="Q95" s="39"/>
      <c r="R95" s="39"/>
      <c r="S95" s="39"/>
      <c r="T95" s="38" t="str">
        <f ca="1">Master_List!$AW$6</f>
        <v>TOSHIBA</v>
      </c>
      <c r="U95" s="38" t="str">
        <f ca="1">Master_List!$AW$7</f>
        <v>MRMU</v>
      </c>
      <c r="V95" s="38" t="str">
        <f ca="1">Master_List!$AW$8</f>
        <v>12kV</v>
      </c>
      <c r="W95" s="38" t="str">
        <f ca="1">Master_List!$AW$9</f>
        <v>2S1F</v>
      </c>
      <c r="X95" s="38" t="str">
        <f ca="1">Master_List!$AW$10</f>
        <v>MTM</v>
      </c>
      <c r="Y95" s="38" t="str">
        <f ca="1">Master_List!$AW$11</f>
        <v>HERMETICALLY SEAL</v>
      </c>
      <c r="Z95" s="38" t="str">
        <f ca="1">Master_List!$AW$12</f>
        <v>750kVA</v>
      </c>
      <c r="AA95" s="38" t="str">
        <f ca="1">Master_List!$AW$13</f>
        <v>1317</v>
      </c>
      <c r="AB95" s="38">
        <f ca="1">Master_List!$AW$14</f>
        <v>0</v>
      </c>
      <c r="AC95" s="38">
        <f ca="1">Master_List!$AW$15</f>
        <v>0</v>
      </c>
      <c r="AD95" s="38">
        <f ca="1">Master_List!$AW$16</f>
        <v>0</v>
      </c>
      <c r="AE95" s="38">
        <f ca="1">Master_List!$AW$17</f>
        <v>0</v>
      </c>
      <c r="AF95" s="38" t="str">
        <f ca="1">Master_List!$AW$18</f>
        <v>INDKOM</v>
      </c>
      <c r="AG95" s="38" t="str">
        <f ca="1">Master_List!$AW$19</f>
        <v>J-SLOTTED</v>
      </c>
      <c r="AH95" s="38" t="str">
        <f ca="1">Master_List!$AW$20</f>
        <v>1600A</v>
      </c>
      <c r="AI95" s="38" t="str">
        <f ca="1">Master_List!$AW$21</f>
        <v>LV5080090</v>
      </c>
      <c r="AJ95" s="38" t="str">
        <f ca="1">Master_List!$AW$22</f>
        <v>LVDB TX1</v>
      </c>
      <c r="AK95" s="38">
        <f ca="1">Master_List!$AW$23</f>
        <v>0</v>
      </c>
      <c r="AL95" s="38">
        <f ca="1">Master_List!$AW$24</f>
        <v>0</v>
      </c>
      <c r="AM95" s="38">
        <f ca="1">Master_List!$AW$25</f>
        <v>0</v>
      </c>
      <c r="AN95" s="38">
        <f ca="1">Master_List!$AW$26</f>
        <v>0</v>
      </c>
      <c r="AO95" s="38" t="str">
        <f ca="1">Master_List!$AW$27</f>
        <v>LVDB TX2</v>
      </c>
      <c r="AP95" s="38" t="str">
        <f ca="1">Master_List!$AW$28</f>
        <v>SUNPOWER TECHNOLOGIES</v>
      </c>
      <c r="AQ95" s="38" t="str">
        <f ca="1">Master_List!$AW$29</f>
        <v>SPS 30-10 L</v>
      </c>
      <c r="AR95" s="38" t="str">
        <f ca="1">Master_List!$AW$30</f>
        <v>11193-8527</v>
      </c>
      <c r="AS95" s="38">
        <f ca="1">Master_List!$AW$31</f>
        <v>0</v>
      </c>
      <c r="AT95" s="38">
        <f ca="1">Master_List!$AW$32</f>
        <v>0</v>
      </c>
      <c r="AU95" s="38">
        <f ca="1">Master_List!$AW$33</f>
        <v>0</v>
      </c>
      <c r="AV95" s="38">
        <f ca="1">Master_List!$AW$34</f>
        <v>0</v>
      </c>
      <c r="AW95" s="38">
        <f ca="1">Master_List!$AW$35</f>
        <v>0</v>
      </c>
      <c r="AX95" s="38">
        <f ca="1">Master_List!$AW$36</f>
        <v>0</v>
      </c>
      <c r="AY95" s="38">
        <f ca="1">Master_List!$AW$37</f>
        <v>0</v>
      </c>
      <c r="AZ95" s="38">
        <f ca="1">Master_List!$AW$38</f>
        <v>0</v>
      </c>
      <c r="BA95" s="38">
        <f ca="1">Master_List!$AW$39</f>
        <v>0</v>
      </c>
      <c r="BB95" s="38" t="s">
        <v>2240</v>
      </c>
      <c r="BC95" s="38" t="s">
        <v>2241</v>
      </c>
      <c r="BD95" s="6" t="s">
        <v>1744</v>
      </c>
      <c r="BE95" s="6" t="s">
        <v>1797</v>
      </c>
      <c r="BF95" s="6" t="s">
        <v>1748</v>
      </c>
      <c r="BG95" s="6" t="str">
        <f t="shared" si="3"/>
        <v>C:\Users\aremi\Desktop\REPORT CBM\PO 42289580 - Pahang 11kV SECOND CYCLE AZZAD 2026\RAW MATERIAL\047. TNB BARU (IR+VI)\RAW DATA\IR</v>
      </c>
      <c r="BH95" s="23" t="s">
        <v>623</v>
      </c>
      <c r="BU95" s="3"/>
      <c r="BV95" s="3"/>
    </row>
    <row r="96" spans="1:74" ht="12.75" customHeight="1" x14ac:dyDescent="0.2">
      <c r="A96" s="6">
        <v>48</v>
      </c>
      <c r="B96" s="6" t="s">
        <v>1522</v>
      </c>
      <c r="C96" s="6">
        <v>1</v>
      </c>
      <c r="D96" s="6" t="s">
        <v>2259</v>
      </c>
      <c r="E96" s="6">
        <v>48</v>
      </c>
      <c r="F96" s="6" t="str">
        <f ca="1">Master_List!$AW$1</f>
        <v>PERPUSTAKAAN PUSAT</v>
      </c>
      <c r="G96" s="27" t="str">
        <f ca="1">Master_List!$AW$2</f>
        <v>09:30 PM</v>
      </c>
      <c r="H96" s="32" t="str">
        <f ca="1">Master_List!$AW$3</f>
        <v>20/07/2026</v>
      </c>
      <c r="I96" s="28" t="str">
        <f ca="1">Master_List!$AW$4</f>
        <v>28.5</v>
      </c>
      <c r="J96" s="6" t="str">
        <f ca="1">Master_List!$AW$5</f>
        <v>65</v>
      </c>
      <c r="K96" s="6" t="s">
        <v>1453</v>
      </c>
      <c r="L96" s="21" t="s">
        <v>2246</v>
      </c>
      <c r="M96" s="39"/>
      <c r="N96" s="39"/>
      <c r="O96" s="39"/>
      <c r="P96" s="39"/>
      <c r="Q96" s="39"/>
      <c r="R96" s="39"/>
      <c r="S96" s="39"/>
      <c r="T96" s="38" t="str">
        <f ca="1">Master_List!$AW$6</f>
        <v>TOSHIBA</v>
      </c>
      <c r="U96" s="38" t="str">
        <f ca="1">Master_List!$AW$7</f>
        <v>MRMU</v>
      </c>
      <c r="V96" s="38" t="str">
        <f ca="1">Master_List!$AW$8</f>
        <v>12kV</v>
      </c>
      <c r="W96" s="38" t="str">
        <f ca="1">Master_List!$AW$9</f>
        <v>2S1F</v>
      </c>
      <c r="X96" s="38" t="str">
        <f ca="1">Master_List!$AW$10</f>
        <v>MTM</v>
      </c>
      <c r="Y96" s="38" t="str">
        <f ca="1">Master_List!$AW$11</f>
        <v>HERMETICALLY SEAL</v>
      </c>
      <c r="Z96" s="38" t="str">
        <f ca="1">Master_List!$AW$12</f>
        <v>750kVA</v>
      </c>
      <c r="AA96" s="38" t="str">
        <f ca="1">Master_List!$AW$13</f>
        <v>1317</v>
      </c>
      <c r="AB96" s="38">
        <f ca="1">Master_List!$AW$14</f>
        <v>0</v>
      </c>
      <c r="AC96" s="38">
        <f ca="1">Master_List!$AW$15</f>
        <v>0</v>
      </c>
      <c r="AD96" s="38">
        <f ca="1">Master_List!$AW$16</f>
        <v>0</v>
      </c>
      <c r="AE96" s="38">
        <f ca="1">Master_List!$AW$17</f>
        <v>0</v>
      </c>
      <c r="AF96" s="38" t="str">
        <f ca="1">Master_List!$AW$18</f>
        <v>INDKOM</v>
      </c>
      <c r="AG96" s="38" t="str">
        <f ca="1">Master_List!$AW$19</f>
        <v>J-SLOTTED</v>
      </c>
      <c r="AH96" s="38" t="str">
        <f ca="1">Master_List!$AW$20</f>
        <v>1600A</v>
      </c>
      <c r="AI96" s="38" t="str">
        <f ca="1">Master_List!$AW$21</f>
        <v>LV5080090</v>
      </c>
      <c r="AJ96" s="38" t="str">
        <f ca="1">Master_List!$AW$22</f>
        <v>LVDB TX1</v>
      </c>
      <c r="AK96" s="38">
        <f ca="1">Master_List!$AW$23</f>
        <v>0</v>
      </c>
      <c r="AL96" s="38">
        <f ca="1">Master_List!$AW$24</f>
        <v>0</v>
      </c>
      <c r="AM96" s="38">
        <f ca="1">Master_List!$AW$25</f>
        <v>0</v>
      </c>
      <c r="AN96" s="38">
        <f ca="1">Master_List!$AW$26</f>
        <v>0</v>
      </c>
      <c r="AO96" s="38" t="str">
        <f ca="1">Master_List!$AW$27</f>
        <v>LVDB TX2</v>
      </c>
      <c r="AP96" s="38" t="str">
        <f ca="1">Master_List!$AW$28</f>
        <v>SUNPOWER TECHNOLOGIES</v>
      </c>
      <c r="AQ96" s="38" t="str">
        <f ca="1">Master_List!$AW$29</f>
        <v>SPS 30-10 L</v>
      </c>
      <c r="AR96" s="38" t="str">
        <f ca="1">Master_List!$AW$30</f>
        <v>11193-8527</v>
      </c>
      <c r="AS96" s="38">
        <f ca="1">Master_List!$AW$31</f>
        <v>0</v>
      </c>
      <c r="AT96" s="38">
        <f ca="1">Master_List!$AW$32</f>
        <v>0</v>
      </c>
      <c r="AU96" s="38">
        <f ca="1">Master_List!$AW$33</f>
        <v>0</v>
      </c>
      <c r="AV96" s="38">
        <f ca="1">Master_List!$AW$34</f>
        <v>0</v>
      </c>
      <c r="AW96" s="38">
        <f ca="1">Master_List!$AW$35</f>
        <v>0</v>
      </c>
      <c r="AX96" s="38">
        <f ca="1">Master_List!$AW$36</f>
        <v>0</v>
      </c>
      <c r="AY96" s="38">
        <f ca="1">Master_List!$AW$37</f>
        <v>0</v>
      </c>
      <c r="AZ96" s="38">
        <f ca="1">Master_List!$AW$38</f>
        <v>0</v>
      </c>
      <c r="BA96" s="38">
        <f ca="1">Master_List!$AW$39</f>
        <v>0</v>
      </c>
      <c r="BB96" s="38" t="s">
        <v>2240</v>
      </c>
      <c r="BC96" s="38" t="s">
        <v>2241</v>
      </c>
      <c r="BD96" s="6" t="s">
        <v>1744</v>
      </c>
      <c r="BE96" s="6" t="s">
        <v>1798</v>
      </c>
      <c r="BF96" s="6" t="s">
        <v>1746</v>
      </c>
      <c r="BG96" s="6" t="str">
        <f t="shared" si="3"/>
        <v>C:\Users\aremi\Desktop\REPORT CBM\PO 42289580 - Pahang 11kV SECOND CYCLE AZZAD 2026\RAW MATERIAL\047. TNB BARU (IR+VI)\RAW DATA\IR</v>
      </c>
      <c r="BH96" s="23" t="s">
        <v>624</v>
      </c>
      <c r="BU96" s="3"/>
      <c r="BV96" s="3"/>
    </row>
    <row r="97" spans="1:74" ht="12.75" customHeight="1" x14ac:dyDescent="0.2">
      <c r="A97" s="6">
        <v>48</v>
      </c>
      <c r="B97" s="6" t="s">
        <v>1522</v>
      </c>
      <c r="C97" s="6">
        <v>1</v>
      </c>
      <c r="D97" s="6" t="s">
        <v>2259</v>
      </c>
      <c r="E97" s="6">
        <v>48</v>
      </c>
      <c r="F97" s="6" t="str">
        <f ca="1">Master_List!$AW$1</f>
        <v>PERPUSTAKAAN PUSAT</v>
      </c>
      <c r="G97" s="27" t="str">
        <f ca="1">Master_List!$AW$2</f>
        <v>09:30 PM</v>
      </c>
      <c r="H97" s="32" t="str">
        <f ca="1">Master_List!$AW$3</f>
        <v>20/07/2026</v>
      </c>
      <c r="I97" s="28" t="str">
        <f ca="1">Master_List!$AW$4</f>
        <v>28.5</v>
      </c>
      <c r="J97" s="6" t="str">
        <f ca="1">Master_List!$AW$5</f>
        <v>65</v>
      </c>
      <c r="K97" s="6" t="s">
        <v>1453</v>
      </c>
      <c r="L97" s="21" t="s">
        <v>2246</v>
      </c>
      <c r="M97" s="39"/>
      <c r="N97" s="39"/>
      <c r="O97" s="39"/>
      <c r="P97" s="39"/>
      <c r="Q97" s="39"/>
      <c r="R97" s="39"/>
      <c r="S97" s="39"/>
      <c r="T97" s="38" t="str">
        <f ca="1">Master_List!$AW$6</f>
        <v>TOSHIBA</v>
      </c>
      <c r="U97" s="38" t="str">
        <f ca="1">Master_List!$AW$7</f>
        <v>MRMU</v>
      </c>
      <c r="V97" s="38" t="str">
        <f ca="1">Master_List!$AW$8</f>
        <v>12kV</v>
      </c>
      <c r="W97" s="38" t="str">
        <f ca="1">Master_List!$AW$9</f>
        <v>2S1F</v>
      </c>
      <c r="X97" s="38" t="str">
        <f ca="1">Master_List!$AW$10</f>
        <v>MTM</v>
      </c>
      <c r="Y97" s="38" t="str">
        <f ca="1">Master_List!$AW$11</f>
        <v>HERMETICALLY SEAL</v>
      </c>
      <c r="Z97" s="38" t="str">
        <f ca="1">Master_List!$AW$12</f>
        <v>750kVA</v>
      </c>
      <c r="AA97" s="38" t="str">
        <f ca="1">Master_List!$AW$13</f>
        <v>1317</v>
      </c>
      <c r="AB97" s="38">
        <f ca="1">Master_List!$AW$14</f>
        <v>0</v>
      </c>
      <c r="AC97" s="38">
        <f ca="1">Master_List!$AW$15</f>
        <v>0</v>
      </c>
      <c r="AD97" s="38">
        <f ca="1">Master_List!$AW$16</f>
        <v>0</v>
      </c>
      <c r="AE97" s="38">
        <f ca="1">Master_List!$AW$17</f>
        <v>0</v>
      </c>
      <c r="AF97" s="38" t="str">
        <f ca="1">Master_List!$AW$18</f>
        <v>INDKOM</v>
      </c>
      <c r="AG97" s="38" t="str">
        <f ca="1">Master_List!$AW$19</f>
        <v>J-SLOTTED</v>
      </c>
      <c r="AH97" s="38" t="str">
        <f ca="1">Master_List!$AW$20</f>
        <v>1600A</v>
      </c>
      <c r="AI97" s="38" t="str">
        <f ca="1">Master_List!$AW$21</f>
        <v>LV5080090</v>
      </c>
      <c r="AJ97" s="38" t="str">
        <f ca="1">Master_List!$AW$22</f>
        <v>LVDB TX1</v>
      </c>
      <c r="AK97" s="38">
        <f ca="1">Master_List!$AW$23</f>
        <v>0</v>
      </c>
      <c r="AL97" s="38">
        <f ca="1">Master_List!$AW$24</f>
        <v>0</v>
      </c>
      <c r="AM97" s="38">
        <f ca="1">Master_List!$AW$25</f>
        <v>0</v>
      </c>
      <c r="AN97" s="38">
        <f ca="1">Master_List!$AW$26</f>
        <v>0</v>
      </c>
      <c r="AO97" s="38" t="str">
        <f ca="1">Master_List!$AW$27</f>
        <v>LVDB TX2</v>
      </c>
      <c r="AP97" s="38" t="str">
        <f ca="1">Master_List!$AW$28</f>
        <v>SUNPOWER TECHNOLOGIES</v>
      </c>
      <c r="AQ97" s="38" t="str">
        <f ca="1">Master_List!$AW$29</f>
        <v>SPS 30-10 L</v>
      </c>
      <c r="AR97" s="38" t="str">
        <f ca="1">Master_List!$AW$30</f>
        <v>11193-8527</v>
      </c>
      <c r="AS97" s="38">
        <f ca="1">Master_List!$AW$31</f>
        <v>0</v>
      </c>
      <c r="AT97" s="38">
        <f ca="1">Master_List!$AW$32</f>
        <v>0</v>
      </c>
      <c r="AU97" s="38">
        <f ca="1">Master_List!$AW$33</f>
        <v>0</v>
      </c>
      <c r="AV97" s="38">
        <f ca="1">Master_List!$AW$34</f>
        <v>0</v>
      </c>
      <c r="AW97" s="38">
        <f ca="1">Master_List!$AW$35</f>
        <v>0</v>
      </c>
      <c r="AX97" s="38">
        <f ca="1">Master_List!$AW$36</f>
        <v>0</v>
      </c>
      <c r="AY97" s="38">
        <f ca="1">Master_List!$AW$37</f>
        <v>0</v>
      </c>
      <c r="AZ97" s="38">
        <f ca="1">Master_List!$AW$38</f>
        <v>0</v>
      </c>
      <c r="BA97" s="38">
        <f ca="1">Master_List!$AW$39</f>
        <v>0</v>
      </c>
      <c r="BB97" s="38" t="s">
        <v>2240</v>
      </c>
      <c r="BC97" s="38" t="s">
        <v>2241</v>
      </c>
      <c r="BD97" s="6" t="s">
        <v>1744</v>
      </c>
      <c r="BE97" s="6" t="s">
        <v>1798</v>
      </c>
      <c r="BF97" s="6" t="s">
        <v>1748</v>
      </c>
      <c r="BG97" s="6" t="str">
        <f t="shared" si="3"/>
        <v>C:\Users\aremi\Desktop\REPORT CBM\PO 42289580 - Pahang 11kV SECOND CYCLE AZZAD 2026\RAW MATERIAL\047. TNB BARU (IR+VI)\RAW DATA\IR</v>
      </c>
      <c r="BH97" s="23" t="s">
        <v>625</v>
      </c>
      <c r="BU97" s="3"/>
      <c r="BV97" s="3"/>
    </row>
    <row r="98" spans="1:74" ht="12.75" customHeight="1" x14ac:dyDescent="0.2">
      <c r="A98" s="6">
        <v>49</v>
      </c>
      <c r="B98" s="6" t="s">
        <v>1579</v>
      </c>
      <c r="C98" s="6">
        <v>1</v>
      </c>
      <c r="D98" s="6" t="s">
        <v>2260</v>
      </c>
      <c r="E98" s="6">
        <v>49</v>
      </c>
      <c r="F98" s="6" t="str">
        <f ca="1">Master_List!$AW$1</f>
        <v>PERPUSTAKAAN PUSAT</v>
      </c>
      <c r="G98" s="27" t="str">
        <f ca="1">Master_List!$AW$2</f>
        <v>09:30 PM</v>
      </c>
      <c r="H98" s="32" t="str">
        <f ca="1">Master_List!$AW$3</f>
        <v>20/07/2026</v>
      </c>
      <c r="I98" s="28" t="str">
        <f ca="1">Master_List!$AW$4</f>
        <v>28.5</v>
      </c>
      <c r="J98" s="6" t="str">
        <f ca="1">Master_List!$AW$5</f>
        <v>65</v>
      </c>
      <c r="K98" s="6" t="s">
        <v>1453</v>
      </c>
      <c r="L98" s="21" t="s">
        <v>2246</v>
      </c>
      <c r="M98" s="39"/>
      <c r="N98" s="39"/>
      <c r="O98" s="39"/>
      <c r="P98" s="39"/>
      <c r="Q98" s="39"/>
      <c r="R98" s="39"/>
      <c r="S98" s="39"/>
      <c r="T98" s="38" t="str">
        <f ca="1">Master_List!$AW$6</f>
        <v>TOSHIBA</v>
      </c>
      <c r="U98" s="38" t="str">
        <f ca="1">Master_List!$AW$7</f>
        <v>MRMU</v>
      </c>
      <c r="V98" s="38" t="str">
        <f ca="1">Master_List!$AW$8</f>
        <v>12kV</v>
      </c>
      <c r="W98" s="38" t="str">
        <f ca="1">Master_List!$AW$9</f>
        <v>2S1F</v>
      </c>
      <c r="X98" s="38" t="str">
        <f ca="1">Master_List!$AW$10</f>
        <v>MTM</v>
      </c>
      <c r="Y98" s="38" t="str">
        <f ca="1">Master_List!$AW$11</f>
        <v>HERMETICALLY SEAL</v>
      </c>
      <c r="Z98" s="38" t="str">
        <f ca="1">Master_List!$AW$12</f>
        <v>750kVA</v>
      </c>
      <c r="AA98" s="38" t="str">
        <f ca="1">Master_List!$AW$13</f>
        <v>1317</v>
      </c>
      <c r="AB98" s="38">
        <f ca="1">Master_List!$AW$14</f>
        <v>0</v>
      </c>
      <c r="AC98" s="38">
        <f ca="1">Master_List!$AW$15</f>
        <v>0</v>
      </c>
      <c r="AD98" s="38">
        <f ca="1">Master_List!$AW$16</f>
        <v>0</v>
      </c>
      <c r="AE98" s="38">
        <f ca="1">Master_List!$AW$17</f>
        <v>0</v>
      </c>
      <c r="AF98" s="38" t="str">
        <f ca="1">Master_List!$AW$18</f>
        <v>INDKOM</v>
      </c>
      <c r="AG98" s="38" t="str">
        <f ca="1">Master_List!$AW$19</f>
        <v>J-SLOTTED</v>
      </c>
      <c r="AH98" s="38" t="str">
        <f ca="1">Master_List!$AW$20</f>
        <v>1600A</v>
      </c>
      <c r="AI98" s="38" t="str">
        <f ca="1">Master_List!$AW$21</f>
        <v>LV5080090</v>
      </c>
      <c r="AJ98" s="38" t="str">
        <f ca="1">Master_List!$AW$22</f>
        <v>LVDB TX1</v>
      </c>
      <c r="AK98" s="38">
        <f ca="1">Master_List!$AW$23</f>
        <v>0</v>
      </c>
      <c r="AL98" s="38">
        <f ca="1">Master_List!$AW$24</f>
        <v>0</v>
      </c>
      <c r="AM98" s="38">
        <f ca="1">Master_List!$AW$25</f>
        <v>0</v>
      </c>
      <c r="AN98" s="38">
        <f ca="1">Master_List!$AW$26</f>
        <v>0</v>
      </c>
      <c r="AO98" s="38" t="str">
        <f ca="1">Master_List!$AW$27</f>
        <v>LVDB TX2</v>
      </c>
      <c r="AP98" s="38" t="str">
        <f ca="1">Master_List!$AW$28</f>
        <v>SUNPOWER TECHNOLOGIES</v>
      </c>
      <c r="AQ98" s="38" t="str">
        <f ca="1">Master_List!$AW$29</f>
        <v>SPS 30-10 L</v>
      </c>
      <c r="AR98" s="38" t="str">
        <f ca="1">Master_List!$AW$30</f>
        <v>11193-8527</v>
      </c>
      <c r="AS98" s="38">
        <f ca="1">Master_List!$AW$31</f>
        <v>0</v>
      </c>
      <c r="AT98" s="38">
        <f ca="1">Master_List!$AW$32</f>
        <v>0</v>
      </c>
      <c r="AU98" s="38">
        <f ca="1">Master_List!$AW$33</f>
        <v>0</v>
      </c>
      <c r="AV98" s="38">
        <f ca="1">Master_List!$AW$34</f>
        <v>0</v>
      </c>
      <c r="AW98" s="38">
        <f ca="1">Master_List!$AW$35</f>
        <v>0</v>
      </c>
      <c r="AX98" s="38">
        <f ca="1">Master_List!$AW$36</f>
        <v>0</v>
      </c>
      <c r="AY98" s="38">
        <f ca="1">Master_List!$AW$37</f>
        <v>0</v>
      </c>
      <c r="AZ98" s="38">
        <f ca="1">Master_List!$AW$38</f>
        <v>0</v>
      </c>
      <c r="BA98" s="38">
        <f ca="1">Master_List!$AW$39</f>
        <v>0</v>
      </c>
      <c r="BB98" s="38" t="s">
        <v>2240</v>
      </c>
      <c r="BC98" s="38" t="s">
        <v>2241</v>
      </c>
      <c r="BD98" s="6" t="s">
        <v>1744</v>
      </c>
      <c r="BE98" s="6" t="s">
        <v>1799</v>
      </c>
      <c r="BF98" s="6" t="s">
        <v>1746</v>
      </c>
      <c r="BG98" s="6" t="str">
        <f t="shared" si="3"/>
        <v>C:\Users\aremi\Desktop\REPORT CBM\PO 42289580 - Pahang 11kV SECOND CYCLE AZZAD 2026\RAW MATERIAL\047. TNB BARU (IR+VI)\RAW DATA\IR</v>
      </c>
      <c r="BH98" s="23" t="s">
        <v>626</v>
      </c>
      <c r="BU98" s="3"/>
      <c r="BV98" s="3"/>
    </row>
    <row r="99" spans="1:74" ht="12.75" customHeight="1" x14ac:dyDescent="0.2">
      <c r="A99" s="6">
        <v>49</v>
      </c>
      <c r="B99" s="6" t="s">
        <v>1579</v>
      </c>
      <c r="C99" s="6">
        <v>1</v>
      </c>
      <c r="D99" s="6" t="s">
        <v>2260</v>
      </c>
      <c r="E99" s="6">
        <v>49</v>
      </c>
      <c r="F99" s="6" t="str">
        <f ca="1">Master_List!$AW$1</f>
        <v>PERPUSTAKAAN PUSAT</v>
      </c>
      <c r="G99" s="27" t="str">
        <f ca="1">Master_List!$AW$2</f>
        <v>09:30 PM</v>
      </c>
      <c r="H99" s="32" t="str">
        <f ca="1">Master_List!$AW$3</f>
        <v>20/07/2026</v>
      </c>
      <c r="I99" s="28" t="str">
        <f ca="1">Master_List!$AW$4</f>
        <v>28.5</v>
      </c>
      <c r="J99" s="6" t="str">
        <f ca="1">Master_List!$AW$5</f>
        <v>65</v>
      </c>
      <c r="K99" s="6" t="s">
        <v>1453</v>
      </c>
      <c r="L99" s="21" t="s">
        <v>2246</v>
      </c>
      <c r="M99" s="39"/>
      <c r="N99" s="39"/>
      <c r="O99" s="39"/>
      <c r="P99" s="39"/>
      <c r="Q99" s="39"/>
      <c r="R99" s="39"/>
      <c r="S99" s="39"/>
      <c r="T99" s="38" t="str">
        <f ca="1">Master_List!$AW$6</f>
        <v>TOSHIBA</v>
      </c>
      <c r="U99" s="38" t="str">
        <f ca="1">Master_List!$AW$7</f>
        <v>MRMU</v>
      </c>
      <c r="V99" s="38" t="str">
        <f ca="1">Master_List!$AW$8</f>
        <v>12kV</v>
      </c>
      <c r="W99" s="38" t="str">
        <f ca="1">Master_List!$AW$9</f>
        <v>2S1F</v>
      </c>
      <c r="X99" s="38" t="str">
        <f ca="1">Master_List!$AW$10</f>
        <v>MTM</v>
      </c>
      <c r="Y99" s="38" t="str">
        <f ca="1">Master_List!$AW$11</f>
        <v>HERMETICALLY SEAL</v>
      </c>
      <c r="Z99" s="38" t="str">
        <f ca="1">Master_List!$AW$12</f>
        <v>750kVA</v>
      </c>
      <c r="AA99" s="38" t="str">
        <f ca="1">Master_List!$AW$13</f>
        <v>1317</v>
      </c>
      <c r="AB99" s="38">
        <f ca="1">Master_List!$AW$14</f>
        <v>0</v>
      </c>
      <c r="AC99" s="38">
        <f ca="1">Master_List!$AW$15</f>
        <v>0</v>
      </c>
      <c r="AD99" s="38">
        <f ca="1">Master_List!$AW$16</f>
        <v>0</v>
      </c>
      <c r="AE99" s="38">
        <f ca="1">Master_List!$AW$17</f>
        <v>0</v>
      </c>
      <c r="AF99" s="38" t="str">
        <f ca="1">Master_List!$AW$18</f>
        <v>INDKOM</v>
      </c>
      <c r="AG99" s="38" t="str">
        <f ca="1">Master_List!$AW$19</f>
        <v>J-SLOTTED</v>
      </c>
      <c r="AH99" s="38" t="str">
        <f ca="1">Master_List!$AW$20</f>
        <v>1600A</v>
      </c>
      <c r="AI99" s="38" t="str">
        <f ca="1">Master_List!$AW$21</f>
        <v>LV5080090</v>
      </c>
      <c r="AJ99" s="38" t="str">
        <f ca="1">Master_List!$AW$22</f>
        <v>LVDB TX1</v>
      </c>
      <c r="AK99" s="38">
        <f ca="1">Master_List!$AW$23</f>
        <v>0</v>
      </c>
      <c r="AL99" s="38">
        <f ca="1">Master_List!$AW$24</f>
        <v>0</v>
      </c>
      <c r="AM99" s="38">
        <f ca="1">Master_List!$AW$25</f>
        <v>0</v>
      </c>
      <c r="AN99" s="38">
        <f ca="1">Master_List!$AW$26</f>
        <v>0</v>
      </c>
      <c r="AO99" s="38" t="str">
        <f ca="1">Master_List!$AW$27</f>
        <v>LVDB TX2</v>
      </c>
      <c r="AP99" s="38" t="str">
        <f ca="1">Master_List!$AW$28</f>
        <v>SUNPOWER TECHNOLOGIES</v>
      </c>
      <c r="AQ99" s="38" t="str">
        <f ca="1">Master_List!$AW$29</f>
        <v>SPS 30-10 L</v>
      </c>
      <c r="AR99" s="38" t="str">
        <f ca="1">Master_List!$AW$30</f>
        <v>11193-8527</v>
      </c>
      <c r="AS99" s="38">
        <f ca="1">Master_List!$AW$31</f>
        <v>0</v>
      </c>
      <c r="AT99" s="38">
        <f ca="1">Master_List!$AW$32</f>
        <v>0</v>
      </c>
      <c r="AU99" s="38">
        <f ca="1">Master_List!$AW$33</f>
        <v>0</v>
      </c>
      <c r="AV99" s="38">
        <f ca="1">Master_List!$AW$34</f>
        <v>0</v>
      </c>
      <c r="AW99" s="38">
        <f ca="1">Master_List!$AW$35</f>
        <v>0</v>
      </c>
      <c r="AX99" s="38">
        <f ca="1">Master_List!$AW$36</f>
        <v>0</v>
      </c>
      <c r="AY99" s="38">
        <f ca="1">Master_List!$AW$37</f>
        <v>0</v>
      </c>
      <c r="AZ99" s="38">
        <f ca="1">Master_List!$AW$38</f>
        <v>0</v>
      </c>
      <c r="BA99" s="38">
        <f ca="1">Master_List!$AW$39</f>
        <v>0</v>
      </c>
      <c r="BB99" s="38" t="s">
        <v>2240</v>
      </c>
      <c r="BC99" s="38" t="s">
        <v>2241</v>
      </c>
      <c r="BD99" s="6" t="s">
        <v>1744</v>
      </c>
      <c r="BE99" s="6" t="s">
        <v>1799</v>
      </c>
      <c r="BF99" s="6" t="s">
        <v>1748</v>
      </c>
      <c r="BG99" s="6" t="str">
        <f t="shared" si="3"/>
        <v>C:\Users\aremi\Desktop\REPORT CBM\PO 42289580 - Pahang 11kV SECOND CYCLE AZZAD 2026\RAW MATERIAL\047. TNB BARU (IR+VI)\RAW DATA\IR</v>
      </c>
      <c r="BH99" s="23" t="s">
        <v>627</v>
      </c>
      <c r="BU99" s="3"/>
      <c r="BV99" s="3"/>
    </row>
    <row r="100" spans="1:74" ht="12.75" customHeight="1" x14ac:dyDescent="0.2">
      <c r="A100" s="6">
        <v>50</v>
      </c>
      <c r="B100" s="6" t="s">
        <v>1580</v>
      </c>
      <c r="C100" s="6">
        <v>1</v>
      </c>
      <c r="D100" s="6" t="s">
        <v>2261</v>
      </c>
      <c r="E100" s="6">
        <v>50</v>
      </c>
      <c r="F100" s="6" t="str">
        <f ca="1">Master_List!$AW$1</f>
        <v>PERPUSTAKAAN PUSAT</v>
      </c>
      <c r="G100" s="27" t="str">
        <f ca="1">Master_List!$AW$2</f>
        <v>09:30 PM</v>
      </c>
      <c r="H100" s="32" t="str">
        <f ca="1">Master_List!$AW$3</f>
        <v>20/07/2026</v>
      </c>
      <c r="I100" s="28" t="str">
        <f ca="1">Master_List!$AW$4</f>
        <v>28.5</v>
      </c>
      <c r="J100" s="6" t="str">
        <f ca="1">Master_List!$AW$5</f>
        <v>65</v>
      </c>
      <c r="K100" s="6" t="s">
        <v>1453</v>
      </c>
      <c r="L100" s="21" t="s">
        <v>2246</v>
      </c>
      <c r="M100" s="39"/>
      <c r="N100" s="39"/>
      <c r="O100" s="39"/>
      <c r="P100" s="39"/>
      <c r="Q100" s="39"/>
      <c r="R100" s="39"/>
      <c r="S100" s="39"/>
      <c r="T100" s="38" t="str">
        <f ca="1">Master_List!$AW$6</f>
        <v>TOSHIBA</v>
      </c>
      <c r="U100" s="38" t="str">
        <f ca="1">Master_List!$AW$7</f>
        <v>MRMU</v>
      </c>
      <c r="V100" s="38" t="str">
        <f ca="1">Master_List!$AW$8</f>
        <v>12kV</v>
      </c>
      <c r="W100" s="38" t="str">
        <f ca="1">Master_List!$AW$9</f>
        <v>2S1F</v>
      </c>
      <c r="X100" s="38" t="str">
        <f ca="1">Master_List!$AW$10</f>
        <v>MTM</v>
      </c>
      <c r="Y100" s="38" t="str">
        <f ca="1">Master_List!$AW$11</f>
        <v>HERMETICALLY SEAL</v>
      </c>
      <c r="Z100" s="38" t="str">
        <f ca="1">Master_List!$AW$12</f>
        <v>750kVA</v>
      </c>
      <c r="AA100" s="38" t="str">
        <f ca="1">Master_List!$AW$13</f>
        <v>1317</v>
      </c>
      <c r="AB100" s="38">
        <f ca="1">Master_List!$AW$14</f>
        <v>0</v>
      </c>
      <c r="AC100" s="38">
        <f ca="1">Master_List!$AW$15</f>
        <v>0</v>
      </c>
      <c r="AD100" s="38">
        <f ca="1">Master_List!$AW$16</f>
        <v>0</v>
      </c>
      <c r="AE100" s="38">
        <f ca="1">Master_List!$AW$17</f>
        <v>0</v>
      </c>
      <c r="AF100" s="38" t="str">
        <f ca="1">Master_List!$AW$18</f>
        <v>INDKOM</v>
      </c>
      <c r="AG100" s="38" t="str">
        <f ca="1">Master_List!$AW$19</f>
        <v>J-SLOTTED</v>
      </c>
      <c r="AH100" s="38" t="str">
        <f ca="1">Master_List!$AW$20</f>
        <v>1600A</v>
      </c>
      <c r="AI100" s="38" t="str">
        <f ca="1">Master_List!$AW$21</f>
        <v>LV5080090</v>
      </c>
      <c r="AJ100" s="38" t="str">
        <f ca="1">Master_List!$AW$22</f>
        <v>LVDB TX1</v>
      </c>
      <c r="AK100" s="38">
        <f ca="1">Master_List!$AW$23</f>
        <v>0</v>
      </c>
      <c r="AL100" s="38">
        <f ca="1">Master_List!$AW$24</f>
        <v>0</v>
      </c>
      <c r="AM100" s="38">
        <f ca="1">Master_List!$AW$25</f>
        <v>0</v>
      </c>
      <c r="AN100" s="38">
        <f ca="1">Master_List!$AW$26</f>
        <v>0</v>
      </c>
      <c r="AO100" s="38" t="str">
        <f ca="1">Master_List!$AW$27</f>
        <v>LVDB TX2</v>
      </c>
      <c r="AP100" s="38" t="str">
        <f ca="1">Master_List!$AW$28</f>
        <v>SUNPOWER TECHNOLOGIES</v>
      </c>
      <c r="AQ100" s="38" t="str">
        <f ca="1">Master_List!$AW$29</f>
        <v>SPS 30-10 L</v>
      </c>
      <c r="AR100" s="38" t="str">
        <f ca="1">Master_List!$AW$30</f>
        <v>11193-8527</v>
      </c>
      <c r="AS100" s="38">
        <f ca="1">Master_List!$AW$31</f>
        <v>0</v>
      </c>
      <c r="AT100" s="38">
        <f ca="1">Master_List!$AW$32</f>
        <v>0</v>
      </c>
      <c r="AU100" s="38">
        <f ca="1">Master_List!$AW$33</f>
        <v>0</v>
      </c>
      <c r="AV100" s="38">
        <f ca="1">Master_List!$AW$34</f>
        <v>0</v>
      </c>
      <c r="AW100" s="38">
        <f ca="1">Master_List!$AW$35</f>
        <v>0</v>
      </c>
      <c r="AX100" s="38">
        <f ca="1">Master_List!$AW$36</f>
        <v>0</v>
      </c>
      <c r="AY100" s="38">
        <f ca="1">Master_List!$AW$37</f>
        <v>0</v>
      </c>
      <c r="AZ100" s="38">
        <f ca="1">Master_List!$AW$38</f>
        <v>0</v>
      </c>
      <c r="BA100" s="38">
        <f ca="1">Master_List!$AW$39</f>
        <v>0</v>
      </c>
      <c r="BB100" s="38" t="s">
        <v>2240</v>
      </c>
      <c r="BC100" s="38" t="s">
        <v>2241</v>
      </c>
      <c r="BD100" s="6" t="s">
        <v>1744</v>
      </c>
      <c r="BE100" s="6" t="s">
        <v>1800</v>
      </c>
      <c r="BF100" s="6" t="s">
        <v>1746</v>
      </c>
      <c r="BG100" s="6" t="str">
        <f t="shared" si="3"/>
        <v>C:\Users\aremi\Desktop\REPORT CBM\PO 42289580 - Pahang 11kV SECOND CYCLE AZZAD 2026\RAW MATERIAL\047. TNB BARU (IR+VI)\RAW DATA\IR</v>
      </c>
      <c r="BH100" s="23" t="s">
        <v>629</v>
      </c>
      <c r="BU100" s="3"/>
      <c r="BV100" s="3"/>
    </row>
    <row r="101" spans="1:74" ht="12.75" customHeight="1" x14ac:dyDescent="0.2">
      <c r="A101" s="6">
        <v>50</v>
      </c>
      <c r="B101" s="6" t="s">
        <v>1580</v>
      </c>
      <c r="C101" s="6">
        <v>1</v>
      </c>
      <c r="D101" s="6" t="s">
        <v>2261</v>
      </c>
      <c r="E101" s="6">
        <v>50</v>
      </c>
      <c r="F101" s="6" t="str">
        <f ca="1">Master_List!$AW$1</f>
        <v>PERPUSTAKAAN PUSAT</v>
      </c>
      <c r="G101" s="27" t="str">
        <f ca="1">Master_List!$AW$2</f>
        <v>09:30 PM</v>
      </c>
      <c r="H101" s="32" t="str">
        <f ca="1">Master_List!$AW$3</f>
        <v>20/07/2026</v>
      </c>
      <c r="I101" s="28" t="str">
        <f ca="1">Master_List!$AW$4</f>
        <v>28.5</v>
      </c>
      <c r="J101" s="6" t="str">
        <f ca="1">Master_List!$AW$5</f>
        <v>65</v>
      </c>
      <c r="K101" s="6" t="s">
        <v>1453</v>
      </c>
      <c r="L101" s="21" t="s">
        <v>2246</v>
      </c>
      <c r="M101" s="39"/>
      <c r="N101" s="39"/>
      <c r="O101" s="39"/>
      <c r="P101" s="39"/>
      <c r="Q101" s="39"/>
      <c r="R101" s="39"/>
      <c r="S101" s="39"/>
      <c r="T101" s="38" t="str">
        <f ca="1">Master_List!$AW$6</f>
        <v>TOSHIBA</v>
      </c>
      <c r="U101" s="38" t="str">
        <f ca="1">Master_List!$AW$7</f>
        <v>MRMU</v>
      </c>
      <c r="V101" s="38" t="str">
        <f ca="1">Master_List!$AW$8</f>
        <v>12kV</v>
      </c>
      <c r="W101" s="38" t="str">
        <f ca="1">Master_List!$AW$9</f>
        <v>2S1F</v>
      </c>
      <c r="X101" s="38" t="str">
        <f ca="1">Master_List!$AW$10</f>
        <v>MTM</v>
      </c>
      <c r="Y101" s="38" t="str">
        <f ca="1">Master_List!$AW$11</f>
        <v>HERMETICALLY SEAL</v>
      </c>
      <c r="Z101" s="38" t="str">
        <f ca="1">Master_List!$AW$12</f>
        <v>750kVA</v>
      </c>
      <c r="AA101" s="38" t="str">
        <f ca="1">Master_List!$AW$13</f>
        <v>1317</v>
      </c>
      <c r="AB101" s="38">
        <f ca="1">Master_List!$AW$14</f>
        <v>0</v>
      </c>
      <c r="AC101" s="38">
        <f ca="1">Master_List!$AW$15</f>
        <v>0</v>
      </c>
      <c r="AD101" s="38">
        <f ca="1">Master_List!$AW$16</f>
        <v>0</v>
      </c>
      <c r="AE101" s="38">
        <f ca="1">Master_List!$AW$17</f>
        <v>0</v>
      </c>
      <c r="AF101" s="38" t="str">
        <f ca="1">Master_List!$AW$18</f>
        <v>INDKOM</v>
      </c>
      <c r="AG101" s="38" t="str">
        <f ca="1">Master_List!$AW$19</f>
        <v>J-SLOTTED</v>
      </c>
      <c r="AH101" s="38" t="str">
        <f ca="1">Master_List!$AW$20</f>
        <v>1600A</v>
      </c>
      <c r="AI101" s="38" t="str">
        <f ca="1">Master_List!$AW$21</f>
        <v>LV5080090</v>
      </c>
      <c r="AJ101" s="38" t="str">
        <f ca="1">Master_List!$AW$22</f>
        <v>LVDB TX1</v>
      </c>
      <c r="AK101" s="38">
        <f ca="1">Master_List!$AW$23</f>
        <v>0</v>
      </c>
      <c r="AL101" s="38">
        <f ca="1">Master_List!$AW$24</f>
        <v>0</v>
      </c>
      <c r="AM101" s="38">
        <f ca="1">Master_List!$AW$25</f>
        <v>0</v>
      </c>
      <c r="AN101" s="38">
        <f ca="1">Master_List!$AW$26</f>
        <v>0</v>
      </c>
      <c r="AO101" s="38" t="str">
        <f ca="1">Master_List!$AW$27</f>
        <v>LVDB TX2</v>
      </c>
      <c r="AP101" s="38" t="str">
        <f ca="1">Master_List!$AW$28</f>
        <v>SUNPOWER TECHNOLOGIES</v>
      </c>
      <c r="AQ101" s="38" t="str">
        <f ca="1">Master_List!$AW$29</f>
        <v>SPS 30-10 L</v>
      </c>
      <c r="AR101" s="38" t="str">
        <f ca="1">Master_List!$AW$30</f>
        <v>11193-8527</v>
      </c>
      <c r="AS101" s="38">
        <f ca="1">Master_List!$AW$31</f>
        <v>0</v>
      </c>
      <c r="AT101" s="38">
        <f ca="1">Master_List!$AW$32</f>
        <v>0</v>
      </c>
      <c r="AU101" s="38">
        <f ca="1">Master_List!$AW$33</f>
        <v>0</v>
      </c>
      <c r="AV101" s="38">
        <f ca="1">Master_List!$AW$34</f>
        <v>0</v>
      </c>
      <c r="AW101" s="38">
        <f ca="1">Master_List!$AW$35</f>
        <v>0</v>
      </c>
      <c r="AX101" s="38">
        <f ca="1">Master_List!$AW$36</f>
        <v>0</v>
      </c>
      <c r="AY101" s="38">
        <f ca="1">Master_List!$AW$37</f>
        <v>0</v>
      </c>
      <c r="AZ101" s="38">
        <f ca="1">Master_List!$AW$38</f>
        <v>0</v>
      </c>
      <c r="BA101" s="38">
        <f ca="1">Master_List!$AW$39</f>
        <v>0</v>
      </c>
      <c r="BB101" s="38" t="s">
        <v>2240</v>
      </c>
      <c r="BC101" s="38" t="s">
        <v>2241</v>
      </c>
      <c r="BD101" s="6" t="s">
        <v>1744</v>
      </c>
      <c r="BE101" s="6" t="s">
        <v>1800</v>
      </c>
      <c r="BF101" s="6" t="s">
        <v>1748</v>
      </c>
      <c r="BG101" s="6" t="str">
        <f t="shared" si="3"/>
        <v>C:\Users\aremi\Desktop\REPORT CBM\PO 42289580 - Pahang 11kV SECOND CYCLE AZZAD 2026\RAW MATERIAL\047. TNB BARU (IR+VI)\RAW DATA\IR</v>
      </c>
      <c r="BH101" s="23" t="s">
        <v>630</v>
      </c>
      <c r="BU101" s="3"/>
      <c r="BV101" s="3"/>
    </row>
    <row r="102" spans="1:74" ht="12.75" customHeight="1" x14ac:dyDescent="0.2">
      <c r="A102" s="6">
        <v>51</v>
      </c>
      <c r="B102" s="6"/>
      <c r="C102" s="6">
        <v>1</v>
      </c>
      <c r="D102" s="6"/>
      <c r="E102" s="6">
        <v>51</v>
      </c>
      <c r="F102" s="6" t="str">
        <f ca="1">Master_List!$AW$1</f>
        <v>PERPUSTAKAAN PUSAT</v>
      </c>
      <c r="G102" s="27" t="str">
        <f ca="1">Master_List!$AW$2</f>
        <v>09:30 PM</v>
      </c>
      <c r="H102" s="32" t="str">
        <f ca="1">Master_List!$AW$3</f>
        <v>20/07/2026</v>
      </c>
      <c r="I102" s="28" t="str">
        <f ca="1">Master_List!$AW$4</f>
        <v>28.5</v>
      </c>
      <c r="J102" s="6" t="str">
        <f ca="1">Master_List!$AW$5</f>
        <v>65</v>
      </c>
      <c r="K102" s="6"/>
      <c r="L102" s="21"/>
      <c r="M102" s="21"/>
      <c r="N102" s="39"/>
      <c r="O102" s="39"/>
      <c r="P102" s="39"/>
      <c r="Q102" s="39"/>
      <c r="R102" s="39"/>
      <c r="S102" s="39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6"/>
      <c r="BE102" s="6"/>
      <c r="BF102" s="6"/>
      <c r="BG102" s="6"/>
      <c r="BH102" s="6"/>
      <c r="BU102" s="3"/>
      <c r="BV102" s="3"/>
    </row>
    <row r="103" spans="1:74" ht="12.75" customHeight="1" x14ac:dyDescent="0.2">
      <c r="A103" s="6">
        <v>51</v>
      </c>
      <c r="B103" s="6"/>
      <c r="C103" s="6">
        <v>1</v>
      </c>
      <c r="D103" s="6"/>
      <c r="E103" s="6">
        <v>51</v>
      </c>
      <c r="F103" s="6" t="str">
        <f ca="1">Master_List!$AW$1</f>
        <v>PERPUSTAKAAN PUSAT</v>
      </c>
      <c r="G103" s="27" t="str">
        <f ca="1">Master_List!$AW$2</f>
        <v>09:30 PM</v>
      </c>
      <c r="H103" s="32" t="str">
        <f ca="1">Master_List!$AW$3</f>
        <v>20/07/2026</v>
      </c>
      <c r="I103" s="28" t="str">
        <f ca="1">Master_List!$AW$4</f>
        <v>28.5</v>
      </c>
      <c r="J103" s="6" t="str">
        <f ca="1">Master_List!$AW$5</f>
        <v>65</v>
      </c>
      <c r="K103" s="6"/>
      <c r="L103" s="21"/>
      <c r="M103" s="21"/>
      <c r="N103" s="39"/>
      <c r="O103" s="39"/>
      <c r="P103" s="39"/>
      <c r="Q103" s="39"/>
      <c r="R103" s="39"/>
      <c r="S103" s="39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6"/>
      <c r="BE103" s="6"/>
      <c r="BF103" s="6"/>
      <c r="BG103" s="6"/>
      <c r="BH103" s="6"/>
      <c r="BU103" s="3"/>
      <c r="BV103" s="3"/>
    </row>
    <row r="104" spans="1:74" ht="12.75" customHeight="1" x14ac:dyDescent="0.2">
      <c r="A104" s="6">
        <v>52</v>
      </c>
      <c r="B104" s="6"/>
      <c r="C104" s="6">
        <v>1</v>
      </c>
      <c r="D104" s="6"/>
      <c r="E104" s="6">
        <v>52</v>
      </c>
      <c r="F104" s="6" t="str">
        <f ca="1">Master_List!$AW$1</f>
        <v>PERPUSTAKAAN PUSAT</v>
      </c>
      <c r="G104" s="27" t="str">
        <f ca="1">Master_List!$AW$2</f>
        <v>09:30 PM</v>
      </c>
      <c r="H104" s="32" t="str">
        <f ca="1">Master_List!$AW$3</f>
        <v>20/07/2026</v>
      </c>
      <c r="I104" s="28" t="str">
        <f ca="1">Master_List!$AW$4</f>
        <v>28.5</v>
      </c>
      <c r="J104" s="6" t="str">
        <f ca="1">Master_List!$AW$5</f>
        <v>65</v>
      </c>
      <c r="K104" s="6"/>
      <c r="L104" s="21"/>
      <c r="M104" s="21"/>
      <c r="N104" s="39"/>
      <c r="O104" s="39"/>
      <c r="P104" s="39"/>
      <c r="Q104" s="39"/>
      <c r="R104" s="39"/>
      <c r="S104" s="39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6"/>
      <c r="BE104" s="6"/>
      <c r="BF104" s="6"/>
      <c r="BG104" s="6"/>
      <c r="BH104" s="6"/>
      <c r="BU104" s="3"/>
      <c r="BV104" s="3"/>
    </row>
    <row r="105" spans="1:74" ht="12.75" customHeight="1" x14ac:dyDescent="0.2">
      <c r="A105" s="6">
        <v>52</v>
      </c>
      <c r="B105" s="6"/>
      <c r="C105" s="6">
        <v>1</v>
      </c>
      <c r="D105" s="6"/>
      <c r="E105" s="6">
        <v>52</v>
      </c>
      <c r="F105" s="6" t="str">
        <f ca="1">Master_List!$AW$1</f>
        <v>PERPUSTAKAAN PUSAT</v>
      </c>
      <c r="G105" s="27" t="str">
        <f ca="1">Master_List!$AW$2</f>
        <v>09:30 PM</v>
      </c>
      <c r="H105" s="32" t="str">
        <f ca="1">Master_List!$AW$3</f>
        <v>20/07/2026</v>
      </c>
      <c r="I105" s="28" t="str">
        <f ca="1">Master_List!$AW$4</f>
        <v>28.5</v>
      </c>
      <c r="J105" s="6" t="str">
        <f ca="1">Master_List!$AW$5</f>
        <v>65</v>
      </c>
      <c r="K105" s="6"/>
      <c r="L105" s="21"/>
      <c r="M105" s="21"/>
      <c r="N105" s="39"/>
      <c r="O105" s="39"/>
      <c r="P105" s="39"/>
      <c r="Q105" s="39"/>
      <c r="R105" s="39"/>
      <c r="S105" s="39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6"/>
      <c r="BE105" s="6"/>
      <c r="BF105" s="6"/>
      <c r="BG105" s="6"/>
      <c r="BH105" s="6"/>
      <c r="BU105" s="3"/>
      <c r="BV105" s="3"/>
    </row>
    <row r="106" spans="1:74" ht="12.75" customHeight="1" x14ac:dyDescent="0.2">
      <c r="A106" s="6">
        <v>53</v>
      </c>
      <c r="B106" s="6"/>
      <c r="C106" s="6">
        <v>1</v>
      </c>
      <c r="D106" s="6"/>
      <c r="E106" s="6">
        <v>53</v>
      </c>
      <c r="F106" s="6" t="str">
        <f ca="1">Master_List!$AW$1</f>
        <v>PERPUSTAKAAN PUSAT</v>
      </c>
      <c r="G106" s="27" t="str">
        <f ca="1">Master_List!$AW$2</f>
        <v>09:30 PM</v>
      </c>
      <c r="H106" s="32" t="str">
        <f ca="1">Master_List!$AW$3</f>
        <v>20/07/2026</v>
      </c>
      <c r="I106" s="28" t="str">
        <f ca="1">Master_List!$AW$4</f>
        <v>28.5</v>
      </c>
      <c r="J106" s="6" t="str">
        <f ca="1">Master_List!$AW$5</f>
        <v>65</v>
      </c>
      <c r="K106" s="6"/>
      <c r="L106" s="21"/>
      <c r="M106" s="21"/>
      <c r="N106" s="39"/>
      <c r="O106" s="39"/>
      <c r="P106" s="39"/>
      <c r="Q106" s="39"/>
      <c r="R106" s="39"/>
      <c r="S106" s="39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6"/>
      <c r="BE106" s="6"/>
      <c r="BF106" s="6"/>
      <c r="BG106" s="6"/>
      <c r="BH106" s="6"/>
      <c r="BU106" s="3"/>
      <c r="BV106" s="3"/>
    </row>
    <row r="107" spans="1:74" ht="12.75" customHeight="1" x14ac:dyDescent="0.2">
      <c r="A107" s="6">
        <v>53</v>
      </c>
      <c r="B107" s="6"/>
      <c r="C107" s="6">
        <v>1</v>
      </c>
      <c r="D107" s="6"/>
      <c r="E107" s="6">
        <v>53</v>
      </c>
      <c r="F107" s="6" t="str">
        <f ca="1">Master_List!$AW$1</f>
        <v>PERPUSTAKAAN PUSAT</v>
      </c>
      <c r="G107" s="27" t="str">
        <f ca="1">Master_List!$AW$2</f>
        <v>09:30 PM</v>
      </c>
      <c r="H107" s="32" t="str">
        <f ca="1">Master_List!$AW$3</f>
        <v>20/07/2026</v>
      </c>
      <c r="I107" s="28" t="str">
        <f ca="1">Master_List!$AW$4</f>
        <v>28.5</v>
      </c>
      <c r="J107" s="6" t="str">
        <f ca="1">Master_List!$AW$5</f>
        <v>65</v>
      </c>
      <c r="K107" s="6"/>
      <c r="L107" s="21"/>
      <c r="M107" s="21"/>
      <c r="N107" s="39"/>
      <c r="O107" s="39"/>
      <c r="P107" s="39"/>
      <c r="Q107" s="39"/>
      <c r="R107" s="39"/>
      <c r="S107" s="39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6"/>
      <c r="BE107" s="6"/>
      <c r="BF107" s="6"/>
      <c r="BG107" s="6"/>
      <c r="BH107" s="6"/>
      <c r="BU107" s="3"/>
      <c r="BV107" s="3"/>
    </row>
    <row r="108" spans="1:74" ht="12.75" customHeight="1" x14ac:dyDescent="0.2">
      <c r="A108" s="6">
        <v>54</v>
      </c>
      <c r="B108" s="6"/>
      <c r="C108" s="6">
        <v>1</v>
      </c>
      <c r="D108" s="6"/>
      <c r="E108" s="6">
        <v>54</v>
      </c>
      <c r="F108" s="6" t="str">
        <f ca="1">Master_List!$AW$1</f>
        <v>PERPUSTAKAAN PUSAT</v>
      </c>
      <c r="G108" s="27" t="str">
        <f ca="1">Master_List!$AW$2</f>
        <v>09:30 PM</v>
      </c>
      <c r="H108" s="32" t="str">
        <f ca="1">Master_List!$AW$3</f>
        <v>20/07/2026</v>
      </c>
      <c r="I108" s="28" t="str">
        <f ca="1">Master_List!$AW$4</f>
        <v>28.5</v>
      </c>
      <c r="J108" s="6" t="str">
        <f ca="1">Master_List!$AW$5</f>
        <v>65</v>
      </c>
      <c r="K108" s="6"/>
      <c r="L108" s="21"/>
      <c r="M108" s="21"/>
      <c r="N108" s="39"/>
      <c r="O108" s="39"/>
      <c r="P108" s="39"/>
      <c r="Q108" s="39"/>
      <c r="R108" s="39"/>
      <c r="S108" s="39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6"/>
      <c r="BE108" s="6"/>
      <c r="BF108" s="6"/>
      <c r="BG108" s="6"/>
      <c r="BH108" s="6"/>
      <c r="BU108" s="3"/>
      <c r="BV108" s="3"/>
    </row>
    <row r="109" spans="1:74" ht="12.75" customHeight="1" x14ac:dyDescent="0.2">
      <c r="A109" s="6">
        <v>54</v>
      </c>
      <c r="B109" s="6"/>
      <c r="C109" s="6">
        <v>1</v>
      </c>
      <c r="D109" s="6"/>
      <c r="E109" s="6">
        <v>54</v>
      </c>
      <c r="F109" s="6" t="str">
        <f ca="1">Master_List!$AW$1</f>
        <v>PERPUSTAKAAN PUSAT</v>
      </c>
      <c r="G109" s="27" t="str">
        <f ca="1">Master_List!$AW$2</f>
        <v>09:30 PM</v>
      </c>
      <c r="H109" s="32" t="str">
        <f ca="1">Master_List!$AW$3</f>
        <v>20/07/2026</v>
      </c>
      <c r="I109" s="28" t="str">
        <f ca="1">Master_List!$AW$4</f>
        <v>28.5</v>
      </c>
      <c r="J109" s="6" t="str">
        <f ca="1">Master_List!$AW$5</f>
        <v>65</v>
      </c>
      <c r="K109" s="6"/>
      <c r="L109" s="21"/>
      <c r="M109" s="21"/>
      <c r="N109" s="39"/>
      <c r="O109" s="39"/>
      <c r="P109" s="39"/>
      <c r="Q109" s="39"/>
      <c r="R109" s="39"/>
      <c r="S109" s="39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6"/>
      <c r="BE109" s="6"/>
      <c r="BF109" s="6"/>
      <c r="BG109" s="6"/>
      <c r="BH109" s="6"/>
      <c r="BU109" s="3"/>
      <c r="BV109" s="3"/>
    </row>
    <row r="110" spans="1:74" ht="12.75" customHeight="1" x14ac:dyDescent="0.2">
      <c r="A110" s="6">
        <v>55</v>
      </c>
      <c r="B110" s="6"/>
      <c r="C110" s="6">
        <v>1</v>
      </c>
      <c r="D110" s="6"/>
      <c r="E110" s="6">
        <v>55</v>
      </c>
      <c r="F110" s="6" t="str">
        <f ca="1">Master_List!$AW$1</f>
        <v>PERPUSTAKAAN PUSAT</v>
      </c>
      <c r="G110" s="27" t="str">
        <f ca="1">Master_List!$AW$2</f>
        <v>09:30 PM</v>
      </c>
      <c r="H110" s="32" t="str">
        <f ca="1">Master_List!$AW$3</f>
        <v>20/07/2026</v>
      </c>
      <c r="I110" s="28" t="str">
        <f ca="1">Master_List!$AW$4</f>
        <v>28.5</v>
      </c>
      <c r="J110" s="6" t="str">
        <f ca="1">Master_List!$AW$5</f>
        <v>65</v>
      </c>
      <c r="K110" s="6"/>
      <c r="L110" s="21"/>
      <c r="M110" s="21"/>
      <c r="N110" s="39"/>
      <c r="O110" s="39"/>
      <c r="P110" s="39"/>
      <c r="Q110" s="39"/>
      <c r="R110" s="39"/>
      <c r="S110" s="39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6"/>
      <c r="BE110" s="6"/>
      <c r="BF110" s="6"/>
      <c r="BG110" s="6"/>
      <c r="BH110" s="6"/>
      <c r="BU110" s="3"/>
      <c r="BV110" s="3"/>
    </row>
    <row r="111" spans="1:74" ht="12.75" customHeight="1" x14ac:dyDescent="0.2">
      <c r="A111" s="6">
        <v>55</v>
      </c>
      <c r="B111" s="6"/>
      <c r="C111" s="6">
        <v>1</v>
      </c>
      <c r="D111" s="6"/>
      <c r="E111" s="6">
        <v>55</v>
      </c>
      <c r="F111" s="6" t="str">
        <f ca="1">Master_List!$AW$1</f>
        <v>PERPUSTAKAAN PUSAT</v>
      </c>
      <c r="G111" s="27" t="str">
        <f ca="1">Master_List!$AW$2</f>
        <v>09:30 PM</v>
      </c>
      <c r="H111" s="32" t="str">
        <f ca="1">Master_List!$AW$3</f>
        <v>20/07/2026</v>
      </c>
      <c r="I111" s="28" t="str">
        <f ca="1">Master_List!$AW$4</f>
        <v>28.5</v>
      </c>
      <c r="J111" s="6" t="str">
        <f ca="1">Master_List!$AW$5</f>
        <v>65</v>
      </c>
      <c r="K111" s="6"/>
      <c r="L111" s="21"/>
      <c r="M111" s="21"/>
      <c r="N111" s="39"/>
      <c r="O111" s="39"/>
      <c r="P111" s="39"/>
      <c r="Q111" s="39"/>
      <c r="R111" s="39"/>
      <c r="S111" s="39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6"/>
      <c r="BE111" s="6"/>
      <c r="BF111" s="6"/>
      <c r="BG111" s="6"/>
      <c r="BH111" s="6"/>
      <c r="BU111" s="3"/>
      <c r="BV111" s="3"/>
    </row>
    <row r="112" spans="1:74" ht="12.75" customHeight="1" x14ac:dyDescent="0.2">
      <c r="A112" s="6">
        <v>56</v>
      </c>
      <c r="B112" s="6"/>
      <c r="C112" s="6">
        <v>1</v>
      </c>
      <c r="D112" s="6"/>
      <c r="E112" s="6">
        <v>56</v>
      </c>
      <c r="F112" s="6" t="str">
        <f ca="1">Master_List!$AW$1</f>
        <v>PERPUSTAKAAN PUSAT</v>
      </c>
      <c r="G112" s="27" t="str">
        <f ca="1">Master_List!$AW$2</f>
        <v>09:30 PM</v>
      </c>
      <c r="H112" s="32" t="str">
        <f ca="1">Master_List!$AW$3</f>
        <v>20/07/2026</v>
      </c>
      <c r="I112" s="28" t="str">
        <f ca="1">Master_List!$AW$4</f>
        <v>28.5</v>
      </c>
      <c r="J112" s="6" t="str">
        <f ca="1">Master_List!$AW$5</f>
        <v>65</v>
      </c>
      <c r="K112" s="6"/>
      <c r="L112" s="21"/>
      <c r="M112" s="21"/>
      <c r="N112" s="39"/>
      <c r="O112" s="39"/>
      <c r="P112" s="39"/>
      <c r="Q112" s="39"/>
      <c r="R112" s="39"/>
      <c r="S112" s="39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6"/>
      <c r="BE112" s="6"/>
      <c r="BF112" s="6"/>
      <c r="BG112" s="6"/>
      <c r="BH112" s="6"/>
      <c r="BU112" s="3"/>
      <c r="BV112" s="3"/>
    </row>
    <row r="113" spans="1:74" ht="12.75" customHeight="1" x14ac:dyDescent="0.2">
      <c r="A113" s="6">
        <v>56</v>
      </c>
      <c r="B113" s="6"/>
      <c r="C113" s="6">
        <v>1</v>
      </c>
      <c r="D113" s="6"/>
      <c r="E113" s="6">
        <v>56</v>
      </c>
      <c r="F113" s="6" t="str">
        <f ca="1">Master_List!$AW$1</f>
        <v>PERPUSTAKAAN PUSAT</v>
      </c>
      <c r="G113" s="27" t="str">
        <f ca="1">Master_List!$AW$2</f>
        <v>09:30 PM</v>
      </c>
      <c r="H113" s="32" t="str">
        <f ca="1">Master_List!$AW$3</f>
        <v>20/07/2026</v>
      </c>
      <c r="I113" s="28" t="str">
        <f ca="1">Master_List!$AW$4</f>
        <v>28.5</v>
      </c>
      <c r="J113" s="6" t="str">
        <f ca="1">Master_List!$AW$5</f>
        <v>65</v>
      </c>
      <c r="K113" s="6"/>
      <c r="L113" s="21"/>
      <c r="M113" s="21"/>
      <c r="N113" s="39"/>
      <c r="O113" s="39"/>
      <c r="P113" s="39"/>
      <c r="Q113" s="39"/>
      <c r="R113" s="39"/>
      <c r="S113" s="39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6"/>
      <c r="BE113" s="6"/>
      <c r="BF113" s="6"/>
      <c r="BG113" s="6"/>
      <c r="BH113" s="6"/>
      <c r="BU113" s="3"/>
      <c r="BV113" s="3"/>
    </row>
    <row r="114" spans="1:74" ht="12.75" customHeight="1" x14ac:dyDescent="0.2">
      <c r="A114" s="6">
        <v>57</v>
      </c>
      <c r="B114" s="6"/>
      <c r="C114" s="6">
        <v>1</v>
      </c>
      <c r="D114" s="6"/>
      <c r="E114" s="6">
        <v>57</v>
      </c>
      <c r="F114" s="6" t="str">
        <f ca="1">Master_List!$AW$1</f>
        <v>PERPUSTAKAAN PUSAT</v>
      </c>
      <c r="G114" s="27" t="str">
        <f ca="1">Master_List!$AW$2</f>
        <v>09:30 PM</v>
      </c>
      <c r="H114" s="32" t="str">
        <f ca="1">Master_List!$AW$3</f>
        <v>20/07/2026</v>
      </c>
      <c r="I114" s="28" t="str">
        <f ca="1">Master_List!$AW$4</f>
        <v>28.5</v>
      </c>
      <c r="J114" s="6" t="str">
        <f ca="1">Master_List!$AW$5</f>
        <v>65</v>
      </c>
      <c r="K114" s="6"/>
      <c r="L114" s="21"/>
      <c r="M114" s="39"/>
      <c r="N114" s="39"/>
      <c r="O114" s="39"/>
      <c r="P114" s="39"/>
      <c r="Q114" s="39"/>
      <c r="R114" s="39"/>
      <c r="S114" s="39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6"/>
      <c r="BE114" s="6"/>
      <c r="BF114" s="6"/>
      <c r="BG114" s="6"/>
      <c r="BH114" s="6"/>
      <c r="BU114" s="3"/>
      <c r="BV114" s="3"/>
    </row>
    <row r="115" spans="1:74" ht="12.75" customHeight="1" x14ac:dyDescent="0.2">
      <c r="A115" s="6">
        <v>57</v>
      </c>
      <c r="B115" s="6"/>
      <c r="C115" s="6">
        <v>1</v>
      </c>
      <c r="D115" s="6"/>
      <c r="E115" s="6">
        <v>57</v>
      </c>
      <c r="F115" s="6" t="str">
        <f ca="1">Master_List!$AW$1</f>
        <v>PERPUSTAKAAN PUSAT</v>
      </c>
      <c r="G115" s="27" t="str">
        <f ca="1">Master_List!$AW$2</f>
        <v>09:30 PM</v>
      </c>
      <c r="H115" s="32" t="str">
        <f ca="1">Master_List!$AW$3</f>
        <v>20/07/2026</v>
      </c>
      <c r="I115" s="28" t="str">
        <f ca="1">Master_List!$AW$4</f>
        <v>28.5</v>
      </c>
      <c r="J115" s="6" t="str">
        <f ca="1">Master_List!$AW$5</f>
        <v>65</v>
      </c>
      <c r="K115" s="6"/>
      <c r="L115" s="21"/>
      <c r="M115" s="39"/>
      <c r="N115" s="39"/>
      <c r="O115" s="39"/>
      <c r="P115" s="39"/>
      <c r="Q115" s="39"/>
      <c r="R115" s="39"/>
      <c r="S115" s="39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6"/>
      <c r="BE115" s="6"/>
      <c r="BF115" s="6"/>
      <c r="BG115" s="6"/>
      <c r="BH115" s="6"/>
      <c r="BU115" s="3"/>
      <c r="BV115" s="3"/>
    </row>
    <row r="116" spans="1:74" ht="12.75" customHeight="1" x14ac:dyDescent="0.2">
      <c r="A116" s="6">
        <v>58</v>
      </c>
      <c r="B116" s="6"/>
      <c r="C116" s="6">
        <v>1</v>
      </c>
      <c r="D116" s="6"/>
      <c r="E116" s="6">
        <v>58</v>
      </c>
      <c r="F116" s="6" t="str">
        <f ca="1">Master_List!$AW$1</f>
        <v>PERPUSTAKAAN PUSAT</v>
      </c>
      <c r="G116" s="27" t="str">
        <f ca="1">Master_List!$AW$2</f>
        <v>09:30 PM</v>
      </c>
      <c r="H116" s="32" t="str">
        <f ca="1">Master_List!$AW$3</f>
        <v>20/07/2026</v>
      </c>
      <c r="I116" s="28" t="str">
        <f ca="1">Master_List!$AW$4</f>
        <v>28.5</v>
      </c>
      <c r="J116" s="6" t="str">
        <f ca="1">Master_List!$AW$5</f>
        <v>65</v>
      </c>
      <c r="K116" s="6"/>
      <c r="L116" s="21"/>
      <c r="M116" s="39"/>
      <c r="N116" s="39"/>
      <c r="O116" s="39"/>
      <c r="P116" s="39"/>
      <c r="Q116" s="39"/>
      <c r="R116" s="39"/>
      <c r="S116" s="39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6"/>
      <c r="BE116" s="6"/>
      <c r="BF116" s="6"/>
      <c r="BG116" s="6"/>
      <c r="BH116" s="6"/>
      <c r="BU116" s="3"/>
      <c r="BV116" s="3"/>
    </row>
    <row r="117" spans="1:74" ht="12.75" customHeight="1" x14ac:dyDescent="0.2">
      <c r="A117" s="6">
        <v>58</v>
      </c>
      <c r="B117" s="6"/>
      <c r="C117" s="6">
        <v>1</v>
      </c>
      <c r="D117" s="6"/>
      <c r="E117" s="6">
        <v>58</v>
      </c>
      <c r="F117" s="6" t="str">
        <f ca="1">Master_List!$AW$1</f>
        <v>PERPUSTAKAAN PUSAT</v>
      </c>
      <c r="G117" s="27" t="str">
        <f ca="1">Master_List!$AW$2</f>
        <v>09:30 PM</v>
      </c>
      <c r="H117" s="32" t="str">
        <f ca="1">Master_List!$AW$3</f>
        <v>20/07/2026</v>
      </c>
      <c r="I117" s="28" t="str">
        <f ca="1">Master_List!$AW$4</f>
        <v>28.5</v>
      </c>
      <c r="J117" s="6" t="str">
        <f ca="1">Master_List!$AW$5</f>
        <v>65</v>
      </c>
      <c r="K117" s="6"/>
      <c r="L117" s="21"/>
      <c r="M117" s="39"/>
      <c r="N117" s="39"/>
      <c r="O117" s="39"/>
      <c r="P117" s="39"/>
      <c r="Q117" s="39"/>
      <c r="R117" s="39"/>
      <c r="S117" s="39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6"/>
      <c r="BE117" s="6"/>
      <c r="BF117" s="6"/>
      <c r="BG117" s="6"/>
      <c r="BH117" s="6"/>
      <c r="BU117" s="3"/>
      <c r="BV117" s="3"/>
    </row>
    <row r="118" spans="1:74" ht="12.75" customHeight="1" x14ac:dyDescent="0.2">
      <c r="A118" s="6">
        <v>59</v>
      </c>
      <c r="B118" s="6"/>
      <c r="C118" s="6">
        <v>1</v>
      </c>
      <c r="D118" s="6"/>
      <c r="E118" s="6">
        <v>59</v>
      </c>
      <c r="F118" s="6" t="str">
        <f ca="1">Master_List!$AW$1</f>
        <v>PERPUSTAKAAN PUSAT</v>
      </c>
      <c r="G118" s="27" t="str">
        <f ca="1">Master_List!$AW$2</f>
        <v>09:30 PM</v>
      </c>
      <c r="H118" s="32" t="str">
        <f ca="1">Master_List!$AW$3</f>
        <v>20/07/2026</v>
      </c>
      <c r="I118" s="28" t="str">
        <f ca="1">Master_List!$AW$4</f>
        <v>28.5</v>
      </c>
      <c r="J118" s="6" t="str">
        <f ca="1">Master_List!$AW$5</f>
        <v>65</v>
      </c>
      <c r="K118" s="6"/>
      <c r="L118" s="21"/>
      <c r="M118" s="39"/>
      <c r="N118" s="39"/>
      <c r="O118" s="39"/>
      <c r="P118" s="39"/>
      <c r="Q118" s="39"/>
      <c r="R118" s="39"/>
      <c r="S118" s="39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6"/>
      <c r="BE118" s="6"/>
      <c r="BF118" s="6"/>
      <c r="BG118" s="6"/>
      <c r="BH118" s="6"/>
      <c r="BU118" s="3"/>
      <c r="BV118" s="3"/>
    </row>
    <row r="119" spans="1:74" ht="12.75" customHeight="1" x14ac:dyDescent="0.2">
      <c r="A119" s="6">
        <v>59</v>
      </c>
      <c r="B119" s="6"/>
      <c r="C119" s="6">
        <v>1</v>
      </c>
      <c r="D119" s="6"/>
      <c r="E119" s="6">
        <v>59</v>
      </c>
      <c r="F119" s="6" t="str">
        <f ca="1">Master_List!$AW$1</f>
        <v>PERPUSTAKAAN PUSAT</v>
      </c>
      <c r="G119" s="27" t="str">
        <f ca="1">Master_List!$AW$2</f>
        <v>09:30 PM</v>
      </c>
      <c r="H119" s="32" t="str">
        <f ca="1">Master_List!$AW$3</f>
        <v>20/07/2026</v>
      </c>
      <c r="I119" s="28" t="str">
        <f ca="1">Master_List!$AW$4</f>
        <v>28.5</v>
      </c>
      <c r="J119" s="6" t="str">
        <f ca="1">Master_List!$AW$5</f>
        <v>65</v>
      </c>
      <c r="K119" s="6"/>
      <c r="L119" s="21"/>
      <c r="M119" s="39"/>
      <c r="N119" s="39"/>
      <c r="O119" s="39"/>
      <c r="P119" s="39"/>
      <c r="Q119" s="39"/>
      <c r="R119" s="39"/>
      <c r="S119" s="39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6"/>
      <c r="BE119" s="6"/>
      <c r="BF119" s="6"/>
      <c r="BG119" s="6"/>
      <c r="BH119" s="6"/>
      <c r="BU119" s="3"/>
      <c r="BV119" s="3"/>
    </row>
    <row r="120" spans="1:74" ht="12.75" customHeight="1" x14ac:dyDescent="0.2">
      <c r="A120" s="6">
        <v>60</v>
      </c>
      <c r="B120" s="6"/>
      <c r="C120" s="6">
        <v>1</v>
      </c>
      <c r="D120" s="6"/>
      <c r="E120" s="6">
        <v>60</v>
      </c>
      <c r="F120" s="6" t="str">
        <f ca="1">Master_List!$AW$1</f>
        <v>PERPUSTAKAAN PUSAT</v>
      </c>
      <c r="G120" s="27" t="str">
        <f ca="1">Master_List!$AW$2</f>
        <v>09:30 PM</v>
      </c>
      <c r="H120" s="32" t="str">
        <f ca="1">Master_List!$AW$3</f>
        <v>20/07/2026</v>
      </c>
      <c r="I120" s="28" t="str">
        <f ca="1">Master_List!$AW$4</f>
        <v>28.5</v>
      </c>
      <c r="J120" s="6" t="str">
        <f ca="1">Master_List!$AW$5</f>
        <v>65</v>
      </c>
      <c r="K120" s="6"/>
      <c r="L120" s="21"/>
      <c r="M120" s="39"/>
      <c r="N120" s="39"/>
      <c r="O120" s="39"/>
      <c r="P120" s="39"/>
      <c r="Q120" s="39"/>
      <c r="R120" s="39"/>
      <c r="S120" s="39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6"/>
      <c r="BE120" s="6"/>
      <c r="BF120" s="6"/>
      <c r="BG120" s="6"/>
      <c r="BH120" s="6"/>
      <c r="BU120" s="3"/>
      <c r="BV120" s="3"/>
    </row>
    <row r="121" spans="1:74" ht="12.75" customHeight="1" x14ac:dyDescent="0.2">
      <c r="A121" s="6">
        <v>60</v>
      </c>
      <c r="B121" s="6"/>
      <c r="C121" s="6">
        <v>1</v>
      </c>
      <c r="D121" s="6"/>
      <c r="E121" s="6">
        <v>60</v>
      </c>
      <c r="F121" s="6" t="str">
        <f ca="1">Master_List!$AW$1</f>
        <v>PERPUSTAKAAN PUSAT</v>
      </c>
      <c r="G121" s="27" t="str">
        <f ca="1">Master_List!$AW$2</f>
        <v>09:30 PM</v>
      </c>
      <c r="H121" s="32" t="str">
        <f ca="1">Master_List!$AW$3</f>
        <v>20/07/2026</v>
      </c>
      <c r="I121" s="28" t="str">
        <f ca="1">Master_List!$AW$4</f>
        <v>28.5</v>
      </c>
      <c r="J121" s="6" t="str">
        <f ca="1">Master_List!$AW$5</f>
        <v>65</v>
      </c>
      <c r="K121" s="6"/>
      <c r="L121" s="21"/>
      <c r="M121" s="39"/>
      <c r="N121" s="39"/>
      <c r="O121" s="39"/>
      <c r="P121" s="39"/>
      <c r="Q121" s="39"/>
      <c r="R121" s="39"/>
      <c r="S121" s="39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6"/>
      <c r="BE121" s="6"/>
      <c r="BF121" s="6"/>
      <c r="BG121" s="6"/>
      <c r="BH121" s="6"/>
      <c r="BU121" s="3"/>
      <c r="BV121" s="3"/>
    </row>
    <row r="122" spans="1:74" ht="12.75" customHeight="1" x14ac:dyDescent="0.2">
      <c r="A122" s="6">
        <v>61</v>
      </c>
      <c r="B122" s="6"/>
      <c r="C122" s="6">
        <v>1</v>
      </c>
      <c r="D122" s="6"/>
      <c r="E122" s="6">
        <v>61</v>
      </c>
      <c r="F122" s="6" t="str">
        <f ca="1">Master_List!$AW$1</f>
        <v>PERPUSTAKAAN PUSAT</v>
      </c>
      <c r="G122" s="27" t="str">
        <f ca="1">Master_List!$AW$2</f>
        <v>09:30 PM</v>
      </c>
      <c r="H122" s="32" t="str">
        <f ca="1">Master_List!$AW$3</f>
        <v>20/07/2026</v>
      </c>
      <c r="I122" s="28" t="str">
        <f ca="1">Master_List!$AW$4</f>
        <v>28.5</v>
      </c>
      <c r="J122" s="6" t="str">
        <f ca="1">Master_List!$AW$5</f>
        <v>65</v>
      </c>
      <c r="K122" s="6"/>
      <c r="L122" s="21"/>
      <c r="M122" s="39"/>
      <c r="N122" s="39"/>
      <c r="O122" s="39"/>
      <c r="P122" s="39"/>
      <c r="Q122" s="39"/>
      <c r="R122" s="39"/>
      <c r="S122" s="39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6"/>
      <c r="BE122" s="6"/>
      <c r="BF122" s="6"/>
      <c r="BG122" s="6"/>
      <c r="BH122" s="6"/>
      <c r="BU122" s="3"/>
      <c r="BV122" s="3"/>
    </row>
    <row r="123" spans="1:74" ht="12.75" customHeight="1" x14ac:dyDescent="0.2">
      <c r="A123" s="6">
        <v>61</v>
      </c>
      <c r="B123" s="6"/>
      <c r="C123" s="6">
        <v>1</v>
      </c>
      <c r="D123" s="6"/>
      <c r="E123" s="6">
        <v>61</v>
      </c>
      <c r="F123" s="6" t="str">
        <f ca="1">Master_List!$AW$1</f>
        <v>PERPUSTAKAAN PUSAT</v>
      </c>
      <c r="G123" s="27" t="str">
        <f ca="1">Master_List!$AW$2</f>
        <v>09:30 PM</v>
      </c>
      <c r="H123" s="32" t="str">
        <f ca="1">Master_List!$AW$3</f>
        <v>20/07/2026</v>
      </c>
      <c r="I123" s="28" t="str">
        <f ca="1">Master_List!$AW$4</f>
        <v>28.5</v>
      </c>
      <c r="J123" s="6" t="str">
        <f ca="1">Master_List!$AW$5</f>
        <v>65</v>
      </c>
      <c r="K123" s="6"/>
      <c r="L123" s="21"/>
      <c r="M123" s="39"/>
      <c r="N123" s="39"/>
      <c r="O123" s="39"/>
      <c r="P123" s="39"/>
      <c r="Q123" s="39"/>
      <c r="R123" s="39"/>
      <c r="S123" s="39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6"/>
      <c r="BE123" s="6"/>
      <c r="BF123" s="6"/>
      <c r="BG123" s="6"/>
      <c r="BH123" s="6"/>
      <c r="BU123" s="3"/>
      <c r="BV123" s="3"/>
    </row>
    <row r="124" spans="1:74" ht="12.75" customHeight="1" x14ac:dyDescent="0.2">
      <c r="A124" s="6">
        <v>62</v>
      </c>
      <c r="B124" s="6"/>
      <c r="C124" s="6">
        <v>1</v>
      </c>
      <c r="D124" s="6"/>
      <c r="E124" s="6">
        <v>62</v>
      </c>
      <c r="F124" s="6" t="str">
        <f ca="1">Master_List!$AW$1</f>
        <v>PERPUSTAKAAN PUSAT</v>
      </c>
      <c r="G124" s="27" t="str">
        <f ca="1">Master_List!$AW$2</f>
        <v>09:30 PM</v>
      </c>
      <c r="H124" s="32" t="str">
        <f ca="1">Master_List!$AW$3</f>
        <v>20/07/2026</v>
      </c>
      <c r="I124" s="28" t="str">
        <f ca="1">Master_List!$AW$4</f>
        <v>28.5</v>
      </c>
      <c r="J124" s="6" t="str">
        <f ca="1">Master_List!$AW$5</f>
        <v>65</v>
      </c>
      <c r="K124" s="6"/>
      <c r="L124" s="21"/>
      <c r="M124" s="39"/>
      <c r="N124" s="39"/>
      <c r="O124" s="39"/>
      <c r="P124" s="39"/>
      <c r="Q124" s="39"/>
      <c r="R124" s="39"/>
      <c r="S124" s="39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6"/>
      <c r="BE124" s="6"/>
      <c r="BF124" s="6"/>
      <c r="BG124" s="6"/>
      <c r="BH124" s="6"/>
      <c r="BU124" s="3"/>
      <c r="BV124" s="3"/>
    </row>
    <row r="125" spans="1:74" ht="12.75" customHeight="1" x14ac:dyDescent="0.2">
      <c r="A125" s="6">
        <v>62</v>
      </c>
      <c r="B125" s="6"/>
      <c r="C125" s="6">
        <v>1</v>
      </c>
      <c r="D125" s="6"/>
      <c r="E125" s="6">
        <v>62</v>
      </c>
      <c r="F125" s="6" t="str">
        <f ca="1">Master_List!$AW$1</f>
        <v>PERPUSTAKAAN PUSAT</v>
      </c>
      <c r="G125" s="27" t="str">
        <f ca="1">Master_List!$AW$2</f>
        <v>09:30 PM</v>
      </c>
      <c r="H125" s="32" t="str">
        <f ca="1">Master_List!$AW$3</f>
        <v>20/07/2026</v>
      </c>
      <c r="I125" s="28" t="str">
        <f ca="1">Master_List!$AW$4</f>
        <v>28.5</v>
      </c>
      <c r="J125" s="6" t="str">
        <f ca="1">Master_List!$AW$5</f>
        <v>65</v>
      </c>
      <c r="K125" s="6"/>
      <c r="L125" s="21"/>
      <c r="M125" s="39"/>
      <c r="N125" s="39"/>
      <c r="O125" s="39"/>
      <c r="P125" s="39"/>
      <c r="Q125" s="39"/>
      <c r="R125" s="39"/>
      <c r="S125" s="39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6"/>
      <c r="BE125" s="6"/>
      <c r="BF125" s="6"/>
      <c r="BG125" s="6"/>
      <c r="BH125" s="6"/>
      <c r="BU125" s="3"/>
      <c r="BV125" s="3"/>
    </row>
    <row r="126" spans="1:74" ht="12.75" customHeight="1" x14ac:dyDescent="0.2">
      <c r="A126" s="6">
        <v>63</v>
      </c>
      <c r="B126" s="6"/>
      <c r="C126" s="6">
        <v>1</v>
      </c>
      <c r="D126" s="6"/>
      <c r="E126" s="6">
        <v>63</v>
      </c>
      <c r="F126" s="6" t="str">
        <f ca="1">Master_List!$AW$1</f>
        <v>PERPUSTAKAAN PUSAT</v>
      </c>
      <c r="G126" s="27" t="str">
        <f ca="1">Master_List!$AW$2</f>
        <v>09:30 PM</v>
      </c>
      <c r="H126" s="32" t="str">
        <f ca="1">Master_List!$AW$3</f>
        <v>20/07/2026</v>
      </c>
      <c r="I126" s="28" t="str">
        <f ca="1">Master_List!$AW$4</f>
        <v>28.5</v>
      </c>
      <c r="J126" s="6" t="str">
        <f ca="1">Master_List!$AW$5</f>
        <v>65</v>
      </c>
      <c r="K126" s="6"/>
      <c r="L126" s="21"/>
      <c r="M126" s="39"/>
      <c r="N126" s="39"/>
      <c r="O126" s="39"/>
      <c r="P126" s="39"/>
      <c r="Q126" s="39"/>
      <c r="R126" s="39"/>
      <c r="S126" s="39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6"/>
      <c r="BE126" s="6"/>
      <c r="BF126" s="6"/>
      <c r="BG126" s="6"/>
      <c r="BH126" s="6"/>
      <c r="BU126" s="3"/>
      <c r="BV126" s="3"/>
    </row>
    <row r="127" spans="1:74" ht="12.75" customHeight="1" x14ac:dyDescent="0.2">
      <c r="A127" s="6">
        <v>63</v>
      </c>
      <c r="B127" s="6"/>
      <c r="C127" s="6">
        <v>1</v>
      </c>
      <c r="D127" s="6"/>
      <c r="E127" s="6">
        <v>63</v>
      </c>
      <c r="F127" s="6" t="str">
        <f ca="1">Master_List!$AW$1</f>
        <v>PERPUSTAKAAN PUSAT</v>
      </c>
      <c r="G127" s="27" t="str">
        <f ca="1">Master_List!$AW$2</f>
        <v>09:30 PM</v>
      </c>
      <c r="H127" s="32" t="str">
        <f ca="1">Master_List!$AW$3</f>
        <v>20/07/2026</v>
      </c>
      <c r="I127" s="28" t="str">
        <f ca="1">Master_List!$AW$4</f>
        <v>28.5</v>
      </c>
      <c r="J127" s="6" t="str">
        <f ca="1">Master_List!$AW$5</f>
        <v>65</v>
      </c>
      <c r="K127" s="6"/>
      <c r="L127" s="21"/>
      <c r="M127" s="39"/>
      <c r="N127" s="39"/>
      <c r="O127" s="39"/>
      <c r="P127" s="39"/>
      <c r="Q127" s="39"/>
      <c r="R127" s="39"/>
      <c r="S127" s="39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6"/>
      <c r="BE127" s="6"/>
      <c r="BF127" s="6"/>
      <c r="BG127" s="6"/>
      <c r="BH127" s="6"/>
      <c r="BU127" s="3"/>
      <c r="BV127" s="3"/>
    </row>
    <row r="128" spans="1:74" ht="12.75" customHeight="1" x14ac:dyDescent="0.2">
      <c r="A128" s="6">
        <v>64</v>
      </c>
      <c r="B128" s="6"/>
      <c r="C128" s="6">
        <v>1</v>
      </c>
      <c r="D128" s="6"/>
      <c r="E128" s="6">
        <v>64</v>
      </c>
      <c r="F128" s="6" t="str">
        <f ca="1">Master_List!$AW$1</f>
        <v>PERPUSTAKAAN PUSAT</v>
      </c>
      <c r="G128" s="27" t="str">
        <f ca="1">Master_List!$AW$2</f>
        <v>09:30 PM</v>
      </c>
      <c r="H128" s="32" t="str">
        <f ca="1">Master_List!$AW$3</f>
        <v>20/07/2026</v>
      </c>
      <c r="I128" s="28" t="str">
        <f ca="1">Master_List!$AW$4</f>
        <v>28.5</v>
      </c>
      <c r="J128" s="6" t="str">
        <f ca="1">Master_List!$AW$5</f>
        <v>65</v>
      </c>
      <c r="K128" s="6"/>
      <c r="L128" s="21"/>
      <c r="M128" s="39"/>
      <c r="N128" s="39"/>
      <c r="O128" s="39"/>
      <c r="P128" s="39"/>
      <c r="Q128" s="39"/>
      <c r="R128" s="39"/>
      <c r="S128" s="39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6"/>
      <c r="BE128" s="6"/>
      <c r="BF128" s="6"/>
      <c r="BG128" s="6"/>
      <c r="BH128" s="6"/>
      <c r="BU128" s="3"/>
      <c r="BV128" s="3"/>
    </row>
    <row r="129" spans="1:74" ht="12.75" customHeight="1" x14ac:dyDescent="0.2">
      <c r="A129" s="6">
        <v>64</v>
      </c>
      <c r="B129" s="6"/>
      <c r="C129" s="6">
        <v>1</v>
      </c>
      <c r="D129" s="6"/>
      <c r="E129" s="6">
        <v>64</v>
      </c>
      <c r="F129" s="6" t="str">
        <f ca="1">Master_List!$AW$1</f>
        <v>PERPUSTAKAAN PUSAT</v>
      </c>
      <c r="G129" s="27" t="str">
        <f ca="1">Master_List!$AW$2</f>
        <v>09:30 PM</v>
      </c>
      <c r="H129" s="32" t="str">
        <f ca="1">Master_List!$AW$3</f>
        <v>20/07/2026</v>
      </c>
      <c r="I129" s="28" t="str">
        <f ca="1">Master_List!$AW$4</f>
        <v>28.5</v>
      </c>
      <c r="J129" s="6" t="str">
        <f ca="1">Master_List!$AW$5</f>
        <v>65</v>
      </c>
      <c r="K129" s="6"/>
      <c r="L129" s="21"/>
      <c r="M129" s="39"/>
      <c r="N129" s="39"/>
      <c r="O129" s="39"/>
      <c r="P129" s="39"/>
      <c r="Q129" s="39"/>
      <c r="R129" s="39"/>
      <c r="S129" s="39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6"/>
      <c r="BE129" s="6"/>
      <c r="BF129" s="6"/>
      <c r="BG129" s="6"/>
      <c r="BH129" s="6"/>
      <c r="BU129" s="3"/>
      <c r="BV129" s="3"/>
    </row>
    <row r="130" spans="1:74" ht="12.75" customHeight="1" x14ac:dyDescent="0.2">
      <c r="A130" s="6">
        <v>65</v>
      </c>
      <c r="B130" s="6"/>
      <c r="C130" s="6">
        <v>1</v>
      </c>
      <c r="D130" s="6"/>
      <c r="E130" s="6">
        <v>65</v>
      </c>
      <c r="F130" s="6" t="str">
        <f ca="1">Master_List!$AW$1</f>
        <v>PERPUSTAKAAN PUSAT</v>
      </c>
      <c r="G130" s="27" t="str">
        <f ca="1">Master_List!$AW$2</f>
        <v>09:30 PM</v>
      </c>
      <c r="H130" s="32" t="str">
        <f ca="1">Master_List!$AW$3</f>
        <v>20/07/2026</v>
      </c>
      <c r="I130" s="28" t="str">
        <f ca="1">Master_List!$AW$4</f>
        <v>28.5</v>
      </c>
      <c r="J130" s="6" t="str">
        <f ca="1">Master_List!$AW$5</f>
        <v>65</v>
      </c>
      <c r="K130" s="6"/>
      <c r="L130" s="21"/>
      <c r="M130" s="39"/>
      <c r="N130" s="39"/>
      <c r="O130" s="39"/>
      <c r="P130" s="39"/>
      <c r="Q130" s="39"/>
      <c r="R130" s="39"/>
      <c r="S130" s="39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6"/>
      <c r="BE130" s="6"/>
      <c r="BF130" s="6"/>
      <c r="BG130" s="6"/>
      <c r="BH130" s="6"/>
      <c r="BU130" s="3"/>
      <c r="BV130" s="3"/>
    </row>
    <row r="131" spans="1:74" ht="12.75" customHeight="1" x14ac:dyDescent="0.2">
      <c r="A131" s="6">
        <v>65</v>
      </c>
      <c r="B131" s="6"/>
      <c r="C131" s="6">
        <v>1</v>
      </c>
      <c r="D131" s="6"/>
      <c r="E131" s="6">
        <v>65</v>
      </c>
      <c r="F131" s="6" t="str">
        <f ca="1">Master_List!$AW$1</f>
        <v>PERPUSTAKAAN PUSAT</v>
      </c>
      <c r="G131" s="27" t="str">
        <f ca="1">Master_List!$AW$2</f>
        <v>09:30 PM</v>
      </c>
      <c r="H131" s="32" t="str">
        <f ca="1">Master_List!$AW$3</f>
        <v>20/07/2026</v>
      </c>
      <c r="I131" s="28" t="str">
        <f ca="1">Master_List!$AW$4</f>
        <v>28.5</v>
      </c>
      <c r="J131" s="6" t="str">
        <f ca="1">Master_List!$AW$5</f>
        <v>65</v>
      </c>
      <c r="K131" s="6"/>
      <c r="L131" s="21"/>
      <c r="M131" s="39"/>
      <c r="N131" s="39"/>
      <c r="O131" s="39"/>
      <c r="P131" s="39"/>
      <c r="Q131" s="39"/>
      <c r="R131" s="39"/>
      <c r="S131" s="39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6"/>
      <c r="BE131" s="6"/>
      <c r="BF131" s="6"/>
      <c r="BG131" s="6"/>
      <c r="BH131" s="6"/>
      <c r="BU131" s="3"/>
      <c r="BV131" s="3"/>
    </row>
    <row r="132" spans="1:74" ht="12.75" customHeight="1" x14ac:dyDescent="0.2">
      <c r="A132" s="6">
        <v>66</v>
      </c>
      <c r="B132" s="6"/>
      <c r="C132" s="6">
        <v>1</v>
      </c>
      <c r="D132" s="6"/>
      <c r="E132" s="6">
        <v>66</v>
      </c>
      <c r="F132" s="6" t="str">
        <f ca="1">Master_List!$AW$1</f>
        <v>PERPUSTAKAAN PUSAT</v>
      </c>
      <c r="G132" s="27" t="str">
        <f ca="1">Master_List!$AW$2</f>
        <v>09:30 PM</v>
      </c>
      <c r="H132" s="32" t="str">
        <f ca="1">Master_List!$AW$3</f>
        <v>20/07/2026</v>
      </c>
      <c r="I132" s="28" t="str">
        <f ca="1">Master_List!$AW$4</f>
        <v>28.5</v>
      </c>
      <c r="J132" s="6" t="str">
        <f ca="1">Master_List!$AW$5</f>
        <v>65</v>
      </c>
      <c r="K132" s="6"/>
      <c r="L132" s="21"/>
      <c r="M132" s="39"/>
      <c r="N132" s="39"/>
      <c r="O132" s="39"/>
      <c r="P132" s="39"/>
      <c r="Q132" s="39"/>
      <c r="R132" s="39"/>
      <c r="S132" s="39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6"/>
      <c r="BE132" s="6"/>
      <c r="BF132" s="6"/>
      <c r="BG132" s="6"/>
      <c r="BH132" s="6"/>
      <c r="BU132" s="3"/>
      <c r="BV132" s="3"/>
    </row>
    <row r="133" spans="1:74" ht="12.75" customHeight="1" x14ac:dyDescent="0.2">
      <c r="A133" s="6">
        <v>66</v>
      </c>
      <c r="B133" s="6"/>
      <c r="C133" s="6">
        <v>1</v>
      </c>
      <c r="D133" s="6"/>
      <c r="E133" s="6">
        <v>66</v>
      </c>
      <c r="F133" s="6" t="str">
        <f ca="1">Master_List!$AW$1</f>
        <v>PERPUSTAKAAN PUSAT</v>
      </c>
      <c r="G133" s="27" t="str">
        <f ca="1">Master_List!$AW$2</f>
        <v>09:30 PM</v>
      </c>
      <c r="H133" s="32" t="str">
        <f ca="1">Master_List!$AW$3</f>
        <v>20/07/2026</v>
      </c>
      <c r="I133" s="28" t="str">
        <f ca="1">Master_List!$AW$4</f>
        <v>28.5</v>
      </c>
      <c r="J133" s="6" t="str">
        <f ca="1">Master_List!$AW$5</f>
        <v>65</v>
      </c>
      <c r="K133" s="6"/>
      <c r="L133" s="21"/>
      <c r="M133" s="39"/>
      <c r="N133" s="39"/>
      <c r="O133" s="39"/>
      <c r="P133" s="39"/>
      <c r="Q133" s="39"/>
      <c r="R133" s="39"/>
      <c r="S133" s="39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6"/>
      <c r="BE133" s="6"/>
      <c r="BF133" s="6"/>
      <c r="BG133" s="6"/>
      <c r="BH133" s="6"/>
      <c r="BU133" s="3"/>
      <c r="BV133" s="3"/>
    </row>
    <row r="134" spans="1:74" ht="12.75" customHeight="1" x14ac:dyDescent="0.2">
      <c r="A134" s="6">
        <v>67</v>
      </c>
      <c r="B134" s="6"/>
      <c r="C134" s="6">
        <v>1</v>
      </c>
      <c r="D134" s="6"/>
      <c r="E134" s="6">
        <v>67</v>
      </c>
      <c r="F134" s="6" t="str">
        <f ca="1">Master_List!$AW$1</f>
        <v>PERPUSTAKAAN PUSAT</v>
      </c>
      <c r="G134" s="27" t="str">
        <f ca="1">Master_List!$AW$2</f>
        <v>09:30 PM</v>
      </c>
      <c r="H134" s="32" t="str">
        <f ca="1">Master_List!$AW$3</f>
        <v>20/07/2026</v>
      </c>
      <c r="I134" s="28" t="str">
        <f ca="1">Master_List!$AW$4</f>
        <v>28.5</v>
      </c>
      <c r="J134" s="6" t="str">
        <f ca="1">Master_List!$AW$5</f>
        <v>65</v>
      </c>
      <c r="K134" s="6"/>
      <c r="L134" s="21"/>
      <c r="M134" s="39"/>
      <c r="N134" s="39"/>
      <c r="O134" s="39"/>
      <c r="P134" s="39"/>
      <c r="Q134" s="39"/>
      <c r="R134" s="39"/>
      <c r="S134" s="39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6"/>
      <c r="BE134" s="6"/>
      <c r="BF134" s="6"/>
      <c r="BG134" s="6"/>
      <c r="BH134" s="6"/>
      <c r="BU134" s="3"/>
      <c r="BV134" s="3"/>
    </row>
    <row r="135" spans="1:74" ht="12.75" customHeight="1" x14ac:dyDescent="0.2">
      <c r="A135" s="6">
        <v>67</v>
      </c>
      <c r="B135" s="6"/>
      <c r="C135" s="6">
        <v>1</v>
      </c>
      <c r="D135" s="6"/>
      <c r="E135" s="6">
        <v>67</v>
      </c>
      <c r="F135" s="6" t="str">
        <f ca="1">Master_List!$AW$1</f>
        <v>PERPUSTAKAAN PUSAT</v>
      </c>
      <c r="G135" s="27" t="str">
        <f ca="1">Master_List!$AW$2</f>
        <v>09:30 PM</v>
      </c>
      <c r="H135" s="32" t="str">
        <f ca="1">Master_List!$AW$3</f>
        <v>20/07/2026</v>
      </c>
      <c r="I135" s="28" t="str">
        <f ca="1">Master_List!$AW$4</f>
        <v>28.5</v>
      </c>
      <c r="J135" s="6" t="str">
        <f ca="1">Master_List!$AW$5</f>
        <v>65</v>
      </c>
      <c r="K135" s="6"/>
      <c r="L135" s="21"/>
      <c r="M135" s="39"/>
      <c r="N135" s="39"/>
      <c r="O135" s="39"/>
      <c r="P135" s="39"/>
      <c r="Q135" s="39"/>
      <c r="R135" s="39"/>
      <c r="S135" s="39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6"/>
      <c r="BE135" s="6"/>
      <c r="BF135" s="6"/>
      <c r="BG135" s="6"/>
      <c r="BH135" s="6"/>
      <c r="BU135" s="3"/>
      <c r="BV135" s="3"/>
    </row>
    <row r="136" spans="1:74" ht="12.75" customHeight="1" x14ac:dyDescent="0.2">
      <c r="A136" s="6">
        <v>68</v>
      </c>
      <c r="B136" s="6"/>
      <c r="C136" s="6">
        <v>1</v>
      </c>
      <c r="D136" s="6"/>
      <c r="E136" s="6">
        <v>68</v>
      </c>
      <c r="F136" s="6" t="str">
        <f ca="1">Master_List!$AW$1</f>
        <v>PERPUSTAKAAN PUSAT</v>
      </c>
      <c r="G136" s="27" t="str">
        <f ca="1">Master_List!$AW$2</f>
        <v>09:30 PM</v>
      </c>
      <c r="H136" s="32" t="str">
        <f ca="1">Master_List!$AW$3</f>
        <v>20/07/2026</v>
      </c>
      <c r="I136" s="28" t="str">
        <f ca="1">Master_List!$AW$4</f>
        <v>28.5</v>
      </c>
      <c r="J136" s="6" t="str">
        <f ca="1">Master_List!$AW$5</f>
        <v>65</v>
      </c>
      <c r="K136" s="6"/>
      <c r="L136" s="21"/>
      <c r="M136" s="39"/>
      <c r="N136" s="39"/>
      <c r="O136" s="39"/>
      <c r="P136" s="39"/>
      <c r="Q136" s="39"/>
      <c r="R136" s="39"/>
      <c r="S136" s="39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6"/>
      <c r="BE136" s="6"/>
      <c r="BF136" s="6"/>
      <c r="BG136" s="6"/>
      <c r="BH136" s="6"/>
      <c r="BU136" s="3"/>
      <c r="BV136" s="3"/>
    </row>
    <row r="137" spans="1:74" ht="12.75" customHeight="1" x14ac:dyDescent="0.2">
      <c r="A137" s="6">
        <v>68</v>
      </c>
      <c r="B137" s="6"/>
      <c r="C137" s="6">
        <v>1</v>
      </c>
      <c r="D137" s="6"/>
      <c r="E137" s="6">
        <v>68</v>
      </c>
      <c r="F137" s="6" t="str">
        <f ca="1">Master_List!$AW$1</f>
        <v>PERPUSTAKAAN PUSAT</v>
      </c>
      <c r="G137" s="27" t="str">
        <f ca="1">Master_List!$AW$2</f>
        <v>09:30 PM</v>
      </c>
      <c r="H137" s="32" t="str">
        <f ca="1">Master_List!$AW$3</f>
        <v>20/07/2026</v>
      </c>
      <c r="I137" s="28" t="str">
        <f ca="1">Master_List!$AW$4</f>
        <v>28.5</v>
      </c>
      <c r="J137" s="6" t="str">
        <f ca="1">Master_List!$AW$5</f>
        <v>65</v>
      </c>
      <c r="K137" s="6"/>
      <c r="L137" s="21"/>
      <c r="M137" s="39"/>
      <c r="N137" s="39"/>
      <c r="O137" s="39"/>
      <c r="P137" s="39"/>
      <c r="Q137" s="39"/>
      <c r="R137" s="39"/>
      <c r="S137" s="39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6"/>
      <c r="BE137" s="6"/>
      <c r="BF137" s="6"/>
      <c r="BG137" s="6"/>
      <c r="BH137" s="6"/>
      <c r="BU137" s="3"/>
      <c r="BV137" s="3"/>
    </row>
    <row r="138" spans="1:74" ht="12.75" customHeight="1" x14ac:dyDescent="0.2">
      <c r="A138" s="6">
        <v>69</v>
      </c>
      <c r="B138" s="6"/>
      <c r="C138" s="6">
        <v>1</v>
      </c>
      <c r="D138" s="6"/>
      <c r="E138" s="6">
        <v>69</v>
      </c>
      <c r="F138" s="6" t="str">
        <f ca="1">Master_List!$AW$1</f>
        <v>PERPUSTAKAAN PUSAT</v>
      </c>
      <c r="G138" s="27" t="str">
        <f ca="1">Master_List!$AW$2</f>
        <v>09:30 PM</v>
      </c>
      <c r="H138" s="32" t="str">
        <f ca="1">Master_List!$AW$3</f>
        <v>20/07/2026</v>
      </c>
      <c r="I138" s="28" t="str">
        <f ca="1">Master_List!$AW$4</f>
        <v>28.5</v>
      </c>
      <c r="J138" s="6" t="str">
        <f ca="1">Master_List!$AW$5</f>
        <v>65</v>
      </c>
      <c r="K138" s="6"/>
      <c r="L138" s="21"/>
      <c r="M138" s="39"/>
      <c r="N138" s="39"/>
      <c r="O138" s="39"/>
      <c r="P138" s="39"/>
      <c r="Q138" s="39"/>
      <c r="R138" s="39"/>
      <c r="S138" s="39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6"/>
      <c r="BE138" s="6"/>
      <c r="BF138" s="6"/>
      <c r="BG138" s="6"/>
      <c r="BH138" s="6"/>
      <c r="BU138" s="3"/>
      <c r="BV138" s="3"/>
    </row>
    <row r="139" spans="1:74" ht="12.75" customHeight="1" x14ac:dyDescent="0.2">
      <c r="A139" s="6">
        <v>69</v>
      </c>
      <c r="B139" s="6"/>
      <c r="C139" s="6">
        <v>1</v>
      </c>
      <c r="D139" s="6"/>
      <c r="E139" s="6">
        <v>69</v>
      </c>
      <c r="F139" s="6" t="str">
        <f ca="1">Master_List!$AW$1</f>
        <v>PERPUSTAKAAN PUSAT</v>
      </c>
      <c r="G139" s="27" t="str">
        <f ca="1">Master_List!$AW$2</f>
        <v>09:30 PM</v>
      </c>
      <c r="H139" s="32" t="str">
        <f ca="1">Master_List!$AW$3</f>
        <v>20/07/2026</v>
      </c>
      <c r="I139" s="28" t="str">
        <f ca="1">Master_List!$AW$4</f>
        <v>28.5</v>
      </c>
      <c r="J139" s="6" t="str">
        <f ca="1">Master_List!$AW$5</f>
        <v>65</v>
      </c>
      <c r="K139" s="6"/>
      <c r="L139" s="21"/>
      <c r="M139" s="39"/>
      <c r="N139" s="39"/>
      <c r="O139" s="39"/>
      <c r="P139" s="39"/>
      <c r="Q139" s="39"/>
      <c r="R139" s="39"/>
      <c r="S139" s="39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6"/>
      <c r="BE139" s="6"/>
      <c r="BF139" s="6"/>
      <c r="BG139" s="6"/>
      <c r="BH139" s="6"/>
      <c r="BU139" s="3"/>
      <c r="BV139" s="3"/>
    </row>
    <row r="140" spans="1:74" ht="12.75" customHeight="1" x14ac:dyDescent="0.2">
      <c r="A140" s="6">
        <v>70</v>
      </c>
      <c r="B140" s="6"/>
      <c r="C140" s="6">
        <v>1</v>
      </c>
      <c r="D140" s="6"/>
      <c r="E140" s="6">
        <v>70</v>
      </c>
      <c r="F140" s="6" t="str">
        <f ca="1">Master_List!$AW$1</f>
        <v>PERPUSTAKAAN PUSAT</v>
      </c>
      <c r="G140" s="27" t="str">
        <f ca="1">Master_List!$AW$2</f>
        <v>09:30 PM</v>
      </c>
      <c r="H140" s="32" t="str">
        <f ca="1">Master_List!$AW$3</f>
        <v>20/07/2026</v>
      </c>
      <c r="I140" s="28" t="str">
        <f ca="1">Master_List!$AW$4</f>
        <v>28.5</v>
      </c>
      <c r="J140" s="6" t="str">
        <f ca="1">Master_List!$AW$5</f>
        <v>65</v>
      </c>
      <c r="K140" s="6"/>
      <c r="L140" s="21"/>
      <c r="M140" s="39"/>
      <c r="N140" s="39"/>
      <c r="O140" s="39"/>
      <c r="P140" s="39"/>
      <c r="Q140" s="39"/>
      <c r="R140" s="39"/>
      <c r="S140" s="39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6"/>
      <c r="BE140" s="6"/>
      <c r="BF140" s="6"/>
      <c r="BG140" s="6"/>
      <c r="BH140" s="6"/>
      <c r="BU140" s="3"/>
      <c r="BV140" s="3"/>
    </row>
    <row r="141" spans="1:74" ht="12.75" customHeight="1" x14ac:dyDescent="0.2">
      <c r="A141" s="6">
        <v>70</v>
      </c>
      <c r="B141" s="6"/>
      <c r="C141" s="6">
        <v>1</v>
      </c>
      <c r="D141" s="6"/>
      <c r="E141" s="6">
        <v>70</v>
      </c>
      <c r="F141" s="6" t="str">
        <f ca="1">Master_List!$AW$1</f>
        <v>PERPUSTAKAAN PUSAT</v>
      </c>
      <c r="G141" s="27" t="str">
        <f ca="1">Master_List!$AW$2</f>
        <v>09:30 PM</v>
      </c>
      <c r="H141" s="32" t="str">
        <f ca="1">Master_List!$AW$3</f>
        <v>20/07/2026</v>
      </c>
      <c r="I141" s="28" t="str">
        <f ca="1">Master_List!$AW$4</f>
        <v>28.5</v>
      </c>
      <c r="J141" s="6" t="str">
        <f ca="1">Master_List!$AW$5</f>
        <v>65</v>
      </c>
      <c r="K141" s="6"/>
      <c r="L141" s="21"/>
      <c r="M141" s="39"/>
      <c r="N141" s="39"/>
      <c r="O141" s="39"/>
      <c r="P141" s="39"/>
      <c r="Q141" s="39"/>
      <c r="R141" s="39"/>
      <c r="S141" s="39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6"/>
      <c r="BE141" s="6"/>
      <c r="BF141" s="6"/>
      <c r="BG141" s="6"/>
      <c r="BH141" s="6"/>
      <c r="BU141" s="3"/>
      <c r="BV141" s="3"/>
    </row>
    <row r="142" spans="1:74" ht="12.75" customHeight="1" x14ac:dyDescent="0.2">
      <c r="A142" s="6">
        <v>71</v>
      </c>
      <c r="B142" s="6"/>
      <c r="C142" s="6">
        <v>1</v>
      </c>
      <c r="D142" s="6"/>
      <c r="E142" s="6">
        <v>71</v>
      </c>
      <c r="F142" s="6" t="str">
        <f ca="1">Master_List!$AW$1</f>
        <v>PERPUSTAKAAN PUSAT</v>
      </c>
      <c r="G142" s="27" t="str">
        <f ca="1">Master_List!$AW$2</f>
        <v>09:30 PM</v>
      </c>
      <c r="H142" s="32" t="str">
        <f ca="1">Master_List!$AW$3</f>
        <v>20/07/2026</v>
      </c>
      <c r="I142" s="28" t="str">
        <f ca="1">Master_List!$AW$4</f>
        <v>28.5</v>
      </c>
      <c r="J142" s="6" t="str">
        <f ca="1">Master_List!$AW$5</f>
        <v>65</v>
      </c>
      <c r="K142" s="6"/>
      <c r="L142" s="21"/>
      <c r="M142" s="39"/>
      <c r="N142" s="39"/>
      <c r="O142" s="39"/>
      <c r="P142" s="39"/>
      <c r="Q142" s="39"/>
      <c r="R142" s="39"/>
      <c r="S142" s="39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6"/>
      <c r="BE142" s="6"/>
      <c r="BF142" s="6"/>
      <c r="BG142" s="6"/>
      <c r="BH142" s="6"/>
      <c r="BU142" s="3"/>
      <c r="BV142" s="3"/>
    </row>
    <row r="143" spans="1:74" ht="12.75" customHeight="1" x14ac:dyDescent="0.2">
      <c r="A143" s="6">
        <v>71</v>
      </c>
      <c r="B143" s="6"/>
      <c r="C143" s="6">
        <v>1</v>
      </c>
      <c r="D143" s="6"/>
      <c r="E143" s="6">
        <v>71</v>
      </c>
      <c r="F143" s="6" t="str">
        <f ca="1">Master_List!$AW$1</f>
        <v>PERPUSTAKAAN PUSAT</v>
      </c>
      <c r="G143" s="27" t="str">
        <f ca="1">Master_List!$AW$2</f>
        <v>09:30 PM</v>
      </c>
      <c r="H143" s="32" t="str">
        <f ca="1">Master_List!$AW$3</f>
        <v>20/07/2026</v>
      </c>
      <c r="I143" s="28" t="str">
        <f ca="1">Master_List!$AW$4</f>
        <v>28.5</v>
      </c>
      <c r="J143" s="6" t="str">
        <f ca="1">Master_List!$AW$5</f>
        <v>65</v>
      </c>
      <c r="K143" s="6"/>
      <c r="L143" s="21"/>
      <c r="M143" s="39"/>
      <c r="N143" s="39"/>
      <c r="O143" s="39"/>
      <c r="P143" s="39"/>
      <c r="Q143" s="39"/>
      <c r="R143" s="39"/>
      <c r="S143" s="39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6"/>
      <c r="BE143" s="6"/>
      <c r="BF143" s="6"/>
      <c r="BG143" s="6"/>
      <c r="BH143" s="6"/>
      <c r="BU143" s="3"/>
      <c r="BV143" s="3"/>
    </row>
    <row r="144" spans="1:74" ht="12.75" customHeight="1" x14ac:dyDescent="0.2">
      <c r="A144" s="6">
        <v>72</v>
      </c>
      <c r="B144" s="6"/>
      <c r="C144" s="6">
        <v>1</v>
      </c>
      <c r="D144" s="6"/>
      <c r="E144" s="6">
        <v>72</v>
      </c>
      <c r="F144" s="6" t="str">
        <f ca="1">Master_List!$AW$1</f>
        <v>PERPUSTAKAAN PUSAT</v>
      </c>
      <c r="G144" s="27" t="str">
        <f ca="1">Master_List!$AW$2</f>
        <v>09:30 PM</v>
      </c>
      <c r="H144" s="32" t="str">
        <f ca="1">Master_List!$AW$3</f>
        <v>20/07/2026</v>
      </c>
      <c r="I144" s="28" t="str">
        <f ca="1">Master_List!$AW$4</f>
        <v>28.5</v>
      </c>
      <c r="J144" s="6" t="str">
        <f ca="1">Master_List!$AW$5</f>
        <v>65</v>
      </c>
      <c r="K144" s="6"/>
      <c r="L144" s="21"/>
      <c r="M144" s="39"/>
      <c r="N144" s="39"/>
      <c r="O144" s="39"/>
      <c r="P144" s="39"/>
      <c r="Q144" s="39"/>
      <c r="R144" s="39"/>
      <c r="S144" s="39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6"/>
      <c r="BE144" s="6"/>
      <c r="BF144" s="6"/>
      <c r="BG144" s="6"/>
      <c r="BH144" s="6"/>
      <c r="BU144" s="3"/>
      <c r="BV144" s="3"/>
    </row>
    <row r="145" spans="1:74" ht="12.75" customHeight="1" x14ac:dyDescent="0.2">
      <c r="A145" s="6">
        <v>72</v>
      </c>
      <c r="B145" s="6"/>
      <c r="C145" s="6">
        <v>1</v>
      </c>
      <c r="D145" s="6"/>
      <c r="E145" s="6">
        <v>72</v>
      </c>
      <c r="F145" s="6" t="str">
        <f ca="1">Master_List!$AW$1</f>
        <v>PERPUSTAKAAN PUSAT</v>
      </c>
      <c r="G145" s="27" t="str">
        <f ca="1">Master_List!$AW$2</f>
        <v>09:30 PM</v>
      </c>
      <c r="H145" s="32" t="str">
        <f ca="1">Master_List!$AW$3</f>
        <v>20/07/2026</v>
      </c>
      <c r="I145" s="28" t="str">
        <f ca="1">Master_List!$AW$4</f>
        <v>28.5</v>
      </c>
      <c r="J145" s="6" t="str">
        <f ca="1">Master_List!$AW$5</f>
        <v>65</v>
      </c>
      <c r="K145" s="6"/>
      <c r="L145" s="21"/>
      <c r="M145" s="39"/>
      <c r="N145" s="39"/>
      <c r="O145" s="39"/>
      <c r="P145" s="39"/>
      <c r="Q145" s="39"/>
      <c r="R145" s="39"/>
      <c r="S145" s="39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6"/>
      <c r="BE145" s="6"/>
      <c r="BF145" s="6"/>
      <c r="BG145" s="6"/>
      <c r="BH145" s="6"/>
      <c r="BU145" s="3"/>
      <c r="BV145" s="3"/>
    </row>
    <row r="146" spans="1:74" ht="12.75" customHeight="1" x14ac:dyDescent="0.2">
      <c r="A146" s="6">
        <v>73</v>
      </c>
      <c r="B146" s="6"/>
      <c r="C146" s="6">
        <v>1</v>
      </c>
      <c r="D146" s="6"/>
      <c r="E146" s="6">
        <v>73</v>
      </c>
      <c r="F146" s="6" t="str">
        <f ca="1">Master_List!$AW$1</f>
        <v>PERPUSTAKAAN PUSAT</v>
      </c>
      <c r="G146" s="27" t="str">
        <f ca="1">Master_List!$AW$2</f>
        <v>09:30 PM</v>
      </c>
      <c r="H146" s="32" t="str">
        <f ca="1">Master_List!$AW$3</f>
        <v>20/07/2026</v>
      </c>
      <c r="I146" s="28" t="str">
        <f ca="1">Master_List!$AW$4</f>
        <v>28.5</v>
      </c>
      <c r="J146" s="6" t="str">
        <f ca="1">Master_List!$AW$5</f>
        <v>65</v>
      </c>
      <c r="K146" s="6"/>
      <c r="L146" s="21"/>
      <c r="M146" s="39"/>
      <c r="N146" s="39"/>
      <c r="O146" s="39"/>
      <c r="P146" s="39"/>
      <c r="Q146" s="39"/>
      <c r="R146" s="39"/>
      <c r="S146" s="39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6"/>
      <c r="BE146" s="6"/>
      <c r="BF146" s="6"/>
      <c r="BG146" s="6"/>
      <c r="BH146" s="6"/>
      <c r="BU146" s="3"/>
      <c r="BV146" s="3"/>
    </row>
    <row r="147" spans="1:74" ht="12.75" customHeight="1" x14ac:dyDescent="0.2">
      <c r="A147" s="6">
        <v>73</v>
      </c>
      <c r="B147" s="6"/>
      <c r="C147" s="6">
        <v>1</v>
      </c>
      <c r="D147" s="6"/>
      <c r="E147" s="6">
        <v>73</v>
      </c>
      <c r="F147" s="6" t="str">
        <f ca="1">Master_List!$AW$1</f>
        <v>PERPUSTAKAAN PUSAT</v>
      </c>
      <c r="G147" s="27" t="str">
        <f ca="1">Master_List!$AW$2</f>
        <v>09:30 PM</v>
      </c>
      <c r="H147" s="32" t="str">
        <f ca="1">Master_List!$AW$3</f>
        <v>20/07/2026</v>
      </c>
      <c r="I147" s="28" t="str">
        <f ca="1">Master_List!$AW$4</f>
        <v>28.5</v>
      </c>
      <c r="J147" s="6" t="str">
        <f ca="1">Master_List!$AW$5</f>
        <v>65</v>
      </c>
      <c r="K147" s="6"/>
      <c r="L147" s="21"/>
      <c r="M147" s="39"/>
      <c r="N147" s="39"/>
      <c r="O147" s="39"/>
      <c r="P147" s="39"/>
      <c r="Q147" s="39"/>
      <c r="R147" s="39"/>
      <c r="S147" s="39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6"/>
      <c r="BE147" s="6"/>
      <c r="BF147" s="6"/>
      <c r="BG147" s="6"/>
      <c r="BH147" s="6"/>
      <c r="BU147" s="3"/>
      <c r="BV147" s="3"/>
    </row>
    <row r="148" spans="1:74" ht="12.75" customHeight="1" x14ac:dyDescent="0.2">
      <c r="A148" s="6">
        <v>74</v>
      </c>
      <c r="B148" s="6"/>
      <c r="C148" s="6">
        <v>1</v>
      </c>
      <c r="D148" s="6"/>
      <c r="E148" s="6">
        <v>74</v>
      </c>
      <c r="F148" s="6" t="str">
        <f ca="1">Master_List!$AW$1</f>
        <v>PERPUSTAKAAN PUSAT</v>
      </c>
      <c r="G148" s="27" t="str">
        <f ca="1">Master_List!$AW$2</f>
        <v>09:30 PM</v>
      </c>
      <c r="H148" s="32" t="str">
        <f ca="1">Master_List!$AW$3</f>
        <v>20/07/2026</v>
      </c>
      <c r="I148" s="28" t="str">
        <f ca="1">Master_List!$AW$4</f>
        <v>28.5</v>
      </c>
      <c r="J148" s="6" t="str">
        <f ca="1">Master_List!$AW$5</f>
        <v>65</v>
      </c>
      <c r="K148" s="6"/>
      <c r="L148" s="21"/>
      <c r="M148" s="39"/>
      <c r="N148" s="39"/>
      <c r="O148" s="39"/>
      <c r="P148" s="39"/>
      <c r="Q148" s="39"/>
      <c r="R148" s="39"/>
      <c r="S148" s="39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6"/>
      <c r="BE148" s="6"/>
      <c r="BF148" s="6"/>
      <c r="BG148" s="6"/>
      <c r="BH148" s="6"/>
      <c r="BU148" s="3"/>
      <c r="BV148" s="3"/>
    </row>
    <row r="149" spans="1:74" ht="12.75" customHeight="1" x14ac:dyDescent="0.2">
      <c r="A149" s="6">
        <v>74</v>
      </c>
      <c r="B149" s="6"/>
      <c r="C149" s="6">
        <v>1</v>
      </c>
      <c r="D149" s="6"/>
      <c r="E149" s="6">
        <v>74</v>
      </c>
      <c r="F149" s="6" t="str">
        <f ca="1">Master_List!$AW$1</f>
        <v>PERPUSTAKAAN PUSAT</v>
      </c>
      <c r="G149" s="27" t="str">
        <f ca="1">Master_List!$AW$2</f>
        <v>09:30 PM</v>
      </c>
      <c r="H149" s="32" t="str">
        <f ca="1">Master_List!$AW$3</f>
        <v>20/07/2026</v>
      </c>
      <c r="I149" s="28" t="str">
        <f ca="1">Master_List!$AW$4</f>
        <v>28.5</v>
      </c>
      <c r="J149" s="6" t="str">
        <f ca="1">Master_List!$AW$5</f>
        <v>65</v>
      </c>
      <c r="K149" s="6"/>
      <c r="L149" s="21"/>
      <c r="M149" s="39"/>
      <c r="N149" s="39"/>
      <c r="O149" s="39"/>
      <c r="P149" s="39"/>
      <c r="Q149" s="39"/>
      <c r="R149" s="39"/>
      <c r="S149" s="39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6"/>
      <c r="BE149" s="6"/>
      <c r="BF149" s="6"/>
      <c r="BG149" s="6"/>
      <c r="BH149" s="6"/>
      <c r="BU149" s="3"/>
      <c r="BV149" s="3"/>
    </row>
    <row r="150" spans="1:74" ht="12.75" customHeight="1" x14ac:dyDescent="0.2">
      <c r="A150" s="6">
        <v>75</v>
      </c>
      <c r="B150" s="6"/>
      <c r="C150" s="6">
        <v>1</v>
      </c>
      <c r="D150" s="6"/>
      <c r="E150" s="6">
        <v>75</v>
      </c>
      <c r="F150" s="6" t="str">
        <f ca="1">Master_List!$AW$1</f>
        <v>PERPUSTAKAAN PUSAT</v>
      </c>
      <c r="G150" s="27" t="str">
        <f ca="1">Master_List!$AW$2</f>
        <v>09:30 PM</v>
      </c>
      <c r="H150" s="32" t="str">
        <f ca="1">Master_List!$AW$3</f>
        <v>20/07/2026</v>
      </c>
      <c r="I150" s="28" t="str">
        <f ca="1">Master_List!$AW$4</f>
        <v>28.5</v>
      </c>
      <c r="J150" s="6" t="str">
        <f ca="1">Master_List!$AW$5</f>
        <v>65</v>
      </c>
      <c r="K150" s="6"/>
      <c r="L150" s="21"/>
      <c r="M150" s="39"/>
      <c r="N150" s="39"/>
      <c r="O150" s="39"/>
      <c r="P150" s="39"/>
      <c r="Q150" s="39"/>
      <c r="R150" s="39"/>
      <c r="S150" s="39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6"/>
      <c r="BE150" s="6"/>
      <c r="BF150" s="6"/>
      <c r="BG150" s="6"/>
      <c r="BH150" s="6"/>
      <c r="BU150" s="3"/>
      <c r="BV150" s="3"/>
    </row>
    <row r="151" spans="1:74" ht="12.75" customHeight="1" x14ac:dyDescent="0.2">
      <c r="A151" s="6">
        <v>75</v>
      </c>
      <c r="B151" s="6"/>
      <c r="C151" s="6">
        <v>1</v>
      </c>
      <c r="D151" s="6"/>
      <c r="E151" s="6">
        <v>75</v>
      </c>
      <c r="F151" s="6" t="str">
        <f ca="1">Master_List!$AW$1</f>
        <v>PERPUSTAKAAN PUSAT</v>
      </c>
      <c r="G151" s="27" t="str">
        <f ca="1">Master_List!$AW$2</f>
        <v>09:30 PM</v>
      </c>
      <c r="H151" s="32" t="str">
        <f ca="1">Master_List!$AW$3</f>
        <v>20/07/2026</v>
      </c>
      <c r="I151" s="28" t="str">
        <f ca="1">Master_List!$AW$4</f>
        <v>28.5</v>
      </c>
      <c r="J151" s="6" t="str">
        <f ca="1">Master_List!$AW$5</f>
        <v>65</v>
      </c>
      <c r="K151" s="6"/>
      <c r="L151" s="21"/>
      <c r="M151" s="39"/>
      <c r="N151" s="39"/>
      <c r="O151" s="39"/>
      <c r="P151" s="39"/>
      <c r="Q151" s="39"/>
      <c r="R151" s="39"/>
      <c r="S151" s="39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6"/>
      <c r="BE151" s="6"/>
      <c r="BF151" s="6"/>
      <c r="BG151" s="6"/>
      <c r="BH151" s="6"/>
      <c r="BU151" s="3"/>
      <c r="BV151" s="3"/>
    </row>
    <row r="152" spans="1:74" ht="12.75" customHeight="1" x14ac:dyDescent="0.2">
      <c r="A152" s="6">
        <v>76</v>
      </c>
      <c r="B152" s="6"/>
      <c r="C152" s="6">
        <v>1</v>
      </c>
      <c r="D152" s="6"/>
      <c r="E152" s="6">
        <v>76</v>
      </c>
      <c r="F152" s="6" t="str">
        <f ca="1">Master_List!$AW$1</f>
        <v>PERPUSTAKAAN PUSAT</v>
      </c>
      <c r="G152" s="27" t="str">
        <f ca="1">Master_List!$AW$2</f>
        <v>09:30 PM</v>
      </c>
      <c r="H152" s="32" t="str">
        <f ca="1">Master_List!$AW$3</f>
        <v>20/07/2026</v>
      </c>
      <c r="I152" s="28" t="str">
        <f ca="1">Master_List!$AW$4</f>
        <v>28.5</v>
      </c>
      <c r="J152" s="6" t="str">
        <f ca="1">Master_List!$AW$5</f>
        <v>65</v>
      </c>
      <c r="K152" s="6"/>
      <c r="L152" s="21"/>
      <c r="M152" s="39"/>
      <c r="N152" s="39"/>
      <c r="O152" s="39"/>
      <c r="P152" s="39"/>
      <c r="Q152" s="39"/>
      <c r="R152" s="39"/>
      <c r="S152" s="39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6"/>
      <c r="BE152" s="6"/>
      <c r="BF152" s="6"/>
      <c r="BG152" s="6"/>
      <c r="BH152" s="6"/>
      <c r="BU152" s="3"/>
      <c r="BV152" s="3"/>
    </row>
    <row r="153" spans="1:74" ht="12.75" customHeight="1" x14ac:dyDescent="0.2">
      <c r="A153" s="6">
        <v>76</v>
      </c>
      <c r="B153" s="6"/>
      <c r="C153" s="6">
        <v>1</v>
      </c>
      <c r="D153" s="6"/>
      <c r="E153" s="6">
        <v>76</v>
      </c>
      <c r="F153" s="6" t="str">
        <f ca="1">Master_List!$AW$1</f>
        <v>PERPUSTAKAAN PUSAT</v>
      </c>
      <c r="G153" s="27" t="str">
        <f ca="1">Master_List!$AW$2</f>
        <v>09:30 PM</v>
      </c>
      <c r="H153" s="32" t="str">
        <f ca="1">Master_List!$AW$3</f>
        <v>20/07/2026</v>
      </c>
      <c r="I153" s="28" t="str">
        <f ca="1">Master_List!$AW$4</f>
        <v>28.5</v>
      </c>
      <c r="J153" s="6" t="str">
        <f ca="1">Master_List!$AW$5</f>
        <v>65</v>
      </c>
      <c r="K153" s="6"/>
      <c r="L153" s="21"/>
      <c r="M153" s="39"/>
      <c r="N153" s="39"/>
      <c r="O153" s="39"/>
      <c r="P153" s="39"/>
      <c r="Q153" s="39"/>
      <c r="R153" s="39"/>
      <c r="S153" s="39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6"/>
      <c r="BE153" s="6"/>
      <c r="BF153" s="6"/>
      <c r="BG153" s="6"/>
      <c r="BH153" s="6"/>
      <c r="BU153" s="3"/>
      <c r="BV153" s="3"/>
    </row>
    <row r="154" spans="1:74" ht="12.75" customHeight="1" x14ac:dyDescent="0.2">
      <c r="A154" s="6">
        <v>77</v>
      </c>
      <c r="B154" s="6"/>
      <c r="C154" s="6">
        <v>1</v>
      </c>
      <c r="D154" s="6"/>
      <c r="E154" s="6">
        <v>77</v>
      </c>
      <c r="F154" s="6" t="str">
        <f ca="1">Master_List!$AW$1</f>
        <v>PERPUSTAKAAN PUSAT</v>
      </c>
      <c r="G154" s="27" t="str">
        <f ca="1">Master_List!$AW$2</f>
        <v>09:30 PM</v>
      </c>
      <c r="H154" s="32" t="str">
        <f ca="1">Master_List!$AW$3</f>
        <v>20/07/2026</v>
      </c>
      <c r="I154" s="28" t="str">
        <f ca="1">Master_List!$AW$4</f>
        <v>28.5</v>
      </c>
      <c r="J154" s="6" t="str">
        <f ca="1">Master_List!$AW$5</f>
        <v>65</v>
      </c>
      <c r="K154" s="6"/>
      <c r="L154" s="21"/>
      <c r="M154" s="39"/>
      <c r="N154" s="39"/>
      <c r="O154" s="39"/>
      <c r="P154" s="39"/>
      <c r="Q154" s="39"/>
      <c r="R154" s="39"/>
      <c r="S154" s="39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6"/>
      <c r="BE154" s="6"/>
      <c r="BF154" s="6"/>
      <c r="BG154" s="6"/>
      <c r="BH154" s="6"/>
      <c r="BU154" s="3"/>
      <c r="BV154" s="3"/>
    </row>
    <row r="155" spans="1:74" ht="12.75" customHeight="1" x14ac:dyDescent="0.2">
      <c r="A155" s="6">
        <v>77</v>
      </c>
      <c r="B155" s="6"/>
      <c r="C155" s="6">
        <v>1</v>
      </c>
      <c r="D155" s="6"/>
      <c r="E155" s="6">
        <v>77</v>
      </c>
      <c r="F155" s="6" t="str">
        <f ca="1">Master_List!$AW$1</f>
        <v>PERPUSTAKAAN PUSAT</v>
      </c>
      <c r="G155" s="27" t="str">
        <f ca="1">Master_List!$AW$2</f>
        <v>09:30 PM</v>
      </c>
      <c r="H155" s="32" t="str">
        <f ca="1">Master_List!$AW$3</f>
        <v>20/07/2026</v>
      </c>
      <c r="I155" s="28" t="str">
        <f ca="1">Master_List!$AW$4</f>
        <v>28.5</v>
      </c>
      <c r="J155" s="6" t="str">
        <f ca="1">Master_List!$AW$5</f>
        <v>65</v>
      </c>
      <c r="K155" s="6"/>
      <c r="L155" s="21"/>
      <c r="M155" s="39"/>
      <c r="N155" s="39"/>
      <c r="O155" s="39"/>
      <c r="P155" s="39"/>
      <c r="Q155" s="39"/>
      <c r="R155" s="39"/>
      <c r="S155" s="39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6"/>
      <c r="BE155" s="6"/>
      <c r="BF155" s="6"/>
      <c r="BG155" s="6"/>
      <c r="BH155" s="6"/>
      <c r="BU155" s="3"/>
      <c r="BV155" s="3"/>
    </row>
    <row r="156" spans="1:74" ht="12.75" customHeight="1" x14ac:dyDescent="0.2">
      <c r="A156" s="6">
        <v>78</v>
      </c>
      <c r="B156" s="6"/>
      <c r="C156" s="6">
        <v>1</v>
      </c>
      <c r="D156" s="6"/>
      <c r="E156" s="6">
        <v>78</v>
      </c>
      <c r="F156" s="6" t="str">
        <f ca="1">Master_List!$AW$1</f>
        <v>PERPUSTAKAAN PUSAT</v>
      </c>
      <c r="G156" s="27" t="str">
        <f ca="1">Master_List!$AW$2</f>
        <v>09:30 PM</v>
      </c>
      <c r="H156" s="32" t="str">
        <f ca="1">Master_List!$AW$3</f>
        <v>20/07/2026</v>
      </c>
      <c r="I156" s="28" t="str">
        <f ca="1">Master_List!$AW$4</f>
        <v>28.5</v>
      </c>
      <c r="J156" s="6" t="str">
        <f ca="1">Master_List!$AW$5</f>
        <v>65</v>
      </c>
      <c r="K156" s="6"/>
      <c r="L156" s="21"/>
      <c r="M156" s="39"/>
      <c r="N156" s="39"/>
      <c r="O156" s="39"/>
      <c r="P156" s="39"/>
      <c r="Q156" s="39"/>
      <c r="R156" s="39"/>
      <c r="S156" s="39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6"/>
      <c r="BE156" s="6"/>
      <c r="BF156" s="6"/>
      <c r="BG156" s="6"/>
      <c r="BH156" s="6"/>
      <c r="BU156" s="3"/>
      <c r="BV156" s="3"/>
    </row>
    <row r="157" spans="1:74" ht="12.75" customHeight="1" x14ac:dyDescent="0.2">
      <c r="A157" s="6">
        <v>78</v>
      </c>
      <c r="B157" s="6"/>
      <c r="C157" s="6">
        <v>1</v>
      </c>
      <c r="D157" s="6"/>
      <c r="E157" s="6">
        <v>78</v>
      </c>
      <c r="F157" s="6" t="str">
        <f ca="1">Master_List!$AW$1</f>
        <v>PERPUSTAKAAN PUSAT</v>
      </c>
      <c r="G157" s="27" t="str">
        <f ca="1">Master_List!$AW$2</f>
        <v>09:30 PM</v>
      </c>
      <c r="H157" s="32" t="str">
        <f ca="1">Master_List!$AW$3</f>
        <v>20/07/2026</v>
      </c>
      <c r="I157" s="28" t="str">
        <f ca="1">Master_List!$AW$4</f>
        <v>28.5</v>
      </c>
      <c r="J157" s="6" t="str">
        <f ca="1">Master_List!$AW$5</f>
        <v>65</v>
      </c>
      <c r="K157" s="6"/>
      <c r="L157" s="21"/>
      <c r="M157" s="39"/>
      <c r="N157" s="39"/>
      <c r="O157" s="39"/>
      <c r="P157" s="39"/>
      <c r="Q157" s="39"/>
      <c r="R157" s="39"/>
      <c r="S157" s="39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6"/>
      <c r="BE157" s="6"/>
      <c r="BF157" s="6"/>
      <c r="BG157" s="6"/>
      <c r="BH157" s="6"/>
      <c r="BU157" s="3"/>
      <c r="BV157" s="3"/>
    </row>
    <row r="158" spans="1:74" ht="12.75" customHeight="1" x14ac:dyDescent="0.2">
      <c r="A158" s="6">
        <v>79</v>
      </c>
      <c r="B158" s="6"/>
      <c r="C158" s="6">
        <v>1</v>
      </c>
      <c r="D158" s="6"/>
      <c r="E158" s="6">
        <v>79</v>
      </c>
      <c r="F158" s="6" t="str">
        <f ca="1">Master_List!$AW$1</f>
        <v>PERPUSTAKAAN PUSAT</v>
      </c>
      <c r="G158" s="27" t="str">
        <f ca="1">Master_List!$AW$2</f>
        <v>09:30 PM</v>
      </c>
      <c r="H158" s="32" t="str">
        <f ca="1">Master_List!$AW$3</f>
        <v>20/07/2026</v>
      </c>
      <c r="I158" s="28" t="str">
        <f ca="1">Master_List!$AW$4</f>
        <v>28.5</v>
      </c>
      <c r="J158" s="6" t="str">
        <f ca="1">Master_List!$AW$5</f>
        <v>65</v>
      </c>
      <c r="K158" s="6"/>
      <c r="L158" s="21"/>
      <c r="M158" s="39"/>
      <c r="N158" s="39"/>
      <c r="O158" s="39"/>
      <c r="P158" s="39"/>
      <c r="Q158" s="39"/>
      <c r="R158" s="39"/>
      <c r="S158" s="39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6"/>
      <c r="BE158" s="6"/>
      <c r="BF158" s="6"/>
      <c r="BG158" s="6"/>
      <c r="BH158" s="6"/>
      <c r="BU158" s="3"/>
      <c r="BV158" s="3"/>
    </row>
    <row r="159" spans="1:74" ht="12.75" customHeight="1" x14ac:dyDescent="0.2">
      <c r="A159" s="6">
        <v>79</v>
      </c>
      <c r="B159" s="6"/>
      <c r="C159" s="6">
        <v>1</v>
      </c>
      <c r="D159" s="6"/>
      <c r="E159" s="6">
        <v>79</v>
      </c>
      <c r="F159" s="6" t="str">
        <f ca="1">Master_List!$AW$1</f>
        <v>PERPUSTAKAAN PUSAT</v>
      </c>
      <c r="G159" s="27" t="str">
        <f ca="1">Master_List!$AW$2</f>
        <v>09:30 PM</v>
      </c>
      <c r="H159" s="32" t="str">
        <f ca="1">Master_List!$AW$3</f>
        <v>20/07/2026</v>
      </c>
      <c r="I159" s="28" t="str">
        <f ca="1">Master_List!$AW$4</f>
        <v>28.5</v>
      </c>
      <c r="J159" s="6" t="str">
        <f ca="1">Master_List!$AW$5</f>
        <v>65</v>
      </c>
      <c r="K159" s="6"/>
      <c r="L159" s="21"/>
      <c r="M159" s="39"/>
      <c r="N159" s="39"/>
      <c r="O159" s="39"/>
      <c r="P159" s="39"/>
      <c r="Q159" s="39"/>
      <c r="R159" s="39"/>
      <c r="S159" s="39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6"/>
      <c r="BE159" s="6"/>
      <c r="BF159" s="6"/>
      <c r="BG159" s="6"/>
      <c r="BH159" s="6"/>
      <c r="BU159" s="3"/>
      <c r="BV159" s="3"/>
    </row>
    <row r="160" spans="1:74" ht="12.75" customHeight="1" x14ac:dyDescent="0.2">
      <c r="A160" s="6">
        <v>80</v>
      </c>
      <c r="B160" s="6"/>
      <c r="C160" s="6">
        <v>1</v>
      </c>
      <c r="D160" s="6"/>
      <c r="E160" s="6">
        <v>80</v>
      </c>
      <c r="F160" s="6" t="str">
        <f ca="1">Master_List!$AW$1</f>
        <v>PERPUSTAKAAN PUSAT</v>
      </c>
      <c r="G160" s="27" t="str">
        <f ca="1">Master_List!$AW$2</f>
        <v>09:30 PM</v>
      </c>
      <c r="H160" s="32" t="str">
        <f ca="1">Master_List!$AW$3</f>
        <v>20/07/2026</v>
      </c>
      <c r="I160" s="28" t="str">
        <f ca="1">Master_List!$AW$4</f>
        <v>28.5</v>
      </c>
      <c r="J160" s="6" t="str">
        <f ca="1">Master_List!$AW$5</f>
        <v>65</v>
      </c>
      <c r="K160" s="6"/>
      <c r="L160" s="21"/>
      <c r="M160" s="39"/>
      <c r="N160" s="39"/>
      <c r="O160" s="39"/>
      <c r="P160" s="39"/>
      <c r="Q160" s="39"/>
      <c r="R160" s="39"/>
      <c r="S160" s="39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6"/>
      <c r="BE160" s="6"/>
      <c r="BF160" s="6"/>
      <c r="BG160" s="6"/>
      <c r="BH160" s="6"/>
      <c r="BU160" s="3"/>
      <c r="BV160" s="3"/>
    </row>
    <row r="161" spans="1:74" ht="12.75" customHeight="1" x14ac:dyDescent="0.2">
      <c r="A161" s="6">
        <v>80</v>
      </c>
      <c r="B161" s="6"/>
      <c r="C161" s="6">
        <v>1</v>
      </c>
      <c r="D161" s="6"/>
      <c r="E161" s="6">
        <v>80</v>
      </c>
      <c r="F161" s="6" t="str">
        <f ca="1">Master_List!$AW$1</f>
        <v>PERPUSTAKAAN PUSAT</v>
      </c>
      <c r="G161" s="27" t="str">
        <f ca="1">Master_List!$AW$2</f>
        <v>09:30 PM</v>
      </c>
      <c r="H161" s="32" t="str">
        <f ca="1">Master_List!$AW$3</f>
        <v>20/07/2026</v>
      </c>
      <c r="I161" s="28" t="str">
        <f ca="1">Master_List!$AW$4</f>
        <v>28.5</v>
      </c>
      <c r="J161" s="6" t="str">
        <f ca="1">Master_List!$AW$5</f>
        <v>65</v>
      </c>
      <c r="K161" s="6"/>
      <c r="L161" s="21"/>
      <c r="M161" s="39"/>
      <c r="N161" s="39"/>
      <c r="O161" s="39"/>
      <c r="P161" s="39"/>
      <c r="Q161" s="39"/>
      <c r="R161" s="39"/>
      <c r="S161" s="39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6"/>
      <c r="BE161" s="6"/>
      <c r="BF161" s="6"/>
      <c r="BG161" s="6"/>
      <c r="BH161" s="6"/>
      <c r="BU161" s="3"/>
      <c r="BV161" s="3"/>
    </row>
    <row r="162" spans="1:74" ht="12.75" customHeight="1" x14ac:dyDescent="0.2">
      <c r="A162" s="6">
        <v>81</v>
      </c>
      <c r="B162" s="6"/>
      <c r="C162" s="6">
        <v>1</v>
      </c>
      <c r="D162" s="6"/>
      <c r="E162" s="6">
        <v>81</v>
      </c>
      <c r="F162" s="6" t="str">
        <f ca="1">Master_List!$AW$1</f>
        <v>PERPUSTAKAAN PUSAT</v>
      </c>
      <c r="G162" s="27" t="str">
        <f ca="1">Master_List!$AW$2</f>
        <v>09:30 PM</v>
      </c>
      <c r="H162" s="32" t="str">
        <f ca="1">Master_List!$AW$3</f>
        <v>20/07/2026</v>
      </c>
      <c r="I162" s="28" t="str">
        <f ca="1">Master_List!$AW$4</f>
        <v>28.5</v>
      </c>
      <c r="J162" s="6" t="str">
        <f ca="1">Master_List!$AW$5</f>
        <v>65</v>
      </c>
      <c r="K162" s="6"/>
      <c r="L162" s="21"/>
      <c r="M162" s="39"/>
      <c r="N162" s="39"/>
      <c r="O162" s="39"/>
      <c r="P162" s="39"/>
      <c r="Q162" s="39"/>
      <c r="R162" s="39"/>
      <c r="S162" s="39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6"/>
      <c r="BE162" s="6"/>
      <c r="BF162" s="6"/>
      <c r="BG162" s="6"/>
      <c r="BH162" s="6"/>
      <c r="BU162" s="3"/>
      <c r="BV162" s="3"/>
    </row>
    <row r="163" spans="1:74" ht="12.75" customHeight="1" x14ac:dyDescent="0.2">
      <c r="A163" s="6">
        <v>81</v>
      </c>
      <c r="B163" s="6"/>
      <c r="C163" s="6">
        <v>1</v>
      </c>
      <c r="D163" s="6"/>
      <c r="E163" s="6">
        <v>81</v>
      </c>
      <c r="F163" s="6" t="str">
        <f ca="1">Master_List!$AW$1</f>
        <v>PERPUSTAKAAN PUSAT</v>
      </c>
      <c r="G163" s="27" t="str">
        <f ca="1">Master_List!$AW$2</f>
        <v>09:30 PM</v>
      </c>
      <c r="H163" s="32" t="str">
        <f ca="1">Master_List!$AW$3</f>
        <v>20/07/2026</v>
      </c>
      <c r="I163" s="28" t="str">
        <f ca="1">Master_List!$AW$4</f>
        <v>28.5</v>
      </c>
      <c r="J163" s="6" t="str">
        <f ca="1">Master_List!$AW$5</f>
        <v>65</v>
      </c>
      <c r="K163" s="6"/>
      <c r="L163" s="21"/>
      <c r="M163" s="39"/>
      <c r="N163" s="39"/>
      <c r="O163" s="39"/>
      <c r="P163" s="39"/>
      <c r="Q163" s="39"/>
      <c r="R163" s="39"/>
      <c r="S163" s="39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6"/>
      <c r="BE163" s="6"/>
      <c r="BF163" s="6"/>
      <c r="BG163" s="6"/>
      <c r="BH163" s="6"/>
      <c r="BU163" s="3"/>
      <c r="BV163" s="3"/>
    </row>
    <row r="164" spans="1:74" ht="12.75" customHeight="1" x14ac:dyDescent="0.2">
      <c r="A164" s="6">
        <v>82</v>
      </c>
      <c r="B164" s="6"/>
      <c r="C164" s="6">
        <v>1</v>
      </c>
      <c r="D164" s="6"/>
      <c r="E164" s="6">
        <v>82</v>
      </c>
      <c r="F164" s="6" t="str">
        <f ca="1">Master_List!$AW$1</f>
        <v>PERPUSTAKAAN PUSAT</v>
      </c>
      <c r="G164" s="27" t="str">
        <f ca="1">Master_List!$AW$2</f>
        <v>09:30 PM</v>
      </c>
      <c r="H164" s="32" t="str">
        <f ca="1">Master_List!$AW$3</f>
        <v>20/07/2026</v>
      </c>
      <c r="I164" s="28" t="str">
        <f ca="1">Master_List!$AW$4</f>
        <v>28.5</v>
      </c>
      <c r="J164" s="6" t="str">
        <f ca="1">Master_List!$AW$5</f>
        <v>65</v>
      </c>
      <c r="K164" s="6"/>
      <c r="L164" s="21"/>
      <c r="M164" s="39"/>
      <c r="N164" s="39"/>
      <c r="O164" s="39"/>
      <c r="P164" s="39"/>
      <c r="Q164" s="39"/>
      <c r="R164" s="39"/>
      <c r="S164" s="39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6"/>
      <c r="BE164" s="6"/>
      <c r="BF164" s="6"/>
      <c r="BG164" s="6"/>
      <c r="BH164" s="6"/>
      <c r="BU164" s="3"/>
      <c r="BV164" s="3"/>
    </row>
    <row r="165" spans="1:74" ht="12.75" customHeight="1" x14ac:dyDescent="0.2">
      <c r="A165" s="6">
        <v>82</v>
      </c>
      <c r="B165" s="6"/>
      <c r="C165" s="6">
        <v>1</v>
      </c>
      <c r="D165" s="6"/>
      <c r="E165" s="6">
        <v>82</v>
      </c>
      <c r="F165" s="6" t="str">
        <f ca="1">Master_List!$AW$1</f>
        <v>PERPUSTAKAAN PUSAT</v>
      </c>
      <c r="G165" s="27" t="str">
        <f ca="1">Master_List!$AW$2</f>
        <v>09:30 PM</v>
      </c>
      <c r="H165" s="32" t="str">
        <f ca="1">Master_List!$AW$3</f>
        <v>20/07/2026</v>
      </c>
      <c r="I165" s="28" t="str">
        <f ca="1">Master_List!$AW$4</f>
        <v>28.5</v>
      </c>
      <c r="J165" s="6" t="str">
        <f ca="1">Master_List!$AW$5</f>
        <v>65</v>
      </c>
      <c r="K165" s="6"/>
      <c r="L165" s="21"/>
      <c r="M165" s="39"/>
      <c r="N165" s="39"/>
      <c r="O165" s="39"/>
      <c r="P165" s="39"/>
      <c r="Q165" s="39"/>
      <c r="R165" s="39"/>
      <c r="S165" s="39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6"/>
      <c r="BE165" s="6"/>
      <c r="BF165" s="6"/>
      <c r="BG165" s="6"/>
      <c r="BH165" s="6"/>
      <c r="BU165" s="3"/>
      <c r="BV165" s="3"/>
    </row>
    <row r="166" spans="1:74" ht="12.75" customHeight="1" x14ac:dyDescent="0.2">
      <c r="A166" s="6">
        <v>83</v>
      </c>
      <c r="B166" s="6"/>
      <c r="C166" s="6">
        <v>1</v>
      </c>
      <c r="D166" s="6"/>
      <c r="E166" s="6">
        <v>83</v>
      </c>
      <c r="F166" s="6" t="str">
        <f ca="1">Master_List!$AW$1</f>
        <v>PERPUSTAKAAN PUSAT</v>
      </c>
      <c r="G166" s="27" t="str">
        <f ca="1">Master_List!$AW$2</f>
        <v>09:30 PM</v>
      </c>
      <c r="H166" s="32" t="str">
        <f ca="1">Master_List!$AW$3</f>
        <v>20/07/2026</v>
      </c>
      <c r="I166" s="28" t="str">
        <f ca="1">Master_List!$AW$4</f>
        <v>28.5</v>
      </c>
      <c r="J166" s="6" t="str">
        <f ca="1">Master_List!$AW$5</f>
        <v>65</v>
      </c>
      <c r="K166" s="6"/>
      <c r="L166" s="21"/>
      <c r="M166" s="39"/>
      <c r="N166" s="39"/>
      <c r="O166" s="39"/>
      <c r="P166" s="39"/>
      <c r="Q166" s="39"/>
      <c r="R166" s="39"/>
      <c r="S166" s="39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6"/>
      <c r="BE166" s="6"/>
      <c r="BF166" s="6"/>
      <c r="BG166" s="6"/>
      <c r="BH166" s="6"/>
      <c r="BU166" s="3"/>
      <c r="BV166" s="3"/>
    </row>
    <row r="167" spans="1:74" ht="12.75" customHeight="1" x14ac:dyDescent="0.2">
      <c r="A167" s="6">
        <v>83</v>
      </c>
      <c r="B167" s="6"/>
      <c r="C167" s="6">
        <v>1</v>
      </c>
      <c r="D167" s="6"/>
      <c r="E167" s="6">
        <v>83</v>
      </c>
      <c r="F167" s="6" t="str">
        <f ca="1">Master_List!$AW$1</f>
        <v>PERPUSTAKAAN PUSAT</v>
      </c>
      <c r="G167" s="27" t="str">
        <f ca="1">Master_List!$AW$2</f>
        <v>09:30 PM</v>
      </c>
      <c r="H167" s="32" t="str">
        <f ca="1">Master_List!$AW$3</f>
        <v>20/07/2026</v>
      </c>
      <c r="I167" s="28" t="str">
        <f ca="1">Master_List!$AW$4</f>
        <v>28.5</v>
      </c>
      <c r="J167" s="6" t="str">
        <f ca="1">Master_List!$AW$5</f>
        <v>65</v>
      </c>
      <c r="K167" s="6"/>
      <c r="L167" s="21"/>
      <c r="M167" s="39"/>
      <c r="N167" s="39"/>
      <c r="O167" s="39"/>
      <c r="P167" s="39"/>
      <c r="Q167" s="39"/>
      <c r="R167" s="39"/>
      <c r="S167" s="39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6"/>
      <c r="BE167" s="6"/>
      <c r="BF167" s="6"/>
      <c r="BG167" s="6"/>
      <c r="BH167" s="6"/>
      <c r="BU167" s="3"/>
      <c r="BV167" s="3"/>
    </row>
    <row r="168" spans="1:74" ht="12.75" customHeight="1" x14ac:dyDescent="0.2">
      <c r="A168" s="6">
        <v>84</v>
      </c>
      <c r="B168" s="6"/>
      <c r="C168" s="6">
        <v>1</v>
      </c>
      <c r="D168" s="6"/>
      <c r="E168" s="6">
        <v>84</v>
      </c>
      <c r="F168" s="6" t="str">
        <f ca="1">Master_List!$AW$1</f>
        <v>PERPUSTAKAAN PUSAT</v>
      </c>
      <c r="G168" s="27" t="str">
        <f ca="1">Master_List!$AW$2</f>
        <v>09:30 PM</v>
      </c>
      <c r="H168" s="32" t="str">
        <f ca="1">Master_List!$AW$3</f>
        <v>20/07/2026</v>
      </c>
      <c r="I168" s="28" t="str">
        <f ca="1">Master_List!$AW$4</f>
        <v>28.5</v>
      </c>
      <c r="J168" s="6" t="str">
        <f ca="1">Master_List!$AW$5</f>
        <v>65</v>
      </c>
      <c r="K168" s="6"/>
      <c r="L168" s="21"/>
      <c r="M168" s="39"/>
      <c r="N168" s="39"/>
      <c r="O168" s="39"/>
      <c r="P168" s="39"/>
      <c r="Q168" s="39"/>
      <c r="R168" s="39"/>
      <c r="S168" s="39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6"/>
      <c r="BE168" s="6"/>
      <c r="BF168" s="6"/>
      <c r="BG168" s="6"/>
      <c r="BH168" s="6"/>
      <c r="BU168" s="3"/>
      <c r="BV168" s="3"/>
    </row>
    <row r="169" spans="1:74" ht="12.75" customHeight="1" x14ac:dyDescent="0.2">
      <c r="A169" s="6">
        <v>84</v>
      </c>
      <c r="B169" s="6"/>
      <c r="C169" s="6">
        <v>1</v>
      </c>
      <c r="D169" s="6"/>
      <c r="E169" s="6">
        <v>84</v>
      </c>
      <c r="F169" s="6" t="str">
        <f ca="1">Master_List!$AW$1</f>
        <v>PERPUSTAKAAN PUSAT</v>
      </c>
      <c r="G169" s="27" t="str">
        <f ca="1">Master_List!$AW$2</f>
        <v>09:30 PM</v>
      </c>
      <c r="H169" s="32" t="str">
        <f ca="1">Master_List!$AW$3</f>
        <v>20/07/2026</v>
      </c>
      <c r="I169" s="28" t="str">
        <f ca="1">Master_List!$AW$4</f>
        <v>28.5</v>
      </c>
      <c r="J169" s="6" t="str">
        <f ca="1">Master_List!$AW$5</f>
        <v>65</v>
      </c>
      <c r="K169" s="6"/>
      <c r="L169" s="21"/>
      <c r="M169" s="39"/>
      <c r="N169" s="39"/>
      <c r="O169" s="39"/>
      <c r="P169" s="39"/>
      <c r="Q169" s="39"/>
      <c r="R169" s="39"/>
      <c r="S169" s="39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6"/>
      <c r="BE169" s="6"/>
      <c r="BF169" s="6"/>
      <c r="BG169" s="6"/>
      <c r="BH169" s="6"/>
      <c r="BU169" s="3"/>
      <c r="BV169" s="3"/>
    </row>
    <row r="170" spans="1:74" ht="12.75" customHeight="1" x14ac:dyDescent="0.2">
      <c r="A170" s="6">
        <v>85</v>
      </c>
      <c r="B170" s="6"/>
      <c r="C170" s="6">
        <v>1</v>
      </c>
      <c r="D170" s="6"/>
      <c r="E170" s="6">
        <v>85</v>
      </c>
      <c r="F170" s="6" t="str">
        <f ca="1">Master_List!$AW$1</f>
        <v>PERPUSTAKAAN PUSAT</v>
      </c>
      <c r="G170" s="27" t="str">
        <f ca="1">Master_List!$AW$2</f>
        <v>09:30 PM</v>
      </c>
      <c r="H170" s="32" t="str">
        <f ca="1">Master_List!$AW$3</f>
        <v>20/07/2026</v>
      </c>
      <c r="I170" s="28" t="str">
        <f ca="1">Master_List!$AW$4</f>
        <v>28.5</v>
      </c>
      <c r="J170" s="6" t="str">
        <f ca="1">Master_List!$AW$5</f>
        <v>65</v>
      </c>
      <c r="K170" s="6"/>
      <c r="L170" s="21"/>
      <c r="M170" s="39"/>
      <c r="N170" s="39"/>
      <c r="O170" s="39"/>
      <c r="P170" s="39"/>
      <c r="Q170" s="39"/>
      <c r="R170" s="39"/>
      <c r="S170" s="39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6"/>
      <c r="BE170" s="6"/>
      <c r="BF170" s="6"/>
      <c r="BG170" s="6"/>
      <c r="BH170" s="6"/>
      <c r="BU170" s="3"/>
      <c r="BV170" s="3"/>
    </row>
    <row r="171" spans="1:74" ht="12.75" customHeight="1" x14ac:dyDescent="0.2">
      <c r="A171" s="6">
        <v>85</v>
      </c>
      <c r="B171" s="6"/>
      <c r="C171" s="6">
        <v>1</v>
      </c>
      <c r="D171" s="6"/>
      <c r="E171" s="6">
        <v>85</v>
      </c>
      <c r="F171" s="6" t="str">
        <f ca="1">Master_List!$AW$1</f>
        <v>PERPUSTAKAAN PUSAT</v>
      </c>
      <c r="G171" s="27" t="str">
        <f ca="1">Master_List!$AW$2</f>
        <v>09:30 PM</v>
      </c>
      <c r="H171" s="32" t="str">
        <f ca="1">Master_List!$AW$3</f>
        <v>20/07/2026</v>
      </c>
      <c r="I171" s="28" t="str">
        <f ca="1">Master_List!$AW$4</f>
        <v>28.5</v>
      </c>
      <c r="J171" s="6" t="str">
        <f ca="1">Master_List!$AW$5</f>
        <v>65</v>
      </c>
      <c r="K171" s="6"/>
      <c r="L171" s="21"/>
      <c r="M171" s="39"/>
      <c r="N171" s="39"/>
      <c r="O171" s="39"/>
      <c r="P171" s="39"/>
      <c r="Q171" s="39"/>
      <c r="R171" s="39"/>
      <c r="S171" s="39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6"/>
      <c r="BE171" s="6"/>
      <c r="BF171" s="6"/>
      <c r="BG171" s="6"/>
      <c r="BH171" s="6"/>
      <c r="BU171" s="3"/>
      <c r="BV171" s="3"/>
    </row>
    <row r="172" spans="1:74" ht="12.75" customHeight="1" x14ac:dyDescent="0.2">
      <c r="A172" s="6">
        <v>86</v>
      </c>
      <c r="B172" s="6"/>
      <c r="C172" s="6">
        <v>1</v>
      </c>
      <c r="D172" s="6"/>
      <c r="E172" s="6">
        <v>86</v>
      </c>
      <c r="F172" s="6" t="str">
        <f ca="1">Master_List!$AW$1</f>
        <v>PERPUSTAKAAN PUSAT</v>
      </c>
      <c r="G172" s="27" t="str">
        <f ca="1">Master_List!$AW$2</f>
        <v>09:30 PM</v>
      </c>
      <c r="H172" s="32" t="str">
        <f ca="1">Master_List!$AW$3</f>
        <v>20/07/2026</v>
      </c>
      <c r="I172" s="28" t="str">
        <f ca="1">Master_List!$AW$4</f>
        <v>28.5</v>
      </c>
      <c r="J172" s="6" t="str">
        <f ca="1">Master_List!$AW$5</f>
        <v>65</v>
      </c>
      <c r="K172" s="6"/>
      <c r="L172" s="21"/>
      <c r="M172" s="39"/>
      <c r="N172" s="39"/>
      <c r="O172" s="39"/>
      <c r="P172" s="39"/>
      <c r="Q172" s="39"/>
      <c r="R172" s="39"/>
      <c r="S172" s="39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6"/>
      <c r="BE172" s="6"/>
      <c r="BF172" s="6"/>
      <c r="BG172" s="6"/>
      <c r="BH172" s="6"/>
      <c r="BU172" s="3"/>
      <c r="BV172" s="3"/>
    </row>
    <row r="173" spans="1:74" ht="12.75" customHeight="1" x14ac:dyDescent="0.2">
      <c r="A173" s="6">
        <v>86</v>
      </c>
      <c r="B173" s="6"/>
      <c r="C173" s="6">
        <v>1</v>
      </c>
      <c r="D173" s="6"/>
      <c r="E173" s="6">
        <v>86</v>
      </c>
      <c r="F173" s="6" t="str">
        <f ca="1">Master_List!$AW$1</f>
        <v>PERPUSTAKAAN PUSAT</v>
      </c>
      <c r="G173" s="27" t="str">
        <f ca="1">Master_List!$AW$2</f>
        <v>09:30 PM</v>
      </c>
      <c r="H173" s="32" t="str">
        <f ca="1">Master_List!$AW$3</f>
        <v>20/07/2026</v>
      </c>
      <c r="I173" s="28" t="str">
        <f ca="1">Master_List!$AW$4</f>
        <v>28.5</v>
      </c>
      <c r="J173" s="6" t="str">
        <f ca="1">Master_List!$AW$5</f>
        <v>65</v>
      </c>
      <c r="K173" s="6"/>
      <c r="L173" s="21"/>
      <c r="M173" s="39"/>
      <c r="N173" s="39"/>
      <c r="O173" s="39"/>
      <c r="P173" s="39"/>
      <c r="Q173" s="39"/>
      <c r="R173" s="39"/>
      <c r="S173" s="39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6"/>
      <c r="BE173" s="6"/>
      <c r="BF173" s="6"/>
      <c r="BG173" s="6"/>
      <c r="BH173" s="6"/>
      <c r="BU173" s="3"/>
      <c r="BV173" s="3"/>
    </row>
    <row r="174" spans="1:74" ht="12.75" customHeight="1" x14ac:dyDescent="0.2">
      <c r="A174" s="6">
        <v>87</v>
      </c>
      <c r="B174" s="6"/>
      <c r="C174" s="6">
        <v>1</v>
      </c>
      <c r="D174" s="6"/>
      <c r="E174" s="6">
        <v>87</v>
      </c>
      <c r="F174" s="6" t="str">
        <f ca="1">Master_List!$AW$1</f>
        <v>PERPUSTAKAAN PUSAT</v>
      </c>
      <c r="G174" s="27" t="str">
        <f ca="1">Master_List!$AW$2</f>
        <v>09:30 PM</v>
      </c>
      <c r="H174" s="32" t="str">
        <f ca="1">Master_List!$AW$3</f>
        <v>20/07/2026</v>
      </c>
      <c r="I174" s="28" t="str">
        <f ca="1">Master_List!$AW$4</f>
        <v>28.5</v>
      </c>
      <c r="J174" s="6" t="str">
        <f ca="1">Master_List!$AW$5</f>
        <v>65</v>
      </c>
      <c r="K174" s="6"/>
      <c r="L174" s="21"/>
      <c r="M174" s="39"/>
      <c r="N174" s="39"/>
      <c r="O174" s="39"/>
      <c r="P174" s="39"/>
      <c r="Q174" s="39"/>
      <c r="R174" s="39"/>
      <c r="S174" s="39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6"/>
      <c r="BE174" s="6"/>
      <c r="BF174" s="6"/>
      <c r="BG174" s="6"/>
      <c r="BH174" s="6"/>
      <c r="BU174" s="3"/>
      <c r="BV174" s="3"/>
    </row>
    <row r="175" spans="1:74" ht="12.75" customHeight="1" x14ac:dyDescent="0.2">
      <c r="A175" s="6">
        <v>87</v>
      </c>
      <c r="B175" s="6"/>
      <c r="C175" s="6">
        <v>1</v>
      </c>
      <c r="D175" s="6"/>
      <c r="E175" s="6">
        <v>87</v>
      </c>
      <c r="F175" s="6" t="str">
        <f ca="1">Master_List!$AW$1</f>
        <v>PERPUSTAKAAN PUSAT</v>
      </c>
      <c r="G175" s="27" t="str">
        <f ca="1">Master_List!$AW$2</f>
        <v>09:30 PM</v>
      </c>
      <c r="H175" s="32" t="str">
        <f ca="1">Master_List!$AW$3</f>
        <v>20/07/2026</v>
      </c>
      <c r="I175" s="28" t="str">
        <f ca="1">Master_List!$AW$4</f>
        <v>28.5</v>
      </c>
      <c r="J175" s="6" t="str">
        <f ca="1">Master_List!$AW$5</f>
        <v>65</v>
      </c>
      <c r="K175" s="6"/>
      <c r="L175" s="21"/>
      <c r="M175" s="39"/>
      <c r="N175" s="39"/>
      <c r="O175" s="39"/>
      <c r="P175" s="39"/>
      <c r="Q175" s="39"/>
      <c r="R175" s="39"/>
      <c r="S175" s="39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6"/>
      <c r="BE175" s="6"/>
      <c r="BF175" s="6"/>
      <c r="BG175" s="6"/>
      <c r="BH175" s="6"/>
      <c r="BU175" s="3"/>
      <c r="BV175" s="3"/>
    </row>
    <row r="176" spans="1:74" ht="12.75" customHeight="1" x14ac:dyDescent="0.2">
      <c r="A176" s="6">
        <v>88</v>
      </c>
      <c r="B176" s="6"/>
      <c r="C176" s="6">
        <v>1</v>
      </c>
      <c r="D176" s="6"/>
      <c r="E176" s="6">
        <v>88</v>
      </c>
      <c r="F176" s="6" t="str">
        <f ca="1">Master_List!$AW$1</f>
        <v>PERPUSTAKAAN PUSAT</v>
      </c>
      <c r="G176" s="27" t="str">
        <f ca="1">Master_List!$AW$2</f>
        <v>09:30 PM</v>
      </c>
      <c r="H176" s="32" t="str">
        <f ca="1">Master_List!$AW$3</f>
        <v>20/07/2026</v>
      </c>
      <c r="I176" s="28" t="str">
        <f ca="1">Master_List!$AW$4</f>
        <v>28.5</v>
      </c>
      <c r="J176" s="6" t="str">
        <f ca="1">Master_List!$AW$5</f>
        <v>65</v>
      </c>
      <c r="K176" s="6"/>
      <c r="L176" s="21"/>
      <c r="M176" s="39"/>
      <c r="N176" s="39"/>
      <c r="O176" s="39"/>
      <c r="P176" s="39"/>
      <c r="Q176" s="39"/>
      <c r="R176" s="39"/>
      <c r="S176" s="39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6"/>
      <c r="BE176" s="6"/>
      <c r="BF176" s="6"/>
      <c r="BG176" s="6"/>
      <c r="BH176" s="6"/>
      <c r="BU176" s="3"/>
      <c r="BV176" s="3"/>
    </row>
    <row r="177" spans="1:74" ht="12.75" customHeight="1" x14ac:dyDescent="0.2">
      <c r="A177" s="6">
        <v>88</v>
      </c>
      <c r="B177" s="6"/>
      <c r="C177" s="6">
        <v>1</v>
      </c>
      <c r="D177" s="6"/>
      <c r="E177" s="6">
        <v>88</v>
      </c>
      <c r="F177" s="6" t="str">
        <f ca="1">Master_List!$AW$1</f>
        <v>PERPUSTAKAAN PUSAT</v>
      </c>
      <c r="G177" s="27" t="str">
        <f ca="1">Master_List!$AW$2</f>
        <v>09:30 PM</v>
      </c>
      <c r="H177" s="32" t="str">
        <f ca="1">Master_List!$AW$3</f>
        <v>20/07/2026</v>
      </c>
      <c r="I177" s="28" t="str">
        <f ca="1">Master_List!$AW$4</f>
        <v>28.5</v>
      </c>
      <c r="J177" s="6" t="str">
        <f ca="1">Master_List!$AW$5</f>
        <v>65</v>
      </c>
      <c r="K177" s="6"/>
      <c r="L177" s="21"/>
      <c r="M177" s="39"/>
      <c r="N177" s="39"/>
      <c r="O177" s="39"/>
      <c r="P177" s="39"/>
      <c r="Q177" s="39"/>
      <c r="R177" s="39"/>
      <c r="S177" s="39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6"/>
      <c r="BE177" s="6"/>
      <c r="BF177" s="6"/>
      <c r="BG177" s="6"/>
      <c r="BH177" s="6"/>
      <c r="BU177" s="3"/>
      <c r="BV177" s="3"/>
    </row>
    <row r="178" spans="1:74" ht="12.75" customHeight="1" x14ac:dyDescent="0.2">
      <c r="A178" s="6">
        <v>89</v>
      </c>
      <c r="B178" s="6"/>
      <c r="C178" s="6">
        <v>1</v>
      </c>
      <c r="D178" s="6"/>
      <c r="E178" s="6">
        <v>89</v>
      </c>
      <c r="F178" s="6" t="str">
        <f ca="1">Master_List!$AW$1</f>
        <v>PERPUSTAKAAN PUSAT</v>
      </c>
      <c r="G178" s="27" t="str">
        <f ca="1">Master_List!$AW$2</f>
        <v>09:30 PM</v>
      </c>
      <c r="H178" s="32" t="str">
        <f ca="1">Master_List!$AW$3</f>
        <v>20/07/2026</v>
      </c>
      <c r="I178" s="28" t="str">
        <f ca="1">Master_List!$AW$4</f>
        <v>28.5</v>
      </c>
      <c r="J178" s="6" t="str">
        <f ca="1">Master_List!$AW$5</f>
        <v>65</v>
      </c>
      <c r="K178" s="6"/>
      <c r="L178" s="21"/>
      <c r="M178" s="39"/>
      <c r="N178" s="39"/>
      <c r="O178" s="39"/>
      <c r="P178" s="39"/>
      <c r="Q178" s="39"/>
      <c r="R178" s="39"/>
      <c r="S178" s="39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6"/>
      <c r="BE178" s="6"/>
      <c r="BF178" s="6"/>
      <c r="BG178" s="6"/>
      <c r="BH178" s="6"/>
      <c r="BU178" s="3"/>
      <c r="BV178" s="3"/>
    </row>
    <row r="179" spans="1:74" ht="12.75" customHeight="1" x14ac:dyDescent="0.2">
      <c r="A179" s="6">
        <v>89</v>
      </c>
      <c r="B179" s="6"/>
      <c r="C179" s="6">
        <v>1</v>
      </c>
      <c r="D179" s="6"/>
      <c r="E179" s="6">
        <v>89</v>
      </c>
      <c r="F179" s="6" t="str">
        <f ca="1">Master_List!$AW$1</f>
        <v>PERPUSTAKAAN PUSAT</v>
      </c>
      <c r="G179" s="27" t="str">
        <f ca="1">Master_List!$AW$2</f>
        <v>09:30 PM</v>
      </c>
      <c r="H179" s="32" t="str">
        <f ca="1">Master_List!$AW$3</f>
        <v>20/07/2026</v>
      </c>
      <c r="I179" s="28" t="str">
        <f ca="1">Master_List!$AW$4</f>
        <v>28.5</v>
      </c>
      <c r="J179" s="6" t="str">
        <f ca="1">Master_List!$AW$5</f>
        <v>65</v>
      </c>
      <c r="K179" s="6"/>
      <c r="L179" s="21"/>
      <c r="M179" s="39"/>
      <c r="N179" s="39"/>
      <c r="O179" s="39"/>
      <c r="P179" s="39"/>
      <c r="Q179" s="39"/>
      <c r="R179" s="39"/>
      <c r="S179" s="39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6"/>
      <c r="BE179" s="6"/>
      <c r="BF179" s="6"/>
      <c r="BG179" s="6"/>
      <c r="BH179" s="6"/>
      <c r="BU179" s="3"/>
      <c r="BV179" s="3"/>
    </row>
    <row r="180" spans="1:74" ht="12.75" customHeight="1" x14ac:dyDescent="0.2">
      <c r="A180" s="6">
        <v>90</v>
      </c>
      <c r="B180" s="6"/>
      <c r="C180" s="6">
        <v>1</v>
      </c>
      <c r="D180" s="6"/>
      <c r="E180" s="6">
        <v>90</v>
      </c>
      <c r="F180" s="6" t="str">
        <f ca="1">Master_List!$AW$1</f>
        <v>PERPUSTAKAAN PUSAT</v>
      </c>
      <c r="G180" s="27" t="str">
        <f ca="1">Master_List!$AW$2</f>
        <v>09:30 PM</v>
      </c>
      <c r="H180" s="32" t="str">
        <f ca="1">Master_List!$AW$3</f>
        <v>20/07/2026</v>
      </c>
      <c r="I180" s="28" t="str">
        <f ca="1">Master_List!$AW$4</f>
        <v>28.5</v>
      </c>
      <c r="J180" s="6" t="str">
        <f ca="1">Master_List!$AW$5</f>
        <v>65</v>
      </c>
      <c r="K180" s="6"/>
      <c r="L180" s="21"/>
      <c r="M180" s="39"/>
      <c r="N180" s="39"/>
      <c r="O180" s="39"/>
      <c r="P180" s="39"/>
      <c r="Q180" s="39"/>
      <c r="R180" s="39"/>
      <c r="S180" s="39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6"/>
      <c r="BE180" s="6"/>
      <c r="BF180" s="6"/>
      <c r="BG180" s="6"/>
      <c r="BH180" s="6"/>
      <c r="BU180" s="3"/>
      <c r="BV180" s="3"/>
    </row>
    <row r="181" spans="1:74" ht="12.75" customHeight="1" x14ac:dyDescent="0.2">
      <c r="A181" s="6">
        <v>90</v>
      </c>
      <c r="B181" s="6"/>
      <c r="C181" s="6">
        <v>1</v>
      </c>
      <c r="D181" s="6"/>
      <c r="E181" s="6">
        <v>90</v>
      </c>
      <c r="F181" s="6" t="str">
        <f ca="1">Master_List!$AW$1</f>
        <v>PERPUSTAKAAN PUSAT</v>
      </c>
      <c r="G181" s="27" t="str">
        <f ca="1">Master_List!$AW$2</f>
        <v>09:30 PM</v>
      </c>
      <c r="H181" s="32" t="str">
        <f ca="1">Master_List!$AW$3</f>
        <v>20/07/2026</v>
      </c>
      <c r="I181" s="28" t="str">
        <f ca="1">Master_List!$AW$4</f>
        <v>28.5</v>
      </c>
      <c r="J181" s="6" t="str">
        <f ca="1">Master_List!$AW$5</f>
        <v>65</v>
      </c>
      <c r="K181" s="6"/>
      <c r="L181" s="21"/>
      <c r="M181" s="39"/>
      <c r="N181" s="39"/>
      <c r="O181" s="39"/>
      <c r="P181" s="39"/>
      <c r="Q181" s="39"/>
      <c r="R181" s="39"/>
      <c r="S181" s="39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6"/>
      <c r="BE181" s="6"/>
      <c r="BF181" s="6"/>
      <c r="BG181" s="6"/>
      <c r="BH181" s="6"/>
      <c r="BU181" s="3"/>
      <c r="BV181" s="3"/>
    </row>
    <row r="182" spans="1:74" ht="12.75" customHeight="1" x14ac:dyDescent="0.2">
      <c r="A182" s="6">
        <v>91</v>
      </c>
      <c r="B182" s="6"/>
      <c r="C182" s="6">
        <v>1</v>
      </c>
      <c r="D182" s="6"/>
      <c r="E182" s="6">
        <v>91</v>
      </c>
      <c r="F182" s="6" t="str">
        <f ca="1">Master_List!$AW$1</f>
        <v>PERPUSTAKAAN PUSAT</v>
      </c>
      <c r="G182" s="27" t="str">
        <f ca="1">Master_List!$AW$2</f>
        <v>09:30 PM</v>
      </c>
      <c r="H182" s="32" t="str">
        <f ca="1">Master_List!$AW$3</f>
        <v>20/07/2026</v>
      </c>
      <c r="I182" s="28" t="str">
        <f ca="1">Master_List!$AW$4</f>
        <v>28.5</v>
      </c>
      <c r="J182" s="6" t="str">
        <f ca="1">Master_List!$AW$5</f>
        <v>65</v>
      </c>
      <c r="K182" s="6"/>
      <c r="L182" s="21"/>
      <c r="M182" s="39"/>
      <c r="N182" s="39"/>
      <c r="O182" s="39"/>
      <c r="P182" s="39"/>
      <c r="Q182" s="39"/>
      <c r="R182" s="39"/>
      <c r="S182" s="39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6"/>
      <c r="BE182" s="6"/>
      <c r="BF182" s="6"/>
      <c r="BG182" s="6"/>
      <c r="BH182" s="6"/>
      <c r="BU182" s="3"/>
      <c r="BV182" s="3"/>
    </row>
    <row r="183" spans="1:74" ht="12.75" customHeight="1" x14ac:dyDescent="0.2">
      <c r="A183" s="6">
        <v>91</v>
      </c>
      <c r="B183" s="6"/>
      <c r="C183" s="6">
        <v>1</v>
      </c>
      <c r="D183" s="6"/>
      <c r="E183" s="6">
        <v>91</v>
      </c>
      <c r="F183" s="6" t="str">
        <f ca="1">Master_List!$AW$1</f>
        <v>PERPUSTAKAAN PUSAT</v>
      </c>
      <c r="G183" s="27" t="str">
        <f ca="1">Master_List!$AW$2</f>
        <v>09:30 PM</v>
      </c>
      <c r="H183" s="32" t="str">
        <f ca="1">Master_List!$AW$3</f>
        <v>20/07/2026</v>
      </c>
      <c r="I183" s="28" t="str">
        <f ca="1">Master_List!$AW$4</f>
        <v>28.5</v>
      </c>
      <c r="J183" s="6" t="str">
        <f ca="1">Master_List!$AW$5</f>
        <v>65</v>
      </c>
      <c r="K183" s="6"/>
      <c r="L183" s="21"/>
      <c r="M183" s="39"/>
      <c r="N183" s="39"/>
      <c r="O183" s="39"/>
      <c r="P183" s="39"/>
      <c r="Q183" s="39"/>
      <c r="R183" s="39"/>
      <c r="S183" s="39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6"/>
      <c r="BE183" s="6"/>
      <c r="BF183" s="6"/>
      <c r="BG183" s="6"/>
      <c r="BH183" s="6"/>
      <c r="BU183" s="3"/>
      <c r="BV183" s="3"/>
    </row>
    <row r="184" spans="1:74" ht="12.75" customHeight="1" x14ac:dyDescent="0.2">
      <c r="A184" s="6">
        <v>92</v>
      </c>
      <c r="B184" s="6"/>
      <c r="C184" s="6">
        <v>1</v>
      </c>
      <c r="D184" s="6"/>
      <c r="E184" s="6">
        <v>92</v>
      </c>
      <c r="F184" s="6" t="str">
        <f ca="1">Master_List!$AW$1</f>
        <v>PERPUSTAKAAN PUSAT</v>
      </c>
      <c r="G184" s="27" t="str">
        <f ca="1">Master_List!$AW$2</f>
        <v>09:30 PM</v>
      </c>
      <c r="H184" s="32" t="str">
        <f ca="1">Master_List!$AW$3</f>
        <v>20/07/2026</v>
      </c>
      <c r="I184" s="28" t="str">
        <f ca="1">Master_List!$AW$4</f>
        <v>28.5</v>
      </c>
      <c r="J184" s="6" t="str">
        <f ca="1">Master_List!$AW$5</f>
        <v>65</v>
      </c>
      <c r="K184" s="6"/>
      <c r="L184" s="21"/>
      <c r="M184" s="39"/>
      <c r="N184" s="39"/>
      <c r="O184" s="39"/>
      <c r="P184" s="39"/>
      <c r="Q184" s="39"/>
      <c r="R184" s="39"/>
      <c r="S184" s="39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6"/>
      <c r="BE184" s="6"/>
      <c r="BF184" s="6"/>
      <c r="BG184" s="6"/>
      <c r="BH184" s="6"/>
      <c r="BU184" s="3"/>
      <c r="BV184" s="3"/>
    </row>
    <row r="185" spans="1:74" ht="12.75" customHeight="1" x14ac:dyDescent="0.2">
      <c r="A185" s="6">
        <v>92</v>
      </c>
      <c r="B185" s="6"/>
      <c r="C185" s="6">
        <v>1</v>
      </c>
      <c r="D185" s="6"/>
      <c r="E185" s="6">
        <v>92</v>
      </c>
      <c r="F185" s="6" t="str">
        <f ca="1">Master_List!$AW$1</f>
        <v>PERPUSTAKAAN PUSAT</v>
      </c>
      <c r="G185" s="27" t="str">
        <f ca="1">Master_List!$AW$2</f>
        <v>09:30 PM</v>
      </c>
      <c r="H185" s="32" t="str">
        <f ca="1">Master_List!$AW$3</f>
        <v>20/07/2026</v>
      </c>
      <c r="I185" s="28" t="str">
        <f ca="1">Master_List!$AW$4</f>
        <v>28.5</v>
      </c>
      <c r="J185" s="6" t="str">
        <f ca="1">Master_List!$AW$5</f>
        <v>65</v>
      </c>
      <c r="K185" s="6"/>
      <c r="L185" s="21"/>
      <c r="M185" s="39"/>
      <c r="N185" s="39"/>
      <c r="O185" s="39"/>
      <c r="P185" s="39"/>
      <c r="Q185" s="39"/>
      <c r="R185" s="39"/>
      <c r="S185" s="39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6"/>
      <c r="BE185" s="6"/>
      <c r="BF185" s="6"/>
      <c r="BG185" s="6"/>
      <c r="BH185" s="6"/>
      <c r="BU185" s="3"/>
      <c r="BV185" s="3"/>
    </row>
    <row r="186" spans="1:74" ht="12.75" customHeight="1" x14ac:dyDescent="0.2">
      <c r="A186" s="6">
        <v>93</v>
      </c>
      <c r="B186" s="6"/>
      <c r="C186" s="6">
        <v>1</v>
      </c>
      <c r="D186" s="6"/>
      <c r="E186" s="6">
        <v>93</v>
      </c>
      <c r="F186" s="6" t="str">
        <f ca="1">Master_List!$AW$1</f>
        <v>PERPUSTAKAAN PUSAT</v>
      </c>
      <c r="G186" s="27" t="str">
        <f ca="1">Master_List!$AW$2</f>
        <v>09:30 PM</v>
      </c>
      <c r="H186" s="32" t="str">
        <f ca="1">Master_List!$AW$3</f>
        <v>20/07/2026</v>
      </c>
      <c r="I186" s="28" t="str">
        <f ca="1">Master_List!$AW$4</f>
        <v>28.5</v>
      </c>
      <c r="J186" s="6" t="str">
        <f ca="1">Master_List!$AW$5</f>
        <v>65</v>
      </c>
      <c r="K186" s="6"/>
      <c r="L186" s="21"/>
      <c r="M186" s="39"/>
      <c r="N186" s="39"/>
      <c r="O186" s="39"/>
      <c r="P186" s="39"/>
      <c r="Q186" s="39"/>
      <c r="R186" s="39"/>
      <c r="S186" s="39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6"/>
      <c r="BE186" s="6"/>
      <c r="BF186" s="6"/>
      <c r="BG186" s="6"/>
      <c r="BH186" s="6"/>
      <c r="BU186" s="3"/>
      <c r="BV186" s="3"/>
    </row>
    <row r="187" spans="1:74" ht="12.75" customHeight="1" x14ac:dyDescent="0.2">
      <c r="A187" s="6">
        <v>93</v>
      </c>
      <c r="B187" s="6"/>
      <c r="C187" s="6">
        <v>1</v>
      </c>
      <c r="D187" s="6"/>
      <c r="E187" s="6">
        <v>93</v>
      </c>
      <c r="F187" s="6" t="str">
        <f ca="1">Master_List!$AW$1</f>
        <v>PERPUSTAKAAN PUSAT</v>
      </c>
      <c r="G187" s="27" t="str">
        <f ca="1">Master_List!$AW$2</f>
        <v>09:30 PM</v>
      </c>
      <c r="H187" s="32" t="str">
        <f ca="1">Master_List!$AW$3</f>
        <v>20/07/2026</v>
      </c>
      <c r="I187" s="28" t="str">
        <f ca="1">Master_List!$AW$4</f>
        <v>28.5</v>
      </c>
      <c r="J187" s="6" t="str">
        <f ca="1">Master_List!$AW$5</f>
        <v>65</v>
      </c>
      <c r="K187" s="6"/>
      <c r="L187" s="21"/>
      <c r="M187" s="39"/>
      <c r="N187" s="39"/>
      <c r="O187" s="39"/>
      <c r="P187" s="39"/>
      <c r="Q187" s="39"/>
      <c r="R187" s="39"/>
      <c r="S187" s="39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6"/>
      <c r="BE187" s="6"/>
      <c r="BF187" s="6"/>
      <c r="BG187" s="6"/>
      <c r="BH187" s="6"/>
      <c r="BU187" s="3"/>
      <c r="BV187" s="3"/>
    </row>
    <row r="188" spans="1:74" ht="12.75" customHeight="1" x14ac:dyDescent="0.2">
      <c r="A188" s="6">
        <v>94</v>
      </c>
      <c r="B188" s="6"/>
      <c r="C188" s="6">
        <v>1</v>
      </c>
      <c r="D188" s="6"/>
      <c r="E188" s="6">
        <v>94</v>
      </c>
      <c r="F188" s="6" t="str">
        <f ca="1">Master_List!$AW$1</f>
        <v>PERPUSTAKAAN PUSAT</v>
      </c>
      <c r="G188" s="27" t="str">
        <f ca="1">Master_List!$AW$2</f>
        <v>09:30 PM</v>
      </c>
      <c r="H188" s="32" t="str">
        <f ca="1">Master_List!$AW$3</f>
        <v>20/07/2026</v>
      </c>
      <c r="I188" s="28" t="str">
        <f ca="1">Master_List!$AW$4</f>
        <v>28.5</v>
      </c>
      <c r="J188" s="6" t="str">
        <f ca="1">Master_List!$AW$5</f>
        <v>65</v>
      </c>
      <c r="K188" s="6"/>
      <c r="L188" s="21"/>
      <c r="M188" s="39"/>
      <c r="N188" s="39"/>
      <c r="O188" s="39"/>
      <c r="P188" s="39"/>
      <c r="Q188" s="39"/>
      <c r="R188" s="39"/>
      <c r="S188" s="39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6"/>
      <c r="BE188" s="6"/>
      <c r="BF188" s="6"/>
      <c r="BG188" s="6"/>
      <c r="BH188" s="6"/>
      <c r="BU188" s="3"/>
      <c r="BV188" s="3"/>
    </row>
    <row r="189" spans="1:74" ht="12.75" customHeight="1" x14ac:dyDescent="0.2">
      <c r="A189" s="6">
        <v>94</v>
      </c>
      <c r="B189" s="6"/>
      <c r="C189" s="6">
        <v>1</v>
      </c>
      <c r="D189" s="6"/>
      <c r="E189" s="6">
        <v>94</v>
      </c>
      <c r="F189" s="6" t="str">
        <f ca="1">Master_List!$AW$1</f>
        <v>PERPUSTAKAAN PUSAT</v>
      </c>
      <c r="G189" s="27" t="str">
        <f ca="1">Master_List!$AW$2</f>
        <v>09:30 PM</v>
      </c>
      <c r="H189" s="32" t="str">
        <f ca="1">Master_List!$AW$3</f>
        <v>20/07/2026</v>
      </c>
      <c r="I189" s="28" t="str">
        <f ca="1">Master_List!$AW$4</f>
        <v>28.5</v>
      </c>
      <c r="J189" s="6" t="str">
        <f ca="1">Master_List!$AW$5</f>
        <v>65</v>
      </c>
      <c r="K189" s="6"/>
      <c r="L189" s="21"/>
      <c r="M189" s="39"/>
      <c r="N189" s="39"/>
      <c r="O189" s="39"/>
      <c r="P189" s="39"/>
      <c r="Q189" s="39"/>
      <c r="R189" s="39"/>
      <c r="S189" s="39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6"/>
      <c r="BE189" s="6"/>
      <c r="BF189" s="6"/>
      <c r="BG189" s="6"/>
      <c r="BH189" s="6"/>
      <c r="BU189" s="3"/>
      <c r="BV189" s="3"/>
    </row>
    <row r="190" spans="1:74" ht="12.75" customHeight="1" x14ac:dyDescent="0.2">
      <c r="A190" s="6">
        <v>95</v>
      </c>
      <c r="B190" s="6"/>
      <c r="C190" s="6">
        <v>1</v>
      </c>
      <c r="D190" s="6"/>
      <c r="E190" s="6">
        <v>95</v>
      </c>
      <c r="F190" s="6" t="str">
        <f ca="1">Master_List!$AW$1</f>
        <v>PERPUSTAKAAN PUSAT</v>
      </c>
      <c r="G190" s="27" t="str">
        <f ca="1">Master_List!$AW$2</f>
        <v>09:30 PM</v>
      </c>
      <c r="H190" s="32" t="str">
        <f ca="1">Master_List!$AW$3</f>
        <v>20/07/2026</v>
      </c>
      <c r="I190" s="28" t="str">
        <f ca="1">Master_List!$AW$4</f>
        <v>28.5</v>
      </c>
      <c r="J190" s="6" t="str">
        <f ca="1">Master_List!$AW$5</f>
        <v>65</v>
      </c>
      <c r="K190" s="6"/>
      <c r="L190" s="21"/>
      <c r="M190" s="39"/>
      <c r="N190" s="39"/>
      <c r="O190" s="39"/>
      <c r="P190" s="39"/>
      <c r="Q190" s="39"/>
      <c r="R190" s="39"/>
      <c r="S190" s="39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6"/>
      <c r="BE190" s="6"/>
      <c r="BF190" s="6"/>
      <c r="BG190" s="6"/>
      <c r="BH190" s="6"/>
      <c r="BU190" s="3"/>
      <c r="BV190" s="3"/>
    </row>
    <row r="191" spans="1:74" ht="12.75" customHeight="1" x14ac:dyDescent="0.2">
      <c r="A191" s="6">
        <v>95</v>
      </c>
      <c r="B191" s="6"/>
      <c r="C191" s="6">
        <v>1</v>
      </c>
      <c r="D191" s="6"/>
      <c r="E191" s="6">
        <v>95</v>
      </c>
      <c r="F191" s="6" t="str">
        <f ca="1">Master_List!$AW$1</f>
        <v>PERPUSTAKAAN PUSAT</v>
      </c>
      <c r="G191" s="27" t="str">
        <f ca="1">Master_List!$AW$2</f>
        <v>09:30 PM</v>
      </c>
      <c r="H191" s="32" t="str">
        <f ca="1">Master_List!$AW$3</f>
        <v>20/07/2026</v>
      </c>
      <c r="I191" s="28" t="str">
        <f ca="1">Master_List!$AW$4</f>
        <v>28.5</v>
      </c>
      <c r="J191" s="6" t="str">
        <f ca="1">Master_List!$AW$5</f>
        <v>65</v>
      </c>
      <c r="K191" s="6"/>
      <c r="L191" s="21"/>
      <c r="M191" s="39"/>
      <c r="N191" s="39"/>
      <c r="O191" s="39"/>
      <c r="P191" s="39"/>
      <c r="Q191" s="39"/>
      <c r="R191" s="39"/>
      <c r="S191" s="39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6"/>
      <c r="BE191" s="6"/>
      <c r="BF191" s="6"/>
      <c r="BG191" s="6"/>
      <c r="BH191" s="6"/>
      <c r="BU191" s="3"/>
      <c r="BV191" s="3"/>
    </row>
    <row r="192" spans="1:74" ht="12.75" customHeight="1" x14ac:dyDescent="0.2">
      <c r="A192" s="6">
        <v>96</v>
      </c>
      <c r="B192" s="6"/>
      <c r="C192" s="6">
        <v>1</v>
      </c>
      <c r="D192" s="6"/>
      <c r="E192" s="6">
        <v>96</v>
      </c>
      <c r="F192" s="6" t="str">
        <f ca="1">Master_List!$AW$1</f>
        <v>PERPUSTAKAAN PUSAT</v>
      </c>
      <c r="G192" s="27" t="str">
        <f ca="1">Master_List!$AW$2</f>
        <v>09:30 PM</v>
      </c>
      <c r="H192" s="32" t="str">
        <f ca="1">Master_List!$AW$3</f>
        <v>20/07/2026</v>
      </c>
      <c r="I192" s="28" t="str">
        <f ca="1">Master_List!$AW$4</f>
        <v>28.5</v>
      </c>
      <c r="J192" s="6" t="str">
        <f ca="1">Master_List!$AW$5</f>
        <v>65</v>
      </c>
      <c r="K192" s="6"/>
      <c r="L192" s="21"/>
      <c r="M192" s="39"/>
      <c r="N192" s="39"/>
      <c r="O192" s="39"/>
      <c r="P192" s="39"/>
      <c r="Q192" s="39"/>
      <c r="R192" s="39"/>
      <c r="S192" s="39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6"/>
      <c r="BE192" s="6"/>
      <c r="BF192" s="6"/>
      <c r="BG192" s="6"/>
      <c r="BH192" s="6"/>
      <c r="BU192" s="3"/>
      <c r="BV192" s="3"/>
    </row>
    <row r="193" spans="1:74" ht="12.75" customHeight="1" x14ac:dyDescent="0.2">
      <c r="A193" s="6">
        <v>96</v>
      </c>
      <c r="B193" s="6"/>
      <c r="C193" s="6">
        <v>1</v>
      </c>
      <c r="D193" s="6"/>
      <c r="E193" s="6">
        <v>96</v>
      </c>
      <c r="F193" s="6" t="str">
        <f ca="1">Master_List!$AW$1</f>
        <v>PERPUSTAKAAN PUSAT</v>
      </c>
      <c r="G193" s="27" t="str">
        <f ca="1">Master_List!$AW$2</f>
        <v>09:30 PM</v>
      </c>
      <c r="H193" s="32" t="str">
        <f ca="1">Master_List!$AW$3</f>
        <v>20/07/2026</v>
      </c>
      <c r="I193" s="28" t="str">
        <f ca="1">Master_List!$AW$4</f>
        <v>28.5</v>
      </c>
      <c r="J193" s="6" t="str">
        <f ca="1">Master_List!$AW$5</f>
        <v>65</v>
      </c>
      <c r="K193" s="6"/>
      <c r="L193" s="21"/>
      <c r="M193" s="39"/>
      <c r="N193" s="39"/>
      <c r="O193" s="39"/>
      <c r="P193" s="39"/>
      <c r="Q193" s="39"/>
      <c r="R193" s="39"/>
      <c r="S193" s="39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6"/>
      <c r="BE193" s="6"/>
      <c r="BF193" s="6"/>
      <c r="BG193" s="6"/>
      <c r="BH193" s="6"/>
      <c r="BU193" s="3"/>
      <c r="BV193" s="3"/>
    </row>
    <row r="194" spans="1:74" ht="12.75" customHeight="1" x14ac:dyDescent="0.2">
      <c r="A194" s="6">
        <v>97</v>
      </c>
      <c r="B194" s="6"/>
      <c r="C194" s="6">
        <v>1</v>
      </c>
      <c r="D194" s="6"/>
      <c r="E194" s="6">
        <v>97</v>
      </c>
      <c r="F194" s="6" t="str">
        <f ca="1">Master_List!$AW$1</f>
        <v>PERPUSTAKAAN PUSAT</v>
      </c>
      <c r="G194" s="27" t="str">
        <f ca="1">Master_List!$AW$2</f>
        <v>09:30 PM</v>
      </c>
      <c r="H194" s="32" t="str">
        <f ca="1">Master_List!$AW$3</f>
        <v>20/07/2026</v>
      </c>
      <c r="I194" s="28" t="str">
        <f ca="1">Master_List!$AW$4</f>
        <v>28.5</v>
      </c>
      <c r="J194" s="6" t="str">
        <f ca="1">Master_List!$AW$5</f>
        <v>65</v>
      </c>
      <c r="K194" s="6"/>
      <c r="L194" s="21"/>
      <c r="M194" s="39"/>
      <c r="N194" s="39"/>
      <c r="O194" s="39"/>
      <c r="P194" s="39"/>
      <c r="Q194" s="39"/>
      <c r="R194" s="39"/>
      <c r="S194" s="39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6"/>
      <c r="BE194" s="6"/>
      <c r="BF194" s="6"/>
      <c r="BG194" s="6"/>
      <c r="BH194" s="6"/>
      <c r="BU194" s="3"/>
      <c r="BV194" s="3"/>
    </row>
    <row r="195" spans="1:74" ht="12.75" customHeight="1" x14ac:dyDescent="0.2">
      <c r="A195" s="6">
        <v>97</v>
      </c>
      <c r="B195" s="6"/>
      <c r="C195" s="6">
        <v>1</v>
      </c>
      <c r="D195" s="6"/>
      <c r="E195" s="6">
        <v>97</v>
      </c>
      <c r="F195" s="6" t="str">
        <f ca="1">Master_List!$AW$1</f>
        <v>PERPUSTAKAAN PUSAT</v>
      </c>
      <c r="G195" s="27" t="str">
        <f ca="1">Master_List!$AW$2</f>
        <v>09:30 PM</v>
      </c>
      <c r="H195" s="32" t="str">
        <f ca="1">Master_List!$AW$3</f>
        <v>20/07/2026</v>
      </c>
      <c r="I195" s="28" t="str">
        <f ca="1">Master_List!$AW$4</f>
        <v>28.5</v>
      </c>
      <c r="J195" s="6" t="str">
        <f ca="1">Master_List!$AW$5</f>
        <v>65</v>
      </c>
      <c r="K195" s="6"/>
      <c r="L195" s="21"/>
      <c r="M195" s="39"/>
      <c r="N195" s="39"/>
      <c r="O195" s="39"/>
      <c r="P195" s="39"/>
      <c r="Q195" s="39"/>
      <c r="R195" s="39"/>
      <c r="S195" s="39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6"/>
      <c r="BE195" s="6"/>
      <c r="BF195" s="6"/>
      <c r="BG195" s="6"/>
      <c r="BH195" s="6"/>
      <c r="BU195" s="3"/>
      <c r="BV195" s="3"/>
    </row>
    <row r="196" spans="1:74" ht="12.75" customHeight="1" x14ac:dyDescent="0.2">
      <c r="A196" s="6">
        <v>98</v>
      </c>
      <c r="B196" s="6"/>
      <c r="C196" s="6">
        <v>1</v>
      </c>
      <c r="D196" s="6"/>
      <c r="E196" s="6">
        <v>98</v>
      </c>
      <c r="F196" s="6" t="str">
        <f ca="1">Master_List!$AW$1</f>
        <v>PERPUSTAKAAN PUSAT</v>
      </c>
      <c r="G196" s="27" t="str">
        <f ca="1">Master_List!$AW$2</f>
        <v>09:30 PM</v>
      </c>
      <c r="H196" s="32" t="str">
        <f ca="1">Master_List!$AW$3</f>
        <v>20/07/2026</v>
      </c>
      <c r="I196" s="28" t="str">
        <f ca="1">Master_List!$AW$4</f>
        <v>28.5</v>
      </c>
      <c r="J196" s="6" t="str">
        <f ca="1">Master_List!$AW$5</f>
        <v>65</v>
      </c>
      <c r="K196" s="6"/>
      <c r="L196" s="21"/>
      <c r="M196" s="39"/>
      <c r="N196" s="39"/>
      <c r="O196" s="39"/>
      <c r="P196" s="39"/>
      <c r="Q196" s="39"/>
      <c r="R196" s="39"/>
      <c r="S196" s="39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6"/>
      <c r="BE196" s="6"/>
      <c r="BF196" s="6"/>
      <c r="BG196" s="6"/>
      <c r="BH196" s="6"/>
      <c r="BU196" s="3"/>
      <c r="BV196" s="3"/>
    </row>
    <row r="197" spans="1:74" ht="12.75" customHeight="1" x14ac:dyDescent="0.2">
      <c r="A197" s="6">
        <v>98</v>
      </c>
      <c r="B197" s="6"/>
      <c r="C197" s="6">
        <v>1</v>
      </c>
      <c r="D197" s="6"/>
      <c r="E197" s="6">
        <v>98</v>
      </c>
      <c r="F197" s="6" t="str">
        <f ca="1">Master_List!$AW$1</f>
        <v>PERPUSTAKAAN PUSAT</v>
      </c>
      <c r="G197" s="27" t="str">
        <f ca="1">Master_List!$AW$2</f>
        <v>09:30 PM</v>
      </c>
      <c r="H197" s="32" t="str">
        <f ca="1">Master_List!$AW$3</f>
        <v>20/07/2026</v>
      </c>
      <c r="I197" s="28" t="str">
        <f ca="1">Master_List!$AW$4</f>
        <v>28.5</v>
      </c>
      <c r="J197" s="6" t="str">
        <f ca="1">Master_List!$AW$5</f>
        <v>65</v>
      </c>
      <c r="K197" s="6"/>
      <c r="L197" s="21"/>
      <c r="M197" s="39"/>
      <c r="N197" s="39"/>
      <c r="O197" s="39"/>
      <c r="P197" s="39"/>
      <c r="Q197" s="39"/>
      <c r="R197" s="39"/>
      <c r="S197" s="39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6"/>
      <c r="BE197" s="6"/>
      <c r="BF197" s="6"/>
      <c r="BG197" s="6"/>
      <c r="BH197" s="6"/>
      <c r="BU197" s="3"/>
      <c r="BV197" s="3"/>
    </row>
    <row r="198" spans="1:74" ht="12.75" customHeight="1" x14ac:dyDescent="0.2">
      <c r="A198" s="6">
        <v>99</v>
      </c>
      <c r="B198" s="6"/>
      <c r="C198" s="6">
        <v>1</v>
      </c>
      <c r="D198" s="6"/>
      <c r="E198" s="6">
        <v>99</v>
      </c>
      <c r="F198" s="6" t="str">
        <f ca="1">Master_List!$AW$1</f>
        <v>PERPUSTAKAAN PUSAT</v>
      </c>
      <c r="G198" s="27" t="str">
        <f ca="1">Master_List!$AW$2</f>
        <v>09:30 PM</v>
      </c>
      <c r="H198" s="32" t="str">
        <f ca="1">Master_List!$AW$3</f>
        <v>20/07/2026</v>
      </c>
      <c r="I198" s="28" t="str">
        <f ca="1">Master_List!$AW$4</f>
        <v>28.5</v>
      </c>
      <c r="J198" s="6" t="str">
        <f ca="1">Master_List!$AW$5</f>
        <v>65</v>
      </c>
      <c r="K198" s="6"/>
      <c r="L198" s="21"/>
      <c r="M198" s="39"/>
      <c r="N198" s="39"/>
      <c r="O198" s="39"/>
      <c r="P198" s="39"/>
      <c r="Q198" s="39"/>
      <c r="R198" s="39"/>
      <c r="S198" s="39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6"/>
      <c r="BE198" s="6"/>
      <c r="BF198" s="6"/>
      <c r="BG198" s="6"/>
      <c r="BH198" s="6"/>
      <c r="BU198" s="3"/>
      <c r="BV198" s="3"/>
    </row>
    <row r="199" spans="1:74" ht="12.75" customHeight="1" x14ac:dyDescent="0.2">
      <c r="A199" s="6">
        <v>99</v>
      </c>
      <c r="B199" s="6"/>
      <c r="C199" s="6">
        <v>1</v>
      </c>
      <c r="D199" s="6"/>
      <c r="E199" s="6">
        <v>99</v>
      </c>
      <c r="F199" s="6" t="str">
        <f ca="1">Master_List!$AW$1</f>
        <v>PERPUSTAKAAN PUSAT</v>
      </c>
      <c r="G199" s="27" t="str">
        <f ca="1">Master_List!$AW$2</f>
        <v>09:30 PM</v>
      </c>
      <c r="H199" s="32" t="str">
        <f ca="1">Master_List!$AW$3</f>
        <v>20/07/2026</v>
      </c>
      <c r="I199" s="28" t="str">
        <f ca="1">Master_List!$AW$4</f>
        <v>28.5</v>
      </c>
      <c r="J199" s="6" t="str">
        <f ca="1">Master_List!$AW$5</f>
        <v>65</v>
      </c>
      <c r="K199" s="6"/>
      <c r="L199" s="21"/>
      <c r="M199" s="39"/>
      <c r="N199" s="39"/>
      <c r="O199" s="39"/>
      <c r="P199" s="39"/>
      <c r="Q199" s="39"/>
      <c r="R199" s="39"/>
      <c r="S199" s="39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6"/>
      <c r="BE199" s="6"/>
      <c r="BF199" s="6"/>
      <c r="BG199" s="6"/>
      <c r="BH199" s="6"/>
      <c r="BU199" s="3"/>
      <c r="BV199" s="3"/>
    </row>
    <row r="200" spans="1:74" ht="12.75" customHeight="1" x14ac:dyDescent="0.2">
      <c r="A200" s="6">
        <v>100</v>
      </c>
      <c r="B200" s="6"/>
      <c r="C200" s="6">
        <v>1</v>
      </c>
      <c r="D200" s="6"/>
      <c r="E200" s="6">
        <v>100</v>
      </c>
      <c r="F200" s="6" t="str">
        <f ca="1">Master_List!$AW$1</f>
        <v>PERPUSTAKAAN PUSAT</v>
      </c>
      <c r="G200" s="27" t="str">
        <f ca="1">Master_List!$AW$2</f>
        <v>09:30 PM</v>
      </c>
      <c r="H200" s="32" t="str">
        <f ca="1">Master_List!$AW$3</f>
        <v>20/07/2026</v>
      </c>
      <c r="I200" s="28" t="str">
        <f ca="1">Master_List!$AW$4</f>
        <v>28.5</v>
      </c>
      <c r="J200" s="6" t="str">
        <f ca="1">Master_List!$AW$5</f>
        <v>65</v>
      </c>
      <c r="K200" s="6"/>
      <c r="L200" s="21"/>
      <c r="M200" s="39"/>
      <c r="N200" s="39"/>
      <c r="O200" s="39"/>
      <c r="P200" s="39"/>
      <c r="Q200" s="39"/>
      <c r="R200" s="39"/>
      <c r="S200" s="39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6"/>
      <c r="BE200" s="6"/>
      <c r="BF200" s="6"/>
      <c r="BG200" s="6"/>
      <c r="BH200" s="6"/>
      <c r="BU200" s="3"/>
      <c r="BV200" s="3"/>
    </row>
    <row r="201" spans="1:74" thickBot="1" x14ac:dyDescent="0.25">
      <c r="A201" s="6">
        <v>100</v>
      </c>
      <c r="B201" s="6"/>
      <c r="C201" s="6">
        <v>1</v>
      </c>
      <c r="D201" s="6"/>
      <c r="E201" s="6">
        <v>100</v>
      </c>
      <c r="F201" s="6" t="str">
        <f ca="1">Master_List!$AW$1</f>
        <v>PERPUSTAKAAN PUSAT</v>
      </c>
      <c r="G201" s="27" t="str">
        <f ca="1">Master_List!$AW$2</f>
        <v>09:30 PM</v>
      </c>
      <c r="H201" s="32" t="str">
        <f ca="1">Master_List!$AW$3</f>
        <v>20/07/2026</v>
      </c>
      <c r="I201" s="28" t="str">
        <f ca="1">Master_List!$AW$4</f>
        <v>28.5</v>
      </c>
      <c r="J201" s="6" t="str">
        <f ca="1">Master_List!$AW$5</f>
        <v>65</v>
      </c>
      <c r="K201" s="6"/>
      <c r="L201" s="21"/>
      <c r="M201" s="39"/>
      <c r="N201" s="39"/>
      <c r="O201" s="39"/>
      <c r="P201" s="39"/>
      <c r="Q201" s="39"/>
      <c r="R201" s="39"/>
      <c r="S201" s="39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6"/>
      <c r="BE201" s="6"/>
      <c r="BF201" s="6"/>
      <c r="BG201" s="6"/>
      <c r="BH201" s="6"/>
      <c r="BU201" s="3"/>
      <c r="BV20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505"/>
  <sheetViews>
    <sheetView zoomScale="130" zoomScaleNormal="130" workbookViewId="0">
      <selection activeCell="B19" sqref="B19:C22"/>
    </sheetView>
  </sheetViews>
  <sheetFormatPr defaultRowHeight="15" x14ac:dyDescent="0.25"/>
  <cols>
    <col min="1" max="1" width="15" bestFit="1" customWidth="1"/>
    <col min="2" max="2" width="25.42578125" bestFit="1" customWidth="1"/>
    <col min="3" max="9" width="25.42578125" customWidth="1"/>
    <col min="10" max="43" width="32.85546875" customWidth="1"/>
    <col min="44" max="46" width="17.42578125" customWidth="1"/>
    <col min="47" max="47" width="22.42578125" bestFit="1" customWidth="1"/>
    <col min="48" max="48" width="24.7109375" bestFit="1" customWidth="1"/>
    <col min="49" max="49" width="22.140625" bestFit="1" customWidth="1"/>
    <col min="52" max="52" width="15" customWidth="1"/>
    <col min="56" max="56" width="32.5703125" bestFit="1" customWidth="1"/>
  </cols>
  <sheetData>
    <row r="1" spans="1:57" ht="15.75" customHeight="1" thickBot="1" x14ac:dyDescent="0.3">
      <c r="A1" s="5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J1" s="13" t="s">
        <v>1705</v>
      </c>
      <c r="K1" s="13" t="s">
        <v>1706</v>
      </c>
      <c r="L1" s="13" t="s">
        <v>1707</v>
      </c>
      <c r="M1" s="13" t="s">
        <v>1708</v>
      </c>
      <c r="N1" s="13" t="s">
        <v>1709</v>
      </c>
      <c r="O1" s="13" t="s">
        <v>1710</v>
      </c>
      <c r="P1" s="13" t="s">
        <v>1711</v>
      </c>
      <c r="Q1" s="13" t="s">
        <v>1712</v>
      </c>
      <c r="R1" s="13" t="s">
        <v>1713</v>
      </c>
      <c r="S1" s="13" t="s">
        <v>1714</v>
      </c>
      <c r="T1" s="13" t="s">
        <v>1715</v>
      </c>
      <c r="U1" s="13" t="s">
        <v>1716</v>
      </c>
      <c r="V1" s="13" t="s">
        <v>1717</v>
      </c>
      <c r="W1" s="13" t="s">
        <v>1718</v>
      </c>
      <c r="X1" s="13" t="s">
        <v>1719</v>
      </c>
      <c r="Y1" s="13" t="s">
        <v>1720</v>
      </c>
      <c r="Z1" s="13" t="s">
        <v>1721</v>
      </c>
      <c r="AA1" s="13" t="s">
        <v>1722</v>
      </c>
      <c r="AB1" s="13" t="s">
        <v>1723</v>
      </c>
      <c r="AC1" s="13" t="s">
        <v>1724</v>
      </c>
      <c r="AD1" s="13" t="s">
        <v>1725</v>
      </c>
      <c r="AE1" s="13" t="s">
        <v>1726</v>
      </c>
      <c r="AF1" s="13" t="s">
        <v>1727</v>
      </c>
      <c r="AG1" s="13" t="s">
        <v>1728</v>
      </c>
      <c r="AH1" s="13" t="s">
        <v>1729</v>
      </c>
      <c r="AI1" s="13" t="s">
        <v>1730</v>
      </c>
      <c r="AJ1" s="13" t="s">
        <v>1731</v>
      </c>
      <c r="AK1" s="13" t="s">
        <v>1732</v>
      </c>
      <c r="AL1" s="13" t="s">
        <v>1733</v>
      </c>
      <c r="AM1" s="13" t="s">
        <v>1734</v>
      </c>
      <c r="AN1" s="13" t="s">
        <v>1735</v>
      </c>
      <c r="AO1" s="13" t="s">
        <v>1736</v>
      </c>
      <c r="AP1" s="13" t="s">
        <v>1737</v>
      </c>
      <c r="AQ1" s="13" t="s">
        <v>1738</v>
      </c>
      <c r="AU1" s="6" t="s">
        <v>1691</v>
      </c>
      <c r="AV1" s="6" t="s">
        <v>2267</v>
      </c>
      <c r="AW1" s="9" t="str">
        <f t="array" aca="1" ref="AW1" ca="1">IF(INDIRECT("'" &amp; $AY$1 &amp; "'!P1")="","",INDIRECT("'" &amp; $AY$1 &amp; "'!P1"))</f>
        <v>PERPUSTAKAAN PUSAT</v>
      </c>
      <c r="AY1" s="33" t="s">
        <v>443</v>
      </c>
      <c r="AZ1" t="s">
        <v>2268</v>
      </c>
    </row>
    <row r="2" spans="1:57" x14ac:dyDescent="0.25">
      <c r="A2" s="5" t="s">
        <v>1534</v>
      </c>
      <c r="B2" s="5" t="str">
        <f t="shared" ref="B2:B16" ca="1" si="0">IF(INDIRECT("'" &amp; $AY$1 &amp; "'!B" &amp; ROW())="","",INDIRECT("'" &amp; $AY$1 &amp; "'!B" &amp; ROW()))</f>
        <v>JJB 87616</v>
      </c>
      <c r="C2" s="5" t="str">
        <f t="shared" ref="C2:C16" ca="1" si="1">IF(INDIRECT("'" &amp; $AY$1 &amp; "'!C" &amp; ROW())="","",INDIRECT("'" &amp; $AY$1 &amp; "'!c" &amp; ROW()))</f>
        <v>PDT QRTS AGAMA</v>
      </c>
      <c r="D2" s="5" t="str">
        <f t="shared" ref="D2:D16" ca="1" si="2">IF(INDIRECT("'" &amp; $AY$1 &amp; "'!D" &amp; ROW())="","",INDIRECT("'" &amp; $AY$1 &amp; "'!D" &amp; ROW()))</f>
        <v>NOT ACCESSIBLE</v>
      </c>
      <c r="E2" s="5" t="str">
        <f t="shared" ref="E2:E16" ca="1" si="3">IF(INDIRECT("'" &amp; $AY$1 &amp; "'!E" &amp; ROW())="","",INDIRECT("'" &amp; $AY$1 &amp; "'!e" &amp; ROW()))</f>
        <v>CLOSE</v>
      </c>
      <c r="F2" s="5" t="str">
        <f t="shared" ref="F2:F16" ca="1" si="4">IF(INDIRECT("'" &amp; $AY$1 &amp; "'!F" &amp; ROW())="","",INDIRECT("'" &amp; $AY$1 &amp; "'!F" &amp; ROW()))</f>
        <v/>
      </c>
      <c r="G2" s="5" t="str">
        <f t="shared" ref="G2:G16" ca="1" si="5">IF(INDIRECT("'" &amp; $AY$1 &amp; "'!G" &amp; ROW())="","",INDIRECT("'" &amp; $AY$1 &amp; "'!G" &amp; ROW()))</f>
        <v/>
      </c>
      <c r="H2" s="5" t="str">
        <f t="shared" ref="H2:H16" ca="1" si="6">IF(INDIRECT("'" &amp; $AY$1 &amp; "'!H" &amp; ROW())="","",INDIRECT("'" &amp; $AY$1 &amp; "'!H" &amp; ROW()))</f>
        <v/>
      </c>
      <c r="I2" s="5" t="str">
        <f t="shared" ref="I2:I16" ca="1" si="7">IF(INDIRECT("'" &amp; $AY$1 &amp; "'!I" &amp; ROW())="","",INDIRECT("'" &amp; $AY$1 &amp; "'!I" &amp; ROW()))</f>
        <v>24DU738_1015</v>
      </c>
      <c r="J2" s="5" t="str">
        <f t="shared" ref="J2:J16" ca="1" si="8">$AW$6</f>
        <v>TOSHIBA</v>
      </c>
      <c r="K2" s="5" t="str">
        <f t="shared" ref="K2:K16" ca="1" si="9">$AW$9</f>
        <v>2S1F</v>
      </c>
      <c r="L2" s="5" t="str">
        <f t="shared" ref="L2:L16" ca="1" si="10">$AW$8</f>
        <v>12kV</v>
      </c>
      <c r="M2" s="5" t="str">
        <f t="shared" ref="M2:M16" ca="1" si="11">$AW$7</f>
        <v>MRMU</v>
      </c>
      <c r="N2" s="5" t="str">
        <f t="shared" ref="N2:N16" ca="1" si="12">$AW$10</f>
        <v>MTM</v>
      </c>
      <c r="O2" s="5" t="str">
        <f t="shared" ref="O2:O16" ca="1" si="13">$AW$13</f>
        <v>1317</v>
      </c>
      <c r="P2" s="5" t="str">
        <f t="shared" ref="P2:P16" ca="1" si="14">$AW$12</f>
        <v>750kVA</v>
      </c>
      <c r="Q2" s="5" t="str">
        <f t="shared" ref="Q2:Q16" ca="1" si="15">$AW$11</f>
        <v>HERMETICALLY SEAL</v>
      </c>
      <c r="R2" s="5">
        <f t="shared" ref="R2:R16" ca="1" si="16">$AW$14</f>
        <v>0</v>
      </c>
      <c r="S2" s="5">
        <f t="shared" ref="S2:S16" ca="1" si="17">$AW$15</f>
        <v>0</v>
      </c>
      <c r="T2" s="5">
        <f t="shared" ref="T2:T16" ca="1" si="18">$AW$16</f>
        <v>0</v>
      </c>
      <c r="U2" s="5">
        <f t="shared" ref="U2:U16" ca="1" si="19">$AW$17</f>
        <v>0</v>
      </c>
      <c r="V2" s="5" t="str">
        <f t="shared" ref="V2:V16" ca="1" si="20">$AW$18</f>
        <v>INDKOM</v>
      </c>
      <c r="W2" s="5" t="str">
        <f t="shared" ref="W2:W16" ca="1" si="21">$AW$19</f>
        <v>J-SLOTTED</v>
      </c>
      <c r="X2" s="5" t="str">
        <f t="shared" ref="X2:X16" ca="1" si="22">$AW$20</f>
        <v>1600A</v>
      </c>
      <c r="Y2" s="5" t="str">
        <f t="shared" ref="Y2:Y16" ca="1" si="23">$AW$21</f>
        <v>LV5080090</v>
      </c>
      <c r="Z2" s="5" t="str">
        <f t="shared" ref="Z2:Z16" ca="1" si="24">$AW$22</f>
        <v>LVDB TX1</v>
      </c>
      <c r="AA2" s="5">
        <f t="shared" ref="AA2:AA16" ca="1" si="25">$AW$23</f>
        <v>0</v>
      </c>
      <c r="AB2" s="5">
        <f t="shared" ref="AB2:AB16" ca="1" si="26">$AW$24</f>
        <v>0</v>
      </c>
      <c r="AC2" s="5">
        <f t="shared" ref="AC2:AC16" ca="1" si="27">$AW$25</f>
        <v>0</v>
      </c>
      <c r="AD2" s="5">
        <f t="shared" ref="AD2:AD16" ca="1" si="28">$AW$26</f>
        <v>0</v>
      </c>
      <c r="AE2" s="5" t="str">
        <f t="shared" ref="AE2:AE16" ca="1" si="29">$AW$27</f>
        <v>LVDB TX2</v>
      </c>
      <c r="AF2" s="5" t="str">
        <f t="shared" ref="AF2:AF16" ca="1" si="30">$AW$28</f>
        <v>SUNPOWER TECHNOLOGIES</v>
      </c>
      <c r="AG2" s="5" t="str">
        <f t="shared" ref="AG2:AG16" ca="1" si="31">$AW$29</f>
        <v>SPS 30-10 L</v>
      </c>
      <c r="AH2" s="5" t="str">
        <f t="shared" ref="AH2:AH16" ca="1" si="32">$AW$30</f>
        <v>11193-8527</v>
      </c>
      <c r="AI2" s="5">
        <f t="shared" ref="AI2:AI16" ca="1" si="33">$AW$31</f>
        <v>0</v>
      </c>
      <c r="AJ2" s="5">
        <f t="shared" ref="AJ2:AJ16" ca="1" si="34">$AW$32</f>
        <v>0</v>
      </c>
      <c r="AK2" s="5">
        <f t="shared" ref="AK2:AK16" ca="1" si="35">$AW$33</f>
        <v>0</v>
      </c>
      <c r="AL2" s="5">
        <f t="shared" ref="AL2:AL16" ca="1" si="36">$AW$34</f>
        <v>0</v>
      </c>
      <c r="AM2" s="5">
        <f t="shared" ref="AM2:AM16" ca="1" si="37">$AW$35</f>
        <v>0</v>
      </c>
      <c r="AN2" s="5">
        <f t="shared" ref="AN2:AN16" ca="1" si="38">$AW$36</f>
        <v>0</v>
      </c>
      <c r="AO2" s="5">
        <f t="shared" ref="AO2:AO16" ca="1" si="39">$AW$37</f>
        <v>0</v>
      </c>
      <c r="AP2" s="5">
        <f t="shared" ref="AP2:AP16" ca="1" si="40">$AW$38</f>
        <v>0</v>
      </c>
      <c r="AQ2" s="5">
        <f t="shared" ref="AQ2:AQ16" ca="1" si="41">$AW$39</f>
        <v>0</v>
      </c>
      <c r="AR2" s="5"/>
      <c r="AS2" s="5"/>
      <c r="AT2" s="5"/>
      <c r="AU2" s="6" t="s">
        <v>1692</v>
      </c>
      <c r="AV2" s="6" t="s">
        <v>2</v>
      </c>
      <c r="AW2" s="29" t="str">
        <f t="array" aca="1" ref="AW2" ca="1">IF(INDIRECT("'" &amp; $AY$1 &amp; "'!P2")="","",INDIRECT("'" &amp; $AY$1 &amp; "'!P2"))</f>
        <v>09:30 PM</v>
      </c>
    </row>
    <row r="3" spans="1:57" x14ac:dyDescent="0.25">
      <c r="A3" s="5" t="s">
        <v>1535</v>
      </c>
      <c r="B3" s="5" t="str">
        <f t="shared" ca="1" si="0"/>
        <v>JJB 87617</v>
      </c>
      <c r="C3" s="5" t="str">
        <f t="shared" ca="1" si="1"/>
        <v>WISMA TNB</v>
      </c>
      <c r="D3" s="5" t="str">
        <f t="shared" ca="1" si="2"/>
        <v>NOT ACCESSIBLE</v>
      </c>
      <c r="E3" s="5" t="str">
        <f t="shared" ca="1" si="3"/>
        <v>OPEN</v>
      </c>
      <c r="F3" s="5" t="str">
        <f t="shared" ca="1" si="4"/>
        <v/>
      </c>
      <c r="G3" s="5" t="str">
        <f t="shared" ca="1" si="5"/>
        <v/>
      </c>
      <c r="H3" s="5" t="str">
        <f t="shared" ca="1" si="6"/>
        <v/>
      </c>
      <c r="I3" s="5" t="str">
        <f t="shared" ca="1" si="7"/>
        <v>24DU738_1015</v>
      </c>
      <c r="J3" s="5" t="str">
        <f t="shared" ca="1" si="8"/>
        <v>TOSHIBA</v>
      </c>
      <c r="K3" s="5" t="str">
        <f t="shared" ca="1" si="9"/>
        <v>2S1F</v>
      </c>
      <c r="L3" s="5" t="str">
        <f t="shared" ca="1" si="10"/>
        <v>12kV</v>
      </c>
      <c r="M3" s="5" t="str">
        <f t="shared" ca="1" si="11"/>
        <v>MRMU</v>
      </c>
      <c r="N3" s="5" t="str">
        <f t="shared" ca="1" si="12"/>
        <v>MTM</v>
      </c>
      <c r="O3" s="5" t="str">
        <f t="shared" ca="1" si="13"/>
        <v>1317</v>
      </c>
      <c r="P3" s="5" t="str">
        <f t="shared" ca="1" si="14"/>
        <v>750kVA</v>
      </c>
      <c r="Q3" s="5" t="str">
        <f t="shared" ca="1" si="15"/>
        <v>HERMETICALLY SEAL</v>
      </c>
      <c r="R3" s="5">
        <f t="shared" ca="1" si="16"/>
        <v>0</v>
      </c>
      <c r="S3" s="5">
        <f t="shared" ca="1" si="17"/>
        <v>0</v>
      </c>
      <c r="T3" s="5">
        <f t="shared" ca="1" si="18"/>
        <v>0</v>
      </c>
      <c r="U3" s="5">
        <f t="shared" ca="1" si="19"/>
        <v>0</v>
      </c>
      <c r="V3" s="5" t="str">
        <f t="shared" ca="1" si="20"/>
        <v>INDKOM</v>
      </c>
      <c r="W3" s="5" t="str">
        <f t="shared" ca="1" si="21"/>
        <v>J-SLOTTED</v>
      </c>
      <c r="X3" s="5" t="str">
        <f t="shared" ca="1" si="22"/>
        <v>1600A</v>
      </c>
      <c r="Y3" s="5" t="str">
        <f t="shared" ca="1" si="23"/>
        <v>LV5080090</v>
      </c>
      <c r="Z3" s="5" t="str">
        <f t="shared" ca="1" si="24"/>
        <v>LVDB TX1</v>
      </c>
      <c r="AA3" s="5">
        <f t="shared" ca="1" si="25"/>
        <v>0</v>
      </c>
      <c r="AB3" s="5">
        <f t="shared" ca="1" si="26"/>
        <v>0</v>
      </c>
      <c r="AC3" s="5">
        <f t="shared" ca="1" si="27"/>
        <v>0</v>
      </c>
      <c r="AD3" s="5">
        <f t="shared" ca="1" si="28"/>
        <v>0</v>
      </c>
      <c r="AE3" s="5" t="str">
        <f t="shared" ca="1" si="29"/>
        <v>LVDB TX2</v>
      </c>
      <c r="AF3" s="5" t="str">
        <f t="shared" ca="1" si="30"/>
        <v>SUNPOWER TECHNOLOGIES</v>
      </c>
      <c r="AG3" s="5" t="str">
        <f t="shared" ca="1" si="31"/>
        <v>SPS 30-10 L</v>
      </c>
      <c r="AH3" s="5" t="str">
        <f t="shared" ca="1" si="32"/>
        <v>11193-8527</v>
      </c>
      <c r="AI3" s="5">
        <f t="shared" ca="1" si="33"/>
        <v>0</v>
      </c>
      <c r="AJ3" s="5">
        <f t="shared" ca="1" si="34"/>
        <v>0</v>
      </c>
      <c r="AK3" s="5">
        <f t="shared" ca="1" si="35"/>
        <v>0</v>
      </c>
      <c r="AL3" s="5">
        <f t="shared" ca="1" si="36"/>
        <v>0</v>
      </c>
      <c r="AM3" s="5">
        <f t="shared" ca="1" si="37"/>
        <v>0</v>
      </c>
      <c r="AN3" s="5">
        <f t="shared" ca="1" si="38"/>
        <v>0</v>
      </c>
      <c r="AO3" s="5">
        <f t="shared" ca="1" si="39"/>
        <v>0</v>
      </c>
      <c r="AP3" s="5">
        <f t="shared" ca="1" si="40"/>
        <v>0</v>
      </c>
      <c r="AQ3" s="5">
        <f t="shared" ca="1" si="41"/>
        <v>0</v>
      </c>
      <c r="AR3" s="5"/>
      <c r="AS3" s="5"/>
      <c r="AT3" s="5"/>
      <c r="AU3" s="6" t="s">
        <v>1693</v>
      </c>
      <c r="AV3" s="6" t="s">
        <v>3</v>
      </c>
      <c r="AW3" s="30" t="str">
        <f t="array" aca="1" ref="AW3" ca="1">IF(INDIRECT("'" &amp; $AY$1 &amp; "'!P3")="","",INDIRECT("'" &amp; $AY$1 &amp; "'!P3"))</f>
        <v>20/07/2026</v>
      </c>
    </row>
    <row r="4" spans="1:57" x14ac:dyDescent="0.25">
      <c r="A4" s="5" t="s">
        <v>1536</v>
      </c>
      <c r="B4" s="5" t="str">
        <f t="shared" ca="1" si="0"/>
        <v>JJB 87615</v>
      </c>
      <c r="C4" s="5" t="str">
        <f t="shared" ca="1" si="1"/>
        <v>TX 750KVA</v>
      </c>
      <c r="D4" s="5" t="str">
        <f t="shared" ca="1" si="2"/>
        <v>NOT ACCESSIBLE</v>
      </c>
      <c r="E4" s="5" t="str">
        <f t="shared" ca="1" si="3"/>
        <v>CLOSE</v>
      </c>
      <c r="F4" s="5" t="str">
        <f t="shared" ca="1" si="4"/>
        <v/>
      </c>
      <c r="G4" s="5" t="str">
        <f t="shared" ca="1" si="5"/>
        <v/>
      </c>
      <c r="H4" s="5" t="str">
        <f t="shared" ca="1" si="6"/>
        <v/>
      </c>
      <c r="I4" s="5" t="str">
        <f t="shared" ca="1" si="7"/>
        <v>24DU738_1015</v>
      </c>
      <c r="J4" s="5" t="str">
        <f t="shared" ca="1" si="8"/>
        <v>TOSHIBA</v>
      </c>
      <c r="K4" s="5" t="str">
        <f t="shared" ca="1" si="9"/>
        <v>2S1F</v>
      </c>
      <c r="L4" s="5" t="str">
        <f t="shared" ca="1" si="10"/>
        <v>12kV</v>
      </c>
      <c r="M4" s="5" t="str">
        <f t="shared" ca="1" si="11"/>
        <v>MRMU</v>
      </c>
      <c r="N4" s="5" t="str">
        <f t="shared" ca="1" si="12"/>
        <v>MTM</v>
      </c>
      <c r="O4" s="5" t="str">
        <f t="shared" ca="1" si="13"/>
        <v>1317</v>
      </c>
      <c r="P4" s="5" t="str">
        <f t="shared" ca="1" si="14"/>
        <v>750kVA</v>
      </c>
      <c r="Q4" s="5" t="str">
        <f t="shared" ca="1" si="15"/>
        <v>HERMETICALLY SEAL</v>
      </c>
      <c r="R4" s="5">
        <f t="shared" ca="1" si="16"/>
        <v>0</v>
      </c>
      <c r="S4" s="5">
        <f t="shared" ca="1" si="17"/>
        <v>0</v>
      </c>
      <c r="T4" s="5">
        <f t="shared" ca="1" si="18"/>
        <v>0</v>
      </c>
      <c r="U4" s="5">
        <f t="shared" ca="1" si="19"/>
        <v>0</v>
      </c>
      <c r="V4" s="5" t="str">
        <f t="shared" ca="1" si="20"/>
        <v>INDKOM</v>
      </c>
      <c r="W4" s="5" t="str">
        <f t="shared" ca="1" si="21"/>
        <v>J-SLOTTED</v>
      </c>
      <c r="X4" s="5" t="str">
        <f t="shared" ca="1" si="22"/>
        <v>1600A</v>
      </c>
      <c r="Y4" s="5" t="str">
        <f t="shared" ca="1" si="23"/>
        <v>LV5080090</v>
      </c>
      <c r="Z4" s="5" t="str">
        <f t="shared" ca="1" si="24"/>
        <v>LVDB TX1</v>
      </c>
      <c r="AA4" s="5">
        <f t="shared" ca="1" si="25"/>
        <v>0</v>
      </c>
      <c r="AB4" s="5">
        <f t="shared" ca="1" si="26"/>
        <v>0</v>
      </c>
      <c r="AC4" s="5">
        <f t="shared" ca="1" si="27"/>
        <v>0</v>
      </c>
      <c r="AD4" s="5">
        <f t="shared" ca="1" si="28"/>
        <v>0</v>
      </c>
      <c r="AE4" s="5" t="str">
        <f t="shared" ca="1" si="29"/>
        <v>LVDB TX2</v>
      </c>
      <c r="AF4" s="5" t="str">
        <f t="shared" ca="1" si="30"/>
        <v>SUNPOWER TECHNOLOGIES</v>
      </c>
      <c r="AG4" s="5" t="str">
        <f t="shared" ca="1" si="31"/>
        <v>SPS 30-10 L</v>
      </c>
      <c r="AH4" s="5" t="str">
        <f t="shared" ca="1" si="32"/>
        <v>11193-8527</v>
      </c>
      <c r="AI4" s="5">
        <f t="shared" ca="1" si="33"/>
        <v>0</v>
      </c>
      <c r="AJ4" s="5">
        <f t="shared" ca="1" si="34"/>
        <v>0</v>
      </c>
      <c r="AK4" s="5">
        <f t="shared" ca="1" si="35"/>
        <v>0</v>
      </c>
      <c r="AL4" s="5">
        <f t="shared" ca="1" si="36"/>
        <v>0</v>
      </c>
      <c r="AM4" s="5">
        <f t="shared" ca="1" si="37"/>
        <v>0</v>
      </c>
      <c r="AN4" s="5">
        <f t="shared" ca="1" si="38"/>
        <v>0</v>
      </c>
      <c r="AO4" s="5">
        <f t="shared" ca="1" si="39"/>
        <v>0</v>
      </c>
      <c r="AP4" s="5">
        <f t="shared" ca="1" si="40"/>
        <v>0</v>
      </c>
      <c r="AQ4" s="5">
        <f t="shared" ca="1" si="41"/>
        <v>0</v>
      </c>
      <c r="AR4" s="5"/>
      <c r="AS4" s="5"/>
      <c r="AT4" s="5"/>
      <c r="AU4" s="6" t="s">
        <v>1694</v>
      </c>
      <c r="AV4" s="6" t="s">
        <v>4</v>
      </c>
      <c r="AW4" s="31" t="str">
        <f t="array" aca="1" ref="AW4" ca="1">IF(INDIRECT("'" &amp; $AY$1 &amp; "'!P4")="","",INDIRECT("'" &amp; $AY$1 &amp; "'!P4"))</f>
        <v>28.5</v>
      </c>
    </row>
    <row r="5" spans="1:57" x14ac:dyDescent="0.25">
      <c r="A5" s="5" t="s">
        <v>1537</v>
      </c>
      <c r="B5" s="5" t="str">
        <f t="shared" ca="1" si="0"/>
        <v/>
      </c>
      <c r="C5" s="5" t="str">
        <f t="shared" ca="1" si="1"/>
        <v/>
      </c>
      <c r="D5" s="5" t="str">
        <f t="shared" ca="1" si="2"/>
        <v/>
      </c>
      <c r="E5" s="5" t="str">
        <f t="shared" ca="1" si="3"/>
        <v/>
      </c>
      <c r="F5" s="5" t="str">
        <f t="shared" ca="1" si="4"/>
        <v/>
      </c>
      <c r="G5" s="5" t="str">
        <f t="shared" ca="1" si="5"/>
        <v/>
      </c>
      <c r="H5" s="5" t="str">
        <f t="shared" ca="1" si="6"/>
        <v/>
      </c>
      <c r="I5" s="5" t="str">
        <f t="shared" ca="1" si="7"/>
        <v>24DU738_1015</v>
      </c>
      <c r="J5" s="5" t="str">
        <f t="shared" ca="1" si="8"/>
        <v>TOSHIBA</v>
      </c>
      <c r="K5" s="5" t="str">
        <f t="shared" ca="1" si="9"/>
        <v>2S1F</v>
      </c>
      <c r="L5" s="5" t="str">
        <f t="shared" ca="1" si="10"/>
        <v>12kV</v>
      </c>
      <c r="M5" s="5" t="str">
        <f t="shared" ca="1" si="11"/>
        <v>MRMU</v>
      </c>
      <c r="N5" s="5" t="str">
        <f t="shared" ca="1" si="12"/>
        <v>MTM</v>
      </c>
      <c r="O5" s="5" t="str">
        <f t="shared" ca="1" si="13"/>
        <v>1317</v>
      </c>
      <c r="P5" s="5" t="str">
        <f t="shared" ca="1" si="14"/>
        <v>750kVA</v>
      </c>
      <c r="Q5" s="5" t="str">
        <f t="shared" ca="1" si="15"/>
        <v>HERMETICALLY SEAL</v>
      </c>
      <c r="R5" s="5">
        <f t="shared" ca="1" si="16"/>
        <v>0</v>
      </c>
      <c r="S5" s="5">
        <f t="shared" ca="1" si="17"/>
        <v>0</v>
      </c>
      <c r="T5" s="5">
        <f t="shared" ca="1" si="18"/>
        <v>0</v>
      </c>
      <c r="U5" s="5">
        <f t="shared" ca="1" si="19"/>
        <v>0</v>
      </c>
      <c r="V5" s="5" t="str">
        <f t="shared" ca="1" si="20"/>
        <v>INDKOM</v>
      </c>
      <c r="W5" s="5" t="str">
        <f t="shared" ca="1" si="21"/>
        <v>J-SLOTTED</v>
      </c>
      <c r="X5" s="5" t="str">
        <f t="shared" ca="1" si="22"/>
        <v>1600A</v>
      </c>
      <c r="Y5" s="5" t="str">
        <f t="shared" ca="1" si="23"/>
        <v>LV5080090</v>
      </c>
      <c r="Z5" s="5" t="str">
        <f t="shared" ca="1" si="24"/>
        <v>LVDB TX1</v>
      </c>
      <c r="AA5" s="5">
        <f t="shared" ca="1" si="25"/>
        <v>0</v>
      </c>
      <c r="AB5" s="5">
        <f t="shared" ca="1" si="26"/>
        <v>0</v>
      </c>
      <c r="AC5" s="5">
        <f t="shared" ca="1" si="27"/>
        <v>0</v>
      </c>
      <c r="AD5" s="5">
        <f t="shared" ca="1" si="28"/>
        <v>0</v>
      </c>
      <c r="AE5" s="5" t="str">
        <f t="shared" ca="1" si="29"/>
        <v>LVDB TX2</v>
      </c>
      <c r="AF5" s="5" t="str">
        <f t="shared" ca="1" si="30"/>
        <v>SUNPOWER TECHNOLOGIES</v>
      </c>
      <c r="AG5" s="5" t="str">
        <f t="shared" ca="1" si="31"/>
        <v>SPS 30-10 L</v>
      </c>
      <c r="AH5" s="5" t="str">
        <f t="shared" ca="1" si="32"/>
        <v>11193-8527</v>
      </c>
      <c r="AI5" s="5">
        <f t="shared" ca="1" si="33"/>
        <v>0</v>
      </c>
      <c r="AJ5" s="5">
        <f t="shared" ca="1" si="34"/>
        <v>0</v>
      </c>
      <c r="AK5" s="5">
        <f t="shared" ca="1" si="35"/>
        <v>0</v>
      </c>
      <c r="AL5" s="5">
        <f t="shared" ca="1" si="36"/>
        <v>0</v>
      </c>
      <c r="AM5" s="5">
        <f t="shared" ca="1" si="37"/>
        <v>0</v>
      </c>
      <c r="AN5" s="5">
        <f t="shared" ca="1" si="38"/>
        <v>0</v>
      </c>
      <c r="AO5" s="5">
        <f t="shared" ca="1" si="39"/>
        <v>0</v>
      </c>
      <c r="AP5" s="5">
        <f t="shared" ca="1" si="40"/>
        <v>0</v>
      </c>
      <c r="AQ5" s="5">
        <f t="shared" ca="1" si="41"/>
        <v>0</v>
      </c>
      <c r="AR5" s="5"/>
      <c r="AS5" s="5"/>
      <c r="AT5" s="5"/>
      <c r="AU5" s="6" t="s">
        <v>1695</v>
      </c>
      <c r="AV5" s="6" t="s">
        <v>5</v>
      </c>
      <c r="AW5" s="9" t="str">
        <f t="array" aca="1" ref="AW5" ca="1">IF(INDIRECT("'" &amp; $AY$1 &amp; "'!P5")="","",INDIRECT("'" &amp; $AY$1 &amp; "'!P5"))</f>
        <v>65</v>
      </c>
    </row>
    <row r="6" spans="1:57" x14ac:dyDescent="0.25">
      <c r="A6" s="5" t="s">
        <v>1542</v>
      </c>
      <c r="B6" s="5" t="str">
        <f t="shared" ca="1" si="0"/>
        <v/>
      </c>
      <c r="C6" s="5" t="str">
        <f t="shared" ca="1" si="1"/>
        <v/>
      </c>
      <c r="D6" s="5" t="str">
        <f t="shared" ca="1" si="2"/>
        <v/>
      </c>
      <c r="E6" s="5" t="str">
        <f t="shared" ca="1" si="3"/>
        <v/>
      </c>
      <c r="F6" s="5" t="str">
        <f t="shared" ca="1" si="4"/>
        <v/>
      </c>
      <c r="G6" s="5" t="str">
        <f t="shared" ca="1" si="5"/>
        <v/>
      </c>
      <c r="H6" s="5" t="str">
        <f t="shared" ca="1" si="6"/>
        <v/>
      </c>
      <c r="I6" s="5" t="str">
        <f t="shared" ca="1" si="7"/>
        <v/>
      </c>
      <c r="J6" s="5" t="str">
        <f t="shared" ca="1" si="8"/>
        <v>TOSHIBA</v>
      </c>
      <c r="K6" s="5" t="str">
        <f t="shared" ca="1" si="9"/>
        <v>2S1F</v>
      </c>
      <c r="L6" s="5" t="str">
        <f t="shared" ca="1" si="10"/>
        <v>12kV</v>
      </c>
      <c r="M6" s="5" t="str">
        <f t="shared" ca="1" si="11"/>
        <v>MRMU</v>
      </c>
      <c r="N6" s="5" t="str">
        <f t="shared" ca="1" si="12"/>
        <v>MTM</v>
      </c>
      <c r="O6" s="5" t="str">
        <f t="shared" ca="1" si="13"/>
        <v>1317</v>
      </c>
      <c r="P6" s="5" t="str">
        <f t="shared" ca="1" si="14"/>
        <v>750kVA</v>
      </c>
      <c r="Q6" s="5" t="str">
        <f t="shared" ca="1" si="15"/>
        <v>HERMETICALLY SEAL</v>
      </c>
      <c r="R6" s="5">
        <f t="shared" ca="1" si="16"/>
        <v>0</v>
      </c>
      <c r="S6" s="5">
        <f t="shared" ca="1" si="17"/>
        <v>0</v>
      </c>
      <c r="T6" s="5">
        <f t="shared" ca="1" si="18"/>
        <v>0</v>
      </c>
      <c r="U6" s="5">
        <f t="shared" ca="1" si="19"/>
        <v>0</v>
      </c>
      <c r="V6" s="5" t="str">
        <f t="shared" ca="1" si="20"/>
        <v>INDKOM</v>
      </c>
      <c r="W6" s="5" t="str">
        <f t="shared" ca="1" si="21"/>
        <v>J-SLOTTED</v>
      </c>
      <c r="X6" s="5" t="str">
        <f t="shared" ca="1" si="22"/>
        <v>1600A</v>
      </c>
      <c r="Y6" s="5" t="str">
        <f t="shared" ca="1" si="23"/>
        <v>LV5080090</v>
      </c>
      <c r="Z6" s="5" t="str">
        <f t="shared" ca="1" si="24"/>
        <v>LVDB TX1</v>
      </c>
      <c r="AA6" s="5">
        <f t="shared" ca="1" si="25"/>
        <v>0</v>
      </c>
      <c r="AB6" s="5">
        <f t="shared" ca="1" si="26"/>
        <v>0</v>
      </c>
      <c r="AC6" s="5">
        <f t="shared" ca="1" si="27"/>
        <v>0</v>
      </c>
      <c r="AD6" s="5">
        <f t="shared" ca="1" si="28"/>
        <v>0</v>
      </c>
      <c r="AE6" s="5" t="str">
        <f t="shared" ca="1" si="29"/>
        <v>LVDB TX2</v>
      </c>
      <c r="AF6" s="5" t="str">
        <f t="shared" ca="1" si="30"/>
        <v>SUNPOWER TECHNOLOGIES</v>
      </c>
      <c r="AG6" s="5" t="str">
        <f t="shared" ca="1" si="31"/>
        <v>SPS 30-10 L</v>
      </c>
      <c r="AH6" s="5" t="str">
        <f t="shared" ca="1" si="32"/>
        <v>11193-8527</v>
      </c>
      <c r="AI6" s="5">
        <f t="shared" ca="1" si="33"/>
        <v>0</v>
      </c>
      <c r="AJ6" s="5">
        <f t="shared" ca="1" si="34"/>
        <v>0</v>
      </c>
      <c r="AK6" s="5">
        <f t="shared" ca="1" si="35"/>
        <v>0</v>
      </c>
      <c r="AL6" s="5">
        <f t="shared" ca="1" si="36"/>
        <v>0</v>
      </c>
      <c r="AM6" s="5">
        <f t="shared" ca="1" si="37"/>
        <v>0</v>
      </c>
      <c r="AN6" s="5">
        <f t="shared" ca="1" si="38"/>
        <v>0</v>
      </c>
      <c r="AO6" s="5">
        <f t="shared" ca="1" si="39"/>
        <v>0</v>
      </c>
      <c r="AP6" s="5">
        <f t="shared" ca="1" si="40"/>
        <v>0</v>
      </c>
      <c r="AQ6" s="5">
        <f t="shared" ca="1" si="41"/>
        <v>0</v>
      </c>
      <c r="AR6" s="5"/>
      <c r="AS6" s="5"/>
      <c r="AT6" s="5"/>
      <c r="AU6" s="8" t="s">
        <v>1705</v>
      </c>
      <c r="AV6" s="6" t="s">
        <v>6</v>
      </c>
      <c r="AW6" s="9" t="str">
        <f ca="1">IF(INDIRECT("'" &amp; $AY$1 &amp; "'!P6")="","",INDIRECT("'" &amp; $AY$1 &amp; "'!P6"))</f>
        <v>TOSHIBA</v>
      </c>
    </row>
    <row r="7" spans="1:57" x14ac:dyDescent="0.25">
      <c r="A7" s="5" t="s">
        <v>1547</v>
      </c>
      <c r="B7" s="5" t="str">
        <f t="shared" ca="1" si="0"/>
        <v/>
      </c>
      <c r="C7" s="5" t="str">
        <f t="shared" ca="1" si="1"/>
        <v/>
      </c>
      <c r="D7" s="5" t="str">
        <f t="shared" ca="1" si="2"/>
        <v/>
      </c>
      <c r="E7" s="5" t="str">
        <f t="shared" ca="1" si="3"/>
        <v/>
      </c>
      <c r="F7" s="5" t="str">
        <f t="shared" ca="1" si="4"/>
        <v/>
      </c>
      <c r="G7" s="5" t="str">
        <f t="shared" ca="1" si="5"/>
        <v/>
      </c>
      <c r="H7" s="5" t="str">
        <f t="shared" ca="1" si="6"/>
        <v/>
      </c>
      <c r="I7" s="5" t="str">
        <f t="shared" ca="1" si="7"/>
        <v/>
      </c>
      <c r="J7" s="5" t="str">
        <f t="shared" ca="1" si="8"/>
        <v>TOSHIBA</v>
      </c>
      <c r="K7" s="5" t="str">
        <f t="shared" ca="1" si="9"/>
        <v>2S1F</v>
      </c>
      <c r="L7" s="5" t="str">
        <f t="shared" ca="1" si="10"/>
        <v>12kV</v>
      </c>
      <c r="M7" s="5" t="str">
        <f t="shared" ca="1" si="11"/>
        <v>MRMU</v>
      </c>
      <c r="N7" s="5" t="str">
        <f t="shared" ca="1" si="12"/>
        <v>MTM</v>
      </c>
      <c r="O7" s="5" t="str">
        <f t="shared" ca="1" si="13"/>
        <v>1317</v>
      </c>
      <c r="P7" s="5" t="str">
        <f t="shared" ca="1" si="14"/>
        <v>750kVA</v>
      </c>
      <c r="Q7" s="5" t="str">
        <f t="shared" ca="1" si="15"/>
        <v>HERMETICALLY SEAL</v>
      </c>
      <c r="R7" s="5">
        <f t="shared" ca="1" si="16"/>
        <v>0</v>
      </c>
      <c r="S7" s="5">
        <f t="shared" ca="1" si="17"/>
        <v>0</v>
      </c>
      <c r="T7" s="5">
        <f t="shared" ca="1" si="18"/>
        <v>0</v>
      </c>
      <c r="U7" s="5">
        <f t="shared" ca="1" si="19"/>
        <v>0</v>
      </c>
      <c r="V7" s="5" t="str">
        <f t="shared" ca="1" si="20"/>
        <v>INDKOM</v>
      </c>
      <c r="W7" s="5" t="str">
        <f t="shared" ca="1" si="21"/>
        <v>J-SLOTTED</v>
      </c>
      <c r="X7" s="5" t="str">
        <f t="shared" ca="1" si="22"/>
        <v>1600A</v>
      </c>
      <c r="Y7" s="5" t="str">
        <f t="shared" ca="1" si="23"/>
        <v>LV5080090</v>
      </c>
      <c r="Z7" s="5" t="str">
        <f t="shared" ca="1" si="24"/>
        <v>LVDB TX1</v>
      </c>
      <c r="AA7" s="5">
        <f t="shared" ca="1" si="25"/>
        <v>0</v>
      </c>
      <c r="AB7" s="5">
        <f t="shared" ca="1" si="26"/>
        <v>0</v>
      </c>
      <c r="AC7" s="5">
        <f t="shared" ca="1" si="27"/>
        <v>0</v>
      </c>
      <c r="AD7" s="5">
        <f t="shared" ca="1" si="28"/>
        <v>0</v>
      </c>
      <c r="AE7" s="5" t="str">
        <f t="shared" ca="1" si="29"/>
        <v>LVDB TX2</v>
      </c>
      <c r="AF7" s="5" t="str">
        <f t="shared" ca="1" si="30"/>
        <v>SUNPOWER TECHNOLOGIES</v>
      </c>
      <c r="AG7" s="5" t="str">
        <f t="shared" ca="1" si="31"/>
        <v>SPS 30-10 L</v>
      </c>
      <c r="AH7" s="5" t="str">
        <f t="shared" ca="1" si="32"/>
        <v>11193-8527</v>
      </c>
      <c r="AI7" s="5">
        <f t="shared" ca="1" si="33"/>
        <v>0</v>
      </c>
      <c r="AJ7" s="5">
        <f t="shared" ca="1" si="34"/>
        <v>0</v>
      </c>
      <c r="AK7" s="5">
        <f t="shared" ca="1" si="35"/>
        <v>0</v>
      </c>
      <c r="AL7" s="5">
        <f t="shared" ca="1" si="36"/>
        <v>0</v>
      </c>
      <c r="AM7" s="5">
        <f t="shared" ca="1" si="37"/>
        <v>0</v>
      </c>
      <c r="AN7" s="5">
        <f t="shared" ca="1" si="38"/>
        <v>0</v>
      </c>
      <c r="AO7" s="5">
        <f t="shared" ca="1" si="39"/>
        <v>0</v>
      </c>
      <c r="AP7" s="5">
        <f t="shared" ca="1" si="40"/>
        <v>0</v>
      </c>
      <c r="AQ7" s="5">
        <f t="shared" ca="1" si="41"/>
        <v>0</v>
      </c>
      <c r="AR7" s="5"/>
      <c r="AS7" s="5"/>
      <c r="AT7" s="5"/>
      <c r="AU7" s="8" t="s">
        <v>1706</v>
      </c>
      <c r="AV7" s="6" t="s">
        <v>7</v>
      </c>
      <c r="AW7" s="9" t="str">
        <f ca="1">IF(INDIRECT("'" &amp; $AY$1 &amp; "'!P7")="","",INDIRECT("'" &amp; $AY$1 &amp; "'!P7"))</f>
        <v>MRMU</v>
      </c>
    </row>
    <row r="8" spans="1:57" x14ac:dyDescent="0.25">
      <c r="A8" s="5" t="s">
        <v>1552</v>
      </c>
      <c r="B8" s="5" t="str">
        <f t="shared" ca="1" si="0"/>
        <v/>
      </c>
      <c r="C8" s="5" t="str">
        <f t="shared" ca="1" si="1"/>
        <v/>
      </c>
      <c r="D8" s="5" t="str">
        <f t="shared" ca="1" si="2"/>
        <v/>
      </c>
      <c r="E8" s="5" t="str">
        <f t="shared" ca="1" si="3"/>
        <v/>
      </c>
      <c r="F8" s="5" t="str">
        <f t="shared" ca="1" si="4"/>
        <v/>
      </c>
      <c r="G8" s="5" t="str">
        <f t="shared" ca="1" si="5"/>
        <v/>
      </c>
      <c r="H8" s="5" t="str">
        <f t="shared" ca="1" si="6"/>
        <v/>
      </c>
      <c r="I8" s="5" t="str">
        <f t="shared" ca="1" si="7"/>
        <v/>
      </c>
      <c r="J8" s="5" t="str">
        <f t="shared" ca="1" si="8"/>
        <v>TOSHIBA</v>
      </c>
      <c r="K8" s="5" t="str">
        <f t="shared" ca="1" si="9"/>
        <v>2S1F</v>
      </c>
      <c r="L8" s="5" t="str">
        <f t="shared" ca="1" si="10"/>
        <v>12kV</v>
      </c>
      <c r="M8" s="5" t="str">
        <f t="shared" ca="1" si="11"/>
        <v>MRMU</v>
      </c>
      <c r="N8" s="5" t="str">
        <f t="shared" ca="1" si="12"/>
        <v>MTM</v>
      </c>
      <c r="O8" s="5" t="str">
        <f t="shared" ca="1" si="13"/>
        <v>1317</v>
      </c>
      <c r="P8" s="5" t="str">
        <f t="shared" ca="1" si="14"/>
        <v>750kVA</v>
      </c>
      <c r="Q8" s="5" t="str">
        <f t="shared" ca="1" si="15"/>
        <v>HERMETICALLY SEAL</v>
      </c>
      <c r="R8" s="5">
        <f t="shared" ca="1" si="16"/>
        <v>0</v>
      </c>
      <c r="S8" s="5">
        <f t="shared" ca="1" si="17"/>
        <v>0</v>
      </c>
      <c r="T8" s="5">
        <f t="shared" ca="1" si="18"/>
        <v>0</v>
      </c>
      <c r="U8" s="5">
        <f t="shared" ca="1" si="19"/>
        <v>0</v>
      </c>
      <c r="V8" s="5" t="str">
        <f t="shared" ca="1" si="20"/>
        <v>INDKOM</v>
      </c>
      <c r="W8" s="5" t="str">
        <f t="shared" ca="1" si="21"/>
        <v>J-SLOTTED</v>
      </c>
      <c r="X8" s="5" t="str">
        <f t="shared" ca="1" si="22"/>
        <v>1600A</v>
      </c>
      <c r="Y8" s="5" t="str">
        <f t="shared" ca="1" si="23"/>
        <v>LV5080090</v>
      </c>
      <c r="Z8" s="5" t="str">
        <f t="shared" ca="1" si="24"/>
        <v>LVDB TX1</v>
      </c>
      <c r="AA8" s="5">
        <f t="shared" ca="1" si="25"/>
        <v>0</v>
      </c>
      <c r="AB8" s="5">
        <f t="shared" ca="1" si="26"/>
        <v>0</v>
      </c>
      <c r="AC8" s="5">
        <f t="shared" ca="1" si="27"/>
        <v>0</v>
      </c>
      <c r="AD8" s="5">
        <f t="shared" ca="1" si="28"/>
        <v>0</v>
      </c>
      <c r="AE8" s="5" t="str">
        <f t="shared" ca="1" si="29"/>
        <v>LVDB TX2</v>
      </c>
      <c r="AF8" s="5" t="str">
        <f t="shared" ca="1" si="30"/>
        <v>SUNPOWER TECHNOLOGIES</v>
      </c>
      <c r="AG8" s="5" t="str">
        <f t="shared" ca="1" si="31"/>
        <v>SPS 30-10 L</v>
      </c>
      <c r="AH8" s="5" t="str">
        <f t="shared" ca="1" si="32"/>
        <v>11193-8527</v>
      </c>
      <c r="AI8" s="5">
        <f t="shared" ca="1" si="33"/>
        <v>0</v>
      </c>
      <c r="AJ8" s="5">
        <f t="shared" ca="1" si="34"/>
        <v>0</v>
      </c>
      <c r="AK8" s="5">
        <f t="shared" ca="1" si="35"/>
        <v>0</v>
      </c>
      <c r="AL8" s="5">
        <f t="shared" ca="1" si="36"/>
        <v>0</v>
      </c>
      <c r="AM8" s="5">
        <f t="shared" ca="1" si="37"/>
        <v>0</v>
      </c>
      <c r="AN8" s="5">
        <f t="shared" ca="1" si="38"/>
        <v>0</v>
      </c>
      <c r="AO8" s="5">
        <f t="shared" ca="1" si="39"/>
        <v>0</v>
      </c>
      <c r="AP8" s="5">
        <f t="shared" ca="1" si="40"/>
        <v>0</v>
      </c>
      <c r="AQ8" s="5">
        <f t="shared" ca="1" si="41"/>
        <v>0</v>
      </c>
      <c r="AR8" s="5"/>
      <c r="AS8" s="5"/>
      <c r="AT8" s="5"/>
      <c r="AU8" s="12" t="s">
        <v>1707</v>
      </c>
      <c r="AV8" s="6" t="s">
        <v>8</v>
      </c>
      <c r="AW8" s="9" t="str">
        <f ca="1">IF(INDIRECT("'" &amp; $AY$1 &amp; "'!P8")="","",INDIRECT("'" &amp; $AY$1 &amp; "'!P8"))</f>
        <v>12kV</v>
      </c>
    </row>
    <row r="9" spans="1:57" x14ac:dyDescent="0.25">
      <c r="A9" s="5" t="s">
        <v>1557</v>
      </c>
      <c r="B9" s="5" t="str">
        <f t="shared" ca="1" si="0"/>
        <v/>
      </c>
      <c r="C9" s="5" t="str">
        <f t="shared" ca="1" si="1"/>
        <v/>
      </c>
      <c r="D9" s="5" t="str">
        <f t="shared" ca="1" si="2"/>
        <v/>
      </c>
      <c r="E9" s="5" t="str">
        <f t="shared" ca="1" si="3"/>
        <v/>
      </c>
      <c r="F9" s="5" t="str">
        <f t="shared" ca="1" si="4"/>
        <v/>
      </c>
      <c r="G9" s="5" t="str">
        <f t="shared" ca="1" si="5"/>
        <v/>
      </c>
      <c r="H9" s="5" t="str">
        <f t="shared" ca="1" si="6"/>
        <v/>
      </c>
      <c r="I9" s="5" t="str">
        <f t="shared" ca="1" si="7"/>
        <v/>
      </c>
      <c r="J9" s="5" t="str">
        <f t="shared" ca="1" si="8"/>
        <v>TOSHIBA</v>
      </c>
      <c r="K9" s="5" t="str">
        <f t="shared" ca="1" si="9"/>
        <v>2S1F</v>
      </c>
      <c r="L9" s="5" t="str">
        <f t="shared" ca="1" si="10"/>
        <v>12kV</v>
      </c>
      <c r="M9" s="5" t="str">
        <f t="shared" ca="1" si="11"/>
        <v>MRMU</v>
      </c>
      <c r="N9" s="5" t="str">
        <f t="shared" ca="1" si="12"/>
        <v>MTM</v>
      </c>
      <c r="O9" s="5" t="str">
        <f t="shared" ca="1" si="13"/>
        <v>1317</v>
      </c>
      <c r="P9" s="5" t="str">
        <f t="shared" ca="1" si="14"/>
        <v>750kVA</v>
      </c>
      <c r="Q9" s="5" t="str">
        <f t="shared" ca="1" si="15"/>
        <v>HERMETICALLY SEAL</v>
      </c>
      <c r="R9" s="5">
        <f t="shared" ca="1" si="16"/>
        <v>0</v>
      </c>
      <c r="S9" s="5">
        <f t="shared" ca="1" si="17"/>
        <v>0</v>
      </c>
      <c r="T9" s="5">
        <f t="shared" ca="1" si="18"/>
        <v>0</v>
      </c>
      <c r="U9" s="5">
        <f t="shared" ca="1" si="19"/>
        <v>0</v>
      </c>
      <c r="V9" s="5" t="str">
        <f t="shared" ca="1" si="20"/>
        <v>INDKOM</v>
      </c>
      <c r="W9" s="5" t="str">
        <f t="shared" ca="1" si="21"/>
        <v>J-SLOTTED</v>
      </c>
      <c r="X9" s="5" t="str">
        <f t="shared" ca="1" si="22"/>
        <v>1600A</v>
      </c>
      <c r="Y9" s="5" t="str">
        <f t="shared" ca="1" si="23"/>
        <v>LV5080090</v>
      </c>
      <c r="Z9" s="5" t="str">
        <f t="shared" ca="1" si="24"/>
        <v>LVDB TX1</v>
      </c>
      <c r="AA9" s="5">
        <f t="shared" ca="1" si="25"/>
        <v>0</v>
      </c>
      <c r="AB9" s="5">
        <f t="shared" ca="1" si="26"/>
        <v>0</v>
      </c>
      <c r="AC9" s="5">
        <f t="shared" ca="1" si="27"/>
        <v>0</v>
      </c>
      <c r="AD9" s="5">
        <f t="shared" ca="1" si="28"/>
        <v>0</v>
      </c>
      <c r="AE9" s="5" t="str">
        <f t="shared" ca="1" si="29"/>
        <v>LVDB TX2</v>
      </c>
      <c r="AF9" s="5" t="str">
        <f t="shared" ca="1" si="30"/>
        <v>SUNPOWER TECHNOLOGIES</v>
      </c>
      <c r="AG9" s="5" t="str">
        <f t="shared" ca="1" si="31"/>
        <v>SPS 30-10 L</v>
      </c>
      <c r="AH9" s="5" t="str">
        <f t="shared" ca="1" si="32"/>
        <v>11193-8527</v>
      </c>
      <c r="AI9" s="5">
        <f t="shared" ca="1" si="33"/>
        <v>0</v>
      </c>
      <c r="AJ9" s="5">
        <f t="shared" ca="1" si="34"/>
        <v>0</v>
      </c>
      <c r="AK9" s="5">
        <f t="shared" ca="1" si="35"/>
        <v>0</v>
      </c>
      <c r="AL9" s="5">
        <f t="shared" ca="1" si="36"/>
        <v>0</v>
      </c>
      <c r="AM9" s="5">
        <f t="shared" ca="1" si="37"/>
        <v>0</v>
      </c>
      <c r="AN9" s="5">
        <f t="shared" ca="1" si="38"/>
        <v>0</v>
      </c>
      <c r="AO9" s="5">
        <f t="shared" ca="1" si="39"/>
        <v>0</v>
      </c>
      <c r="AP9" s="5">
        <f t="shared" ca="1" si="40"/>
        <v>0</v>
      </c>
      <c r="AQ9" s="5">
        <f t="shared" ca="1" si="41"/>
        <v>0</v>
      </c>
      <c r="AR9" s="5"/>
      <c r="AS9" s="5"/>
      <c r="AT9" s="5"/>
      <c r="AU9" s="8" t="s">
        <v>1708</v>
      </c>
      <c r="AV9" s="6" t="s">
        <v>9</v>
      </c>
      <c r="AW9" s="9" t="str">
        <f ca="1">IF(INDIRECT("'" &amp; $AY$1 &amp; "'!P9")="","",INDIRECT("'" &amp; $AY$1 &amp; "'!P9"))</f>
        <v>2S1F</v>
      </c>
      <c r="BA9" s="3"/>
    </row>
    <row r="10" spans="1:57" x14ac:dyDescent="0.25">
      <c r="A10" s="5" t="s">
        <v>1562</v>
      </c>
      <c r="B10" s="5" t="str">
        <f t="shared" ca="1" si="0"/>
        <v/>
      </c>
      <c r="C10" s="5" t="str">
        <f t="shared" ca="1" si="1"/>
        <v/>
      </c>
      <c r="D10" s="5" t="str">
        <f t="shared" ca="1" si="2"/>
        <v/>
      </c>
      <c r="E10" s="5" t="str">
        <f t="shared" ca="1" si="3"/>
        <v/>
      </c>
      <c r="F10" s="5" t="str">
        <f t="shared" ca="1" si="4"/>
        <v/>
      </c>
      <c r="G10" s="5" t="str">
        <f t="shared" ca="1" si="5"/>
        <v/>
      </c>
      <c r="H10" s="5" t="str">
        <f t="shared" ca="1" si="6"/>
        <v/>
      </c>
      <c r="I10" s="5" t="str">
        <f t="shared" ca="1" si="7"/>
        <v/>
      </c>
      <c r="J10" s="5" t="str">
        <f t="shared" ca="1" si="8"/>
        <v>TOSHIBA</v>
      </c>
      <c r="K10" s="5" t="str">
        <f t="shared" ca="1" si="9"/>
        <v>2S1F</v>
      </c>
      <c r="L10" s="5" t="str">
        <f t="shared" ca="1" si="10"/>
        <v>12kV</v>
      </c>
      <c r="M10" s="5" t="str">
        <f t="shared" ca="1" si="11"/>
        <v>MRMU</v>
      </c>
      <c r="N10" s="5" t="str">
        <f t="shared" ca="1" si="12"/>
        <v>MTM</v>
      </c>
      <c r="O10" s="5" t="str">
        <f t="shared" ca="1" si="13"/>
        <v>1317</v>
      </c>
      <c r="P10" s="5" t="str">
        <f t="shared" ca="1" si="14"/>
        <v>750kVA</v>
      </c>
      <c r="Q10" s="5" t="str">
        <f t="shared" ca="1" si="15"/>
        <v>HERMETICALLY SEAL</v>
      </c>
      <c r="R10" s="5">
        <f t="shared" ca="1" si="16"/>
        <v>0</v>
      </c>
      <c r="S10" s="5">
        <f t="shared" ca="1" si="17"/>
        <v>0</v>
      </c>
      <c r="T10" s="5">
        <f t="shared" ca="1" si="18"/>
        <v>0</v>
      </c>
      <c r="U10" s="5">
        <f t="shared" ca="1" si="19"/>
        <v>0</v>
      </c>
      <c r="V10" s="5" t="str">
        <f t="shared" ca="1" si="20"/>
        <v>INDKOM</v>
      </c>
      <c r="W10" s="5" t="str">
        <f t="shared" ca="1" si="21"/>
        <v>J-SLOTTED</v>
      </c>
      <c r="X10" s="5" t="str">
        <f t="shared" ca="1" si="22"/>
        <v>1600A</v>
      </c>
      <c r="Y10" s="5" t="str">
        <f t="shared" ca="1" si="23"/>
        <v>LV5080090</v>
      </c>
      <c r="Z10" s="5" t="str">
        <f t="shared" ca="1" si="24"/>
        <v>LVDB TX1</v>
      </c>
      <c r="AA10" s="5">
        <f t="shared" ca="1" si="25"/>
        <v>0</v>
      </c>
      <c r="AB10" s="5">
        <f t="shared" ca="1" si="26"/>
        <v>0</v>
      </c>
      <c r="AC10" s="5">
        <f t="shared" ca="1" si="27"/>
        <v>0</v>
      </c>
      <c r="AD10" s="5">
        <f t="shared" ca="1" si="28"/>
        <v>0</v>
      </c>
      <c r="AE10" s="5" t="str">
        <f t="shared" ca="1" si="29"/>
        <v>LVDB TX2</v>
      </c>
      <c r="AF10" s="5" t="str">
        <f t="shared" ca="1" si="30"/>
        <v>SUNPOWER TECHNOLOGIES</v>
      </c>
      <c r="AG10" s="5" t="str">
        <f t="shared" ca="1" si="31"/>
        <v>SPS 30-10 L</v>
      </c>
      <c r="AH10" s="5" t="str">
        <f t="shared" ca="1" si="32"/>
        <v>11193-8527</v>
      </c>
      <c r="AI10" s="5">
        <f t="shared" ca="1" si="33"/>
        <v>0</v>
      </c>
      <c r="AJ10" s="5">
        <f t="shared" ca="1" si="34"/>
        <v>0</v>
      </c>
      <c r="AK10" s="5">
        <f t="shared" ca="1" si="35"/>
        <v>0</v>
      </c>
      <c r="AL10" s="5">
        <f t="shared" ca="1" si="36"/>
        <v>0</v>
      </c>
      <c r="AM10" s="5">
        <f t="shared" ca="1" si="37"/>
        <v>0</v>
      </c>
      <c r="AN10" s="5">
        <f t="shared" ca="1" si="38"/>
        <v>0</v>
      </c>
      <c r="AO10" s="5">
        <f t="shared" ca="1" si="39"/>
        <v>0</v>
      </c>
      <c r="AP10" s="5">
        <f t="shared" ca="1" si="40"/>
        <v>0</v>
      </c>
      <c r="AQ10" s="5">
        <f t="shared" ca="1" si="41"/>
        <v>0</v>
      </c>
      <c r="AR10" s="5"/>
      <c r="AS10" s="5"/>
      <c r="AT10" s="5"/>
      <c r="AU10" s="6" t="s">
        <v>1709</v>
      </c>
      <c r="AV10" s="6" t="s">
        <v>10</v>
      </c>
      <c r="AW10" s="9" t="str">
        <f ca="1">IF(INDIRECT("'" &amp; $AY$1 &amp; "'!P10")="","",INDIRECT("'" &amp; $AY$1 &amp; "'!P10"))</f>
        <v>MTM</v>
      </c>
      <c r="BA10" s="3"/>
    </row>
    <row r="11" spans="1:57" x14ac:dyDescent="0.25">
      <c r="A11" s="5" t="s">
        <v>1567</v>
      </c>
      <c r="B11" s="5" t="str">
        <f t="shared" ca="1" si="0"/>
        <v/>
      </c>
      <c r="C11" s="5" t="str">
        <f t="shared" ca="1" si="1"/>
        <v/>
      </c>
      <c r="D11" s="5" t="str">
        <f t="shared" ca="1" si="2"/>
        <v/>
      </c>
      <c r="E11" s="5" t="str">
        <f t="shared" ca="1" si="3"/>
        <v/>
      </c>
      <c r="F11" s="5" t="str">
        <f t="shared" ca="1" si="4"/>
        <v/>
      </c>
      <c r="G11" s="5" t="str">
        <f t="shared" ca="1" si="5"/>
        <v/>
      </c>
      <c r="H11" s="5" t="str">
        <f t="shared" ca="1" si="6"/>
        <v/>
      </c>
      <c r="I11" s="5" t="str">
        <f t="shared" ca="1" si="7"/>
        <v/>
      </c>
      <c r="J11" s="5" t="str">
        <f t="shared" ca="1" si="8"/>
        <v>TOSHIBA</v>
      </c>
      <c r="K11" s="5" t="str">
        <f t="shared" ca="1" si="9"/>
        <v>2S1F</v>
      </c>
      <c r="L11" s="5" t="str">
        <f t="shared" ca="1" si="10"/>
        <v>12kV</v>
      </c>
      <c r="M11" s="5" t="str">
        <f t="shared" ca="1" si="11"/>
        <v>MRMU</v>
      </c>
      <c r="N11" s="5" t="str">
        <f t="shared" ca="1" si="12"/>
        <v>MTM</v>
      </c>
      <c r="O11" s="5" t="str">
        <f t="shared" ca="1" si="13"/>
        <v>1317</v>
      </c>
      <c r="P11" s="5" t="str">
        <f t="shared" ca="1" si="14"/>
        <v>750kVA</v>
      </c>
      <c r="Q11" s="5" t="str">
        <f t="shared" ca="1" si="15"/>
        <v>HERMETICALLY SEAL</v>
      </c>
      <c r="R11" s="5">
        <f t="shared" ca="1" si="16"/>
        <v>0</v>
      </c>
      <c r="S11" s="5">
        <f t="shared" ca="1" si="17"/>
        <v>0</v>
      </c>
      <c r="T11" s="5">
        <f t="shared" ca="1" si="18"/>
        <v>0</v>
      </c>
      <c r="U11" s="5">
        <f t="shared" ca="1" si="19"/>
        <v>0</v>
      </c>
      <c r="V11" s="5" t="str">
        <f t="shared" ca="1" si="20"/>
        <v>INDKOM</v>
      </c>
      <c r="W11" s="5" t="str">
        <f t="shared" ca="1" si="21"/>
        <v>J-SLOTTED</v>
      </c>
      <c r="X11" s="5" t="str">
        <f t="shared" ca="1" si="22"/>
        <v>1600A</v>
      </c>
      <c r="Y11" s="5" t="str">
        <f t="shared" ca="1" si="23"/>
        <v>LV5080090</v>
      </c>
      <c r="Z11" s="5" t="str">
        <f t="shared" ca="1" si="24"/>
        <v>LVDB TX1</v>
      </c>
      <c r="AA11" s="5">
        <f t="shared" ca="1" si="25"/>
        <v>0</v>
      </c>
      <c r="AB11" s="5">
        <f t="shared" ca="1" si="26"/>
        <v>0</v>
      </c>
      <c r="AC11" s="5">
        <f t="shared" ca="1" si="27"/>
        <v>0</v>
      </c>
      <c r="AD11" s="5">
        <f t="shared" ca="1" si="28"/>
        <v>0</v>
      </c>
      <c r="AE11" s="5" t="str">
        <f t="shared" ca="1" si="29"/>
        <v>LVDB TX2</v>
      </c>
      <c r="AF11" s="5" t="str">
        <f t="shared" ca="1" si="30"/>
        <v>SUNPOWER TECHNOLOGIES</v>
      </c>
      <c r="AG11" s="5" t="str">
        <f t="shared" ca="1" si="31"/>
        <v>SPS 30-10 L</v>
      </c>
      <c r="AH11" s="5" t="str">
        <f t="shared" ca="1" si="32"/>
        <v>11193-8527</v>
      </c>
      <c r="AI11" s="5">
        <f t="shared" ca="1" si="33"/>
        <v>0</v>
      </c>
      <c r="AJ11" s="5">
        <f t="shared" ca="1" si="34"/>
        <v>0</v>
      </c>
      <c r="AK11" s="5">
        <f t="shared" ca="1" si="35"/>
        <v>0</v>
      </c>
      <c r="AL11" s="5">
        <f t="shared" ca="1" si="36"/>
        <v>0</v>
      </c>
      <c r="AM11" s="5">
        <f t="shared" ca="1" si="37"/>
        <v>0</v>
      </c>
      <c r="AN11" s="5">
        <f t="shared" ca="1" si="38"/>
        <v>0</v>
      </c>
      <c r="AO11" s="5">
        <f t="shared" ca="1" si="39"/>
        <v>0</v>
      </c>
      <c r="AP11" s="5">
        <f t="shared" ca="1" si="40"/>
        <v>0</v>
      </c>
      <c r="AQ11" s="5">
        <f t="shared" ca="1" si="41"/>
        <v>0</v>
      </c>
      <c r="AR11" s="5"/>
      <c r="AS11" s="5"/>
      <c r="AT11" s="5"/>
      <c r="AU11" s="6" t="s">
        <v>1710</v>
      </c>
      <c r="AV11" s="6" t="s">
        <v>11</v>
      </c>
      <c r="AW11" s="9" t="str">
        <f ca="1">IF(INDIRECT("'" &amp; $AY$1 &amp; "'!P11")="","",INDIRECT("'" &amp; $AY$1 &amp; "'!P11"))</f>
        <v>HERMETICALLY SEAL</v>
      </c>
      <c r="BA11" s="3"/>
    </row>
    <row r="12" spans="1:57" x14ac:dyDescent="0.25">
      <c r="A12" s="5" t="s">
        <v>1587</v>
      </c>
      <c r="B12" s="5" t="str">
        <f t="shared" ca="1" si="0"/>
        <v/>
      </c>
      <c r="C12" s="5" t="str">
        <f t="shared" ca="1" si="1"/>
        <v/>
      </c>
      <c r="D12" s="5" t="str">
        <f t="shared" ca="1" si="2"/>
        <v/>
      </c>
      <c r="E12" s="5" t="str">
        <f t="shared" ca="1" si="3"/>
        <v/>
      </c>
      <c r="F12" s="5" t="str">
        <f t="shared" ca="1" si="4"/>
        <v/>
      </c>
      <c r="G12" s="5" t="str">
        <f t="shared" ca="1" si="5"/>
        <v/>
      </c>
      <c r="H12" s="5" t="str">
        <f t="shared" ca="1" si="6"/>
        <v/>
      </c>
      <c r="I12" s="5" t="str">
        <f t="shared" ca="1" si="7"/>
        <v/>
      </c>
      <c r="J12" s="5" t="str">
        <f t="shared" ca="1" si="8"/>
        <v>TOSHIBA</v>
      </c>
      <c r="K12" s="5" t="str">
        <f t="shared" ca="1" si="9"/>
        <v>2S1F</v>
      </c>
      <c r="L12" s="5" t="str">
        <f t="shared" ca="1" si="10"/>
        <v>12kV</v>
      </c>
      <c r="M12" s="5" t="str">
        <f t="shared" ca="1" si="11"/>
        <v>MRMU</v>
      </c>
      <c r="N12" s="5" t="str">
        <f t="shared" ca="1" si="12"/>
        <v>MTM</v>
      </c>
      <c r="O12" s="5" t="str">
        <f t="shared" ca="1" si="13"/>
        <v>1317</v>
      </c>
      <c r="P12" s="5" t="str">
        <f t="shared" ca="1" si="14"/>
        <v>750kVA</v>
      </c>
      <c r="Q12" s="5" t="str">
        <f t="shared" ca="1" si="15"/>
        <v>HERMETICALLY SEAL</v>
      </c>
      <c r="R12" s="5">
        <f t="shared" ca="1" si="16"/>
        <v>0</v>
      </c>
      <c r="S12" s="5">
        <f t="shared" ca="1" si="17"/>
        <v>0</v>
      </c>
      <c r="T12" s="5">
        <f t="shared" ca="1" si="18"/>
        <v>0</v>
      </c>
      <c r="U12" s="5">
        <f t="shared" ca="1" si="19"/>
        <v>0</v>
      </c>
      <c r="V12" s="5" t="str">
        <f t="shared" ca="1" si="20"/>
        <v>INDKOM</v>
      </c>
      <c r="W12" s="5" t="str">
        <f t="shared" ca="1" si="21"/>
        <v>J-SLOTTED</v>
      </c>
      <c r="X12" s="5" t="str">
        <f t="shared" ca="1" si="22"/>
        <v>1600A</v>
      </c>
      <c r="Y12" s="5" t="str">
        <f t="shared" ca="1" si="23"/>
        <v>LV5080090</v>
      </c>
      <c r="Z12" s="5" t="str">
        <f t="shared" ca="1" si="24"/>
        <v>LVDB TX1</v>
      </c>
      <c r="AA12" s="5">
        <f t="shared" ca="1" si="25"/>
        <v>0</v>
      </c>
      <c r="AB12" s="5">
        <f t="shared" ca="1" si="26"/>
        <v>0</v>
      </c>
      <c r="AC12" s="5">
        <f t="shared" ca="1" si="27"/>
        <v>0</v>
      </c>
      <c r="AD12" s="5">
        <f t="shared" ca="1" si="28"/>
        <v>0</v>
      </c>
      <c r="AE12" s="5" t="str">
        <f t="shared" ca="1" si="29"/>
        <v>LVDB TX2</v>
      </c>
      <c r="AF12" s="5" t="str">
        <f t="shared" ca="1" si="30"/>
        <v>SUNPOWER TECHNOLOGIES</v>
      </c>
      <c r="AG12" s="5" t="str">
        <f t="shared" ca="1" si="31"/>
        <v>SPS 30-10 L</v>
      </c>
      <c r="AH12" s="5" t="str">
        <f t="shared" ca="1" si="32"/>
        <v>11193-8527</v>
      </c>
      <c r="AI12" s="5">
        <f t="shared" ca="1" si="33"/>
        <v>0</v>
      </c>
      <c r="AJ12" s="5">
        <f t="shared" ca="1" si="34"/>
        <v>0</v>
      </c>
      <c r="AK12" s="5">
        <f t="shared" ca="1" si="35"/>
        <v>0</v>
      </c>
      <c r="AL12" s="5">
        <f t="shared" ca="1" si="36"/>
        <v>0</v>
      </c>
      <c r="AM12" s="5">
        <f t="shared" ca="1" si="37"/>
        <v>0</v>
      </c>
      <c r="AN12" s="5">
        <f t="shared" ca="1" si="38"/>
        <v>0</v>
      </c>
      <c r="AO12" s="5">
        <f t="shared" ca="1" si="39"/>
        <v>0</v>
      </c>
      <c r="AP12" s="5">
        <f t="shared" ca="1" si="40"/>
        <v>0</v>
      </c>
      <c r="AQ12" s="5">
        <f t="shared" ca="1" si="41"/>
        <v>0</v>
      </c>
      <c r="AR12" s="5"/>
      <c r="AS12" s="5"/>
      <c r="AT12" s="5"/>
      <c r="AU12" s="6" t="s">
        <v>1711</v>
      </c>
      <c r="AV12" s="6" t="s">
        <v>12</v>
      </c>
      <c r="AW12" s="9" t="str">
        <f ca="1">IF(INDIRECT("'" &amp; $AY$1 &amp; "'!P12")="","",INDIRECT("'" &amp; $AY$1 &amp; "'!P12"))</f>
        <v>750kVA</v>
      </c>
      <c r="BA12" s="3"/>
    </row>
    <row r="13" spans="1:57" x14ac:dyDescent="0.25">
      <c r="A13" s="5" t="s">
        <v>1588</v>
      </c>
      <c r="B13" s="5" t="str">
        <f t="shared" ca="1" si="0"/>
        <v/>
      </c>
      <c r="C13" s="5" t="str">
        <f t="shared" ca="1" si="1"/>
        <v/>
      </c>
      <c r="D13" s="5" t="str">
        <f t="shared" ca="1" si="2"/>
        <v/>
      </c>
      <c r="E13" s="5" t="str">
        <f t="shared" ca="1" si="3"/>
        <v/>
      </c>
      <c r="F13" s="5" t="str">
        <f t="shared" ca="1" si="4"/>
        <v/>
      </c>
      <c r="G13" s="5" t="str">
        <f t="shared" ca="1" si="5"/>
        <v/>
      </c>
      <c r="H13" s="5" t="str">
        <f t="shared" ca="1" si="6"/>
        <v/>
      </c>
      <c r="I13" s="5" t="str">
        <f t="shared" ca="1" si="7"/>
        <v/>
      </c>
      <c r="J13" s="5" t="str">
        <f t="shared" ca="1" si="8"/>
        <v>TOSHIBA</v>
      </c>
      <c r="K13" s="5" t="str">
        <f t="shared" ca="1" si="9"/>
        <v>2S1F</v>
      </c>
      <c r="L13" s="5" t="str">
        <f t="shared" ca="1" si="10"/>
        <v>12kV</v>
      </c>
      <c r="M13" s="5" t="str">
        <f t="shared" ca="1" si="11"/>
        <v>MRMU</v>
      </c>
      <c r="N13" s="5" t="str">
        <f t="shared" ca="1" si="12"/>
        <v>MTM</v>
      </c>
      <c r="O13" s="5" t="str">
        <f t="shared" ca="1" si="13"/>
        <v>1317</v>
      </c>
      <c r="P13" s="5" t="str">
        <f t="shared" ca="1" si="14"/>
        <v>750kVA</v>
      </c>
      <c r="Q13" s="5" t="str">
        <f t="shared" ca="1" si="15"/>
        <v>HERMETICALLY SEAL</v>
      </c>
      <c r="R13" s="5">
        <f t="shared" ca="1" si="16"/>
        <v>0</v>
      </c>
      <c r="S13" s="5">
        <f t="shared" ca="1" si="17"/>
        <v>0</v>
      </c>
      <c r="T13" s="5">
        <f t="shared" ca="1" si="18"/>
        <v>0</v>
      </c>
      <c r="U13" s="5">
        <f t="shared" ca="1" si="19"/>
        <v>0</v>
      </c>
      <c r="V13" s="5" t="str">
        <f t="shared" ca="1" si="20"/>
        <v>INDKOM</v>
      </c>
      <c r="W13" s="5" t="str">
        <f t="shared" ca="1" si="21"/>
        <v>J-SLOTTED</v>
      </c>
      <c r="X13" s="5" t="str">
        <f t="shared" ca="1" si="22"/>
        <v>1600A</v>
      </c>
      <c r="Y13" s="5" t="str">
        <f t="shared" ca="1" si="23"/>
        <v>LV5080090</v>
      </c>
      <c r="Z13" s="5" t="str">
        <f t="shared" ca="1" si="24"/>
        <v>LVDB TX1</v>
      </c>
      <c r="AA13" s="5">
        <f t="shared" ca="1" si="25"/>
        <v>0</v>
      </c>
      <c r="AB13" s="5">
        <f t="shared" ca="1" si="26"/>
        <v>0</v>
      </c>
      <c r="AC13" s="5">
        <f t="shared" ca="1" si="27"/>
        <v>0</v>
      </c>
      <c r="AD13" s="5">
        <f t="shared" ca="1" si="28"/>
        <v>0</v>
      </c>
      <c r="AE13" s="5" t="str">
        <f t="shared" ca="1" si="29"/>
        <v>LVDB TX2</v>
      </c>
      <c r="AF13" s="5" t="str">
        <f t="shared" ca="1" si="30"/>
        <v>SUNPOWER TECHNOLOGIES</v>
      </c>
      <c r="AG13" s="5" t="str">
        <f t="shared" ca="1" si="31"/>
        <v>SPS 30-10 L</v>
      </c>
      <c r="AH13" s="5" t="str">
        <f t="shared" ca="1" si="32"/>
        <v>11193-8527</v>
      </c>
      <c r="AI13" s="5">
        <f t="shared" ca="1" si="33"/>
        <v>0</v>
      </c>
      <c r="AJ13" s="5">
        <f t="shared" ca="1" si="34"/>
        <v>0</v>
      </c>
      <c r="AK13" s="5">
        <f t="shared" ca="1" si="35"/>
        <v>0</v>
      </c>
      <c r="AL13" s="5">
        <f t="shared" ca="1" si="36"/>
        <v>0</v>
      </c>
      <c r="AM13" s="5">
        <f t="shared" ca="1" si="37"/>
        <v>0</v>
      </c>
      <c r="AN13" s="5">
        <f t="shared" ca="1" si="38"/>
        <v>0</v>
      </c>
      <c r="AO13" s="5">
        <f t="shared" ca="1" si="39"/>
        <v>0</v>
      </c>
      <c r="AP13" s="5">
        <f t="shared" ca="1" si="40"/>
        <v>0</v>
      </c>
      <c r="AQ13" s="5">
        <f t="shared" ca="1" si="41"/>
        <v>0</v>
      </c>
      <c r="AR13" s="5"/>
      <c r="AS13" s="5"/>
      <c r="AT13" s="5"/>
      <c r="AU13" s="6" t="s">
        <v>1712</v>
      </c>
      <c r="AV13" s="6" t="s">
        <v>13</v>
      </c>
      <c r="AW13" s="9" t="str">
        <f ca="1">IF(INDIRECT("'" &amp; $AY$1 &amp; "'!P13")="","",INDIRECT("'" &amp; $AY$1 &amp; "'!P13"))</f>
        <v>1317</v>
      </c>
      <c r="BA13" s="4"/>
    </row>
    <row r="14" spans="1:57" x14ac:dyDescent="0.25">
      <c r="A14" s="5" t="s">
        <v>1589</v>
      </c>
      <c r="B14" s="5" t="str">
        <f t="shared" ca="1" si="0"/>
        <v/>
      </c>
      <c r="C14" s="5" t="str">
        <f t="shared" ca="1" si="1"/>
        <v/>
      </c>
      <c r="D14" s="5" t="str">
        <f t="shared" ca="1" si="2"/>
        <v/>
      </c>
      <c r="E14" s="5" t="str">
        <f t="shared" ca="1" si="3"/>
        <v/>
      </c>
      <c r="F14" s="5" t="str">
        <f t="shared" ca="1" si="4"/>
        <v/>
      </c>
      <c r="G14" s="5" t="str">
        <f t="shared" ca="1" si="5"/>
        <v/>
      </c>
      <c r="H14" s="5" t="str">
        <f t="shared" ca="1" si="6"/>
        <v/>
      </c>
      <c r="I14" s="5" t="str">
        <f t="shared" ca="1" si="7"/>
        <v/>
      </c>
      <c r="J14" s="5" t="str">
        <f t="shared" ca="1" si="8"/>
        <v>TOSHIBA</v>
      </c>
      <c r="K14" s="5" t="str">
        <f t="shared" ca="1" si="9"/>
        <v>2S1F</v>
      </c>
      <c r="L14" s="5" t="str">
        <f t="shared" ca="1" si="10"/>
        <v>12kV</v>
      </c>
      <c r="M14" s="5" t="str">
        <f t="shared" ca="1" si="11"/>
        <v>MRMU</v>
      </c>
      <c r="N14" s="5" t="str">
        <f t="shared" ca="1" si="12"/>
        <v>MTM</v>
      </c>
      <c r="O14" s="5" t="str">
        <f t="shared" ca="1" si="13"/>
        <v>1317</v>
      </c>
      <c r="P14" s="5" t="str">
        <f t="shared" ca="1" si="14"/>
        <v>750kVA</v>
      </c>
      <c r="Q14" s="5" t="str">
        <f t="shared" ca="1" si="15"/>
        <v>HERMETICALLY SEAL</v>
      </c>
      <c r="R14" s="5">
        <f t="shared" ca="1" si="16"/>
        <v>0</v>
      </c>
      <c r="S14" s="5">
        <f t="shared" ca="1" si="17"/>
        <v>0</v>
      </c>
      <c r="T14" s="5">
        <f t="shared" ca="1" si="18"/>
        <v>0</v>
      </c>
      <c r="U14" s="5">
        <f t="shared" ca="1" si="19"/>
        <v>0</v>
      </c>
      <c r="V14" s="5" t="str">
        <f t="shared" ca="1" si="20"/>
        <v>INDKOM</v>
      </c>
      <c r="W14" s="5" t="str">
        <f t="shared" ca="1" si="21"/>
        <v>J-SLOTTED</v>
      </c>
      <c r="X14" s="5" t="str">
        <f t="shared" ca="1" si="22"/>
        <v>1600A</v>
      </c>
      <c r="Y14" s="5" t="str">
        <f t="shared" ca="1" si="23"/>
        <v>LV5080090</v>
      </c>
      <c r="Z14" s="5" t="str">
        <f t="shared" ca="1" si="24"/>
        <v>LVDB TX1</v>
      </c>
      <c r="AA14" s="5">
        <f t="shared" ca="1" si="25"/>
        <v>0</v>
      </c>
      <c r="AB14" s="5">
        <f t="shared" ca="1" si="26"/>
        <v>0</v>
      </c>
      <c r="AC14" s="5">
        <f t="shared" ca="1" si="27"/>
        <v>0</v>
      </c>
      <c r="AD14" s="5">
        <f t="shared" ca="1" si="28"/>
        <v>0</v>
      </c>
      <c r="AE14" s="5" t="str">
        <f t="shared" ca="1" si="29"/>
        <v>LVDB TX2</v>
      </c>
      <c r="AF14" s="5" t="str">
        <f t="shared" ca="1" si="30"/>
        <v>SUNPOWER TECHNOLOGIES</v>
      </c>
      <c r="AG14" s="5" t="str">
        <f t="shared" ca="1" si="31"/>
        <v>SPS 30-10 L</v>
      </c>
      <c r="AH14" s="5" t="str">
        <f t="shared" ca="1" si="32"/>
        <v>11193-8527</v>
      </c>
      <c r="AI14" s="5">
        <f t="shared" ca="1" si="33"/>
        <v>0</v>
      </c>
      <c r="AJ14" s="5">
        <f t="shared" ca="1" si="34"/>
        <v>0</v>
      </c>
      <c r="AK14" s="5">
        <f t="shared" ca="1" si="35"/>
        <v>0</v>
      </c>
      <c r="AL14" s="5">
        <f t="shared" ca="1" si="36"/>
        <v>0</v>
      </c>
      <c r="AM14" s="5">
        <f t="shared" ca="1" si="37"/>
        <v>0</v>
      </c>
      <c r="AN14" s="5">
        <f t="shared" ca="1" si="38"/>
        <v>0</v>
      </c>
      <c r="AO14" s="5">
        <f t="shared" ca="1" si="39"/>
        <v>0</v>
      </c>
      <c r="AP14" s="5">
        <f t="shared" ca="1" si="40"/>
        <v>0</v>
      </c>
      <c r="AQ14" s="5">
        <f t="shared" ca="1" si="41"/>
        <v>0</v>
      </c>
      <c r="AR14" s="5"/>
      <c r="AS14" s="5"/>
      <c r="AT14" s="5"/>
      <c r="AU14" s="6" t="s">
        <v>1713</v>
      </c>
      <c r="AV14" s="6" t="s">
        <v>14</v>
      </c>
      <c r="AW14" s="9">
        <f ca="1">IF(INDIRECT("'" &amp; $AY$1 &amp; "'!P14")="","",INDIRECT("'" &amp; $AY$1 &amp; "'!P14"))</f>
        <v>0</v>
      </c>
      <c r="BD14" s="4"/>
      <c r="BE14" s="4"/>
    </row>
    <row r="15" spans="1:57" x14ac:dyDescent="0.25">
      <c r="A15" s="5" t="s">
        <v>1590</v>
      </c>
      <c r="B15" s="5" t="str">
        <f t="shared" ca="1" si="0"/>
        <v/>
      </c>
      <c r="C15" s="5" t="str">
        <f t="shared" ca="1" si="1"/>
        <v/>
      </c>
      <c r="D15" s="5" t="str">
        <f t="shared" ca="1" si="2"/>
        <v/>
      </c>
      <c r="E15" s="5" t="str">
        <f t="shared" ca="1" si="3"/>
        <v/>
      </c>
      <c r="F15" s="5" t="str">
        <f t="shared" ca="1" si="4"/>
        <v/>
      </c>
      <c r="G15" s="5" t="str">
        <f t="shared" ca="1" si="5"/>
        <v/>
      </c>
      <c r="H15" s="5" t="str">
        <f t="shared" ca="1" si="6"/>
        <v/>
      </c>
      <c r="I15" s="5" t="str">
        <f t="shared" ca="1" si="7"/>
        <v/>
      </c>
      <c r="J15" s="5" t="str">
        <f t="shared" ca="1" si="8"/>
        <v>TOSHIBA</v>
      </c>
      <c r="K15" s="5" t="str">
        <f t="shared" ca="1" si="9"/>
        <v>2S1F</v>
      </c>
      <c r="L15" s="5" t="str">
        <f t="shared" ca="1" si="10"/>
        <v>12kV</v>
      </c>
      <c r="M15" s="5" t="str">
        <f t="shared" ca="1" si="11"/>
        <v>MRMU</v>
      </c>
      <c r="N15" s="5" t="str">
        <f t="shared" ca="1" si="12"/>
        <v>MTM</v>
      </c>
      <c r="O15" s="5" t="str">
        <f t="shared" ca="1" si="13"/>
        <v>1317</v>
      </c>
      <c r="P15" s="5" t="str">
        <f t="shared" ca="1" si="14"/>
        <v>750kVA</v>
      </c>
      <c r="Q15" s="5" t="str">
        <f t="shared" ca="1" si="15"/>
        <v>HERMETICALLY SEAL</v>
      </c>
      <c r="R15" s="5">
        <f t="shared" ca="1" si="16"/>
        <v>0</v>
      </c>
      <c r="S15" s="5">
        <f t="shared" ca="1" si="17"/>
        <v>0</v>
      </c>
      <c r="T15" s="5">
        <f t="shared" ca="1" si="18"/>
        <v>0</v>
      </c>
      <c r="U15" s="5">
        <f t="shared" ca="1" si="19"/>
        <v>0</v>
      </c>
      <c r="V15" s="5" t="str">
        <f t="shared" ca="1" si="20"/>
        <v>INDKOM</v>
      </c>
      <c r="W15" s="5" t="str">
        <f t="shared" ca="1" si="21"/>
        <v>J-SLOTTED</v>
      </c>
      <c r="X15" s="5" t="str">
        <f t="shared" ca="1" si="22"/>
        <v>1600A</v>
      </c>
      <c r="Y15" s="5" t="str">
        <f t="shared" ca="1" si="23"/>
        <v>LV5080090</v>
      </c>
      <c r="Z15" s="5" t="str">
        <f t="shared" ca="1" si="24"/>
        <v>LVDB TX1</v>
      </c>
      <c r="AA15" s="5">
        <f t="shared" ca="1" si="25"/>
        <v>0</v>
      </c>
      <c r="AB15" s="5">
        <f t="shared" ca="1" si="26"/>
        <v>0</v>
      </c>
      <c r="AC15" s="5">
        <f t="shared" ca="1" si="27"/>
        <v>0</v>
      </c>
      <c r="AD15" s="5">
        <f t="shared" ca="1" si="28"/>
        <v>0</v>
      </c>
      <c r="AE15" s="5" t="str">
        <f t="shared" ca="1" si="29"/>
        <v>LVDB TX2</v>
      </c>
      <c r="AF15" s="5" t="str">
        <f t="shared" ca="1" si="30"/>
        <v>SUNPOWER TECHNOLOGIES</v>
      </c>
      <c r="AG15" s="5" t="str">
        <f t="shared" ca="1" si="31"/>
        <v>SPS 30-10 L</v>
      </c>
      <c r="AH15" s="5" t="str">
        <f t="shared" ca="1" si="32"/>
        <v>11193-8527</v>
      </c>
      <c r="AI15" s="5">
        <f t="shared" ca="1" si="33"/>
        <v>0</v>
      </c>
      <c r="AJ15" s="5">
        <f t="shared" ca="1" si="34"/>
        <v>0</v>
      </c>
      <c r="AK15" s="5">
        <f t="shared" ca="1" si="35"/>
        <v>0</v>
      </c>
      <c r="AL15" s="5">
        <f t="shared" ca="1" si="36"/>
        <v>0</v>
      </c>
      <c r="AM15" s="5">
        <f t="shared" ca="1" si="37"/>
        <v>0</v>
      </c>
      <c r="AN15" s="5">
        <f t="shared" ca="1" si="38"/>
        <v>0</v>
      </c>
      <c r="AO15" s="5">
        <f t="shared" ca="1" si="39"/>
        <v>0</v>
      </c>
      <c r="AP15" s="5">
        <f t="shared" ca="1" si="40"/>
        <v>0</v>
      </c>
      <c r="AQ15" s="5">
        <f t="shared" ca="1" si="41"/>
        <v>0</v>
      </c>
      <c r="AR15" s="5"/>
      <c r="AS15" s="5"/>
      <c r="AT15" s="5"/>
      <c r="AU15" s="6" t="s">
        <v>1714</v>
      </c>
      <c r="AV15" s="6" t="s">
        <v>15</v>
      </c>
      <c r="AW15" s="9">
        <f ca="1">IF(INDIRECT("'" &amp; $AY$1 &amp; "'!P15")="","",INDIRECT("'" &amp; $AY$1 &amp; "'!P15"))</f>
        <v>0</v>
      </c>
    </row>
    <row r="16" spans="1:57" x14ac:dyDescent="0.25">
      <c r="A16" s="5" t="s">
        <v>1591</v>
      </c>
      <c r="B16" s="5" t="str">
        <f t="shared" ca="1" si="0"/>
        <v/>
      </c>
      <c r="C16" s="5" t="str">
        <f t="shared" ca="1" si="1"/>
        <v/>
      </c>
      <c r="D16" s="5" t="str">
        <f t="shared" ca="1" si="2"/>
        <v/>
      </c>
      <c r="E16" s="5" t="str">
        <f t="shared" ca="1" si="3"/>
        <v/>
      </c>
      <c r="F16" s="5" t="str">
        <f t="shared" ca="1" si="4"/>
        <v/>
      </c>
      <c r="G16" s="5" t="str">
        <f t="shared" ca="1" si="5"/>
        <v/>
      </c>
      <c r="H16" s="5" t="str">
        <f t="shared" ca="1" si="6"/>
        <v/>
      </c>
      <c r="I16" s="5" t="str">
        <f t="shared" ca="1" si="7"/>
        <v/>
      </c>
      <c r="J16" s="5" t="str">
        <f t="shared" ca="1" si="8"/>
        <v>TOSHIBA</v>
      </c>
      <c r="K16" s="5" t="str">
        <f t="shared" ca="1" si="9"/>
        <v>2S1F</v>
      </c>
      <c r="L16" s="5" t="str">
        <f t="shared" ca="1" si="10"/>
        <v>12kV</v>
      </c>
      <c r="M16" s="5" t="str">
        <f t="shared" ca="1" si="11"/>
        <v>MRMU</v>
      </c>
      <c r="N16" s="5" t="str">
        <f t="shared" ca="1" si="12"/>
        <v>MTM</v>
      </c>
      <c r="O16" s="5" t="str">
        <f t="shared" ca="1" si="13"/>
        <v>1317</v>
      </c>
      <c r="P16" s="5" t="str">
        <f t="shared" ca="1" si="14"/>
        <v>750kVA</v>
      </c>
      <c r="Q16" s="5" t="str">
        <f t="shared" ca="1" si="15"/>
        <v>HERMETICALLY SEAL</v>
      </c>
      <c r="R16" s="5">
        <f t="shared" ca="1" si="16"/>
        <v>0</v>
      </c>
      <c r="S16" s="5">
        <f t="shared" ca="1" si="17"/>
        <v>0</v>
      </c>
      <c r="T16" s="5">
        <f t="shared" ca="1" si="18"/>
        <v>0</v>
      </c>
      <c r="U16" s="5">
        <f t="shared" ca="1" si="19"/>
        <v>0</v>
      </c>
      <c r="V16" s="5" t="str">
        <f t="shared" ca="1" si="20"/>
        <v>INDKOM</v>
      </c>
      <c r="W16" s="5" t="str">
        <f t="shared" ca="1" si="21"/>
        <v>J-SLOTTED</v>
      </c>
      <c r="X16" s="5" t="str">
        <f t="shared" ca="1" si="22"/>
        <v>1600A</v>
      </c>
      <c r="Y16" s="5" t="str">
        <f t="shared" ca="1" si="23"/>
        <v>LV5080090</v>
      </c>
      <c r="Z16" s="5" t="str">
        <f t="shared" ca="1" si="24"/>
        <v>LVDB TX1</v>
      </c>
      <c r="AA16" s="5">
        <f t="shared" ca="1" si="25"/>
        <v>0</v>
      </c>
      <c r="AB16" s="5">
        <f t="shared" ca="1" si="26"/>
        <v>0</v>
      </c>
      <c r="AC16" s="5">
        <f t="shared" ca="1" si="27"/>
        <v>0</v>
      </c>
      <c r="AD16" s="5">
        <f t="shared" ca="1" si="28"/>
        <v>0</v>
      </c>
      <c r="AE16" s="5" t="str">
        <f t="shared" ca="1" si="29"/>
        <v>LVDB TX2</v>
      </c>
      <c r="AF16" s="5" t="str">
        <f t="shared" ca="1" si="30"/>
        <v>SUNPOWER TECHNOLOGIES</v>
      </c>
      <c r="AG16" s="5" t="str">
        <f t="shared" ca="1" si="31"/>
        <v>SPS 30-10 L</v>
      </c>
      <c r="AH16" s="5" t="str">
        <f t="shared" ca="1" si="32"/>
        <v>11193-8527</v>
      </c>
      <c r="AI16" s="5">
        <f t="shared" ca="1" si="33"/>
        <v>0</v>
      </c>
      <c r="AJ16" s="5">
        <f t="shared" ca="1" si="34"/>
        <v>0</v>
      </c>
      <c r="AK16" s="5">
        <f t="shared" ca="1" si="35"/>
        <v>0</v>
      </c>
      <c r="AL16" s="5">
        <f t="shared" ca="1" si="36"/>
        <v>0</v>
      </c>
      <c r="AM16" s="5">
        <f t="shared" ca="1" si="37"/>
        <v>0</v>
      </c>
      <c r="AN16" s="5">
        <f t="shared" ca="1" si="38"/>
        <v>0</v>
      </c>
      <c r="AO16" s="5">
        <f t="shared" ca="1" si="39"/>
        <v>0</v>
      </c>
      <c r="AP16" s="5">
        <f t="shared" ca="1" si="40"/>
        <v>0</v>
      </c>
      <c r="AQ16" s="5">
        <f t="shared" ca="1" si="41"/>
        <v>0</v>
      </c>
      <c r="AR16" s="5"/>
      <c r="AS16" s="5"/>
      <c r="AT16" s="5"/>
      <c r="AU16" s="6" t="s">
        <v>1715</v>
      </c>
      <c r="AV16" s="6" t="s">
        <v>16</v>
      </c>
      <c r="AW16" s="9">
        <f ca="1">IF(INDIRECT("'" &amp; $AY$1 &amp; "'!P16")="","",INDIRECT("'" &amp; $AY$1 &amp; "'!P16"))</f>
        <v>0</v>
      </c>
    </row>
    <row r="17" spans="1:5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6" t="s">
        <v>1716</v>
      </c>
      <c r="AV17" s="6" t="s">
        <v>17</v>
      </c>
      <c r="AW17" s="9">
        <f ca="1">IF(INDIRECT("'" &amp; $AY$1 &amp; "'!P17")="","",INDIRECT("'" &amp; $AY$1 &amp; "'!P17"))</f>
        <v>0</v>
      </c>
    </row>
    <row r="18" spans="1:5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6" t="s">
        <v>1717</v>
      </c>
      <c r="AV18" s="6" t="s">
        <v>18</v>
      </c>
      <c r="AW18" s="9" t="str">
        <f ca="1">IF(INDIRECT("'" &amp; $AY$1 &amp; "'!P18")="","",INDIRECT("'" &amp; $AY$1 &amp; "'!P18"))</f>
        <v>INDKOM</v>
      </c>
    </row>
    <row r="19" spans="1:5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6" t="s">
        <v>1718</v>
      </c>
      <c r="AV19" s="6" t="s">
        <v>19</v>
      </c>
      <c r="AW19" s="9" t="str">
        <f ca="1">IF(INDIRECT("'" &amp; $AY$1 &amp; "'!P19")="","",INDIRECT("'" &amp; $AY$1 &amp; "'!P19"))</f>
        <v>J-SLOTTED</v>
      </c>
    </row>
    <row r="20" spans="1:5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6" t="s">
        <v>1719</v>
      </c>
      <c r="AV20" s="6" t="s">
        <v>20</v>
      </c>
      <c r="AW20" s="9" t="str">
        <f ca="1">IF(INDIRECT("'" &amp; $AY$1 &amp; "'!P20")="","",INDIRECT("'" &amp; $AY$1 &amp; "'!P20"))</f>
        <v>1600A</v>
      </c>
    </row>
    <row r="21" spans="1:5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6" t="s">
        <v>1720</v>
      </c>
      <c r="AV21" s="6" t="s">
        <v>21</v>
      </c>
      <c r="AW21" s="9" t="str">
        <f ca="1">IF(INDIRECT("'" &amp; $AY$1 &amp; "'!P21")="","",INDIRECT("'" &amp; $AY$1 &amp; "'!P21"))</f>
        <v>LV5080090</v>
      </c>
    </row>
    <row r="22" spans="1:5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6" t="s">
        <v>1721</v>
      </c>
      <c r="AV22" s="6" t="s">
        <v>22</v>
      </c>
      <c r="AW22" s="6" t="str">
        <f ca="1">IF(INDIRECT("'" &amp; $AY$1 &amp; "'!P22")="","",INDIRECT("'" &amp; $AY$1 &amp; "'!P22"))</f>
        <v>LVDB TX1</v>
      </c>
    </row>
    <row r="23" spans="1:5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6" t="s">
        <v>1722</v>
      </c>
      <c r="AV23" s="6" t="s">
        <v>23</v>
      </c>
      <c r="AW23" s="6">
        <f ca="1">IF(INDIRECT("'" &amp; $AY$1 &amp; "'!P23")="","",INDIRECT("'" &amp; $AY$1 &amp; "'!P23"))</f>
        <v>0</v>
      </c>
    </row>
    <row r="24" spans="1:5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6" t="s">
        <v>1723</v>
      </c>
      <c r="AV24" s="6" t="s">
        <v>24</v>
      </c>
      <c r="AW24" s="6">
        <f ca="1">IF(INDIRECT("'" &amp; $AY$1 &amp; "'!P24")="","",INDIRECT("'" &amp; $AY$1 &amp; "'!P24"))</f>
        <v>0</v>
      </c>
    </row>
    <row r="25" spans="1:5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6" t="s">
        <v>1724</v>
      </c>
      <c r="AV25" s="6" t="s">
        <v>25</v>
      </c>
      <c r="AW25" s="6">
        <f ca="1">IF(INDIRECT("'" &amp; $AY$1 &amp; "'!P25")="","",INDIRECT("'" &amp; $AY$1 &amp; "'!P25"))</f>
        <v>0</v>
      </c>
    </row>
    <row r="26" spans="1:56" ht="16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6" t="s">
        <v>1725</v>
      </c>
      <c r="AV26" s="6" t="s">
        <v>26</v>
      </c>
      <c r="AW26" s="6">
        <f ca="1">IF(INDIRECT("'" &amp; $AY$1 &amp; "'!P26")="","",INDIRECT("'" &amp; $AY$1 &amp; "'!P26"))</f>
        <v>0</v>
      </c>
    </row>
    <row r="27" spans="1:5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6" t="s">
        <v>1726</v>
      </c>
      <c r="AV27" s="6" t="s">
        <v>27</v>
      </c>
      <c r="AW27" s="6" t="str">
        <f ca="1">IF(INDIRECT("'" &amp; $AY$1 &amp; "'!P27")="","",INDIRECT("'" &amp; $AY$1 &amp; "'!P27"))</f>
        <v>LVDB TX2</v>
      </c>
      <c r="BD27" s="4"/>
    </row>
    <row r="28" spans="1:5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6" t="s">
        <v>1727</v>
      </c>
      <c r="AV28" s="6" t="s">
        <v>28</v>
      </c>
      <c r="AW28" s="6" t="str">
        <f ca="1">IF(INDIRECT("'" &amp; $AY$1 &amp; "'!P28")="","",INDIRECT("'" &amp; $AY$1 &amp; "'!P28"))</f>
        <v>SUNPOWER TECHNOLOGIES</v>
      </c>
    </row>
    <row r="29" spans="1:5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6" t="s">
        <v>1728</v>
      </c>
      <c r="AV29" s="6" t="s">
        <v>29</v>
      </c>
      <c r="AW29" s="6" t="str">
        <f ca="1">IF(INDIRECT("'" &amp; $AY$1 &amp; "'!P29")="","",INDIRECT("'" &amp; $AY$1 &amp; "'!P29"))</f>
        <v>SPS 30-10 L</v>
      </c>
    </row>
    <row r="30" spans="1:5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6" t="s">
        <v>1729</v>
      </c>
      <c r="AV30" s="6" t="s">
        <v>30</v>
      </c>
      <c r="AW30" s="6" t="str">
        <f ca="1">IF(INDIRECT("'" &amp; $AY$1 &amp; "'!P30")="","",INDIRECT("'" &amp; $AY$1 &amp; "'!P30"))</f>
        <v>11193-8527</v>
      </c>
    </row>
    <row r="31" spans="1:5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6" t="s">
        <v>1730</v>
      </c>
      <c r="AV31" s="6" t="s">
        <v>31</v>
      </c>
      <c r="AW31" s="6">
        <f ca="1">IF(INDIRECT("'" &amp; $AY$1 &amp; "'!P31")="","",INDIRECT("'" &amp; $AY$1 &amp; "'!P31"))</f>
        <v>0</v>
      </c>
    </row>
    <row r="32" spans="1:5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6" t="s">
        <v>1731</v>
      </c>
      <c r="AV32" s="6" t="s">
        <v>32</v>
      </c>
      <c r="AW32" s="6">
        <f ca="1">IF(INDIRECT("'" &amp; $AY$1 &amp; "'!P32")="","",INDIRECT("'" &amp; $AY$1 &amp; "'!P32"))</f>
        <v>0</v>
      </c>
    </row>
    <row r="33" spans="1:49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6" t="s">
        <v>1732</v>
      </c>
      <c r="AV33" s="6" t="s">
        <v>33</v>
      </c>
      <c r="AW33" s="6">
        <f ca="1">IF(INDIRECT("'" &amp; $AY$1 &amp; "'!P33")="","",INDIRECT("'" &amp; $AY$1 &amp; "'!P33"))</f>
        <v>0</v>
      </c>
    </row>
    <row r="34" spans="1:49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6" t="s">
        <v>1733</v>
      </c>
      <c r="AV34" s="6" t="s">
        <v>34</v>
      </c>
      <c r="AW34" s="6">
        <f ca="1">IF(INDIRECT("'" &amp; $AY$1 &amp; "'!P34")="","",INDIRECT("'" &amp; $AY$1 &amp; "'!P34"))</f>
        <v>0</v>
      </c>
    </row>
    <row r="35" spans="1:4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6" t="s">
        <v>1734</v>
      </c>
      <c r="AV35" s="6" t="s">
        <v>35</v>
      </c>
      <c r="AW35" s="6">
        <f ca="1">IF(INDIRECT("'" &amp; $AY$1 &amp; "'!P35")="","",INDIRECT("'" &amp; $AY$1 &amp; "'!P35"))</f>
        <v>0</v>
      </c>
    </row>
    <row r="36" spans="1:49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6" t="s">
        <v>1735</v>
      </c>
      <c r="AV36" s="6" t="s">
        <v>36</v>
      </c>
      <c r="AW36" s="6">
        <f ca="1">IF(INDIRECT("'" &amp; $AY$1 &amp; "'!P36")="","",INDIRECT("'" &amp; $AY$1 &amp; "'!P36"))</f>
        <v>0</v>
      </c>
    </row>
    <row r="37" spans="1:49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6" t="s">
        <v>1736</v>
      </c>
      <c r="AV37" s="6" t="s">
        <v>37</v>
      </c>
      <c r="AW37" s="6">
        <f ca="1">IF(INDIRECT("'" &amp; $AY$1 &amp; "'!P37")="","",INDIRECT("'" &amp; $AY$1 &amp; "'!P37"))</f>
        <v>0</v>
      </c>
    </row>
    <row r="38" spans="1:49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6" t="s">
        <v>1737</v>
      </c>
      <c r="AV38" s="6" t="s">
        <v>38</v>
      </c>
      <c r="AW38" s="6">
        <f ca="1">IF(INDIRECT("'" &amp; $AY$1 &amp; "'!P38")="","",INDIRECT("'" &amp; $AY$1 &amp; "'!P38"))</f>
        <v>0</v>
      </c>
    </row>
    <row r="39" spans="1:49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6" t="s">
        <v>1738</v>
      </c>
      <c r="AV39" s="6" t="s">
        <v>39</v>
      </c>
      <c r="AW39" s="6">
        <f ca="1">IF(INDIRECT("'" &amp; $AY$1 &amp; "'!P39")="","",INDIRECT("'" &amp; $AY$1 &amp; "'!P39"))</f>
        <v>0</v>
      </c>
    </row>
    <row r="40" spans="1:49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spans="1:49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9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spans="1:4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spans="1:4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spans="1:4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spans="1:4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spans="1:4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spans="1:4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spans="1:4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spans="1:4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spans="1:4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spans="1:4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spans="1:4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spans="1:4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spans="1:4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spans="1:4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spans="1:4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spans="1:4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spans="1:4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spans="1:4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spans="1:4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spans="1:4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spans="1:4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spans="1:4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spans="1:4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spans="1:4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spans="1:4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spans="1:4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spans="1:4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spans="1:4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spans="1:4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spans="1:4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spans="1:4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spans="1:4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spans="1:4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spans="1:4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spans="1:4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spans="1:4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spans="1:4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spans="1:4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spans="1:4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spans="1:4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spans="1:4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spans="1:4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spans="1:4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spans="1:4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spans="1:4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spans="1:4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spans="1:4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spans="1:4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spans="1:4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spans="1:4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spans="1:4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spans="1:4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spans="1:4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spans="1:4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spans="1:4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spans="1:4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spans="1:4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spans="1:4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spans="1:4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spans="1:4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spans="1:4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1:4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spans="1:4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spans="1:4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spans="1:4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spans="1:4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spans="1:4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spans="1:4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spans="1:4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spans="1:4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1:4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spans="1:4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spans="1:4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1:4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spans="1:4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spans="1:4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1:4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spans="1:4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spans="1:4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spans="1:4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1:4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spans="1:4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spans="1:4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spans="1:4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spans="1:4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spans="1:4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spans="1:4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1:4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spans="1:4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spans="1:4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spans="1:4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spans="1:4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spans="1:4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spans="1:4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spans="1:4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spans="1:4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1:4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spans="1:4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spans="1:4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1:4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spans="1:4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spans="1:4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spans="1:4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spans="1:4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spans="1:4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spans="1:4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spans="1:4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1:4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1:4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spans="1:4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spans="1:4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spans="1:4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1:4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spans="1:4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1:4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1:4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1:4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1:4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1:4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1:4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1:4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1:4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1:4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1:4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1:4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1:4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1:4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1:4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1:4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1:4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1:4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1:4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1:4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1:4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1:4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1:4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1:4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1:4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1:4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1:4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spans="1:4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spans="1:4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1:4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1:4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1:4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1:4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spans="1:4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spans="1:4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1:4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spans="1:4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spans="1:4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spans="1:4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spans="1:4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spans="1:4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spans="1:4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spans="1:4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4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4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4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spans="1:4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spans="1:4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spans="1:4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spans="1:4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spans="1:4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spans="1:4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spans="1:4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spans="1:4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spans="1:4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spans="1:4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spans="1:4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spans="1:4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spans="1:4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spans="1:4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spans="1:4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spans="1:4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spans="1:4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spans="1:4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spans="1:4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spans="1:4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spans="1:4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spans="1:4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spans="1:4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spans="1:4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spans="1:4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spans="1:4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spans="1:4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spans="1:4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spans="1:4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spans="1:4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spans="1:4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spans="1:4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spans="1:4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spans="1:4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spans="1:4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spans="1:4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spans="1:4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spans="1:4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spans="1:4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spans="1:4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spans="1:4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spans="1:4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spans="1:4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spans="1:4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spans="1:4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spans="1:4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spans="1:4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spans="1:4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spans="1:4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spans="1:4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spans="1:4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spans="1:4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spans="1:4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spans="1:4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spans="1:4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spans="1:4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spans="1:4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spans="1:4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spans="1:4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spans="1:4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spans="1:4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spans="1:4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spans="1:4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spans="1:4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spans="1:4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spans="1:4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spans="1:4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spans="1:4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spans="1:4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spans="1:4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spans="1:4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spans="1:4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spans="1:4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spans="1:4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spans="1:4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spans="1:4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spans="1:4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spans="1:4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spans="1:4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spans="1:4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spans="1:4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spans="1:4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spans="1:4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spans="1:4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spans="1:4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spans="1:4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spans="1:4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spans="1:4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spans="1:4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spans="1:4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spans="1:4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spans="1:4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spans="1:4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spans="1:4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spans="1:4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spans="1:4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spans="1:4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spans="1:4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spans="1:4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spans="1:4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spans="1:4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spans="1:4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spans="1:4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spans="1:4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spans="1:4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spans="1:4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spans="1:4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spans="1:4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spans="1:4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spans="1:4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spans="1:4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spans="1:4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spans="1:4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spans="1:4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spans="1:4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spans="1:4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spans="1:4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spans="1:4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spans="1:4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spans="1:4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spans="1:4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spans="1:4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spans="1:4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spans="1:4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spans="1:4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spans="1:4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spans="1:4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spans="1:4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spans="1:4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spans="1:4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spans="1:4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spans="1:4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spans="1:4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spans="1:4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spans="1:4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spans="1:4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spans="1:4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spans="1:4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spans="1:4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spans="1:4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spans="1:4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spans="1:4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spans="1:4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spans="1:4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spans="1:4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spans="1:4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spans="1:43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spans="1:43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spans="1:43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spans="1:43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spans="1:43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spans="1:43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spans="1:43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spans="1:43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spans="1:43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spans="1:43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spans="1:43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spans="1:43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spans="1:43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spans="1:43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spans="1:43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spans="1:43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spans="1:43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spans="1:43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spans="1:43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spans="1:43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spans="1:43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spans="1:43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spans="1:43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spans="1:43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spans="1:43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spans="1:43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spans="1:43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spans="1:43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spans="1:43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spans="1:43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spans="1:43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spans="1:43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spans="1:43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spans="1:43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spans="1:43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spans="1:43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spans="1:43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spans="1:43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spans="1:43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spans="1:43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spans="1:43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spans="1:43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spans="1:43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spans="1:43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spans="1:43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spans="1:43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spans="1:43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spans="1:43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spans="1:43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spans="1:43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spans="1:43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spans="1:43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spans="1:43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spans="1:43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spans="1:43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spans="1:43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spans="1:43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spans="1:43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spans="1:43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spans="1:43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spans="1:43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spans="1:43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spans="1:43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spans="1:43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spans="1:43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spans="1:43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spans="1:43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spans="1:43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spans="1:43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spans="1:43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spans="1:43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spans="1:43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spans="1:43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spans="1:43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spans="1:43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spans="1:43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spans="1:43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spans="1:43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spans="1:43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spans="1:43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spans="1:43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spans="1:43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spans="1:43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spans="1:43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spans="1:43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spans="1:43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spans="1:43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spans="1:43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spans="1:43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spans="1:43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spans="1:43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spans="1:43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spans="1:43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spans="1:43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spans="1:43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spans="1:43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spans="1:43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spans="1:43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spans="1:43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spans="1:43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spans="1:43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spans="1:43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spans="1:43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spans="1:43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spans="1:43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spans="1:43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spans="1:43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spans="1:43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spans="1:43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spans="1:43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spans="1:43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spans="1:43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spans="1:43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spans="1:43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spans="1:43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spans="1:43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spans="1:43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spans="1:43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spans="1:43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spans="1:43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</sheetData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4:I22"/>
  <sheetViews>
    <sheetView zoomScale="85" zoomScaleNormal="85" workbookViewId="0">
      <selection activeCell="D13" sqref="D13"/>
    </sheetView>
  </sheetViews>
  <sheetFormatPr defaultRowHeight="15" x14ac:dyDescent="0.25"/>
  <cols>
    <col min="3" max="3" width="6" bestFit="1" customWidth="1"/>
    <col min="4" max="4" width="26" bestFit="1" customWidth="1"/>
    <col min="5" max="5" width="11.7109375" bestFit="1" customWidth="1"/>
    <col min="6" max="9" width="10.140625" customWidth="1"/>
  </cols>
  <sheetData>
    <row r="4" spans="3:9" x14ac:dyDescent="0.25">
      <c r="C4" s="9" t="s">
        <v>243</v>
      </c>
      <c r="D4" s="9" t="s">
        <v>2269</v>
      </c>
      <c r="E4" s="9" t="s">
        <v>2270</v>
      </c>
      <c r="F4" s="9" t="s">
        <v>2271</v>
      </c>
      <c r="G4" s="9" t="s">
        <v>2272</v>
      </c>
      <c r="H4" s="9" t="s">
        <v>2273</v>
      </c>
      <c r="I4" s="9" t="s">
        <v>2274</v>
      </c>
    </row>
    <row r="5" spans="3:9" x14ac:dyDescent="0.25">
      <c r="C5" s="9">
        <v>1</v>
      </c>
      <c r="D5" s="9" t="s">
        <v>2275</v>
      </c>
      <c r="E5" s="9" t="s">
        <v>340</v>
      </c>
      <c r="F5" s="37" t="s">
        <v>2276</v>
      </c>
      <c r="G5" s="37" t="s">
        <v>2276</v>
      </c>
      <c r="H5" s="37" t="s">
        <v>2276</v>
      </c>
      <c r="I5" s="37" t="s">
        <v>2276</v>
      </c>
    </row>
    <row r="6" spans="3:9" x14ac:dyDescent="0.25">
      <c r="C6" s="9">
        <v>38</v>
      </c>
      <c r="D6" s="9" t="s">
        <v>2277</v>
      </c>
      <c r="E6" s="9" t="s">
        <v>2278</v>
      </c>
      <c r="F6" s="37" t="s">
        <v>2276</v>
      </c>
      <c r="G6" s="37" t="s">
        <v>2276</v>
      </c>
      <c r="H6" s="37" t="s">
        <v>2276</v>
      </c>
      <c r="I6" s="37" t="s">
        <v>2276</v>
      </c>
    </row>
    <row r="7" spans="3:9" x14ac:dyDescent="0.25">
      <c r="C7" s="9">
        <v>93</v>
      </c>
      <c r="D7" s="9" t="s">
        <v>2279</v>
      </c>
      <c r="E7" s="9" t="s">
        <v>82</v>
      </c>
      <c r="F7" s="37" t="s">
        <v>2276</v>
      </c>
      <c r="G7" s="37" t="s">
        <v>2276</v>
      </c>
      <c r="H7" s="37" t="s">
        <v>2276</v>
      </c>
      <c r="I7" s="37" t="s">
        <v>2276</v>
      </c>
    </row>
    <row r="8" spans="3:9" x14ac:dyDescent="0.25">
      <c r="C8" s="9">
        <v>143</v>
      </c>
      <c r="D8" s="9" t="s">
        <v>2280</v>
      </c>
      <c r="E8" s="9" t="s">
        <v>340</v>
      </c>
      <c r="F8" s="37" t="s">
        <v>2276</v>
      </c>
      <c r="G8" s="37" t="s">
        <v>2276</v>
      </c>
      <c r="H8" s="37" t="s">
        <v>2276</v>
      </c>
      <c r="I8" s="37"/>
    </row>
    <row r="9" spans="3:9" x14ac:dyDescent="0.25">
      <c r="C9" s="9">
        <v>153</v>
      </c>
      <c r="D9" s="9" t="s">
        <v>2281</v>
      </c>
      <c r="E9" s="9" t="s">
        <v>340</v>
      </c>
      <c r="F9" s="37" t="s">
        <v>2276</v>
      </c>
      <c r="G9" s="37" t="s">
        <v>2276</v>
      </c>
      <c r="H9" s="37" t="s">
        <v>2276</v>
      </c>
      <c r="I9" s="37" t="s">
        <v>2276</v>
      </c>
    </row>
    <row r="10" spans="3:9" x14ac:dyDescent="0.25">
      <c r="C10" s="9">
        <v>163</v>
      </c>
      <c r="D10" s="9" t="s">
        <v>2282</v>
      </c>
      <c r="E10" s="9" t="s">
        <v>2278</v>
      </c>
      <c r="F10" s="37" t="s">
        <v>2276</v>
      </c>
      <c r="G10" s="37" t="s">
        <v>2276</v>
      </c>
      <c r="H10" s="37"/>
      <c r="I10" s="37"/>
    </row>
    <row r="11" spans="3:9" x14ac:dyDescent="0.25">
      <c r="C11" s="9">
        <v>189</v>
      </c>
      <c r="D11" s="9" t="s">
        <v>2283</v>
      </c>
      <c r="E11" s="9" t="s">
        <v>2278</v>
      </c>
      <c r="F11" s="37" t="s">
        <v>2276</v>
      </c>
      <c r="G11" s="37" t="s">
        <v>2276</v>
      </c>
      <c r="H11" s="37" t="s">
        <v>2276</v>
      </c>
      <c r="I11" s="37" t="s">
        <v>2276</v>
      </c>
    </row>
    <row r="12" spans="3:9" x14ac:dyDescent="0.25">
      <c r="C12" s="9">
        <v>219</v>
      </c>
      <c r="D12" s="9" t="s">
        <v>2284</v>
      </c>
      <c r="E12" s="9" t="s">
        <v>340</v>
      </c>
      <c r="F12" s="37" t="s">
        <v>2276</v>
      </c>
      <c r="G12" s="37" t="s">
        <v>2276</v>
      </c>
      <c r="H12" s="37" t="s">
        <v>2276</v>
      </c>
      <c r="I12" s="37" t="s">
        <v>2276</v>
      </c>
    </row>
    <row r="13" spans="3:9" x14ac:dyDescent="0.25">
      <c r="C13" s="9">
        <v>221</v>
      </c>
      <c r="D13" s="9" t="s">
        <v>2285</v>
      </c>
      <c r="E13" s="9" t="s">
        <v>2278</v>
      </c>
      <c r="F13" s="37" t="s">
        <v>2276</v>
      </c>
      <c r="G13" s="37" t="s">
        <v>2276</v>
      </c>
      <c r="H13" s="37" t="s">
        <v>2276</v>
      </c>
      <c r="I13" s="37" t="s">
        <v>2276</v>
      </c>
    </row>
    <row r="14" spans="3:9" x14ac:dyDescent="0.25">
      <c r="C14" s="9">
        <v>222</v>
      </c>
      <c r="D14" s="9" t="s">
        <v>2286</v>
      </c>
      <c r="E14" s="9" t="s">
        <v>2278</v>
      </c>
      <c r="F14" s="37" t="s">
        <v>2276</v>
      </c>
      <c r="G14" s="37" t="s">
        <v>2276</v>
      </c>
      <c r="H14" s="37" t="s">
        <v>2276</v>
      </c>
      <c r="I14" s="37" t="s">
        <v>2276</v>
      </c>
    </row>
    <row r="15" spans="3:9" x14ac:dyDescent="0.25">
      <c r="C15" s="9">
        <v>223</v>
      </c>
      <c r="D15" s="9" t="s">
        <v>2287</v>
      </c>
      <c r="E15" s="9" t="s">
        <v>2278</v>
      </c>
      <c r="F15" s="37" t="s">
        <v>2276</v>
      </c>
      <c r="G15" s="37" t="s">
        <v>2276</v>
      </c>
      <c r="H15" s="37" t="s">
        <v>2276</v>
      </c>
      <c r="I15" s="37" t="s">
        <v>2276</v>
      </c>
    </row>
    <row r="16" spans="3:9" x14ac:dyDescent="0.25">
      <c r="C16" s="9">
        <v>226</v>
      </c>
      <c r="D16" s="9" t="s">
        <v>2288</v>
      </c>
      <c r="E16" s="9" t="s">
        <v>2278</v>
      </c>
      <c r="F16" s="37" t="s">
        <v>2276</v>
      </c>
      <c r="G16" s="37" t="s">
        <v>2276</v>
      </c>
      <c r="H16" s="37" t="s">
        <v>2276</v>
      </c>
      <c r="I16" s="37" t="s">
        <v>2276</v>
      </c>
    </row>
    <row r="17" spans="3:9" x14ac:dyDescent="0.25">
      <c r="C17" s="9">
        <v>227</v>
      </c>
      <c r="D17" s="9" t="s">
        <v>2289</v>
      </c>
      <c r="E17" s="9" t="s">
        <v>2278</v>
      </c>
      <c r="F17" s="37" t="s">
        <v>2276</v>
      </c>
      <c r="G17" s="37" t="s">
        <v>2276</v>
      </c>
      <c r="H17" s="37" t="s">
        <v>2276</v>
      </c>
      <c r="I17" s="37" t="s">
        <v>2276</v>
      </c>
    </row>
    <row r="18" spans="3:9" x14ac:dyDescent="0.25">
      <c r="C18" s="9">
        <v>228</v>
      </c>
      <c r="D18" s="9" t="s">
        <v>2290</v>
      </c>
      <c r="E18" s="9" t="s">
        <v>2278</v>
      </c>
      <c r="F18" s="37" t="s">
        <v>2276</v>
      </c>
      <c r="G18" s="37" t="s">
        <v>2276</v>
      </c>
      <c r="H18" s="37" t="s">
        <v>2276</v>
      </c>
      <c r="I18" s="37" t="s">
        <v>2276</v>
      </c>
    </row>
    <row r="19" spans="3:9" x14ac:dyDescent="0.25">
      <c r="C19" s="9">
        <v>261</v>
      </c>
      <c r="D19" s="9" t="s">
        <v>2291</v>
      </c>
      <c r="E19" s="9" t="s">
        <v>2278</v>
      </c>
      <c r="F19" s="37" t="s">
        <v>2276</v>
      </c>
      <c r="G19" s="37" t="s">
        <v>2276</v>
      </c>
      <c r="H19" s="37" t="s">
        <v>2276</v>
      </c>
      <c r="I19" s="37" t="s">
        <v>2276</v>
      </c>
    </row>
    <row r="20" spans="3:9" x14ac:dyDescent="0.25">
      <c r="C20" s="9">
        <v>288</v>
      </c>
      <c r="D20" s="9" t="s">
        <v>2292</v>
      </c>
      <c r="E20" s="9" t="s">
        <v>340</v>
      </c>
      <c r="F20" s="37" t="s">
        <v>2276</v>
      </c>
      <c r="G20" s="37" t="s">
        <v>2276</v>
      </c>
      <c r="H20" s="37" t="s">
        <v>2276</v>
      </c>
      <c r="I20" s="37" t="s">
        <v>2276</v>
      </c>
    </row>
    <row r="21" spans="3:9" x14ac:dyDescent="0.25">
      <c r="C21" s="9">
        <v>301.10000000000002</v>
      </c>
      <c r="D21" s="9" t="s">
        <v>2293</v>
      </c>
      <c r="E21" s="9" t="s">
        <v>2294</v>
      </c>
      <c r="F21" s="37" t="s">
        <v>2276</v>
      </c>
      <c r="G21" s="37" t="s">
        <v>2276</v>
      </c>
      <c r="H21" s="37" t="s">
        <v>2276</v>
      </c>
      <c r="I21" s="37" t="s">
        <v>2276</v>
      </c>
    </row>
    <row r="22" spans="3:9" x14ac:dyDescent="0.25">
      <c r="C22" s="9">
        <v>301.2</v>
      </c>
      <c r="D22" s="9" t="s">
        <v>2293</v>
      </c>
      <c r="E22" s="9" t="s">
        <v>2295</v>
      </c>
      <c r="F22" s="37" t="s">
        <v>2276</v>
      </c>
      <c r="G22" s="37" t="s">
        <v>2276</v>
      </c>
      <c r="H22" s="37" t="s">
        <v>2276</v>
      </c>
      <c r="I22" s="37" t="s">
        <v>2276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316"/>
  <sheetViews>
    <sheetView zoomScale="85" zoomScaleNormal="85" workbookViewId="0">
      <pane xSplit="2" ySplit="1" topLeftCell="H14" activePane="bottomRight" state="frozen"/>
      <selection pane="topRight" activeCell="C1" sqref="C1"/>
      <selection pane="bottomLeft" activeCell="A2" sqref="A2"/>
      <selection pane="bottomRight" activeCell="A59" sqref="A59"/>
    </sheetView>
  </sheetViews>
  <sheetFormatPr defaultColWidth="9.140625" defaultRowHeight="15" x14ac:dyDescent="0.25"/>
  <cols>
    <col min="1" max="1" width="8.7109375" style="5" bestFit="1" customWidth="1"/>
    <col min="2" max="2" width="44.42578125" style="5" bestFit="1" customWidth="1"/>
    <col min="3" max="3" width="9" style="5" bestFit="1" customWidth="1"/>
    <col min="4" max="4" width="11.140625" style="5" bestFit="1" customWidth="1"/>
    <col min="5" max="5" width="14.5703125" style="5" bestFit="1" customWidth="1"/>
    <col min="6" max="6" width="9.7109375" style="5" bestFit="1" customWidth="1"/>
    <col min="7" max="7" width="28.28515625" style="5" bestFit="1" customWidth="1"/>
    <col min="8" max="8" width="17.42578125" style="5" bestFit="1" customWidth="1"/>
    <col min="9" max="9" width="20" style="5" bestFit="1" customWidth="1"/>
    <col min="10" max="10" width="19.5703125" style="5" bestFit="1" customWidth="1"/>
    <col min="11" max="40" width="19.5703125" style="5" customWidth="1"/>
    <col min="41" max="55" width="9.140625" style="5" customWidth="1"/>
    <col min="56" max="16384" width="9.140625" style="5"/>
  </cols>
  <sheetData>
    <row r="1" spans="1:44" x14ac:dyDescent="0.25">
      <c r="A1" s="9" t="s">
        <v>0</v>
      </c>
      <c r="B1" s="9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</row>
    <row r="2" spans="1:44" x14ac:dyDescent="0.25">
      <c r="A2" s="9">
        <v>79</v>
      </c>
      <c r="B2" s="9" t="s">
        <v>40</v>
      </c>
      <c r="C2" s="46" t="s">
        <v>41</v>
      </c>
      <c r="D2" s="31" t="s">
        <v>42</v>
      </c>
      <c r="E2" s="9" t="s">
        <v>43</v>
      </c>
      <c r="F2" s="9" t="s">
        <v>44</v>
      </c>
      <c r="G2" s="9" t="s">
        <v>45</v>
      </c>
      <c r="H2" s="9" t="s">
        <v>46</v>
      </c>
      <c r="I2" s="9" t="s">
        <v>47</v>
      </c>
      <c r="J2" s="9" t="s">
        <v>48</v>
      </c>
      <c r="K2" s="9" t="s">
        <v>49</v>
      </c>
      <c r="L2" s="9" t="s">
        <v>50</v>
      </c>
      <c r="M2" s="9" t="s">
        <v>51</v>
      </c>
      <c r="N2" s="9" t="s">
        <v>52</v>
      </c>
      <c r="O2" s="9"/>
      <c r="P2" s="9"/>
      <c r="Q2" s="9"/>
      <c r="R2" s="9"/>
      <c r="S2" s="9" t="s">
        <v>53</v>
      </c>
      <c r="T2" s="9" t="s">
        <v>54</v>
      </c>
      <c r="U2" s="9" t="s">
        <v>55</v>
      </c>
      <c r="V2" s="9" t="s">
        <v>56</v>
      </c>
      <c r="W2" s="9" t="s">
        <v>57</v>
      </c>
      <c r="X2" s="9"/>
      <c r="Y2" s="9"/>
      <c r="Z2" s="9"/>
      <c r="AA2" s="9"/>
      <c r="AB2" s="9" t="s">
        <v>58</v>
      </c>
      <c r="AC2" s="9" t="s">
        <v>59</v>
      </c>
      <c r="AD2" s="9" t="s">
        <v>60</v>
      </c>
      <c r="AE2" s="9" t="s">
        <v>61</v>
      </c>
      <c r="AF2" s="9" t="s">
        <v>62</v>
      </c>
      <c r="AG2" s="9" t="s">
        <v>63</v>
      </c>
      <c r="AH2" s="9" t="s">
        <v>64</v>
      </c>
      <c r="AI2" s="9"/>
      <c r="AJ2" s="9"/>
      <c r="AK2" s="9"/>
      <c r="AL2" s="9"/>
      <c r="AM2" s="9"/>
      <c r="AN2" s="9"/>
      <c r="AO2" s="5" t="s">
        <v>65</v>
      </c>
      <c r="AP2" s="5" t="s">
        <v>65</v>
      </c>
      <c r="AQ2" s="5" t="s">
        <v>65</v>
      </c>
      <c r="AR2" s="5" t="s">
        <v>65</v>
      </c>
    </row>
    <row r="3" spans="1:44" x14ac:dyDescent="0.25">
      <c r="A3" s="9">
        <v>80</v>
      </c>
      <c r="B3" s="9" t="s">
        <v>66</v>
      </c>
      <c r="C3" s="46" t="s">
        <v>67</v>
      </c>
      <c r="D3" s="31" t="s">
        <v>42</v>
      </c>
      <c r="E3" s="9" t="s">
        <v>68</v>
      </c>
      <c r="F3" s="9" t="s">
        <v>69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  <c r="L3" s="9" t="s">
        <v>50</v>
      </c>
      <c r="M3" s="9" t="s">
        <v>70</v>
      </c>
      <c r="N3" s="9" t="s">
        <v>71</v>
      </c>
      <c r="O3" s="9"/>
      <c r="P3" s="9"/>
      <c r="Q3" s="9"/>
      <c r="R3" s="9"/>
      <c r="S3" s="9" t="s">
        <v>72</v>
      </c>
      <c r="T3" s="9" t="s">
        <v>54</v>
      </c>
      <c r="U3" s="9" t="s">
        <v>55</v>
      </c>
      <c r="V3" s="9" t="s">
        <v>73</v>
      </c>
      <c r="W3" s="9" t="s">
        <v>74</v>
      </c>
      <c r="X3" s="9"/>
      <c r="Y3" s="9"/>
      <c r="Z3" s="9"/>
      <c r="AA3" s="9"/>
      <c r="AB3" s="9" t="s">
        <v>58</v>
      </c>
      <c r="AC3" s="9" t="s">
        <v>59</v>
      </c>
      <c r="AD3" s="9" t="s">
        <v>75</v>
      </c>
      <c r="AE3" s="9" t="s">
        <v>76</v>
      </c>
      <c r="AF3" s="9"/>
      <c r="AG3" s="9"/>
      <c r="AH3" s="9"/>
      <c r="AI3" s="9"/>
      <c r="AJ3" s="9"/>
      <c r="AK3" s="9"/>
      <c r="AL3" s="9"/>
      <c r="AM3" s="9"/>
      <c r="AN3" s="9"/>
      <c r="AO3" s="5" t="s">
        <v>65</v>
      </c>
      <c r="AP3" s="5" t="s">
        <v>65</v>
      </c>
      <c r="AQ3" s="5" t="s">
        <v>65</v>
      </c>
      <c r="AR3" s="5" t="s">
        <v>65</v>
      </c>
    </row>
    <row r="4" spans="1:44" x14ac:dyDescent="0.25">
      <c r="A4" s="9">
        <v>81</v>
      </c>
      <c r="B4" s="9" t="s">
        <v>77</v>
      </c>
      <c r="C4" s="46" t="s">
        <v>78</v>
      </c>
      <c r="D4" s="31" t="s">
        <v>42</v>
      </c>
      <c r="E4" s="9" t="s">
        <v>79</v>
      </c>
      <c r="F4" s="9" t="s">
        <v>80</v>
      </c>
      <c r="G4" s="9" t="s">
        <v>81</v>
      </c>
      <c r="H4" s="9" t="s">
        <v>82</v>
      </c>
      <c r="I4" s="9" t="s">
        <v>47</v>
      </c>
      <c r="J4" s="9" t="s">
        <v>83</v>
      </c>
      <c r="K4" s="9" t="s">
        <v>84</v>
      </c>
      <c r="L4" s="9" t="s">
        <v>50</v>
      </c>
      <c r="M4" s="9" t="s">
        <v>70</v>
      </c>
      <c r="N4" s="9" t="s">
        <v>85</v>
      </c>
      <c r="O4" s="9"/>
      <c r="P4" s="9"/>
      <c r="Q4" s="9"/>
      <c r="R4" s="9"/>
      <c r="S4" s="9"/>
      <c r="T4" s="9" t="s">
        <v>54</v>
      </c>
      <c r="U4" s="9" t="s">
        <v>86</v>
      </c>
      <c r="V4" s="9" t="s">
        <v>87</v>
      </c>
      <c r="W4" s="9" t="s">
        <v>74</v>
      </c>
      <c r="X4" s="9"/>
      <c r="Y4" s="9"/>
      <c r="Z4" s="9"/>
      <c r="AA4" s="9"/>
      <c r="AB4" s="9" t="s">
        <v>58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5" t="s">
        <v>65</v>
      </c>
      <c r="AP4" s="5" t="s">
        <v>65</v>
      </c>
      <c r="AQ4" s="5" t="s">
        <v>65</v>
      </c>
      <c r="AR4" s="5" t="s">
        <v>65</v>
      </c>
    </row>
    <row r="5" spans="1:44" x14ac:dyDescent="0.25">
      <c r="A5" s="9">
        <v>82</v>
      </c>
      <c r="B5" s="9" t="s">
        <v>88</v>
      </c>
      <c r="C5" s="46" t="s">
        <v>89</v>
      </c>
      <c r="D5" s="31" t="s">
        <v>42</v>
      </c>
      <c r="E5" s="9" t="s">
        <v>90</v>
      </c>
      <c r="F5" s="9" t="s">
        <v>91</v>
      </c>
      <c r="G5" s="9" t="s">
        <v>81</v>
      </c>
      <c r="H5" s="9" t="s">
        <v>46</v>
      </c>
      <c r="I5" s="9" t="s">
        <v>47</v>
      </c>
      <c r="J5" s="9" t="s">
        <v>83</v>
      </c>
      <c r="K5" s="9"/>
      <c r="L5" s="9"/>
      <c r="M5" s="9"/>
      <c r="N5" s="9"/>
      <c r="O5" s="9"/>
      <c r="P5" s="9"/>
      <c r="Q5" s="9"/>
      <c r="R5" s="9"/>
      <c r="S5" s="9" t="s">
        <v>81</v>
      </c>
      <c r="T5" s="9" t="s">
        <v>92</v>
      </c>
      <c r="U5" s="9" t="s">
        <v>86</v>
      </c>
      <c r="V5" s="9" t="s">
        <v>93</v>
      </c>
      <c r="W5" s="9" t="s">
        <v>57</v>
      </c>
      <c r="X5" s="9"/>
      <c r="Y5" s="9"/>
      <c r="Z5" s="9"/>
      <c r="AA5" s="9"/>
      <c r="AB5" s="9" t="s">
        <v>58</v>
      </c>
      <c r="AC5" s="9" t="s">
        <v>62</v>
      </c>
      <c r="AD5" s="9" t="s">
        <v>94</v>
      </c>
      <c r="AE5" s="9" t="s">
        <v>95</v>
      </c>
      <c r="AF5" s="9"/>
      <c r="AG5" s="9"/>
      <c r="AH5" s="9"/>
      <c r="AI5" s="9"/>
      <c r="AJ5" s="9"/>
      <c r="AK5" s="9"/>
      <c r="AL5" s="9"/>
      <c r="AM5" s="9"/>
      <c r="AN5" s="9"/>
      <c r="AO5" s="5" t="s">
        <v>65</v>
      </c>
      <c r="AP5" s="5" t="s">
        <v>65</v>
      </c>
      <c r="AQ5" s="5" t="s">
        <v>65</v>
      </c>
      <c r="AR5" s="5" t="s">
        <v>65</v>
      </c>
    </row>
    <row r="6" spans="1:44" x14ac:dyDescent="0.25">
      <c r="A6" s="9">
        <v>83</v>
      </c>
      <c r="B6" s="9" t="s">
        <v>96</v>
      </c>
      <c r="C6" s="46" t="s">
        <v>97</v>
      </c>
      <c r="D6" s="31" t="s">
        <v>42</v>
      </c>
      <c r="E6" s="9" t="s">
        <v>98</v>
      </c>
      <c r="F6" s="9" t="s">
        <v>80</v>
      </c>
      <c r="G6" s="9" t="s">
        <v>81</v>
      </c>
      <c r="H6" s="9" t="s">
        <v>82</v>
      </c>
      <c r="I6" s="9" t="s">
        <v>47</v>
      </c>
      <c r="J6" s="9" t="s">
        <v>83</v>
      </c>
      <c r="K6" s="9" t="s">
        <v>99</v>
      </c>
      <c r="L6" s="9" t="s">
        <v>50</v>
      </c>
      <c r="M6" s="9" t="s">
        <v>70</v>
      </c>
      <c r="N6" s="9" t="s">
        <v>100</v>
      </c>
      <c r="O6" s="9" t="s">
        <v>99</v>
      </c>
      <c r="P6" s="9" t="s">
        <v>50</v>
      </c>
      <c r="Q6" s="9" t="s">
        <v>70</v>
      </c>
      <c r="R6" s="9" t="s">
        <v>101</v>
      </c>
      <c r="S6" s="9" t="s">
        <v>53</v>
      </c>
      <c r="T6" s="9" t="s">
        <v>92</v>
      </c>
      <c r="U6" s="9" t="s">
        <v>55</v>
      </c>
      <c r="V6" s="9" t="s">
        <v>102</v>
      </c>
      <c r="W6" s="9" t="s">
        <v>74</v>
      </c>
      <c r="X6" s="9" t="s">
        <v>53</v>
      </c>
      <c r="Y6" s="9" t="s">
        <v>92</v>
      </c>
      <c r="Z6" s="9" t="s">
        <v>55</v>
      </c>
      <c r="AA6" s="9" t="s">
        <v>103</v>
      </c>
      <c r="AB6" s="9" t="s">
        <v>104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5" t="s">
        <v>65</v>
      </c>
      <c r="AP6" s="5" t="s">
        <v>65</v>
      </c>
      <c r="AQ6" s="5" t="s">
        <v>65</v>
      </c>
      <c r="AR6" s="5" t="s">
        <v>65</v>
      </c>
    </row>
    <row r="7" spans="1:44" x14ac:dyDescent="0.25">
      <c r="A7" s="9">
        <v>84</v>
      </c>
      <c r="B7" s="9" t="s">
        <v>105</v>
      </c>
      <c r="C7" s="46" t="s">
        <v>106</v>
      </c>
      <c r="D7" s="31" t="s">
        <v>42</v>
      </c>
      <c r="E7" s="9" t="s">
        <v>107</v>
      </c>
      <c r="F7" s="9" t="s">
        <v>108</v>
      </c>
      <c r="G7" s="9" t="s">
        <v>109</v>
      </c>
      <c r="H7" s="9" t="s">
        <v>46</v>
      </c>
      <c r="I7" s="9" t="s">
        <v>47</v>
      </c>
      <c r="J7" s="9" t="s">
        <v>110</v>
      </c>
      <c r="K7" s="9" t="s">
        <v>99</v>
      </c>
      <c r="L7" s="9" t="s">
        <v>50</v>
      </c>
      <c r="M7" s="9" t="s">
        <v>70</v>
      </c>
      <c r="N7" s="9" t="s">
        <v>111</v>
      </c>
      <c r="O7" s="9" t="s">
        <v>99</v>
      </c>
      <c r="P7" s="9" t="s">
        <v>50</v>
      </c>
      <c r="Q7" s="9" t="s">
        <v>70</v>
      </c>
      <c r="R7" s="9" t="s">
        <v>112</v>
      </c>
      <c r="S7" s="9" t="s">
        <v>113</v>
      </c>
      <c r="T7" s="9" t="s">
        <v>92</v>
      </c>
      <c r="U7" s="9" t="s">
        <v>55</v>
      </c>
      <c r="V7" s="9" t="s">
        <v>114</v>
      </c>
      <c r="W7" s="9" t="s">
        <v>74</v>
      </c>
      <c r="X7" s="9" t="s">
        <v>53</v>
      </c>
      <c r="Y7" s="9" t="s">
        <v>92</v>
      </c>
      <c r="Z7" s="9" t="s">
        <v>55</v>
      </c>
      <c r="AA7" s="9" t="s">
        <v>115</v>
      </c>
      <c r="AB7" s="9" t="s">
        <v>104</v>
      </c>
      <c r="AC7" s="9" t="s">
        <v>59</v>
      </c>
      <c r="AD7" s="9" t="s">
        <v>75</v>
      </c>
      <c r="AE7" s="9" t="s">
        <v>116</v>
      </c>
      <c r="AF7" s="9"/>
      <c r="AG7" s="9"/>
      <c r="AH7" s="9"/>
      <c r="AI7" s="9"/>
      <c r="AJ7" s="9"/>
      <c r="AK7" s="9"/>
      <c r="AL7" s="9"/>
      <c r="AM7" s="9"/>
      <c r="AN7" s="9"/>
      <c r="AO7" s="5" t="s">
        <v>65</v>
      </c>
      <c r="AP7" s="5" t="s">
        <v>65</v>
      </c>
      <c r="AQ7" s="5" t="s">
        <v>65</v>
      </c>
      <c r="AR7" s="5" t="s">
        <v>65</v>
      </c>
    </row>
    <row r="8" spans="1:44" x14ac:dyDescent="0.25">
      <c r="A8" s="9">
        <v>85</v>
      </c>
      <c r="B8" s="9" t="s">
        <v>117</v>
      </c>
      <c r="C8" s="46" t="s">
        <v>118</v>
      </c>
      <c r="D8" s="31" t="s">
        <v>42</v>
      </c>
      <c r="E8" s="9" t="s">
        <v>119</v>
      </c>
      <c r="F8" s="9" t="s">
        <v>120</v>
      </c>
      <c r="G8" s="9" t="s">
        <v>109</v>
      </c>
      <c r="H8" s="9" t="s">
        <v>46</v>
      </c>
      <c r="I8" s="9" t="s">
        <v>47</v>
      </c>
      <c r="J8" s="9" t="s">
        <v>110</v>
      </c>
      <c r="K8" s="9" t="s">
        <v>99</v>
      </c>
      <c r="L8" s="9" t="s">
        <v>50</v>
      </c>
      <c r="M8" s="9" t="s">
        <v>70</v>
      </c>
      <c r="N8" s="9" t="s">
        <v>121</v>
      </c>
      <c r="O8" s="9" t="s">
        <v>99</v>
      </c>
      <c r="P8" s="9" t="s">
        <v>50</v>
      </c>
      <c r="Q8" s="9" t="s">
        <v>70</v>
      </c>
      <c r="R8" s="9" t="s">
        <v>122</v>
      </c>
      <c r="S8" s="9" t="s">
        <v>113</v>
      </c>
      <c r="T8" s="9" t="s">
        <v>92</v>
      </c>
      <c r="U8" s="9" t="s">
        <v>55</v>
      </c>
      <c r="V8" s="9" t="s">
        <v>123</v>
      </c>
      <c r="W8" s="9" t="s">
        <v>74</v>
      </c>
      <c r="X8" s="9" t="s">
        <v>113</v>
      </c>
      <c r="Y8" s="9" t="s">
        <v>92</v>
      </c>
      <c r="Z8" s="9" t="s">
        <v>55</v>
      </c>
      <c r="AA8" s="9" t="s">
        <v>124</v>
      </c>
      <c r="AB8" s="9" t="s">
        <v>104</v>
      </c>
      <c r="AC8" s="9" t="s">
        <v>59</v>
      </c>
      <c r="AD8" s="9" t="s">
        <v>75</v>
      </c>
      <c r="AE8" s="9" t="s">
        <v>125</v>
      </c>
      <c r="AF8" s="9"/>
      <c r="AG8" s="9"/>
      <c r="AH8" s="9"/>
      <c r="AI8" s="9"/>
      <c r="AJ8" s="9"/>
      <c r="AK8" s="9"/>
      <c r="AL8" s="9"/>
      <c r="AM8" s="9"/>
      <c r="AN8" s="9"/>
      <c r="AO8" s="5" t="s">
        <v>65</v>
      </c>
      <c r="AP8" s="5" t="s">
        <v>65</v>
      </c>
      <c r="AQ8" s="5" t="s">
        <v>65</v>
      </c>
      <c r="AR8" s="5" t="s">
        <v>65</v>
      </c>
    </row>
    <row r="9" spans="1:44" x14ac:dyDescent="0.25">
      <c r="A9" s="9">
        <v>86</v>
      </c>
      <c r="B9" s="9" t="s">
        <v>126</v>
      </c>
      <c r="C9" s="46" t="s">
        <v>127</v>
      </c>
      <c r="D9" s="31" t="s">
        <v>42</v>
      </c>
      <c r="E9" s="9" t="s">
        <v>128</v>
      </c>
      <c r="F9" s="9" t="s">
        <v>129</v>
      </c>
      <c r="G9" s="9" t="s">
        <v>109</v>
      </c>
      <c r="H9" s="9" t="s">
        <v>46</v>
      </c>
      <c r="I9" s="9" t="s">
        <v>47</v>
      </c>
      <c r="J9" s="9" t="s">
        <v>110</v>
      </c>
      <c r="K9" s="9" t="s">
        <v>99</v>
      </c>
      <c r="L9" s="9" t="s">
        <v>50</v>
      </c>
      <c r="M9" s="9" t="s">
        <v>70</v>
      </c>
      <c r="N9" s="9" t="s">
        <v>130</v>
      </c>
      <c r="O9" s="9" t="s">
        <v>99</v>
      </c>
      <c r="P9" s="9" t="s">
        <v>50</v>
      </c>
      <c r="Q9" s="9" t="s">
        <v>70</v>
      </c>
      <c r="R9" s="9" t="s">
        <v>131</v>
      </c>
      <c r="S9" s="9" t="s">
        <v>113</v>
      </c>
      <c r="T9" s="9" t="s">
        <v>92</v>
      </c>
      <c r="U9" s="9" t="s">
        <v>55</v>
      </c>
      <c r="V9" s="9" t="s">
        <v>132</v>
      </c>
      <c r="W9" s="9" t="s">
        <v>74</v>
      </c>
      <c r="X9" s="9" t="s">
        <v>53</v>
      </c>
      <c r="Y9" s="9" t="s">
        <v>92</v>
      </c>
      <c r="Z9" s="9" t="s">
        <v>55</v>
      </c>
      <c r="AA9" s="9" t="s">
        <v>133</v>
      </c>
      <c r="AB9" s="9" t="s">
        <v>104</v>
      </c>
      <c r="AC9" s="9" t="s">
        <v>59</v>
      </c>
      <c r="AD9" s="9" t="s">
        <v>134</v>
      </c>
      <c r="AE9" s="9" t="s">
        <v>135</v>
      </c>
      <c r="AF9" s="9"/>
      <c r="AG9" s="9"/>
      <c r="AH9" s="9"/>
      <c r="AI9" s="9"/>
      <c r="AJ9" s="9"/>
      <c r="AK9" s="9"/>
      <c r="AL9" s="9"/>
      <c r="AM9" s="9"/>
      <c r="AN9" s="9"/>
      <c r="AO9" s="5" t="s">
        <v>65</v>
      </c>
      <c r="AP9" s="5" t="s">
        <v>65</v>
      </c>
      <c r="AQ9" s="5" t="s">
        <v>65</v>
      </c>
      <c r="AR9" s="5" t="s">
        <v>65</v>
      </c>
    </row>
    <row r="10" spans="1:44" x14ac:dyDescent="0.25">
      <c r="A10" s="9">
        <v>87</v>
      </c>
      <c r="B10" s="9" t="s">
        <v>136</v>
      </c>
      <c r="C10" s="46" t="s">
        <v>137</v>
      </c>
      <c r="D10" s="31" t="s">
        <v>138</v>
      </c>
      <c r="E10" s="9" t="s">
        <v>139</v>
      </c>
      <c r="F10" s="9" t="s">
        <v>80</v>
      </c>
      <c r="G10" s="9" t="s">
        <v>81</v>
      </c>
      <c r="H10" s="9" t="s">
        <v>46</v>
      </c>
      <c r="I10" s="9" t="s">
        <v>47</v>
      </c>
      <c r="J10" s="9" t="s">
        <v>83</v>
      </c>
      <c r="K10" s="9" t="s">
        <v>49</v>
      </c>
      <c r="L10" s="9" t="s">
        <v>50</v>
      </c>
      <c r="M10" s="9" t="s">
        <v>70</v>
      </c>
      <c r="N10" s="9" t="s">
        <v>140</v>
      </c>
      <c r="O10" s="9" t="s">
        <v>49</v>
      </c>
      <c r="P10" s="9" t="s">
        <v>50</v>
      </c>
      <c r="Q10" s="9" t="s">
        <v>70</v>
      </c>
      <c r="R10" s="9" t="s">
        <v>141</v>
      </c>
      <c r="S10" s="9" t="s">
        <v>53</v>
      </c>
      <c r="T10" s="9" t="s">
        <v>92</v>
      </c>
      <c r="U10" s="9" t="s">
        <v>55</v>
      </c>
      <c r="V10" s="9" t="s">
        <v>142</v>
      </c>
      <c r="W10" s="9" t="s">
        <v>74</v>
      </c>
      <c r="X10" s="9" t="s">
        <v>53</v>
      </c>
      <c r="Y10" s="9" t="s">
        <v>92</v>
      </c>
      <c r="Z10" s="9" t="s">
        <v>55</v>
      </c>
      <c r="AA10" s="9" t="s">
        <v>143</v>
      </c>
      <c r="AB10" s="9" t="s">
        <v>104</v>
      </c>
      <c r="AC10" s="9" t="s">
        <v>59</v>
      </c>
      <c r="AD10" s="9" t="s">
        <v>60</v>
      </c>
      <c r="AE10" s="9" t="s">
        <v>144</v>
      </c>
      <c r="AF10" s="9"/>
      <c r="AG10" s="9"/>
      <c r="AH10" s="9"/>
      <c r="AI10" s="9"/>
      <c r="AJ10" s="9"/>
      <c r="AK10" s="9"/>
      <c r="AL10" s="9"/>
      <c r="AM10" s="9"/>
      <c r="AN10" s="9"/>
      <c r="AO10" s="5" t="s">
        <v>65</v>
      </c>
      <c r="AP10" s="5" t="s">
        <v>65</v>
      </c>
      <c r="AQ10" s="5" t="s">
        <v>65</v>
      </c>
      <c r="AR10" s="5" t="s">
        <v>65</v>
      </c>
    </row>
    <row r="11" spans="1:44" x14ac:dyDescent="0.25">
      <c r="A11" s="9">
        <v>88</v>
      </c>
      <c r="B11" s="9" t="s">
        <v>145</v>
      </c>
      <c r="C11" s="46" t="s">
        <v>146</v>
      </c>
      <c r="D11" s="31" t="s">
        <v>138</v>
      </c>
      <c r="E11" s="9" t="s">
        <v>147</v>
      </c>
      <c r="F11" s="9" t="s">
        <v>80</v>
      </c>
      <c r="G11" s="9" t="s">
        <v>148</v>
      </c>
      <c r="H11" s="9" t="s">
        <v>82</v>
      </c>
      <c r="I11" s="9" t="s">
        <v>47</v>
      </c>
      <c r="J11" s="9" t="s">
        <v>149</v>
      </c>
      <c r="K11" s="9" t="s">
        <v>49</v>
      </c>
      <c r="L11" s="9" t="s">
        <v>50</v>
      </c>
      <c r="M11" s="9" t="s">
        <v>70</v>
      </c>
      <c r="N11" s="9" t="s">
        <v>150</v>
      </c>
      <c r="O11" s="9" t="s">
        <v>99</v>
      </c>
      <c r="P11" s="9" t="s">
        <v>50</v>
      </c>
      <c r="Q11" s="9" t="s">
        <v>70</v>
      </c>
      <c r="R11" s="9" t="s">
        <v>151</v>
      </c>
      <c r="S11" s="9" t="s">
        <v>53</v>
      </c>
      <c r="T11" s="9" t="s">
        <v>92</v>
      </c>
      <c r="U11" s="9" t="s">
        <v>55</v>
      </c>
      <c r="V11" s="9" t="s">
        <v>152</v>
      </c>
      <c r="W11" s="9" t="s">
        <v>74</v>
      </c>
      <c r="X11" s="9" t="s">
        <v>53</v>
      </c>
      <c r="Y11" s="9" t="s">
        <v>92</v>
      </c>
      <c r="Z11" s="9" t="s">
        <v>55</v>
      </c>
      <c r="AA11" s="9" t="s">
        <v>153</v>
      </c>
      <c r="AB11" s="9" t="s">
        <v>104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5" t="s">
        <v>65</v>
      </c>
      <c r="AP11" s="5" t="s">
        <v>65</v>
      </c>
      <c r="AQ11" s="5" t="s">
        <v>65</v>
      </c>
      <c r="AR11" s="5" t="s">
        <v>65</v>
      </c>
    </row>
    <row r="12" spans="1:44" x14ac:dyDescent="0.25">
      <c r="A12" s="9">
        <v>89</v>
      </c>
      <c r="B12" s="9" t="s">
        <v>154</v>
      </c>
      <c r="C12" s="46" t="s">
        <v>78</v>
      </c>
      <c r="D12" s="31" t="s">
        <v>138</v>
      </c>
      <c r="E12" s="9" t="s">
        <v>155</v>
      </c>
      <c r="F12" s="9" t="s">
        <v>120</v>
      </c>
      <c r="G12" s="9" t="s">
        <v>148</v>
      </c>
      <c r="H12" s="9" t="s">
        <v>82</v>
      </c>
      <c r="I12" s="9" t="s">
        <v>47</v>
      </c>
      <c r="J12" s="9" t="s">
        <v>149</v>
      </c>
      <c r="K12" s="9" t="s">
        <v>99</v>
      </c>
      <c r="L12" s="9" t="s">
        <v>50</v>
      </c>
      <c r="M12" s="9" t="s">
        <v>70</v>
      </c>
      <c r="N12" s="9" t="s">
        <v>156</v>
      </c>
      <c r="O12" s="9" t="s">
        <v>49</v>
      </c>
      <c r="P12" s="9" t="s">
        <v>50</v>
      </c>
      <c r="Q12" s="9" t="s">
        <v>70</v>
      </c>
      <c r="R12" s="9" t="s">
        <v>157</v>
      </c>
      <c r="S12" s="9" t="s">
        <v>53</v>
      </c>
      <c r="T12" s="9" t="s">
        <v>92</v>
      </c>
      <c r="U12" s="9" t="s">
        <v>55</v>
      </c>
      <c r="V12" s="9" t="s">
        <v>158</v>
      </c>
      <c r="W12" s="9" t="s">
        <v>74</v>
      </c>
      <c r="X12" s="9" t="s">
        <v>53</v>
      </c>
      <c r="Y12" s="9" t="s">
        <v>92</v>
      </c>
      <c r="Z12" s="9" t="s">
        <v>55</v>
      </c>
      <c r="AA12" s="9" t="s">
        <v>159</v>
      </c>
      <c r="AB12" s="9" t="s">
        <v>104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5" t="s">
        <v>65</v>
      </c>
      <c r="AP12" s="5" t="s">
        <v>65</v>
      </c>
      <c r="AQ12" s="5" t="s">
        <v>65</v>
      </c>
      <c r="AR12" s="5" t="s">
        <v>65</v>
      </c>
    </row>
    <row r="13" spans="1:44" x14ac:dyDescent="0.25">
      <c r="A13" s="9">
        <v>90</v>
      </c>
      <c r="B13" s="9" t="s">
        <v>160</v>
      </c>
      <c r="C13" s="46" t="s">
        <v>161</v>
      </c>
      <c r="D13" s="31" t="s">
        <v>138</v>
      </c>
      <c r="E13" s="9" t="s">
        <v>98</v>
      </c>
      <c r="F13" s="9" t="s">
        <v>129</v>
      </c>
      <c r="G13" s="9" t="s">
        <v>148</v>
      </c>
      <c r="H13" s="9" t="s">
        <v>82</v>
      </c>
      <c r="I13" s="9" t="s">
        <v>47</v>
      </c>
      <c r="J13" s="9" t="s">
        <v>149</v>
      </c>
      <c r="K13" s="9" t="s">
        <v>49</v>
      </c>
      <c r="L13" s="9" t="s">
        <v>50</v>
      </c>
      <c r="M13" s="9" t="s">
        <v>70</v>
      </c>
      <c r="N13" s="9" t="s">
        <v>162</v>
      </c>
      <c r="O13" s="9" t="s">
        <v>99</v>
      </c>
      <c r="P13" s="9" t="s">
        <v>50</v>
      </c>
      <c r="Q13" s="9" t="s">
        <v>70</v>
      </c>
      <c r="R13" s="9" t="s">
        <v>163</v>
      </c>
      <c r="S13" s="9" t="s">
        <v>164</v>
      </c>
      <c r="T13" s="9" t="s">
        <v>92</v>
      </c>
      <c r="U13" s="9" t="s">
        <v>55</v>
      </c>
      <c r="V13" s="9" t="s">
        <v>165</v>
      </c>
      <c r="W13" s="9" t="s">
        <v>74</v>
      </c>
      <c r="X13" s="9" t="s">
        <v>53</v>
      </c>
      <c r="Y13" s="9" t="s">
        <v>92</v>
      </c>
      <c r="Z13" s="9" t="s">
        <v>55</v>
      </c>
      <c r="AA13" s="9" t="s">
        <v>166</v>
      </c>
      <c r="AB13" s="9" t="s">
        <v>104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5" t="s">
        <v>65</v>
      </c>
      <c r="AP13" s="5" t="s">
        <v>65</v>
      </c>
      <c r="AQ13" s="5" t="s">
        <v>65</v>
      </c>
      <c r="AR13" s="5" t="s">
        <v>65</v>
      </c>
    </row>
    <row r="14" spans="1:44" x14ac:dyDescent="0.25">
      <c r="A14" s="9">
        <v>91</v>
      </c>
      <c r="B14" s="9" t="s">
        <v>167</v>
      </c>
      <c r="C14" s="46" t="s">
        <v>168</v>
      </c>
      <c r="D14" s="31" t="s">
        <v>138</v>
      </c>
      <c r="E14" s="9" t="s">
        <v>169</v>
      </c>
      <c r="F14" s="9" t="s">
        <v>120</v>
      </c>
      <c r="G14" s="9" t="s">
        <v>81</v>
      </c>
      <c r="H14" s="9" t="s">
        <v>46</v>
      </c>
      <c r="I14" s="9" t="s">
        <v>47</v>
      </c>
      <c r="J14" s="9" t="s">
        <v>83</v>
      </c>
      <c r="K14" s="9" t="s">
        <v>49</v>
      </c>
      <c r="L14" s="9" t="s">
        <v>50</v>
      </c>
      <c r="M14" s="9" t="s">
        <v>70</v>
      </c>
      <c r="N14" s="9" t="s">
        <v>170</v>
      </c>
      <c r="O14" s="9" t="s">
        <v>49</v>
      </c>
      <c r="P14" s="9" t="s">
        <v>50</v>
      </c>
      <c r="Q14" s="9" t="s">
        <v>70</v>
      </c>
      <c r="R14" s="9" t="s">
        <v>171</v>
      </c>
      <c r="S14" s="9" t="s">
        <v>53</v>
      </c>
      <c r="T14" s="9" t="s">
        <v>92</v>
      </c>
      <c r="U14" s="9" t="s">
        <v>55</v>
      </c>
      <c r="V14" s="9" t="s">
        <v>172</v>
      </c>
      <c r="W14" s="9" t="s">
        <v>74</v>
      </c>
      <c r="X14" s="9" t="s">
        <v>53</v>
      </c>
      <c r="Y14" s="9" t="s">
        <v>92</v>
      </c>
      <c r="Z14" s="9" t="s">
        <v>55</v>
      </c>
      <c r="AA14" s="9" t="s">
        <v>173</v>
      </c>
      <c r="AB14" s="9" t="s">
        <v>104</v>
      </c>
      <c r="AC14" s="9" t="s">
        <v>59</v>
      </c>
      <c r="AD14" s="9" t="s">
        <v>60</v>
      </c>
      <c r="AE14" s="9" t="s">
        <v>174</v>
      </c>
      <c r="AF14" s="9"/>
      <c r="AG14" s="9"/>
      <c r="AH14" s="9"/>
      <c r="AI14" s="9"/>
      <c r="AJ14" s="9"/>
      <c r="AK14" s="9"/>
      <c r="AL14" s="9"/>
      <c r="AM14" s="9"/>
      <c r="AN14" s="9"/>
      <c r="AO14" s="5" t="s">
        <v>65</v>
      </c>
      <c r="AP14" s="5" t="s">
        <v>65</v>
      </c>
      <c r="AQ14" s="5" t="s">
        <v>65</v>
      </c>
      <c r="AR14" s="5" t="s">
        <v>65</v>
      </c>
    </row>
    <row r="15" spans="1:44" x14ac:dyDescent="0.25">
      <c r="A15" s="9">
        <v>92</v>
      </c>
      <c r="B15" s="9" t="s">
        <v>175</v>
      </c>
      <c r="C15" s="46" t="s">
        <v>176</v>
      </c>
      <c r="D15" s="31" t="s">
        <v>138</v>
      </c>
      <c r="E15" s="9" t="s">
        <v>177</v>
      </c>
      <c r="F15" s="9" t="s">
        <v>178</v>
      </c>
      <c r="G15" s="9" t="s">
        <v>81</v>
      </c>
      <c r="H15" s="9" t="s">
        <v>82</v>
      </c>
      <c r="I15" s="9" t="s">
        <v>47</v>
      </c>
      <c r="J15" s="9" t="s">
        <v>83</v>
      </c>
      <c r="K15" s="9"/>
      <c r="L15" s="9"/>
      <c r="M15" s="9"/>
      <c r="N15" s="9"/>
      <c r="O15" s="9"/>
      <c r="P15" s="9"/>
      <c r="Q15" s="9"/>
      <c r="R15" s="9"/>
      <c r="S15" s="9" t="s">
        <v>81</v>
      </c>
      <c r="T15" s="9" t="s">
        <v>92</v>
      </c>
      <c r="U15" s="9" t="s">
        <v>55</v>
      </c>
      <c r="V15" s="9" t="s">
        <v>179</v>
      </c>
      <c r="W15" s="9" t="s">
        <v>57</v>
      </c>
      <c r="X15" s="9"/>
      <c r="Y15" s="9"/>
      <c r="Z15" s="9"/>
      <c r="AA15" s="9"/>
      <c r="AB15" s="9" t="s">
        <v>58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5" t="s">
        <v>65</v>
      </c>
      <c r="AP15" s="5" t="s">
        <v>65</v>
      </c>
      <c r="AQ15" s="5" t="s">
        <v>65</v>
      </c>
      <c r="AR15" s="5" t="s">
        <v>65</v>
      </c>
    </row>
    <row r="16" spans="1:44" x14ac:dyDescent="0.25">
      <c r="A16" s="9">
        <v>93</v>
      </c>
      <c r="B16" s="9" t="s">
        <v>180</v>
      </c>
      <c r="C16" s="46" t="s">
        <v>181</v>
      </c>
      <c r="D16" s="31" t="s">
        <v>138</v>
      </c>
      <c r="E16" s="9" t="s">
        <v>182</v>
      </c>
      <c r="F16" s="9" t="s">
        <v>80</v>
      </c>
      <c r="G16" s="9" t="s">
        <v>109</v>
      </c>
      <c r="H16" s="9" t="s">
        <v>82</v>
      </c>
      <c r="I16" s="9" t="s">
        <v>47</v>
      </c>
      <c r="J16" s="9" t="s">
        <v>183</v>
      </c>
      <c r="K16" s="9" t="s">
        <v>84</v>
      </c>
      <c r="L16" s="9" t="s">
        <v>50</v>
      </c>
      <c r="M16" s="9" t="s">
        <v>70</v>
      </c>
      <c r="N16" s="9" t="s">
        <v>184</v>
      </c>
      <c r="O16" s="9"/>
      <c r="P16" s="9"/>
      <c r="Q16" s="9"/>
      <c r="R16" s="9"/>
      <c r="S16" s="9" t="s">
        <v>109</v>
      </c>
      <c r="T16" s="9" t="s">
        <v>92</v>
      </c>
      <c r="U16" s="9"/>
      <c r="V16" s="9" t="s">
        <v>185</v>
      </c>
      <c r="W16" s="9" t="s">
        <v>57</v>
      </c>
      <c r="X16" s="9"/>
      <c r="Y16" s="9"/>
      <c r="Z16" s="9"/>
      <c r="AA16" s="9"/>
      <c r="AB16" s="9" t="s">
        <v>58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5" t="s">
        <v>65</v>
      </c>
      <c r="AP16" s="5" t="s">
        <v>65</v>
      </c>
      <c r="AQ16" s="5" t="s">
        <v>65</v>
      </c>
      <c r="AR16" s="5" t="s">
        <v>65</v>
      </c>
    </row>
    <row r="17" spans="1:44" x14ac:dyDescent="0.25">
      <c r="A17" s="9">
        <v>94</v>
      </c>
      <c r="B17" s="9" t="s">
        <v>186</v>
      </c>
      <c r="C17" s="46" t="s">
        <v>187</v>
      </c>
      <c r="D17" s="31" t="s">
        <v>188</v>
      </c>
      <c r="E17" s="9" t="s">
        <v>155</v>
      </c>
      <c r="F17" s="9" t="s">
        <v>129</v>
      </c>
      <c r="G17" s="9" t="s">
        <v>148</v>
      </c>
      <c r="H17" s="9" t="s">
        <v>46</v>
      </c>
      <c r="I17" s="9" t="s">
        <v>47</v>
      </c>
      <c r="J17" s="9" t="s">
        <v>189</v>
      </c>
      <c r="K17" s="9" t="s">
        <v>84</v>
      </c>
      <c r="L17" s="9" t="s">
        <v>50</v>
      </c>
      <c r="M17" s="9" t="s">
        <v>51</v>
      </c>
      <c r="N17" s="9" t="s">
        <v>190</v>
      </c>
      <c r="O17" s="9"/>
      <c r="P17" s="9"/>
      <c r="Q17" s="9"/>
      <c r="R17" s="9"/>
      <c r="S17" s="9" t="s">
        <v>191</v>
      </c>
      <c r="T17" s="9"/>
      <c r="U17" s="9" t="s">
        <v>86</v>
      </c>
      <c r="V17" s="9" t="s">
        <v>192</v>
      </c>
      <c r="W17" s="9" t="s">
        <v>57</v>
      </c>
      <c r="X17" s="9"/>
      <c r="Y17" s="9"/>
      <c r="Z17" s="9"/>
      <c r="AA17" s="9"/>
      <c r="AB17" s="9" t="s">
        <v>58</v>
      </c>
      <c r="AC17" s="9" t="s">
        <v>193</v>
      </c>
      <c r="AD17" s="9" t="s">
        <v>194</v>
      </c>
      <c r="AE17" s="9" t="s">
        <v>195</v>
      </c>
      <c r="AF17" s="9"/>
      <c r="AG17" s="9"/>
      <c r="AH17" s="9"/>
      <c r="AI17" s="9"/>
      <c r="AJ17" s="9"/>
      <c r="AK17" s="9"/>
      <c r="AL17" s="9"/>
      <c r="AM17" s="9"/>
      <c r="AN17" s="9"/>
      <c r="AO17" s="5" t="s">
        <v>65</v>
      </c>
      <c r="AP17" s="5" t="s">
        <v>65</v>
      </c>
      <c r="AQ17" s="5" t="s">
        <v>65</v>
      </c>
      <c r="AR17" s="5" t="s">
        <v>65</v>
      </c>
    </row>
    <row r="18" spans="1:44" x14ac:dyDescent="0.25">
      <c r="A18" s="9">
        <v>95</v>
      </c>
      <c r="B18" s="9" t="s">
        <v>196</v>
      </c>
      <c r="C18" s="46" t="s">
        <v>197</v>
      </c>
      <c r="D18" s="31" t="s">
        <v>188</v>
      </c>
      <c r="E18" s="9" t="s">
        <v>198</v>
      </c>
      <c r="F18" s="9" t="s">
        <v>108</v>
      </c>
      <c r="G18" s="9" t="s">
        <v>199</v>
      </c>
      <c r="H18" s="9" t="s">
        <v>46</v>
      </c>
      <c r="I18" s="9" t="s">
        <v>47</v>
      </c>
      <c r="J18" s="9" t="s">
        <v>200</v>
      </c>
      <c r="K18" s="9" t="s">
        <v>49</v>
      </c>
      <c r="L18" s="9" t="s">
        <v>50</v>
      </c>
      <c r="M18" s="9" t="s">
        <v>70</v>
      </c>
      <c r="N18" s="9" t="s">
        <v>201</v>
      </c>
      <c r="O18" s="9"/>
      <c r="P18" s="9"/>
      <c r="Q18" s="9"/>
      <c r="R18" s="9"/>
      <c r="S18" s="9" t="s">
        <v>49</v>
      </c>
      <c r="T18" s="9" t="s">
        <v>92</v>
      </c>
      <c r="U18" s="9" t="s">
        <v>55</v>
      </c>
      <c r="V18" s="9" t="s">
        <v>202</v>
      </c>
      <c r="W18" s="9" t="s">
        <v>57</v>
      </c>
      <c r="X18" s="9"/>
      <c r="Y18" s="9"/>
      <c r="Z18" s="9"/>
      <c r="AA18" s="9"/>
      <c r="AB18" s="9" t="s">
        <v>58</v>
      </c>
      <c r="AC18" s="9" t="s">
        <v>193</v>
      </c>
      <c r="AD18" s="9" t="s">
        <v>194</v>
      </c>
      <c r="AE18" s="9" t="s">
        <v>203</v>
      </c>
      <c r="AF18" s="9"/>
      <c r="AG18" s="9"/>
      <c r="AH18" s="9"/>
      <c r="AI18" s="9"/>
      <c r="AJ18" s="9"/>
      <c r="AK18" s="9"/>
      <c r="AL18" s="9"/>
      <c r="AM18" s="9"/>
      <c r="AN18" s="9"/>
      <c r="AO18" s="5" t="s">
        <v>65</v>
      </c>
      <c r="AP18" s="5" t="s">
        <v>65</v>
      </c>
      <c r="AQ18" s="5" t="s">
        <v>65</v>
      </c>
      <c r="AR18" s="5" t="s">
        <v>65</v>
      </c>
    </row>
    <row r="19" spans="1:44" x14ac:dyDescent="0.25">
      <c r="A19" s="9">
        <v>96</v>
      </c>
      <c r="B19" s="9" t="s">
        <v>204</v>
      </c>
      <c r="C19" s="46" t="s">
        <v>205</v>
      </c>
      <c r="D19" s="31" t="s">
        <v>188</v>
      </c>
      <c r="E19" s="9" t="s">
        <v>169</v>
      </c>
      <c r="F19" s="9" t="s">
        <v>206</v>
      </c>
      <c r="G19" s="9" t="s">
        <v>109</v>
      </c>
      <c r="H19" s="9" t="s">
        <v>82</v>
      </c>
      <c r="I19" s="9" t="s">
        <v>47</v>
      </c>
      <c r="J19" s="6" t="s">
        <v>207</v>
      </c>
      <c r="K19" s="9" t="s">
        <v>99</v>
      </c>
      <c r="L19" s="9" t="s">
        <v>50</v>
      </c>
      <c r="M19" s="9" t="s">
        <v>70</v>
      </c>
      <c r="N19" s="9" t="s">
        <v>208</v>
      </c>
      <c r="O19" s="9" t="s">
        <v>99</v>
      </c>
      <c r="P19" s="9" t="s">
        <v>50</v>
      </c>
      <c r="Q19" s="9" t="s">
        <v>70</v>
      </c>
      <c r="R19" s="9" t="s">
        <v>209</v>
      </c>
      <c r="S19" s="9" t="s">
        <v>53</v>
      </c>
      <c r="T19" s="9" t="s">
        <v>92</v>
      </c>
      <c r="U19" s="9" t="s">
        <v>55</v>
      </c>
      <c r="V19" s="9" t="s">
        <v>210</v>
      </c>
      <c r="W19" s="9" t="s">
        <v>74</v>
      </c>
      <c r="X19" s="9" t="s">
        <v>53</v>
      </c>
      <c r="Y19" s="9" t="s">
        <v>92</v>
      </c>
      <c r="Z19" s="9" t="s">
        <v>55</v>
      </c>
      <c r="AA19" s="9" t="s">
        <v>211</v>
      </c>
      <c r="AB19" s="9" t="s">
        <v>58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5" t="s">
        <v>65</v>
      </c>
      <c r="AP19" s="5" t="s">
        <v>65</v>
      </c>
      <c r="AQ19" s="5" t="s">
        <v>65</v>
      </c>
      <c r="AR19" s="5" t="s">
        <v>65</v>
      </c>
    </row>
    <row r="20" spans="1:44" x14ac:dyDescent="0.25">
      <c r="A20" s="9">
        <v>97</v>
      </c>
      <c r="B20" s="9" t="s">
        <v>212</v>
      </c>
      <c r="C20" s="46" t="s">
        <v>213</v>
      </c>
      <c r="D20" s="31" t="s">
        <v>188</v>
      </c>
      <c r="E20" s="9" t="s">
        <v>182</v>
      </c>
      <c r="F20" s="9" t="s">
        <v>91</v>
      </c>
      <c r="G20" s="9" t="s">
        <v>148</v>
      </c>
      <c r="H20" s="9" t="s">
        <v>82</v>
      </c>
      <c r="I20" s="9" t="s">
        <v>47</v>
      </c>
      <c r="J20" s="6" t="s">
        <v>149</v>
      </c>
      <c r="K20" s="9" t="s">
        <v>84</v>
      </c>
      <c r="L20" s="9" t="s">
        <v>50</v>
      </c>
      <c r="M20" s="9" t="s">
        <v>70</v>
      </c>
      <c r="N20" s="9" t="s">
        <v>214</v>
      </c>
      <c r="O20" s="9" t="s">
        <v>99</v>
      </c>
      <c r="P20" s="9" t="s">
        <v>50</v>
      </c>
      <c r="Q20" s="9" t="s">
        <v>70</v>
      </c>
      <c r="R20" s="9" t="s">
        <v>215</v>
      </c>
      <c r="S20" s="9" t="s">
        <v>53</v>
      </c>
      <c r="T20" s="9" t="s">
        <v>92</v>
      </c>
      <c r="U20" s="9" t="s">
        <v>55</v>
      </c>
      <c r="V20" s="9" t="s">
        <v>216</v>
      </c>
      <c r="W20" s="9" t="s">
        <v>74</v>
      </c>
      <c r="X20" s="9" t="s">
        <v>113</v>
      </c>
      <c r="Y20" s="9" t="s">
        <v>92</v>
      </c>
      <c r="Z20" s="9" t="s">
        <v>55</v>
      </c>
      <c r="AA20" s="9" t="s">
        <v>217</v>
      </c>
      <c r="AB20" s="9" t="s">
        <v>104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5" t="s">
        <v>65</v>
      </c>
      <c r="AP20" s="5" t="s">
        <v>65</v>
      </c>
      <c r="AQ20" s="5" t="s">
        <v>65</v>
      </c>
      <c r="AR20" s="5" t="s">
        <v>65</v>
      </c>
    </row>
    <row r="21" spans="1:44" x14ac:dyDescent="0.25">
      <c r="A21" s="9">
        <v>98</v>
      </c>
      <c r="B21" s="9" t="s">
        <v>218</v>
      </c>
      <c r="C21" s="46" t="s">
        <v>219</v>
      </c>
      <c r="D21" s="31" t="s">
        <v>188</v>
      </c>
      <c r="E21" s="9" t="s">
        <v>139</v>
      </c>
      <c r="F21" s="9" t="s">
        <v>91</v>
      </c>
      <c r="G21" s="9" t="s">
        <v>109</v>
      </c>
      <c r="H21" s="9" t="s">
        <v>46</v>
      </c>
      <c r="I21" s="9" t="s">
        <v>47</v>
      </c>
      <c r="J21" s="6" t="s">
        <v>220</v>
      </c>
      <c r="K21" s="9" t="s">
        <v>84</v>
      </c>
      <c r="L21" s="9" t="s">
        <v>50</v>
      </c>
      <c r="M21" s="9" t="s">
        <v>70</v>
      </c>
      <c r="N21" s="9" t="s">
        <v>221</v>
      </c>
      <c r="O21" s="9"/>
      <c r="P21" s="9"/>
      <c r="Q21" s="9"/>
      <c r="R21" s="9"/>
      <c r="S21" s="9" t="s">
        <v>109</v>
      </c>
      <c r="T21" s="9" t="s">
        <v>92</v>
      </c>
      <c r="U21" s="9" t="s">
        <v>55</v>
      </c>
      <c r="V21" s="9" t="s">
        <v>222</v>
      </c>
      <c r="W21" s="9" t="s">
        <v>57</v>
      </c>
      <c r="X21" s="9"/>
      <c r="Y21" s="9"/>
      <c r="Z21" s="9"/>
      <c r="AA21" s="9"/>
      <c r="AB21" s="9" t="s">
        <v>58</v>
      </c>
      <c r="AC21" s="9" t="s">
        <v>193</v>
      </c>
      <c r="AD21" s="9" t="s">
        <v>194</v>
      </c>
      <c r="AE21" s="9" t="s">
        <v>223</v>
      </c>
      <c r="AF21" s="9"/>
      <c r="AG21" s="9"/>
      <c r="AH21" s="9"/>
      <c r="AI21" s="9"/>
      <c r="AJ21" s="9"/>
      <c r="AK21" s="9"/>
      <c r="AL21" s="9"/>
      <c r="AM21" s="9"/>
      <c r="AN21" s="9"/>
      <c r="AO21" s="5" t="s">
        <v>65</v>
      </c>
      <c r="AP21" s="5" t="s">
        <v>65</v>
      </c>
      <c r="AQ21" s="5" t="s">
        <v>65</v>
      </c>
      <c r="AR21" s="5" t="s">
        <v>65</v>
      </c>
    </row>
    <row r="22" spans="1:44" x14ac:dyDescent="0.25">
      <c r="A22" s="9">
        <v>99</v>
      </c>
      <c r="B22" s="9" t="s">
        <v>224</v>
      </c>
      <c r="C22" s="46" t="s">
        <v>225</v>
      </c>
      <c r="D22" s="9" t="s">
        <v>188</v>
      </c>
      <c r="E22" s="9" t="s">
        <v>177</v>
      </c>
      <c r="F22" s="9" t="s">
        <v>206</v>
      </c>
      <c r="G22" s="9" t="s">
        <v>81</v>
      </c>
      <c r="H22" s="9" t="s">
        <v>46</v>
      </c>
      <c r="I22" s="9" t="s">
        <v>47</v>
      </c>
      <c r="J22" s="6" t="s">
        <v>83</v>
      </c>
      <c r="K22" s="9" t="s">
        <v>99</v>
      </c>
      <c r="L22" s="9" t="s">
        <v>50</v>
      </c>
      <c r="M22" s="9" t="s">
        <v>70</v>
      </c>
      <c r="N22" s="9" t="s">
        <v>226</v>
      </c>
      <c r="O22" s="9" t="s">
        <v>99</v>
      </c>
      <c r="P22" s="9" t="s">
        <v>50</v>
      </c>
      <c r="Q22" s="9" t="s">
        <v>70</v>
      </c>
      <c r="R22" s="9" t="s">
        <v>227</v>
      </c>
      <c r="S22" s="9" t="s">
        <v>53</v>
      </c>
      <c r="T22" s="45" t="s">
        <v>92</v>
      </c>
      <c r="U22" s="46" t="s">
        <v>55</v>
      </c>
      <c r="V22" s="9" t="s">
        <v>228</v>
      </c>
      <c r="W22" s="9" t="s">
        <v>74</v>
      </c>
      <c r="X22" s="9" t="s">
        <v>53</v>
      </c>
      <c r="Y22" s="9" t="s">
        <v>92</v>
      </c>
      <c r="Z22" s="9" t="s">
        <v>55</v>
      </c>
      <c r="AA22" s="9" t="s">
        <v>229</v>
      </c>
      <c r="AB22" s="9" t="s">
        <v>104</v>
      </c>
      <c r="AC22" s="9" t="s">
        <v>59</v>
      </c>
      <c r="AD22" s="9" t="s">
        <v>60</v>
      </c>
      <c r="AE22" s="9" t="s">
        <v>230</v>
      </c>
      <c r="AF22" s="9"/>
      <c r="AG22" s="9"/>
      <c r="AH22" s="9"/>
      <c r="AI22" s="9"/>
      <c r="AJ22" s="9"/>
      <c r="AK22" s="9"/>
      <c r="AL22" s="9"/>
      <c r="AM22" s="9"/>
      <c r="AN22" s="9"/>
      <c r="AO22" s="5" t="s">
        <v>65</v>
      </c>
      <c r="AP22" s="5" t="s">
        <v>65</v>
      </c>
      <c r="AQ22" s="5" t="s">
        <v>65</v>
      </c>
      <c r="AR22" s="5" t="s">
        <v>65</v>
      </c>
    </row>
    <row r="23" spans="1:44" x14ac:dyDescent="0.25">
      <c r="A23" s="9">
        <v>100</v>
      </c>
      <c r="B23" s="9" t="s">
        <v>231</v>
      </c>
      <c r="C23" s="46" t="s">
        <v>232</v>
      </c>
      <c r="D23" s="9" t="s">
        <v>188</v>
      </c>
      <c r="E23" s="9" t="s">
        <v>169</v>
      </c>
      <c r="F23" s="9" t="s">
        <v>80</v>
      </c>
      <c r="G23" s="9" t="s">
        <v>81</v>
      </c>
      <c r="H23" s="9" t="s">
        <v>46</v>
      </c>
      <c r="I23" s="9" t="s">
        <v>47</v>
      </c>
      <c r="J23" s="6" t="s">
        <v>83</v>
      </c>
      <c r="K23" s="9" t="s">
        <v>49</v>
      </c>
      <c r="L23" s="9" t="s">
        <v>50</v>
      </c>
      <c r="M23" s="9" t="s">
        <v>70</v>
      </c>
      <c r="N23" s="9" t="s">
        <v>233</v>
      </c>
      <c r="O23" s="9" t="s">
        <v>99</v>
      </c>
      <c r="P23" s="9" t="s">
        <v>50</v>
      </c>
      <c r="Q23" s="9" t="s">
        <v>70</v>
      </c>
      <c r="R23" s="9" t="s">
        <v>234</v>
      </c>
      <c r="S23" s="9" t="s">
        <v>53</v>
      </c>
      <c r="T23" s="9" t="s">
        <v>92</v>
      </c>
      <c r="U23" s="9" t="s">
        <v>55</v>
      </c>
      <c r="V23" s="9" t="s">
        <v>235</v>
      </c>
      <c r="W23" s="9" t="s">
        <v>74</v>
      </c>
      <c r="X23" s="9" t="s">
        <v>53</v>
      </c>
      <c r="Y23" s="9" t="s">
        <v>92</v>
      </c>
      <c r="Z23" s="9" t="s">
        <v>55</v>
      </c>
      <c r="AA23" s="9" t="s">
        <v>236</v>
      </c>
      <c r="AB23" s="9" t="s">
        <v>104</v>
      </c>
      <c r="AC23" s="9" t="s">
        <v>193</v>
      </c>
      <c r="AD23" s="9" t="s">
        <v>60</v>
      </c>
      <c r="AE23" s="9" t="s">
        <v>237</v>
      </c>
      <c r="AF23" s="9"/>
      <c r="AG23" s="9"/>
      <c r="AH23" s="9"/>
      <c r="AI23" s="9"/>
      <c r="AJ23" s="9"/>
      <c r="AK23" s="9"/>
      <c r="AL23" s="9"/>
      <c r="AM23" s="9"/>
      <c r="AN23" s="9"/>
      <c r="AO23" s="5" t="s">
        <v>65</v>
      </c>
      <c r="AP23" s="5" t="s">
        <v>65</v>
      </c>
      <c r="AQ23" s="5" t="s">
        <v>65</v>
      </c>
      <c r="AR23" s="5" t="s">
        <v>65</v>
      </c>
    </row>
    <row r="24" spans="1:44" x14ac:dyDescent="0.25">
      <c r="A24" s="9">
        <v>101</v>
      </c>
      <c r="B24" s="9" t="s">
        <v>238</v>
      </c>
      <c r="C24" s="45"/>
      <c r="D24" s="9" t="s">
        <v>239</v>
      </c>
      <c r="E24" s="9" t="s">
        <v>169</v>
      </c>
      <c r="F24" s="9" t="s">
        <v>120</v>
      </c>
      <c r="G24" s="9" t="s">
        <v>240</v>
      </c>
      <c r="H24" s="9" t="s">
        <v>82</v>
      </c>
      <c r="I24" s="9" t="s">
        <v>47</v>
      </c>
      <c r="J24" s="6" t="s">
        <v>241</v>
      </c>
      <c r="K24" s="9" t="s">
        <v>99</v>
      </c>
      <c r="L24" s="9" t="s">
        <v>50</v>
      </c>
      <c r="M24" s="9" t="s">
        <v>70</v>
      </c>
      <c r="N24" s="9" t="s">
        <v>242</v>
      </c>
      <c r="O24" s="9"/>
      <c r="P24" s="9"/>
      <c r="Q24" s="9"/>
      <c r="R24" s="9"/>
      <c r="S24" s="9"/>
      <c r="T24" s="9"/>
      <c r="U24" s="9"/>
      <c r="V24" s="9"/>
      <c r="W24" s="9" t="s">
        <v>57</v>
      </c>
      <c r="X24" s="9"/>
      <c r="Y24" s="9"/>
      <c r="Z24" s="9"/>
      <c r="AA24" s="9"/>
      <c r="AB24" s="9" t="s">
        <v>58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5" t="s">
        <v>243</v>
      </c>
      <c r="AP24" s="5" t="s">
        <v>65</v>
      </c>
      <c r="AQ24" s="5" t="s">
        <v>65</v>
      </c>
      <c r="AR24" s="5" t="s">
        <v>65</v>
      </c>
    </row>
    <row r="25" spans="1:44" x14ac:dyDescent="0.25">
      <c r="A25" s="9">
        <v>102</v>
      </c>
      <c r="B25" s="9" t="s">
        <v>244</v>
      </c>
      <c r="C25" s="46" t="s">
        <v>245</v>
      </c>
      <c r="D25" s="9" t="s">
        <v>239</v>
      </c>
      <c r="E25" s="9" t="s">
        <v>177</v>
      </c>
      <c r="F25" s="9" t="s">
        <v>108</v>
      </c>
      <c r="G25" s="9" t="s">
        <v>109</v>
      </c>
      <c r="H25" s="9" t="s">
        <v>46</v>
      </c>
      <c r="I25" s="9" t="s">
        <v>47</v>
      </c>
      <c r="J25" s="6" t="s">
        <v>220</v>
      </c>
      <c r="K25" s="9" t="s">
        <v>84</v>
      </c>
      <c r="L25" s="9" t="s">
        <v>50</v>
      </c>
      <c r="M25" s="9" t="s">
        <v>70</v>
      </c>
      <c r="N25" s="9" t="s">
        <v>246</v>
      </c>
      <c r="O25" s="9"/>
      <c r="P25" s="9"/>
      <c r="Q25" s="9"/>
      <c r="R25" s="9"/>
      <c r="S25" s="9" t="s">
        <v>109</v>
      </c>
      <c r="T25" s="9" t="s">
        <v>92</v>
      </c>
      <c r="U25" s="9" t="s">
        <v>55</v>
      </c>
      <c r="V25" s="9" t="s">
        <v>247</v>
      </c>
      <c r="W25" s="9" t="s">
        <v>57</v>
      </c>
      <c r="X25" s="9"/>
      <c r="Y25" s="9"/>
      <c r="Z25" s="9"/>
      <c r="AA25" s="9"/>
      <c r="AB25" s="9" t="s">
        <v>58</v>
      </c>
      <c r="AC25" s="9" t="s">
        <v>59</v>
      </c>
      <c r="AD25" s="9" t="s">
        <v>248</v>
      </c>
      <c r="AE25" s="9" t="s">
        <v>249</v>
      </c>
      <c r="AF25" s="9"/>
      <c r="AG25" s="9"/>
      <c r="AH25" s="9"/>
      <c r="AI25" s="9"/>
      <c r="AJ25" s="9"/>
      <c r="AK25" s="9"/>
      <c r="AL25" s="9"/>
      <c r="AM25" s="9"/>
      <c r="AN25" s="9"/>
      <c r="AO25" s="5" t="s">
        <v>243</v>
      </c>
      <c r="AP25" s="5" t="s">
        <v>65</v>
      </c>
      <c r="AQ25" s="5" t="s">
        <v>65</v>
      </c>
      <c r="AR25" s="5" t="s">
        <v>65</v>
      </c>
    </row>
    <row r="26" spans="1:44" x14ac:dyDescent="0.25">
      <c r="A26" s="9">
        <v>103</v>
      </c>
      <c r="B26" s="9" t="s">
        <v>250</v>
      </c>
      <c r="C26" s="46" t="s">
        <v>251</v>
      </c>
      <c r="D26" s="9" t="s">
        <v>239</v>
      </c>
      <c r="E26" s="9" t="s">
        <v>252</v>
      </c>
      <c r="F26" s="9" t="s">
        <v>178</v>
      </c>
      <c r="G26" s="9" t="s">
        <v>199</v>
      </c>
      <c r="H26" s="9" t="s">
        <v>46</v>
      </c>
      <c r="I26" s="9" t="s">
        <v>47</v>
      </c>
      <c r="J26" s="6" t="s">
        <v>200</v>
      </c>
      <c r="K26" s="9" t="s">
        <v>49</v>
      </c>
      <c r="L26" s="9" t="s">
        <v>50</v>
      </c>
      <c r="M26" s="9" t="s">
        <v>70</v>
      </c>
      <c r="N26" s="9" t="s">
        <v>253</v>
      </c>
      <c r="O26" s="9"/>
      <c r="P26" s="9"/>
      <c r="Q26" s="9"/>
      <c r="R26" s="9"/>
      <c r="S26" s="9" t="s">
        <v>49</v>
      </c>
      <c r="T26" s="9" t="s">
        <v>92</v>
      </c>
      <c r="U26" s="9" t="s">
        <v>55</v>
      </c>
      <c r="V26" s="9" t="s">
        <v>254</v>
      </c>
      <c r="W26" s="9" t="s">
        <v>57</v>
      </c>
      <c r="X26" s="9"/>
      <c r="Y26" s="9"/>
      <c r="Z26" s="9"/>
      <c r="AA26" s="9"/>
      <c r="AB26" s="9" t="s">
        <v>58</v>
      </c>
      <c r="AC26" s="9" t="s">
        <v>255</v>
      </c>
      <c r="AD26" s="9" t="s">
        <v>248</v>
      </c>
      <c r="AE26" s="9" t="s">
        <v>256</v>
      </c>
      <c r="AF26" s="9"/>
      <c r="AG26" s="9"/>
      <c r="AH26" s="9"/>
      <c r="AI26" s="9"/>
      <c r="AJ26" s="9"/>
      <c r="AK26" s="9"/>
      <c r="AL26" s="9"/>
      <c r="AM26" s="9"/>
      <c r="AN26" s="9"/>
      <c r="AO26" s="5" t="s">
        <v>243</v>
      </c>
      <c r="AP26" s="5" t="s">
        <v>65</v>
      </c>
      <c r="AQ26" s="5" t="s">
        <v>65</v>
      </c>
      <c r="AR26" s="5" t="s">
        <v>65</v>
      </c>
    </row>
    <row r="27" spans="1:44" x14ac:dyDescent="0.25">
      <c r="A27" s="9">
        <v>104</v>
      </c>
      <c r="B27" s="9" t="s">
        <v>257</v>
      </c>
      <c r="C27" s="46" t="s">
        <v>213</v>
      </c>
      <c r="D27" s="9" t="s">
        <v>239</v>
      </c>
      <c r="E27" s="9" t="s">
        <v>258</v>
      </c>
      <c r="F27" s="9" t="s">
        <v>178</v>
      </c>
      <c r="G27" s="9" t="s">
        <v>199</v>
      </c>
      <c r="H27" s="9" t="s">
        <v>82</v>
      </c>
      <c r="I27" s="9" t="s">
        <v>47</v>
      </c>
      <c r="J27" s="6" t="s">
        <v>200</v>
      </c>
      <c r="K27" s="9" t="s">
        <v>99</v>
      </c>
      <c r="L27" s="9" t="s">
        <v>50</v>
      </c>
      <c r="M27" s="9" t="s">
        <v>259</v>
      </c>
      <c r="N27" s="9" t="s">
        <v>260</v>
      </c>
      <c r="O27" s="9"/>
      <c r="P27" s="9"/>
      <c r="Q27" s="9"/>
      <c r="R27" s="9"/>
      <c r="S27" s="9" t="s">
        <v>53</v>
      </c>
      <c r="T27" s="9" t="s">
        <v>92</v>
      </c>
      <c r="U27" s="9" t="s">
        <v>55</v>
      </c>
      <c r="V27" s="9" t="s">
        <v>261</v>
      </c>
      <c r="W27" s="9" t="s">
        <v>74</v>
      </c>
      <c r="X27" s="9"/>
      <c r="Y27" s="9"/>
      <c r="Z27" s="9"/>
      <c r="AA27" s="9"/>
      <c r="AB27" s="9" t="s">
        <v>58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5" t="s">
        <v>243</v>
      </c>
      <c r="AP27" s="5" t="s">
        <v>65</v>
      </c>
      <c r="AQ27" s="5" t="s">
        <v>65</v>
      </c>
      <c r="AR27" s="5" t="s">
        <v>65</v>
      </c>
    </row>
    <row r="28" spans="1:44" x14ac:dyDescent="0.25">
      <c r="A28" s="9">
        <v>105</v>
      </c>
      <c r="B28" s="9" t="s">
        <v>262</v>
      </c>
      <c r="C28" s="46" t="s">
        <v>263</v>
      </c>
      <c r="D28" s="9" t="s">
        <v>239</v>
      </c>
      <c r="E28" s="9" t="s">
        <v>264</v>
      </c>
      <c r="F28" s="9" t="s">
        <v>178</v>
      </c>
      <c r="G28" s="9" t="s">
        <v>265</v>
      </c>
      <c r="H28" s="9" t="s">
        <v>82</v>
      </c>
      <c r="I28" s="9" t="s">
        <v>47</v>
      </c>
      <c r="J28" s="6" t="s">
        <v>266</v>
      </c>
      <c r="K28" s="9" t="s">
        <v>99</v>
      </c>
      <c r="L28" s="9" t="s">
        <v>50</v>
      </c>
      <c r="M28" s="9" t="s">
        <v>259</v>
      </c>
      <c r="N28" s="9" t="s">
        <v>267</v>
      </c>
      <c r="O28" s="9" t="s">
        <v>99</v>
      </c>
      <c r="P28" s="9" t="s">
        <v>50</v>
      </c>
      <c r="Q28" s="9" t="s">
        <v>70</v>
      </c>
      <c r="R28" s="9" t="s">
        <v>268</v>
      </c>
      <c r="S28" s="9" t="s">
        <v>53</v>
      </c>
      <c r="T28" s="9" t="s">
        <v>92</v>
      </c>
      <c r="U28" s="9" t="s">
        <v>55</v>
      </c>
      <c r="V28" s="9" t="s">
        <v>269</v>
      </c>
      <c r="W28" s="9" t="s">
        <v>74</v>
      </c>
      <c r="X28" s="9" t="s">
        <v>53</v>
      </c>
      <c r="Y28" s="9" t="s">
        <v>54</v>
      </c>
      <c r="Z28" s="9" t="s">
        <v>55</v>
      </c>
      <c r="AA28" s="9" t="s">
        <v>270</v>
      </c>
      <c r="AB28" s="9" t="s">
        <v>58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5" t="s">
        <v>243</v>
      </c>
      <c r="AP28" s="5" t="s">
        <v>65</v>
      </c>
      <c r="AQ28" s="5" t="s">
        <v>65</v>
      </c>
      <c r="AR28" s="5" t="s">
        <v>65</v>
      </c>
    </row>
    <row r="29" spans="1:44" x14ac:dyDescent="0.25">
      <c r="A29" s="9">
        <v>106</v>
      </c>
      <c r="B29" s="9" t="s">
        <v>271</v>
      </c>
      <c r="C29" s="9" t="s">
        <v>181</v>
      </c>
      <c r="D29" s="9" t="s">
        <v>239</v>
      </c>
      <c r="E29" s="9" t="s">
        <v>139</v>
      </c>
      <c r="F29" s="9" t="s">
        <v>108</v>
      </c>
      <c r="G29" s="9" t="s">
        <v>265</v>
      </c>
      <c r="H29" s="9" t="s">
        <v>82</v>
      </c>
      <c r="I29" s="9" t="s">
        <v>47</v>
      </c>
      <c r="J29" s="9" t="s">
        <v>266</v>
      </c>
      <c r="K29" s="9" t="s">
        <v>99</v>
      </c>
      <c r="L29" s="9" t="s">
        <v>50</v>
      </c>
      <c r="M29" s="9" t="s">
        <v>70</v>
      </c>
      <c r="N29" s="9" t="s">
        <v>272</v>
      </c>
      <c r="O29" s="9" t="s">
        <v>99</v>
      </c>
      <c r="P29" s="9" t="s">
        <v>50</v>
      </c>
      <c r="Q29" s="9" t="s">
        <v>70</v>
      </c>
      <c r="R29" s="9" t="s">
        <v>273</v>
      </c>
      <c r="S29" s="9" t="s">
        <v>53</v>
      </c>
      <c r="T29" s="9" t="s">
        <v>54</v>
      </c>
      <c r="U29" s="9" t="s">
        <v>55</v>
      </c>
      <c r="V29" s="9" t="s">
        <v>274</v>
      </c>
      <c r="W29" s="9" t="s">
        <v>57</v>
      </c>
      <c r="X29" s="9"/>
      <c r="Y29" s="9" t="s">
        <v>54</v>
      </c>
      <c r="Z29" s="9"/>
      <c r="AA29" s="9"/>
      <c r="AB29" s="9" t="s">
        <v>104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5" t="s">
        <v>243</v>
      </c>
      <c r="AP29" s="5" t="s">
        <v>65</v>
      </c>
      <c r="AQ29" s="5" t="s">
        <v>65</v>
      </c>
      <c r="AR29" s="5" t="s">
        <v>65</v>
      </c>
    </row>
    <row r="30" spans="1:44" x14ac:dyDescent="0.25">
      <c r="A30" s="9">
        <v>107</v>
      </c>
      <c r="B30" s="9" t="s">
        <v>275</v>
      </c>
      <c r="C30" s="9" t="s">
        <v>127</v>
      </c>
      <c r="D30" s="9" t="s">
        <v>239</v>
      </c>
      <c r="E30" s="9" t="s">
        <v>276</v>
      </c>
      <c r="F30" s="9" t="s">
        <v>80</v>
      </c>
      <c r="G30" s="9" t="s">
        <v>81</v>
      </c>
      <c r="H30" s="9" t="s">
        <v>46</v>
      </c>
      <c r="I30" s="9" t="s">
        <v>47</v>
      </c>
      <c r="J30" s="9" t="s">
        <v>83</v>
      </c>
      <c r="K30" s="9"/>
      <c r="L30" s="9"/>
      <c r="M30" s="9"/>
      <c r="N30" s="9"/>
      <c r="O30" s="9" t="s">
        <v>99</v>
      </c>
      <c r="P30" s="9" t="s">
        <v>50</v>
      </c>
      <c r="Q30" s="9" t="s">
        <v>70</v>
      </c>
      <c r="R30" s="9" t="s">
        <v>277</v>
      </c>
      <c r="S30" s="9"/>
      <c r="T30" s="9"/>
      <c r="U30" s="9"/>
      <c r="V30" s="9"/>
      <c r="W30" s="9" t="s">
        <v>57</v>
      </c>
      <c r="X30" s="9" t="s">
        <v>53</v>
      </c>
      <c r="Y30" s="9" t="s">
        <v>54</v>
      </c>
      <c r="Z30" s="9" t="s">
        <v>55</v>
      </c>
      <c r="AA30" s="9" t="s">
        <v>278</v>
      </c>
      <c r="AB30" s="9" t="s">
        <v>58</v>
      </c>
      <c r="AC30" s="9" t="s">
        <v>62</v>
      </c>
      <c r="AD30" s="9" t="s">
        <v>279</v>
      </c>
      <c r="AE30" s="9" t="s">
        <v>280</v>
      </c>
      <c r="AF30" s="9" t="s">
        <v>59</v>
      </c>
      <c r="AG30" s="9" t="s">
        <v>60</v>
      </c>
      <c r="AH30" s="9" t="s">
        <v>281</v>
      </c>
      <c r="AI30" s="9"/>
      <c r="AJ30" s="9"/>
      <c r="AK30" s="9"/>
      <c r="AL30" s="9"/>
      <c r="AM30" s="9"/>
      <c r="AN30" s="9"/>
      <c r="AO30" s="5" t="s">
        <v>243</v>
      </c>
      <c r="AP30" s="5" t="s">
        <v>65</v>
      </c>
      <c r="AQ30" s="5" t="s">
        <v>65</v>
      </c>
      <c r="AR30" s="5" t="s">
        <v>65</v>
      </c>
    </row>
    <row r="31" spans="1:44" x14ac:dyDescent="0.25">
      <c r="A31" s="9">
        <v>108</v>
      </c>
      <c r="B31" s="9" t="s">
        <v>282</v>
      </c>
      <c r="C31" s="9" t="s">
        <v>283</v>
      </c>
      <c r="D31" s="9" t="s">
        <v>284</v>
      </c>
      <c r="E31" s="9" t="s">
        <v>182</v>
      </c>
      <c r="F31" s="9" t="s">
        <v>178</v>
      </c>
      <c r="G31" s="9" t="s">
        <v>81</v>
      </c>
      <c r="H31" s="9" t="s">
        <v>46</v>
      </c>
      <c r="I31" s="9" t="s">
        <v>47</v>
      </c>
      <c r="J31" s="9" t="s">
        <v>83</v>
      </c>
      <c r="K31" s="9" t="s">
        <v>49</v>
      </c>
      <c r="L31" s="9" t="s">
        <v>50</v>
      </c>
      <c r="M31" s="9" t="s">
        <v>70</v>
      </c>
      <c r="N31" s="9" t="s">
        <v>285</v>
      </c>
      <c r="O31" s="9"/>
      <c r="P31" s="9"/>
      <c r="Q31" s="9"/>
      <c r="R31" s="9"/>
      <c r="S31" s="9"/>
      <c r="T31" s="9"/>
      <c r="U31" s="9"/>
      <c r="V31" s="9"/>
      <c r="W31" s="9" t="s">
        <v>57</v>
      </c>
      <c r="X31" s="9"/>
      <c r="Y31" s="9"/>
      <c r="Z31" s="9"/>
      <c r="AA31" s="9"/>
      <c r="AB31" s="9" t="s">
        <v>58</v>
      </c>
      <c r="AC31" s="9" t="s">
        <v>62</v>
      </c>
      <c r="AD31" s="9" t="s">
        <v>279</v>
      </c>
      <c r="AE31" s="9" t="s">
        <v>286</v>
      </c>
      <c r="AF31" s="9"/>
      <c r="AG31" s="9"/>
      <c r="AH31" s="9"/>
      <c r="AI31" s="9"/>
      <c r="AJ31" s="9"/>
      <c r="AK31" s="9"/>
      <c r="AL31" s="9"/>
      <c r="AM31" s="9"/>
      <c r="AN31" s="9"/>
      <c r="AO31" s="5" t="s">
        <v>65</v>
      </c>
      <c r="AP31" s="5" t="s">
        <v>65</v>
      </c>
      <c r="AQ31" s="5" t="s">
        <v>65</v>
      </c>
      <c r="AR31" s="5" t="s">
        <v>65</v>
      </c>
    </row>
    <row r="32" spans="1:44" x14ac:dyDescent="0.25">
      <c r="A32" s="9">
        <v>109</v>
      </c>
      <c r="B32" s="9" t="s">
        <v>287</v>
      </c>
      <c r="C32" s="9" t="s">
        <v>288</v>
      </c>
      <c r="D32" s="9" t="s">
        <v>284</v>
      </c>
      <c r="E32" s="9" t="s">
        <v>289</v>
      </c>
      <c r="F32" s="9" t="s">
        <v>69</v>
      </c>
      <c r="G32" s="9" t="s">
        <v>81</v>
      </c>
      <c r="H32" s="9" t="s">
        <v>46</v>
      </c>
      <c r="I32" s="9" t="s">
        <v>47</v>
      </c>
      <c r="J32" s="9" t="s">
        <v>83</v>
      </c>
      <c r="K32" s="9" t="s">
        <v>99</v>
      </c>
      <c r="L32" s="9" t="s">
        <v>50</v>
      </c>
      <c r="M32" s="9" t="s">
        <v>70</v>
      </c>
      <c r="N32" s="9" t="s">
        <v>290</v>
      </c>
      <c r="O32" s="9" t="s">
        <v>99</v>
      </c>
      <c r="P32" s="9" t="s">
        <v>50</v>
      </c>
      <c r="Q32" s="9" t="s">
        <v>70</v>
      </c>
      <c r="R32" s="9" t="s">
        <v>291</v>
      </c>
      <c r="S32" s="9"/>
      <c r="T32" s="9"/>
      <c r="U32" s="9"/>
      <c r="V32" s="9"/>
      <c r="W32" s="9" t="s">
        <v>57</v>
      </c>
      <c r="X32" s="9" t="s">
        <v>292</v>
      </c>
      <c r="Y32" s="9" t="s">
        <v>54</v>
      </c>
      <c r="Z32" s="9" t="s">
        <v>55</v>
      </c>
      <c r="AA32" s="9" t="s">
        <v>293</v>
      </c>
      <c r="AB32" s="9" t="s">
        <v>58</v>
      </c>
      <c r="AC32" s="9" t="s">
        <v>62</v>
      </c>
      <c r="AD32" s="9" t="s">
        <v>279</v>
      </c>
      <c r="AE32" s="9" t="s">
        <v>294</v>
      </c>
      <c r="AF32" s="9"/>
      <c r="AG32" s="9"/>
      <c r="AH32" s="9"/>
      <c r="AI32" s="9"/>
      <c r="AJ32" s="9"/>
      <c r="AK32" s="9"/>
      <c r="AL32" s="9"/>
      <c r="AM32" s="9"/>
      <c r="AN32" s="9"/>
      <c r="AO32" s="5" t="s">
        <v>65</v>
      </c>
      <c r="AP32" s="5" t="s">
        <v>65</v>
      </c>
      <c r="AQ32" s="5" t="s">
        <v>65</v>
      </c>
      <c r="AR32" s="5" t="s">
        <v>65</v>
      </c>
    </row>
    <row r="33" spans="1:44" x14ac:dyDescent="0.25">
      <c r="A33" s="9">
        <v>110</v>
      </c>
      <c r="B33" s="9" t="s">
        <v>295</v>
      </c>
      <c r="C33" s="9" t="s">
        <v>296</v>
      </c>
      <c r="D33" s="9" t="s">
        <v>284</v>
      </c>
      <c r="E33" s="9" t="s">
        <v>297</v>
      </c>
      <c r="F33" s="9" t="s">
        <v>178</v>
      </c>
      <c r="G33" s="9" t="s">
        <v>53</v>
      </c>
      <c r="H33" s="9" t="s">
        <v>46</v>
      </c>
      <c r="I33" s="9" t="s">
        <v>47</v>
      </c>
      <c r="J33" s="9" t="s">
        <v>298</v>
      </c>
      <c r="K33" s="9" t="s">
        <v>99</v>
      </c>
      <c r="L33" s="9" t="s">
        <v>50</v>
      </c>
      <c r="M33" s="9" t="s">
        <v>70</v>
      </c>
      <c r="N33" s="9" t="s">
        <v>299</v>
      </c>
      <c r="O33" s="9"/>
      <c r="P33" s="9"/>
      <c r="Q33" s="9"/>
      <c r="R33" s="9"/>
      <c r="S33" s="9"/>
      <c r="T33" s="9"/>
      <c r="U33" s="9"/>
      <c r="V33" s="9"/>
      <c r="W33" s="9" t="s">
        <v>57</v>
      </c>
      <c r="X33" s="9"/>
      <c r="Y33" s="9"/>
      <c r="Z33" s="9"/>
      <c r="AA33" s="9"/>
      <c r="AB33" s="9" t="s">
        <v>58</v>
      </c>
      <c r="AC33" s="9" t="s">
        <v>59</v>
      </c>
      <c r="AD33" s="9" t="s">
        <v>60</v>
      </c>
      <c r="AE33" s="9" t="s">
        <v>300</v>
      </c>
      <c r="AF33" s="9"/>
      <c r="AG33" s="9"/>
      <c r="AH33" s="9"/>
      <c r="AI33" s="9"/>
      <c r="AJ33" s="9"/>
      <c r="AK33" s="9"/>
      <c r="AL33" s="9"/>
      <c r="AM33" s="9"/>
      <c r="AN33" s="9"/>
      <c r="AO33" s="5" t="s">
        <v>65</v>
      </c>
      <c r="AP33" s="5" t="s">
        <v>65</v>
      </c>
      <c r="AQ33" s="5" t="s">
        <v>65</v>
      </c>
      <c r="AR33" s="5" t="s">
        <v>65</v>
      </c>
    </row>
    <row r="34" spans="1:44" x14ac:dyDescent="0.25">
      <c r="A34" s="9">
        <v>111</v>
      </c>
      <c r="B34" s="9" t="s">
        <v>301</v>
      </c>
      <c r="C34" s="9" t="s">
        <v>302</v>
      </c>
      <c r="D34" s="9" t="s">
        <v>284</v>
      </c>
      <c r="E34" s="9" t="s">
        <v>303</v>
      </c>
      <c r="F34" s="9" t="s">
        <v>178</v>
      </c>
      <c r="G34" s="9" t="s">
        <v>81</v>
      </c>
      <c r="H34" s="9" t="s">
        <v>46</v>
      </c>
      <c r="I34" s="9" t="s">
        <v>47</v>
      </c>
      <c r="J34" s="9" t="s">
        <v>83</v>
      </c>
      <c r="K34" s="9"/>
      <c r="L34" s="9"/>
      <c r="M34" s="9"/>
      <c r="N34" s="9"/>
      <c r="O34" s="9"/>
      <c r="P34" s="9"/>
      <c r="Q34" s="9"/>
      <c r="R34" s="9"/>
      <c r="S34" s="9" t="s">
        <v>81</v>
      </c>
      <c r="T34" s="9" t="s">
        <v>92</v>
      </c>
      <c r="U34" s="9" t="s">
        <v>55</v>
      </c>
      <c r="V34" s="9" t="s">
        <v>304</v>
      </c>
      <c r="W34" s="9" t="s">
        <v>57</v>
      </c>
      <c r="X34" s="9"/>
      <c r="Y34" s="9"/>
      <c r="Z34" s="9"/>
      <c r="AA34" s="9"/>
      <c r="AB34" s="9" t="s">
        <v>58</v>
      </c>
      <c r="AC34" s="9" t="s">
        <v>62</v>
      </c>
      <c r="AD34" s="9" t="s">
        <v>94</v>
      </c>
      <c r="AE34" s="9" t="s">
        <v>305</v>
      </c>
      <c r="AF34" s="9"/>
      <c r="AG34" s="9"/>
      <c r="AH34" s="9"/>
      <c r="AI34" s="9"/>
      <c r="AJ34" s="9"/>
      <c r="AK34" s="9"/>
      <c r="AL34" s="9"/>
      <c r="AM34" s="9"/>
      <c r="AN34" s="9"/>
      <c r="AO34" s="5" t="s">
        <v>65</v>
      </c>
      <c r="AP34" s="5" t="s">
        <v>65</v>
      </c>
      <c r="AQ34" s="5" t="s">
        <v>65</v>
      </c>
      <c r="AR34" s="5" t="s">
        <v>65</v>
      </c>
    </row>
    <row r="35" spans="1:44" x14ac:dyDescent="0.25">
      <c r="A35" s="9">
        <v>112</v>
      </c>
      <c r="B35" s="9" t="s">
        <v>306</v>
      </c>
      <c r="C35" s="9" t="s">
        <v>307</v>
      </c>
      <c r="D35" s="9" t="s">
        <v>284</v>
      </c>
      <c r="E35" s="9" t="s">
        <v>308</v>
      </c>
      <c r="F35" s="9" t="s">
        <v>80</v>
      </c>
      <c r="G35" s="9" t="s">
        <v>81</v>
      </c>
      <c r="H35" s="9" t="s">
        <v>46</v>
      </c>
      <c r="I35" s="9" t="s">
        <v>47</v>
      </c>
      <c r="J35" s="9" t="s">
        <v>83</v>
      </c>
      <c r="K35" s="9" t="s">
        <v>99</v>
      </c>
      <c r="L35" s="9" t="s">
        <v>50</v>
      </c>
      <c r="M35" s="9" t="s">
        <v>259</v>
      </c>
      <c r="N35" s="9" t="s">
        <v>309</v>
      </c>
      <c r="O35" s="9"/>
      <c r="P35" s="9"/>
      <c r="Q35" s="9"/>
      <c r="R35" s="9"/>
      <c r="S35" s="9" t="s">
        <v>72</v>
      </c>
      <c r="T35" s="9" t="s">
        <v>54</v>
      </c>
      <c r="U35" s="9" t="s">
        <v>55</v>
      </c>
      <c r="V35" s="9" t="s">
        <v>310</v>
      </c>
      <c r="W35" s="9" t="s">
        <v>57</v>
      </c>
      <c r="X35" s="9"/>
      <c r="Y35" s="9"/>
      <c r="Z35" s="9"/>
      <c r="AA35" s="9"/>
      <c r="AB35" s="9" t="s">
        <v>58</v>
      </c>
      <c r="AC35" s="9" t="s">
        <v>62</v>
      </c>
      <c r="AD35" s="9" t="s">
        <v>279</v>
      </c>
      <c r="AE35" s="9" t="s">
        <v>311</v>
      </c>
      <c r="AF35" s="9"/>
      <c r="AG35" s="9"/>
      <c r="AH35" s="9"/>
      <c r="AI35" s="9"/>
      <c r="AJ35" s="9"/>
      <c r="AK35" s="9"/>
      <c r="AL35" s="9"/>
      <c r="AM35" s="9"/>
      <c r="AN35" s="9"/>
      <c r="AO35" s="5" t="s">
        <v>65</v>
      </c>
      <c r="AP35" s="5" t="s">
        <v>65</v>
      </c>
      <c r="AQ35" s="5" t="s">
        <v>65</v>
      </c>
      <c r="AR35" s="5" t="s">
        <v>65</v>
      </c>
    </row>
    <row r="36" spans="1:44" x14ac:dyDescent="0.25">
      <c r="A36" s="9" t="s">
        <v>312</v>
      </c>
      <c r="B36" s="9" t="s">
        <v>313</v>
      </c>
      <c r="C36" s="9" t="s">
        <v>314</v>
      </c>
      <c r="D36" s="9" t="s">
        <v>284</v>
      </c>
      <c r="E36" s="9" t="s">
        <v>315</v>
      </c>
      <c r="F36" s="9" t="s">
        <v>178</v>
      </c>
      <c r="G36" s="9" t="s">
        <v>81</v>
      </c>
      <c r="H36" s="9" t="s">
        <v>46</v>
      </c>
      <c r="I36" s="9" t="s">
        <v>47</v>
      </c>
      <c r="J36" s="9" t="s">
        <v>83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 t="s">
        <v>57</v>
      </c>
      <c r="X36" s="9"/>
      <c r="Y36" s="9"/>
      <c r="Z36" s="9"/>
      <c r="AA36" s="9"/>
      <c r="AB36" s="9" t="s">
        <v>58</v>
      </c>
      <c r="AC36" s="9" t="s">
        <v>62</v>
      </c>
      <c r="AD36" s="9" t="s">
        <v>279</v>
      </c>
      <c r="AE36" s="9" t="s">
        <v>316</v>
      </c>
      <c r="AF36" s="9"/>
      <c r="AG36" s="9"/>
      <c r="AH36" s="9"/>
      <c r="AI36" s="9"/>
      <c r="AJ36" s="9"/>
      <c r="AK36" s="9"/>
      <c r="AL36" s="9"/>
      <c r="AM36" s="9"/>
      <c r="AN36" s="9"/>
      <c r="AO36" s="5" t="s">
        <v>65</v>
      </c>
      <c r="AP36" s="5" t="s">
        <v>65</v>
      </c>
      <c r="AQ36" s="5" t="s">
        <v>65</v>
      </c>
      <c r="AR36" s="5" t="s">
        <v>65</v>
      </c>
    </row>
    <row r="37" spans="1:44" x14ac:dyDescent="0.25">
      <c r="A37" s="9" t="s">
        <v>317</v>
      </c>
      <c r="B37" s="9" t="s">
        <v>318</v>
      </c>
      <c r="C37" s="9" t="s">
        <v>314</v>
      </c>
      <c r="D37" s="9" t="s">
        <v>284</v>
      </c>
      <c r="E37" s="9"/>
      <c r="F37" s="9"/>
      <c r="G37" s="9" t="s">
        <v>265</v>
      </c>
      <c r="H37" s="9" t="s">
        <v>82</v>
      </c>
      <c r="I37" s="9" t="s">
        <v>47</v>
      </c>
      <c r="J37" s="9" t="s">
        <v>266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5" t="s">
        <v>65</v>
      </c>
      <c r="AP37" s="5" t="s">
        <v>65</v>
      </c>
      <c r="AQ37" s="5" t="s">
        <v>65</v>
      </c>
      <c r="AR37" s="5" t="s">
        <v>65</v>
      </c>
    </row>
    <row r="38" spans="1:44" x14ac:dyDescent="0.25">
      <c r="A38" s="9">
        <v>114</v>
      </c>
      <c r="B38" s="9" t="s">
        <v>319</v>
      </c>
      <c r="C38" s="9" t="s">
        <v>320</v>
      </c>
      <c r="D38" s="9" t="s">
        <v>284</v>
      </c>
      <c r="E38" s="9" t="s">
        <v>43</v>
      </c>
      <c r="F38" s="9" t="s">
        <v>108</v>
      </c>
      <c r="G38" s="9" t="s">
        <v>81</v>
      </c>
      <c r="H38" s="9" t="s">
        <v>46</v>
      </c>
      <c r="I38" s="9" t="s">
        <v>47</v>
      </c>
      <c r="J38" s="9" t="s">
        <v>83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 t="s">
        <v>57</v>
      </c>
      <c r="X38" s="9"/>
      <c r="Y38" s="9"/>
      <c r="Z38" s="9"/>
      <c r="AA38" s="9"/>
      <c r="AB38" s="9" t="s">
        <v>58</v>
      </c>
      <c r="AC38" s="9" t="s">
        <v>62</v>
      </c>
      <c r="AD38" s="9" t="s">
        <v>279</v>
      </c>
      <c r="AE38" s="9" t="s">
        <v>321</v>
      </c>
      <c r="AF38" s="9"/>
      <c r="AG38" s="9"/>
      <c r="AH38" s="9"/>
      <c r="AI38" s="9"/>
      <c r="AJ38" s="9"/>
      <c r="AK38" s="9"/>
      <c r="AL38" s="9"/>
      <c r="AM38" s="9"/>
      <c r="AN38" s="9"/>
      <c r="AO38" s="5" t="s">
        <v>65</v>
      </c>
      <c r="AP38" s="5" t="s">
        <v>65</v>
      </c>
      <c r="AQ38" s="5" t="s">
        <v>65</v>
      </c>
      <c r="AR38" s="5" t="s">
        <v>65</v>
      </c>
    </row>
    <row r="39" spans="1:44" x14ac:dyDescent="0.25">
      <c r="A39" s="9">
        <v>115</v>
      </c>
      <c r="B39" s="9" t="s">
        <v>322</v>
      </c>
      <c r="C39" s="45" t="s">
        <v>323</v>
      </c>
      <c r="D39" s="46" t="s">
        <v>284</v>
      </c>
      <c r="E39" s="9" t="s">
        <v>324</v>
      </c>
      <c r="F39" s="9" t="s">
        <v>108</v>
      </c>
      <c r="G39" s="9" t="s">
        <v>81</v>
      </c>
      <c r="H39" s="9" t="s">
        <v>46</v>
      </c>
      <c r="I39" s="9" t="s">
        <v>47</v>
      </c>
      <c r="J39" s="9" t="s">
        <v>83</v>
      </c>
      <c r="K39" s="9" t="s">
        <v>84</v>
      </c>
      <c r="L39" s="9" t="s">
        <v>50</v>
      </c>
      <c r="M39" s="9" t="s">
        <v>259</v>
      </c>
      <c r="N39" s="9" t="s">
        <v>325</v>
      </c>
      <c r="O39" s="9" t="s">
        <v>84</v>
      </c>
      <c r="P39" s="9" t="s">
        <v>50</v>
      </c>
      <c r="Q39" s="9" t="s">
        <v>259</v>
      </c>
      <c r="R39" s="9" t="s">
        <v>326</v>
      </c>
      <c r="S39" s="9"/>
      <c r="T39" s="9"/>
      <c r="U39" s="9"/>
      <c r="V39" s="9"/>
      <c r="W39" s="9" t="s">
        <v>57</v>
      </c>
      <c r="X39" s="9"/>
      <c r="Y39" s="9"/>
      <c r="Z39" s="9"/>
      <c r="AA39" s="9"/>
      <c r="AB39" s="9" t="s">
        <v>58</v>
      </c>
      <c r="AC39" s="9" t="s">
        <v>62</v>
      </c>
      <c r="AD39" s="9" t="s">
        <v>279</v>
      </c>
      <c r="AE39" s="9" t="s">
        <v>327</v>
      </c>
      <c r="AF39" s="9"/>
      <c r="AG39" s="9"/>
      <c r="AH39" s="9"/>
      <c r="AI39" s="9"/>
      <c r="AJ39" s="9"/>
      <c r="AK39" s="9"/>
      <c r="AL39" s="9"/>
      <c r="AM39" s="9"/>
      <c r="AN39" s="9"/>
      <c r="AO39" s="5" t="s">
        <v>65</v>
      </c>
      <c r="AP39" s="5" t="s">
        <v>65</v>
      </c>
      <c r="AQ39" s="5" t="s">
        <v>65</v>
      </c>
      <c r="AR39" s="5" t="s">
        <v>65</v>
      </c>
    </row>
    <row r="40" spans="1:44" x14ac:dyDescent="0.25">
      <c r="A40" s="9">
        <v>116</v>
      </c>
      <c r="B40" s="9" t="s">
        <v>328</v>
      </c>
      <c r="C40" s="45" t="s">
        <v>329</v>
      </c>
      <c r="D40" s="46" t="s">
        <v>284</v>
      </c>
      <c r="E40" s="9" t="s">
        <v>303</v>
      </c>
      <c r="F40" s="9" t="s">
        <v>178</v>
      </c>
      <c r="G40" s="9" t="s">
        <v>81</v>
      </c>
      <c r="H40" s="9" t="s">
        <v>46</v>
      </c>
      <c r="I40" s="9" t="s">
        <v>47</v>
      </c>
      <c r="J40" s="9" t="s">
        <v>83</v>
      </c>
      <c r="K40" s="9" t="s">
        <v>84</v>
      </c>
      <c r="L40" s="9" t="s">
        <v>50</v>
      </c>
      <c r="M40" s="9" t="s">
        <v>70</v>
      </c>
      <c r="N40" s="9" t="s">
        <v>330</v>
      </c>
      <c r="O40" s="9" t="s">
        <v>84</v>
      </c>
      <c r="P40" s="9" t="s">
        <v>50</v>
      </c>
      <c r="Q40" s="9" t="s">
        <v>70</v>
      </c>
      <c r="R40" s="9" t="s">
        <v>331</v>
      </c>
      <c r="S40" s="9"/>
      <c r="T40" s="9"/>
      <c r="U40" s="9"/>
      <c r="V40" s="9"/>
      <c r="W40" s="9" t="s">
        <v>57</v>
      </c>
      <c r="X40" s="9"/>
      <c r="Y40" s="9"/>
      <c r="Z40" s="9"/>
      <c r="AA40" s="9"/>
      <c r="AB40" s="9" t="s">
        <v>58</v>
      </c>
      <c r="AC40" s="9" t="s">
        <v>62</v>
      </c>
      <c r="AD40" s="9" t="s">
        <v>279</v>
      </c>
      <c r="AE40" s="9" t="s">
        <v>332</v>
      </c>
      <c r="AF40" s="9"/>
      <c r="AG40" s="9"/>
      <c r="AH40" s="9"/>
      <c r="AI40" s="9"/>
      <c r="AJ40" s="9"/>
      <c r="AK40" s="9"/>
      <c r="AL40" s="9"/>
      <c r="AM40" s="9"/>
      <c r="AN40" s="9"/>
      <c r="AO40" s="5" t="s">
        <v>65</v>
      </c>
      <c r="AP40" s="5" t="s">
        <v>65</v>
      </c>
      <c r="AQ40" s="5" t="s">
        <v>65</v>
      </c>
      <c r="AR40" s="5" t="s">
        <v>65</v>
      </c>
    </row>
    <row r="41" spans="1:44" x14ac:dyDescent="0.25">
      <c r="A41" s="9">
        <v>117</v>
      </c>
      <c r="B41" s="9" t="s">
        <v>333</v>
      </c>
      <c r="C41" s="45" t="s">
        <v>334</v>
      </c>
      <c r="D41" s="46" t="s">
        <v>284</v>
      </c>
      <c r="E41" s="9" t="s">
        <v>335</v>
      </c>
      <c r="F41" s="9" t="s">
        <v>178</v>
      </c>
      <c r="G41" s="9" t="s">
        <v>81</v>
      </c>
      <c r="H41" s="9" t="s">
        <v>46</v>
      </c>
      <c r="I41" s="9" t="s">
        <v>47</v>
      </c>
      <c r="J41" s="9" t="s">
        <v>83</v>
      </c>
      <c r="K41" s="9" t="s">
        <v>84</v>
      </c>
      <c r="L41" s="9" t="s">
        <v>50</v>
      </c>
      <c r="M41" s="9" t="s">
        <v>259</v>
      </c>
      <c r="N41" s="9" t="s">
        <v>336</v>
      </c>
      <c r="O41" s="9"/>
      <c r="P41" s="9"/>
      <c r="Q41" s="9"/>
      <c r="R41" s="9"/>
      <c r="S41" s="9" t="s">
        <v>72</v>
      </c>
      <c r="T41" s="9" t="s">
        <v>54</v>
      </c>
      <c r="U41" s="9" t="s">
        <v>55</v>
      </c>
      <c r="V41" s="9" t="s">
        <v>337</v>
      </c>
      <c r="W41" s="9" t="s">
        <v>57</v>
      </c>
      <c r="X41" s="9"/>
      <c r="Y41" s="9"/>
      <c r="Z41" s="9"/>
      <c r="AA41" s="9"/>
      <c r="AB41" s="9" t="s">
        <v>58</v>
      </c>
      <c r="AC41" s="9" t="s">
        <v>62</v>
      </c>
      <c r="AD41" s="9" t="s">
        <v>279</v>
      </c>
      <c r="AE41" s="9" t="s">
        <v>338</v>
      </c>
      <c r="AF41" s="9"/>
      <c r="AG41" s="9"/>
      <c r="AH41" s="9"/>
      <c r="AI41" s="9"/>
      <c r="AJ41" s="9"/>
      <c r="AK41" s="9"/>
      <c r="AL41" s="9"/>
      <c r="AM41" s="9"/>
      <c r="AN41" s="9"/>
      <c r="AO41" s="5" t="s">
        <v>65</v>
      </c>
      <c r="AP41" s="5" t="s">
        <v>65</v>
      </c>
      <c r="AQ41" s="5" t="s">
        <v>65</v>
      </c>
      <c r="AR41" s="5" t="s">
        <v>65</v>
      </c>
    </row>
    <row r="42" spans="1:44" x14ac:dyDescent="0.25">
      <c r="A42" s="9">
        <v>118</v>
      </c>
      <c r="B42" s="9" t="s">
        <v>339</v>
      </c>
      <c r="C42" s="45" t="s">
        <v>187</v>
      </c>
      <c r="D42" s="46" t="s">
        <v>284</v>
      </c>
      <c r="E42" s="9" t="s">
        <v>177</v>
      </c>
      <c r="F42" s="9" t="s">
        <v>108</v>
      </c>
      <c r="G42" s="9" t="s">
        <v>265</v>
      </c>
      <c r="H42" s="9" t="s">
        <v>340</v>
      </c>
      <c r="I42" s="9" t="s">
        <v>47</v>
      </c>
      <c r="J42" s="9" t="s">
        <v>341</v>
      </c>
      <c r="K42" s="9" t="s">
        <v>84</v>
      </c>
      <c r="L42" s="9" t="s">
        <v>50</v>
      </c>
      <c r="M42" s="9" t="s">
        <v>70</v>
      </c>
      <c r="N42" s="9" t="s">
        <v>342</v>
      </c>
      <c r="O42" s="9"/>
      <c r="P42" s="9"/>
      <c r="Q42" s="9"/>
      <c r="R42" s="9"/>
      <c r="S42" s="9"/>
      <c r="T42" s="9"/>
      <c r="U42" s="9"/>
      <c r="V42" s="9"/>
      <c r="W42" s="9" t="s">
        <v>57</v>
      </c>
      <c r="X42" s="9"/>
      <c r="Y42" s="9"/>
      <c r="Z42" s="9"/>
      <c r="AA42" s="9"/>
      <c r="AB42" s="9" t="s">
        <v>58</v>
      </c>
      <c r="AC42" s="9" t="s">
        <v>62</v>
      </c>
      <c r="AD42" s="9" t="s">
        <v>279</v>
      </c>
      <c r="AE42" s="9" t="s">
        <v>343</v>
      </c>
      <c r="AF42" s="9" t="s">
        <v>62</v>
      </c>
      <c r="AG42" s="9" t="s">
        <v>279</v>
      </c>
      <c r="AH42" s="9" t="s">
        <v>344</v>
      </c>
      <c r="AI42" s="9"/>
      <c r="AJ42" s="9"/>
      <c r="AK42" s="9"/>
      <c r="AL42" s="9"/>
      <c r="AM42" s="9"/>
      <c r="AN42" s="9"/>
      <c r="AO42" s="5" t="s">
        <v>243</v>
      </c>
      <c r="AP42" s="5" t="s">
        <v>65</v>
      </c>
      <c r="AQ42" s="5" t="s">
        <v>65</v>
      </c>
      <c r="AR42" s="5" t="s">
        <v>65</v>
      </c>
    </row>
    <row r="43" spans="1:44" x14ac:dyDescent="0.25">
      <c r="A43" s="9">
        <v>119</v>
      </c>
      <c r="B43" s="9" t="s">
        <v>345</v>
      </c>
      <c r="C43" s="45" t="s">
        <v>346</v>
      </c>
      <c r="D43" s="46" t="s">
        <v>284</v>
      </c>
      <c r="E43" s="9" t="s">
        <v>155</v>
      </c>
      <c r="F43" s="9" t="s">
        <v>120</v>
      </c>
      <c r="G43" s="9" t="s">
        <v>109</v>
      </c>
      <c r="H43" s="9" t="s">
        <v>46</v>
      </c>
      <c r="I43" s="9" t="s">
        <v>47</v>
      </c>
      <c r="J43" s="9" t="s">
        <v>220</v>
      </c>
      <c r="K43" s="9" t="s">
        <v>84</v>
      </c>
      <c r="L43" s="9" t="s">
        <v>50</v>
      </c>
      <c r="M43" s="9" t="s">
        <v>70</v>
      </c>
      <c r="N43" s="9" t="s">
        <v>347</v>
      </c>
      <c r="O43" s="9"/>
      <c r="P43" s="9"/>
      <c r="Q43" s="9"/>
      <c r="R43" s="9"/>
      <c r="S43" s="9" t="s">
        <v>109</v>
      </c>
      <c r="T43" s="9" t="s">
        <v>92</v>
      </c>
      <c r="U43" s="9" t="s">
        <v>55</v>
      </c>
      <c r="V43" s="9" t="s">
        <v>348</v>
      </c>
      <c r="W43" s="9" t="s">
        <v>57</v>
      </c>
      <c r="X43" s="9"/>
      <c r="Y43" s="9"/>
      <c r="Z43" s="9"/>
      <c r="AA43" s="9"/>
      <c r="AB43" s="9" t="s">
        <v>58</v>
      </c>
      <c r="AC43" s="9" t="s">
        <v>349</v>
      </c>
      <c r="AD43" s="9" t="s">
        <v>194</v>
      </c>
      <c r="AE43" s="9" t="s">
        <v>350</v>
      </c>
      <c r="AF43" s="9"/>
      <c r="AG43" s="9"/>
      <c r="AH43" s="9"/>
      <c r="AI43" s="9"/>
      <c r="AJ43" s="9"/>
      <c r="AK43" s="9"/>
      <c r="AL43" s="9"/>
      <c r="AM43" s="9"/>
      <c r="AN43" s="9"/>
      <c r="AO43" s="5" t="s">
        <v>65</v>
      </c>
      <c r="AP43" s="5" t="s">
        <v>65</v>
      </c>
      <c r="AQ43" s="5" t="s">
        <v>65</v>
      </c>
      <c r="AR43" s="5" t="s">
        <v>65</v>
      </c>
    </row>
    <row r="44" spans="1:44" x14ac:dyDescent="0.25">
      <c r="A44" s="9">
        <v>120</v>
      </c>
      <c r="B44" s="9" t="s">
        <v>351</v>
      </c>
      <c r="C44" s="45" t="s">
        <v>168</v>
      </c>
      <c r="D44" s="46" t="s">
        <v>284</v>
      </c>
      <c r="E44" s="9" t="s">
        <v>264</v>
      </c>
      <c r="F44" s="9" t="s">
        <v>80</v>
      </c>
      <c r="G44" s="9" t="s">
        <v>81</v>
      </c>
      <c r="H44" s="9" t="s">
        <v>46</v>
      </c>
      <c r="I44" s="9" t="s">
        <v>47</v>
      </c>
      <c r="J44" s="9" t="s">
        <v>83</v>
      </c>
      <c r="K44" s="9"/>
      <c r="L44" s="9"/>
      <c r="M44" s="9"/>
      <c r="N44" s="9"/>
      <c r="O44" s="9" t="s">
        <v>99</v>
      </c>
      <c r="P44" s="9" t="s">
        <v>50</v>
      </c>
      <c r="Q44" s="9" t="s">
        <v>51</v>
      </c>
      <c r="R44" s="9" t="s">
        <v>352</v>
      </c>
      <c r="S44" s="9"/>
      <c r="T44" s="9"/>
      <c r="U44" s="9"/>
      <c r="V44" s="9"/>
      <c r="W44" s="9" t="s">
        <v>57</v>
      </c>
      <c r="X44" s="9"/>
      <c r="Y44" s="9"/>
      <c r="Z44" s="9"/>
      <c r="AA44" s="9"/>
      <c r="AB44" s="9" t="s">
        <v>58</v>
      </c>
      <c r="AC44" s="9" t="s">
        <v>59</v>
      </c>
      <c r="AD44" s="9" t="s">
        <v>60</v>
      </c>
      <c r="AE44" s="9" t="s">
        <v>353</v>
      </c>
      <c r="AF44" s="9"/>
      <c r="AG44" s="9"/>
      <c r="AH44" s="9"/>
      <c r="AI44" s="9"/>
      <c r="AJ44" s="9"/>
      <c r="AK44" s="9"/>
      <c r="AL44" s="9"/>
      <c r="AM44" s="9"/>
      <c r="AN44" s="9"/>
      <c r="AO44" s="5" t="s">
        <v>65</v>
      </c>
      <c r="AP44" s="5" t="s">
        <v>65</v>
      </c>
      <c r="AQ44" s="5" t="s">
        <v>65</v>
      </c>
      <c r="AR44" s="5" t="s">
        <v>65</v>
      </c>
    </row>
    <row r="45" spans="1:44" x14ac:dyDescent="0.25">
      <c r="A45" s="9">
        <v>121</v>
      </c>
      <c r="B45" s="9" t="s">
        <v>354</v>
      </c>
      <c r="C45" s="45" t="s">
        <v>355</v>
      </c>
      <c r="D45" s="46" t="s">
        <v>284</v>
      </c>
      <c r="E45" s="9" t="s">
        <v>107</v>
      </c>
      <c r="F45" s="9" t="s">
        <v>178</v>
      </c>
      <c r="G45" s="9" t="s">
        <v>109</v>
      </c>
      <c r="H45" s="9" t="s">
        <v>46</v>
      </c>
      <c r="I45" s="9" t="s">
        <v>47</v>
      </c>
      <c r="J45" s="9" t="s">
        <v>220</v>
      </c>
      <c r="K45" s="9" t="s">
        <v>99</v>
      </c>
      <c r="L45" s="9" t="s">
        <v>50</v>
      </c>
      <c r="M45" s="9" t="s">
        <v>70</v>
      </c>
      <c r="N45" s="9" t="s">
        <v>356</v>
      </c>
      <c r="O45" s="9"/>
      <c r="P45" s="9"/>
      <c r="Q45" s="9"/>
      <c r="R45" s="9"/>
      <c r="S45" s="9" t="s">
        <v>109</v>
      </c>
      <c r="T45" s="9" t="s">
        <v>92</v>
      </c>
      <c r="U45" s="9" t="s">
        <v>55</v>
      </c>
      <c r="V45" s="9" t="s">
        <v>357</v>
      </c>
      <c r="W45" s="9" t="s">
        <v>57</v>
      </c>
      <c r="X45" s="9"/>
      <c r="Y45" s="9"/>
      <c r="Z45" s="9"/>
      <c r="AA45" s="9"/>
      <c r="AB45" s="9" t="s">
        <v>58</v>
      </c>
      <c r="AC45" s="9" t="s">
        <v>349</v>
      </c>
      <c r="AD45" s="9" t="s">
        <v>194</v>
      </c>
      <c r="AE45" s="9" t="s">
        <v>358</v>
      </c>
      <c r="AF45" s="9"/>
      <c r="AG45" s="9"/>
      <c r="AH45" s="9"/>
      <c r="AI45" s="9"/>
      <c r="AJ45" s="9"/>
      <c r="AK45" s="9"/>
      <c r="AL45" s="9"/>
      <c r="AM45" s="9"/>
      <c r="AN45" s="9"/>
      <c r="AO45" s="5" t="s">
        <v>65</v>
      </c>
      <c r="AP45" s="5" t="s">
        <v>65</v>
      </c>
      <c r="AQ45" s="5" t="s">
        <v>65</v>
      </c>
      <c r="AR45" s="5" t="s">
        <v>65</v>
      </c>
    </row>
    <row r="46" spans="1:44" x14ac:dyDescent="0.25">
      <c r="A46" s="9">
        <v>122</v>
      </c>
      <c r="B46" s="9" t="s">
        <v>359</v>
      </c>
      <c r="C46" s="45" t="s">
        <v>360</v>
      </c>
      <c r="D46" s="46" t="s">
        <v>284</v>
      </c>
      <c r="E46" s="9" t="s">
        <v>139</v>
      </c>
      <c r="F46" s="9" t="s">
        <v>80</v>
      </c>
      <c r="G46" s="9" t="s">
        <v>81</v>
      </c>
      <c r="H46" s="9" t="s">
        <v>46</v>
      </c>
      <c r="I46" s="9" t="s">
        <v>47</v>
      </c>
      <c r="J46" s="9" t="s">
        <v>83</v>
      </c>
      <c r="K46" s="9" t="s">
        <v>84</v>
      </c>
      <c r="L46" s="9" t="s">
        <v>50</v>
      </c>
      <c r="M46" s="9" t="s">
        <v>259</v>
      </c>
      <c r="N46" s="9" t="s">
        <v>361</v>
      </c>
      <c r="O46" s="9" t="s">
        <v>84</v>
      </c>
      <c r="P46" s="9" t="s">
        <v>50</v>
      </c>
      <c r="Q46" s="9" t="s">
        <v>259</v>
      </c>
      <c r="R46" s="9" t="s">
        <v>362</v>
      </c>
      <c r="S46" s="9"/>
      <c r="T46" s="9"/>
      <c r="U46" s="9"/>
      <c r="V46" s="9"/>
      <c r="W46" s="9" t="s">
        <v>57</v>
      </c>
      <c r="X46" s="9" t="s">
        <v>363</v>
      </c>
      <c r="Y46" s="9" t="s">
        <v>54</v>
      </c>
      <c r="Z46" s="9" t="s">
        <v>55</v>
      </c>
      <c r="AA46" s="9" t="s">
        <v>364</v>
      </c>
      <c r="AB46" s="9" t="s">
        <v>58</v>
      </c>
      <c r="AC46" s="9" t="s">
        <v>59</v>
      </c>
      <c r="AD46" s="9" t="s">
        <v>60</v>
      </c>
      <c r="AE46" s="9" t="s">
        <v>365</v>
      </c>
      <c r="AF46" s="9"/>
      <c r="AG46" s="9"/>
      <c r="AH46" s="9"/>
      <c r="AI46" s="9"/>
      <c r="AJ46" s="9"/>
      <c r="AK46" s="9"/>
      <c r="AL46" s="9"/>
      <c r="AM46" s="9"/>
      <c r="AN46" s="9"/>
      <c r="AO46" s="5" t="s">
        <v>243</v>
      </c>
      <c r="AP46" s="5" t="s">
        <v>65</v>
      </c>
      <c r="AQ46" s="5" t="s">
        <v>65</v>
      </c>
      <c r="AR46" s="5" t="s">
        <v>65</v>
      </c>
    </row>
    <row r="47" spans="1:44" x14ac:dyDescent="0.25">
      <c r="A47" s="9">
        <v>123</v>
      </c>
      <c r="B47" s="9" t="s">
        <v>366</v>
      </c>
      <c r="C47" s="45" t="s">
        <v>367</v>
      </c>
      <c r="D47" s="46" t="s">
        <v>284</v>
      </c>
      <c r="E47" s="9" t="s">
        <v>368</v>
      </c>
      <c r="F47" s="9" t="s">
        <v>129</v>
      </c>
      <c r="G47" s="9" t="s">
        <v>81</v>
      </c>
      <c r="H47" s="9" t="s">
        <v>46</v>
      </c>
      <c r="I47" s="9" t="s">
        <v>47</v>
      </c>
      <c r="J47" s="9" t="s">
        <v>83</v>
      </c>
      <c r="K47" s="9"/>
      <c r="L47" s="9"/>
      <c r="M47" s="9"/>
      <c r="N47" s="9"/>
      <c r="O47" s="9"/>
      <c r="P47" s="9"/>
      <c r="Q47" s="9"/>
      <c r="R47" s="9"/>
      <c r="S47" s="9" t="s">
        <v>81</v>
      </c>
      <c r="T47" s="9" t="s">
        <v>92</v>
      </c>
      <c r="U47" s="9" t="s">
        <v>55</v>
      </c>
      <c r="V47" s="9" t="s">
        <v>369</v>
      </c>
      <c r="W47" s="9" t="s">
        <v>57</v>
      </c>
      <c r="X47" s="9"/>
      <c r="Y47" s="9"/>
      <c r="Z47" s="9"/>
      <c r="AA47" s="9"/>
      <c r="AB47" s="9" t="s">
        <v>58</v>
      </c>
      <c r="AC47" s="9" t="s">
        <v>62</v>
      </c>
      <c r="AD47" s="9" t="s">
        <v>94</v>
      </c>
      <c r="AE47" s="9" t="s">
        <v>370</v>
      </c>
      <c r="AF47" s="9"/>
      <c r="AG47" s="9"/>
      <c r="AH47" s="9"/>
      <c r="AI47" s="9"/>
      <c r="AJ47" s="9"/>
      <c r="AK47" s="9"/>
      <c r="AL47" s="9"/>
      <c r="AM47" s="9"/>
      <c r="AN47" s="9"/>
      <c r="AO47" s="5" t="s">
        <v>243</v>
      </c>
      <c r="AP47" s="5" t="s">
        <v>65</v>
      </c>
      <c r="AQ47" s="5" t="s">
        <v>65</v>
      </c>
      <c r="AR47" s="5" t="s">
        <v>65</v>
      </c>
    </row>
    <row r="48" spans="1:44" x14ac:dyDescent="0.25">
      <c r="A48" s="9">
        <v>124</v>
      </c>
      <c r="B48" s="9" t="s">
        <v>371</v>
      </c>
      <c r="C48" s="45" t="s">
        <v>372</v>
      </c>
      <c r="D48" s="46" t="s">
        <v>373</v>
      </c>
      <c r="E48" s="9" t="s">
        <v>374</v>
      </c>
      <c r="F48" s="9" t="s">
        <v>375</v>
      </c>
      <c r="G48" s="9" t="s">
        <v>81</v>
      </c>
      <c r="H48" s="9" t="s">
        <v>82</v>
      </c>
      <c r="I48" s="9" t="s">
        <v>47</v>
      </c>
      <c r="J48" s="9" t="s">
        <v>83</v>
      </c>
      <c r="K48" s="9" t="s">
        <v>84</v>
      </c>
      <c r="L48" s="9" t="s">
        <v>50</v>
      </c>
      <c r="M48" s="9" t="s">
        <v>259</v>
      </c>
      <c r="N48" s="9" t="s">
        <v>376</v>
      </c>
      <c r="O48" s="9" t="s">
        <v>84</v>
      </c>
      <c r="P48" s="9" t="s">
        <v>50</v>
      </c>
      <c r="Q48" s="9" t="s">
        <v>259</v>
      </c>
      <c r="R48" s="9"/>
      <c r="S48" s="9" t="s">
        <v>377</v>
      </c>
      <c r="T48" s="9" t="s">
        <v>54</v>
      </c>
      <c r="U48" s="9" t="s">
        <v>378</v>
      </c>
      <c r="V48" s="9" t="s">
        <v>379</v>
      </c>
      <c r="W48" s="9" t="s">
        <v>57</v>
      </c>
      <c r="X48" s="9" t="s">
        <v>380</v>
      </c>
      <c r="Y48" s="9" t="s">
        <v>54</v>
      </c>
      <c r="Z48" s="9" t="s">
        <v>55</v>
      </c>
      <c r="AA48" s="9" t="s">
        <v>381</v>
      </c>
      <c r="AB48" s="9" t="s">
        <v>104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5" t="s">
        <v>243</v>
      </c>
      <c r="AP48" s="5" t="s">
        <v>65</v>
      </c>
      <c r="AQ48" s="5" t="s">
        <v>65</v>
      </c>
      <c r="AR48" s="5" t="s">
        <v>65</v>
      </c>
    </row>
    <row r="49" spans="1:44" x14ac:dyDescent="0.25">
      <c r="A49" s="9">
        <v>125</v>
      </c>
      <c r="B49" s="9" t="s">
        <v>382</v>
      </c>
      <c r="C49" s="9" t="s">
        <v>383</v>
      </c>
      <c r="D49" s="46" t="s">
        <v>373</v>
      </c>
      <c r="E49" s="9" t="s">
        <v>155</v>
      </c>
      <c r="F49" s="9" t="s">
        <v>384</v>
      </c>
      <c r="G49" s="9" t="s">
        <v>109</v>
      </c>
      <c r="H49" s="9" t="s">
        <v>82</v>
      </c>
      <c r="I49" s="9" t="s">
        <v>47</v>
      </c>
      <c r="J49" s="9" t="s">
        <v>385</v>
      </c>
      <c r="K49" s="9" t="s">
        <v>49</v>
      </c>
      <c r="L49" s="9" t="s">
        <v>50</v>
      </c>
      <c r="M49" s="9" t="s">
        <v>70</v>
      </c>
      <c r="N49" s="9" t="s">
        <v>386</v>
      </c>
      <c r="O49" s="9" t="s">
        <v>49</v>
      </c>
      <c r="P49" s="9" t="s">
        <v>50</v>
      </c>
      <c r="Q49" s="9" t="s">
        <v>70</v>
      </c>
      <c r="R49" s="9" t="s">
        <v>387</v>
      </c>
      <c r="S49" s="9" t="s">
        <v>388</v>
      </c>
      <c r="T49" s="9" t="s">
        <v>54</v>
      </c>
      <c r="U49" s="9" t="s">
        <v>86</v>
      </c>
      <c r="V49" s="9" t="s">
        <v>389</v>
      </c>
      <c r="W49" s="9" t="s">
        <v>57</v>
      </c>
      <c r="X49" s="9"/>
      <c r="Y49" s="9"/>
      <c r="Z49" s="9"/>
      <c r="AA49" s="9"/>
      <c r="AB49" s="9" t="s">
        <v>58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5" t="s">
        <v>243</v>
      </c>
      <c r="AP49" s="5" t="s">
        <v>65</v>
      </c>
      <c r="AQ49" s="5" t="s">
        <v>65</v>
      </c>
      <c r="AR49" s="5" t="s">
        <v>65</v>
      </c>
    </row>
    <row r="50" spans="1:44" x14ac:dyDescent="0.25">
      <c r="A50" s="9">
        <v>126</v>
      </c>
      <c r="B50" s="9" t="s">
        <v>390</v>
      </c>
      <c r="C50" s="9" t="s">
        <v>391</v>
      </c>
      <c r="D50" s="46" t="s">
        <v>373</v>
      </c>
      <c r="E50" s="9" t="s">
        <v>392</v>
      </c>
      <c r="F50" s="9" t="s">
        <v>393</v>
      </c>
      <c r="G50" s="9" t="s">
        <v>81</v>
      </c>
      <c r="H50" s="9" t="s">
        <v>46</v>
      </c>
      <c r="I50" s="9" t="s">
        <v>47</v>
      </c>
      <c r="J50" s="9" t="s">
        <v>83</v>
      </c>
      <c r="K50" s="9" t="s">
        <v>99</v>
      </c>
      <c r="L50" s="9" t="s">
        <v>50</v>
      </c>
      <c r="M50" s="9" t="s">
        <v>259</v>
      </c>
      <c r="N50" s="9" t="s">
        <v>394</v>
      </c>
      <c r="O50" s="9" t="s">
        <v>99</v>
      </c>
      <c r="P50" s="9" t="s">
        <v>50</v>
      </c>
      <c r="Q50" s="9" t="s">
        <v>259</v>
      </c>
      <c r="R50" s="9" t="s">
        <v>395</v>
      </c>
      <c r="S50" s="9"/>
      <c r="T50" s="9"/>
      <c r="U50" s="9"/>
      <c r="V50" s="9"/>
      <c r="W50" s="9" t="s">
        <v>57</v>
      </c>
      <c r="X50" s="9"/>
      <c r="Y50" s="9"/>
      <c r="Z50" s="9"/>
      <c r="AA50" s="9"/>
      <c r="AB50" s="9" t="s">
        <v>58</v>
      </c>
      <c r="AC50" s="9" t="s">
        <v>62</v>
      </c>
      <c r="AD50" s="9" t="s">
        <v>279</v>
      </c>
      <c r="AE50" s="9" t="s">
        <v>396</v>
      </c>
      <c r="AF50" s="9"/>
      <c r="AG50" s="9"/>
      <c r="AH50" s="9"/>
      <c r="AI50" s="9"/>
      <c r="AJ50" s="9"/>
      <c r="AK50" s="9"/>
      <c r="AL50" s="9"/>
      <c r="AM50" s="9"/>
      <c r="AN50" s="9"/>
      <c r="AO50" s="5" t="s">
        <v>243</v>
      </c>
      <c r="AP50" s="5" t="s">
        <v>65</v>
      </c>
      <c r="AQ50" s="5" t="s">
        <v>65</v>
      </c>
      <c r="AR50" s="5" t="s">
        <v>65</v>
      </c>
    </row>
    <row r="51" spans="1:44" x14ac:dyDescent="0.25">
      <c r="A51" s="9">
        <v>127</v>
      </c>
      <c r="B51" s="9" t="s">
        <v>397</v>
      </c>
      <c r="C51" s="9" t="s">
        <v>398</v>
      </c>
      <c r="D51" s="46" t="s">
        <v>373</v>
      </c>
      <c r="E51" s="9" t="s">
        <v>68</v>
      </c>
      <c r="F51" s="9" t="s">
        <v>399</v>
      </c>
      <c r="G51" s="9" t="s">
        <v>81</v>
      </c>
      <c r="H51" s="9" t="s">
        <v>46</v>
      </c>
      <c r="I51" s="9" t="s">
        <v>47</v>
      </c>
      <c r="J51" s="9" t="s">
        <v>83</v>
      </c>
      <c r="K51" s="9" t="s">
        <v>99</v>
      </c>
      <c r="L51" s="9" t="s">
        <v>50</v>
      </c>
      <c r="M51" s="9" t="s">
        <v>259</v>
      </c>
      <c r="N51" s="9" t="s">
        <v>400</v>
      </c>
      <c r="O51" s="9" t="s">
        <v>99</v>
      </c>
      <c r="P51" s="9" t="s">
        <v>50</v>
      </c>
      <c r="Q51" s="9" t="s">
        <v>259</v>
      </c>
      <c r="R51" s="9" t="s">
        <v>401</v>
      </c>
      <c r="S51" s="9"/>
      <c r="T51" s="9"/>
      <c r="U51" s="9"/>
      <c r="V51" s="9"/>
      <c r="W51" s="9" t="s">
        <v>57</v>
      </c>
      <c r="X51" s="9"/>
      <c r="Y51" s="9"/>
      <c r="Z51" s="9"/>
      <c r="AA51" s="9"/>
      <c r="AB51" s="9" t="s">
        <v>58</v>
      </c>
      <c r="AC51" s="9" t="s">
        <v>62</v>
      </c>
      <c r="AD51" s="9" t="s">
        <v>63</v>
      </c>
      <c r="AE51" s="9" t="s">
        <v>402</v>
      </c>
      <c r="AF51" s="9"/>
      <c r="AG51" s="9"/>
      <c r="AH51" s="9"/>
      <c r="AI51" s="9"/>
      <c r="AJ51" s="9"/>
      <c r="AK51" s="9"/>
      <c r="AL51" s="9"/>
      <c r="AM51" s="9"/>
      <c r="AN51" s="9"/>
      <c r="AO51" s="5" t="s">
        <v>243</v>
      </c>
      <c r="AP51" s="5" t="s">
        <v>65</v>
      </c>
      <c r="AQ51" s="5" t="s">
        <v>65</v>
      </c>
      <c r="AR51" s="5" t="s">
        <v>65</v>
      </c>
    </row>
    <row r="52" spans="1:44" x14ac:dyDescent="0.25">
      <c r="A52" s="9">
        <v>128</v>
      </c>
      <c r="B52" s="9" t="s">
        <v>403</v>
      </c>
      <c r="C52" s="9" t="s">
        <v>404</v>
      </c>
      <c r="D52" s="46"/>
      <c r="E52" s="9" t="s">
        <v>405</v>
      </c>
      <c r="F52" s="9" t="s">
        <v>91</v>
      </c>
      <c r="G52" s="9" t="s">
        <v>81</v>
      </c>
      <c r="H52" s="9" t="s">
        <v>46</v>
      </c>
      <c r="I52" s="9" t="s">
        <v>47</v>
      </c>
      <c r="J52" s="9" t="s">
        <v>83</v>
      </c>
      <c r="K52" s="9" t="s">
        <v>99</v>
      </c>
      <c r="L52" s="9" t="s">
        <v>50</v>
      </c>
      <c r="M52" s="9" t="s">
        <v>70</v>
      </c>
      <c r="N52" s="9" t="s">
        <v>406</v>
      </c>
      <c r="O52" s="9" t="s">
        <v>99</v>
      </c>
      <c r="P52" s="9" t="s">
        <v>50</v>
      </c>
      <c r="Q52" s="9" t="s">
        <v>70</v>
      </c>
      <c r="R52" s="9" t="s">
        <v>407</v>
      </c>
      <c r="S52" s="9"/>
      <c r="T52" s="9"/>
      <c r="U52" s="9"/>
      <c r="V52" s="9"/>
      <c r="W52" s="9" t="s">
        <v>57</v>
      </c>
      <c r="X52" s="9"/>
      <c r="Y52" s="9"/>
      <c r="Z52" s="9"/>
      <c r="AA52" s="9"/>
      <c r="AB52" s="9" t="s">
        <v>58</v>
      </c>
      <c r="AC52" s="9" t="s">
        <v>62</v>
      </c>
      <c r="AD52" s="9" t="s">
        <v>63</v>
      </c>
      <c r="AE52" s="9" t="s">
        <v>408</v>
      </c>
      <c r="AF52" s="9"/>
      <c r="AG52" s="9"/>
      <c r="AH52" s="9"/>
      <c r="AI52" s="9"/>
      <c r="AJ52" s="9"/>
      <c r="AK52" s="9"/>
      <c r="AL52" s="9"/>
      <c r="AM52" s="9"/>
      <c r="AN52" s="9"/>
      <c r="AO52" s="5" t="s">
        <v>243</v>
      </c>
      <c r="AP52" s="5" t="s">
        <v>65</v>
      </c>
      <c r="AQ52" s="5" t="s">
        <v>65</v>
      </c>
      <c r="AR52" s="5" t="s">
        <v>65</v>
      </c>
    </row>
    <row r="53" spans="1:44" x14ac:dyDescent="0.25">
      <c r="A53" s="9">
        <v>129</v>
      </c>
      <c r="B53" s="9" t="s">
        <v>409</v>
      </c>
      <c r="C53" s="9" t="s">
        <v>314</v>
      </c>
      <c r="D53" s="46" t="s">
        <v>373</v>
      </c>
      <c r="E53" s="9" t="s">
        <v>410</v>
      </c>
      <c r="F53" s="9" t="s">
        <v>120</v>
      </c>
      <c r="G53" s="9"/>
      <c r="H53" s="9" t="s">
        <v>340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 t="s">
        <v>57</v>
      </c>
      <c r="X53" s="9"/>
      <c r="Y53" s="9"/>
      <c r="Z53" s="9"/>
      <c r="AA53" s="9"/>
      <c r="AB53" s="9" t="s">
        <v>58</v>
      </c>
      <c r="AC53" s="9" t="s">
        <v>59</v>
      </c>
      <c r="AD53" s="9" t="s">
        <v>75</v>
      </c>
      <c r="AE53" s="9" t="s">
        <v>411</v>
      </c>
      <c r="AF53" s="9" t="s">
        <v>59</v>
      </c>
      <c r="AG53" s="9" t="s">
        <v>75</v>
      </c>
      <c r="AH53" s="9" t="s">
        <v>412</v>
      </c>
      <c r="AI53" s="9"/>
      <c r="AJ53" s="9"/>
      <c r="AK53" s="9"/>
      <c r="AL53" s="9"/>
      <c r="AM53" s="9"/>
      <c r="AN53" s="9"/>
      <c r="AO53" s="5" t="s">
        <v>243</v>
      </c>
      <c r="AP53" s="5" t="s">
        <v>65</v>
      </c>
      <c r="AQ53" s="5" t="s">
        <v>65</v>
      </c>
      <c r="AR53" s="5" t="s">
        <v>65</v>
      </c>
    </row>
    <row r="54" spans="1:44" x14ac:dyDescent="0.25">
      <c r="A54" s="9">
        <v>130</v>
      </c>
      <c r="B54" s="9" t="s">
        <v>413</v>
      </c>
      <c r="C54" s="9" t="s">
        <v>414</v>
      </c>
      <c r="D54" s="46" t="s">
        <v>373</v>
      </c>
      <c r="E54" s="9" t="s">
        <v>324</v>
      </c>
      <c r="F54" s="9" t="s">
        <v>91</v>
      </c>
      <c r="G54" s="9" t="s">
        <v>81</v>
      </c>
      <c r="H54" s="9" t="s">
        <v>82</v>
      </c>
      <c r="I54" s="9" t="s">
        <v>47</v>
      </c>
      <c r="J54" s="9" t="s">
        <v>415</v>
      </c>
      <c r="K54" s="9" t="s">
        <v>49</v>
      </c>
      <c r="L54" s="9" t="s">
        <v>50</v>
      </c>
      <c r="M54" s="9" t="s">
        <v>70</v>
      </c>
      <c r="N54" s="9" t="s">
        <v>416</v>
      </c>
      <c r="O54" s="9" t="s">
        <v>99</v>
      </c>
      <c r="P54" s="9" t="s">
        <v>50</v>
      </c>
      <c r="Q54" s="9" t="s">
        <v>259</v>
      </c>
      <c r="R54" s="9" t="s">
        <v>417</v>
      </c>
      <c r="S54" s="9"/>
      <c r="T54" s="9"/>
      <c r="U54" s="9"/>
      <c r="V54" s="9"/>
      <c r="W54" s="9" t="s">
        <v>57</v>
      </c>
      <c r="X54" s="9"/>
      <c r="Y54" s="9"/>
      <c r="Z54" s="9"/>
      <c r="AA54" s="9"/>
      <c r="AB54" s="9" t="s">
        <v>58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5" t="s">
        <v>243</v>
      </c>
      <c r="AP54" s="5" t="s">
        <v>65</v>
      </c>
      <c r="AQ54" s="5" t="s">
        <v>65</v>
      </c>
      <c r="AR54" s="5" t="s">
        <v>65</v>
      </c>
    </row>
    <row r="55" spans="1:44" x14ac:dyDescent="0.25">
      <c r="A55" s="9">
        <v>131</v>
      </c>
      <c r="B55" s="9" t="s">
        <v>418</v>
      </c>
      <c r="C55" s="9" t="s">
        <v>419</v>
      </c>
      <c r="D55" s="46" t="s">
        <v>373</v>
      </c>
      <c r="E55" s="9" t="s">
        <v>119</v>
      </c>
      <c r="F55" s="9" t="s">
        <v>206</v>
      </c>
      <c r="G55" s="9" t="s">
        <v>420</v>
      </c>
      <c r="H55" s="9" t="s">
        <v>46</v>
      </c>
      <c r="I55" s="9" t="s">
        <v>47</v>
      </c>
      <c r="J55" s="9" t="s">
        <v>220</v>
      </c>
      <c r="K55" s="9" t="s">
        <v>84</v>
      </c>
      <c r="L55" s="9" t="s">
        <v>50</v>
      </c>
      <c r="M55" s="9" t="s">
        <v>70</v>
      </c>
      <c r="N55" s="9" t="s">
        <v>421</v>
      </c>
      <c r="O55" s="9"/>
      <c r="P55" s="9"/>
      <c r="Q55" s="9"/>
      <c r="R55" s="9"/>
      <c r="S55" s="9" t="s">
        <v>109</v>
      </c>
      <c r="T55" s="9" t="s">
        <v>92</v>
      </c>
      <c r="U55" s="9" t="s">
        <v>55</v>
      </c>
      <c r="V55" s="9" t="s">
        <v>422</v>
      </c>
      <c r="W55" s="9" t="s">
        <v>74</v>
      </c>
      <c r="X55" s="9"/>
      <c r="Y55" s="9"/>
      <c r="Z55" s="9"/>
      <c r="AA55" s="9"/>
      <c r="AB55" s="9" t="s">
        <v>58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5" t="s">
        <v>243</v>
      </c>
      <c r="AP55" s="5" t="s">
        <v>65</v>
      </c>
      <c r="AQ55" s="5" t="s">
        <v>65</v>
      </c>
      <c r="AR55" s="5" t="s">
        <v>65</v>
      </c>
    </row>
    <row r="56" spans="1:44" x14ac:dyDescent="0.25">
      <c r="A56" s="9">
        <v>132</v>
      </c>
      <c r="B56" s="9" t="s">
        <v>423</v>
      </c>
      <c r="C56" s="9" t="s">
        <v>424</v>
      </c>
      <c r="D56" s="46" t="s">
        <v>425</v>
      </c>
      <c r="E56" s="9" t="s">
        <v>147</v>
      </c>
      <c r="F56" s="9" t="s">
        <v>206</v>
      </c>
      <c r="G56" s="9" t="s">
        <v>81</v>
      </c>
      <c r="H56" s="9" t="s">
        <v>82</v>
      </c>
      <c r="I56" s="9"/>
      <c r="J56" s="9" t="s">
        <v>415</v>
      </c>
      <c r="K56" s="9" t="s">
        <v>49</v>
      </c>
      <c r="L56" s="9" t="s">
        <v>50</v>
      </c>
      <c r="M56" s="9" t="s">
        <v>70</v>
      </c>
      <c r="N56" s="9" t="s">
        <v>426</v>
      </c>
      <c r="O56" s="9" t="s">
        <v>49</v>
      </c>
      <c r="P56" s="9" t="s">
        <v>50</v>
      </c>
      <c r="Q56" s="9" t="s">
        <v>70</v>
      </c>
      <c r="R56" s="9" t="s">
        <v>427</v>
      </c>
      <c r="S56" s="9" t="s">
        <v>428</v>
      </c>
      <c r="T56" s="9" t="s">
        <v>54</v>
      </c>
      <c r="U56" s="9" t="s">
        <v>55</v>
      </c>
      <c r="V56" s="9" t="s">
        <v>429</v>
      </c>
      <c r="W56" s="9" t="s">
        <v>57</v>
      </c>
      <c r="X56" s="9"/>
      <c r="Y56" s="9"/>
      <c r="Z56" s="9"/>
      <c r="AA56" s="9"/>
      <c r="AB56" s="9" t="s">
        <v>58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5" t="s">
        <v>243</v>
      </c>
      <c r="AP56" s="5" t="s">
        <v>65</v>
      </c>
      <c r="AQ56" s="5" t="s">
        <v>65</v>
      </c>
      <c r="AR56" s="5" t="s">
        <v>65</v>
      </c>
    </row>
    <row r="57" spans="1:44" x14ac:dyDescent="0.25">
      <c r="A57" s="9">
        <v>133</v>
      </c>
      <c r="B57" s="9" t="s">
        <v>430</v>
      </c>
      <c r="C57" s="9" t="s">
        <v>334</v>
      </c>
      <c r="D57" s="46" t="s">
        <v>373</v>
      </c>
      <c r="E57" s="9" t="s">
        <v>264</v>
      </c>
      <c r="F57" s="9" t="s">
        <v>129</v>
      </c>
      <c r="G57" s="9" t="s">
        <v>81</v>
      </c>
      <c r="H57" s="9" t="s">
        <v>82</v>
      </c>
      <c r="I57" s="9" t="s">
        <v>47</v>
      </c>
      <c r="J57" s="9" t="s">
        <v>431</v>
      </c>
      <c r="K57" s="9" t="s">
        <v>99</v>
      </c>
      <c r="L57" s="9" t="s">
        <v>50</v>
      </c>
      <c r="M57" s="9" t="s">
        <v>70</v>
      </c>
      <c r="N57" s="9" t="s">
        <v>432</v>
      </c>
      <c r="O57" s="9"/>
      <c r="P57" s="9"/>
      <c r="Q57" s="9"/>
      <c r="R57" s="9"/>
      <c r="S57" s="9" t="s">
        <v>433</v>
      </c>
      <c r="T57" s="9" t="s">
        <v>54</v>
      </c>
      <c r="U57" s="9" t="s">
        <v>55</v>
      </c>
      <c r="V57" s="9" t="s">
        <v>434</v>
      </c>
      <c r="W57" s="9" t="s">
        <v>57</v>
      </c>
      <c r="X57" s="9"/>
      <c r="Y57" s="9"/>
      <c r="Z57" s="9"/>
      <c r="AA57" s="9"/>
      <c r="AB57" s="9" t="s">
        <v>58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5" t="s">
        <v>243</v>
      </c>
      <c r="AP57" s="5" t="s">
        <v>65</v>
      </c>
      <c r="AQ57" s="5" t="s">
        <v>65</v>
      </c>
      <c r="AR57" s="5" t="s">
        <v>65</v>
      </c>
    </row>
    <row r="58" spans="1:44" x14ac:dyDescent="0.25">
      <c r="A58" s="9">
        <v>134</v>
      </c>
      <c r="B58" s="9" t="s">
        <v>435</v>
      </c>
      <c r="C58" s="9" t="s">
        <v>436</v>
      </c>
      <c r="D58" s="46" t="s">
        <v>373</v>
      </c>
      <c r="E58" s="9" t="s">
        <v>437</v>
      </c>
      <c r="F58" s="9" t="s">
        <v>438</v>
      </c>
      <c r="G58" s="9" t="s">
        <v>199</v>
      </c>
      <c r="H58" s="9" t="s">
        <v>82</v>
      </c>
      <c r="I58" s="9"/>
      <c r="J58" s="9" t="s">
        <v>200</v>
      </c>
      <c r="K58" s="9" t="s">
        <v>99</v>
      </c>
      <c r="L58" s="9" t="s">
        <v>50</v>
      </c>
      <c r="M58" s="9" t="s">
        <v>70</v>
      </c>
      <c r="N58" s="9" t="s">
        <v>439</v>
      </c>
      <c r="O58" s="9" t="s">
        <v>99</v>
      </c>
      <c r="P58" s="9" t="s">
        <v>50</v>
      </c>
      <c r="Q58" s="9" t="s">
        <v>70</v>
      </c>
      <c r="R58" s="9" t="s">
        <v>440</v>
      </c>
      <c r="S58" s="9" t="s">
        <v>441</v>
      </c>
      <c r="T58" s="9" t="s">
        <v>54</v>
      </c>
      <c r="U58" s="9" t="s">
        <v>55</v>
      </c>
      <c r="V58" s="9" t="s">
        <v>442</v>
      </c>
      <c r="W58" s="9" t="s">
        <v>57</v>
      </c>
      <c r="X58" s="9"/>
      <c r="Y58" s="9"/>
      <c r="Z58" s="9"/>
      <c r="AA58" s="9"/>
      <c r="AB58" s="9" t="s">
        <v>58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5" t="s">
        <v>243</v>
      </c>
      <c r="AP58" s="5" t="s">
        <v>65</v>
      </c>
      <c r="AQ58" s="5" t="s">
        <v>65</v>
      </c>
      <c r="AR58" s="5" t="s">
        <v>65</v>
      </c>
    </row>
    <row r="59" spans="1:44" x14ac:dyDescent="0.25">
      <c r="A59" s="9">
        <v>135</v>
      </c>
      <c r="B59" s="9" t="s">
        <v>444</v>
      </c>
      <c r="C59" s="9" t="s">
        <v>445</v>
      </c>
      <c r="D59" s="46" t="s">
        <v>373</v>
      </c>
      <c r="E59" s="9" t="s">
        <v>446</v>
      </c>
      <c r="F59" s="9" t="s">
        <v>178</v>
      </c>
      <c r="G59" s="9" t="s">
        <v>109</v>
      </c>
      <c r="H59" s="9" t="s">
        <v>46</v>
      </c>
      <c r="I59" s="9" t="s">
        <v>47</v>
      </c>
      <c r="J59" s="9" t="s">
        <v>220</v>
      </c>
      <c r="K59" s="9" t="s">
        <v>99</v>
      </c>
      <c r="L59" s="9" t="s">
        <v>50</v>
      </c>
      <c r="M59" s="9" t="s">
        <v>259</v>
      </c>
      <c r="N59" s="9" t="s">
        <v>447</v>
      </c>
      <c r="O59" s="9"/>
      <c r="P59" s="9"/>
      <c r="Q59" s="9"/>
      <c r="R59" s="9"/>
      <c r="S59" s="9" t="s">
        <v>81</v>
      </c>
      <c r="T59" s="9" t="s">
        <v>54</v>
      </c>
      <c r="U59" s="9" t="s">
        <v>55</v>
      </c>
      <c r="V59" s="9" t="s">
        <v>448</v>
      </c>
      <c r="W59" s="9" t="s">
        <v>57</v>
      </c>
      <c r="X59" s="9"/>
      <c r="Y59" s="9"/>
      <c r="Z59" s="9"/>
      <c r="AA59" s="9"/>
      <c r="AB59" s="9" t="s">
        <v>58</v>
      </c>
      <c r="AC59" s="9" t="s">
        <v>255</v>
      </c>
      <c r="AD59" s="9" t="s">
        <v>60</v>
      </c>
      <c r="AE59" s="9" t="s">
        <v>449</v>
      </c>
      <c r="AF59" s="9"/>
      <c r="AG59" s="9"/>
      <c r="AH59" s="9"/>
      <c r="AI59" s="9"/>
      <c r="AJ59" s="9"/>
      <c r="AK59" s="9"/>
      <c r="AL59" s="9"/>
      <c r="AM59" s="9"/>
      <c r="AN59" s="9"/>
      <c r="AO59" s="5" t="s">
        <v>243</v>
      </c>
      <c r="AP59" s="5" t="s">
        <v>65</v>
      </c>
      <c r="AQ59" s="5" t="s">
        <v>65</v>
      </c>
      <c r="AR59" s="5" t="s">
        <v>65</v>
      </c>
    </row>
    <row r="60" spans="1:44" x14ac:dyDescent="0.25">
      <c r="A60" s="9">
        <v>136</v>
      </c>
      <c r="B60" s="9" t="s">
        <v>450</v>
      </c>
      <c r="C60" s="45" t="s">
        <v>451</v>
      </c>
      <c r="D60" s="46" t="s">
        <v>373</v>
      </c>
      <c r="E60" s="9" t="s">
        <v>392</v>
      </c>
      <c r="F60" s="9" t="s">
        <v>438</v>
      </c>
      <c r="G60" s="9" t="s">
        <v>148</v>
      </c>
      <c r="H60" s="9" t="s">
        <v>82</v>
      </c>
      <c r="I60" s="9" t="s">
        <v>47</v>
      </c>
      <c r="J60" s="9" t="s">
        <v>452</v>
      </c>
      <c r="K60" s="9" t="s">
        <v>84</v>
      </c>
      <c r="L60" s="9" t="s">
        <v>50</v>
      </c>
      <c r="M60" s="9" t="s">
        <v>70</v>
      </c>
      <c r="N60" s="9" t="s">
        <v>453</v>
      </c>
      <c r="O60" s="9"/>
      <c r="P60" s="9"/>
      <c r="Q60" s="9"/>
      <c r="R60" s="9"/>
      <c r="S60" s="9" t="s">
        <v>454</v>
      </c>
      <c r="T60" s="9" t="s">
        <v>54</v>
      </c>
      <c r="U60" s="9" t="s">
        <v>55</v>
      </c>
      <c r="V60" s="9" t="s">
        <v>455</v>
      </c>
      <c r="W60" s="9" t="s">
        <v>74</v>
      </c>
      <c r="X60" s="9"/>
      <c r="Y60" s="9"/>
      <c r="Z60" s="9"/>
      <c r="AA60" s="9"/>
      <c r="AB60" s="9" t="s">
        <v>58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5" t="s">
        <v>243</v>
      </c>
      <c r="AP60" s="5" t="s">
        <v>65</v>
      </c>
      <c r="AQ60" s="5" t="s">
        <v>65</v>
      </c>
      <c r="AR60" s="5" t="s">
        <v>65</v>
      </c>
    </row>
    <row r="61" spans="1:44" x14ac:dyDescent="0.25">
      <c r="A61" s="9">
        <v>137</v>
      </c>
      <c r="B61" s="9" t="s">
        <v>456</v>
      </c>
      <c r="C61" s="45" t="s">
        <v>168</v>
      </c>
      <c r="D61" s="46" t="s">
        <v>373</v>
      </c>
      <c r="E61" s="9" t="s">
        <v>457</v>
      </c>
      <c r="F61" s="9" t="s">
        <v>69</v>
      </c>
      <c r="G61" s="9" t="s">
        <v>81</v>
      </c>
      <c r="H61" s="9" t="s">
        <v>82</v>
      </c>
      <c r="I61" s="9"/>
      <c r="J61" s="9" t="s">
        <v>83</v>
      </c>
      <c r="K61" s="9" t="s">
        <v>99</v>
      </c>
      <c r="L61" s="9" t="s">
        <v>50</v>
      </c>
      <c r="M61" s="9" t="s">
        <v>259</v>
      </c>
      <c r="N61" s="9" t="s">
        <v>458</v>
      </c>
      <c r="O61" s="9"/>
      <c r="P61" s="9"/>
      <c r="Q61" s="9"/>
      <c r="R61" s="9"/>
      <c r="S61" s="9" t="s">
        <v>441</v>
      </c>
      <c r="T61" s="9" t="s">
        <v>54</v>
      </c>
      <c r="U61" s="9" t="s">
        <v>55</v>
      </c>
      <c r="V61" s="9" t="s">
        <v>459</v>
      </c>
      <c r="W61" s="9" t="s">
        <v>57</v>
      </c>
      <c r="X61" s="9"/>
      <c r="Y61" s="9"/>
      <c r="Z61" s="9"/>
      <c r="AA61" s="9"/>
      <c r="AB61" s="9" t="s">
        <v>58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5" t="s">
        <v>243</v>
      </c>
      <c r="AP61" s="5" t="s">
        <v>65</v>
      </c>
      <c r="AQ61" s="5" t="s">
        <v>65</v>
      </c>
      <c r="AR61" s="5" t="s">
        <v>65</v>
      </c>
    </row>
    <row r="62" spans="1:44" x14ac:dyDescent="0.25">
      <c r="A62" s="9">
        <v>138</v>
      </c>
      <c r="B62" s="9" t="s">
        <v>460</v>
      </c>
      <c r="C62" s="45" t="s">
        <v>213</v>
      </c>
      <c r="D62" s="46" t="s">
        <v>373</v>
      </c>
      <c r="E62" s="9" t="s">
        <v>177</v>
      </c>
      <c r="F62" s="9" t="s">
        <v>108</v>
      </c>
      <c r="G62" s="9" t="s">
        <v>199</v>
      </c>
      <c r="H62" s="9" t="s">
        <v>46</v>
      </c>
      <c r="I62" s="9"/>
      <c r="J62" s="9" t="s">
        <v>200</v>
      </c>
      <c r="K62" s="9" t="s">
        <v>49</v>
      </c>
      <c r="L62" s="9" t="s">
        <v>50</v>
      </c>
      <c r="M62" s="9" t="s">
        <v>70</v>
      </c>
      <c r="N62" s="9" t="s">
        <v>461</v>
      </c>
      <c r="O62" s="9"/>
      <c r="P62" s="9"/>
      <c r="Q62" s="9"/>
      <c r="R62" s="9"/>
      <c r="S62" s="9" t="s">
        <v>49</v>
      </c>
      <c r="T62" s="9" t="s">
        <v>92</v>
      </c>
      <c r="U62" s="9" t="s">
        <v>55</v>
      </c>
      <c r="V62" s="9" t="s">
        <v>462</v>
      </c>
      <c r="W62" s="9" t="s">
        <v>74</v>
      </c>
      <c r="X62" s="9"/>
      <c r="Y62" s="9"/>
      <c r="Z62" s="9"/>
      <c r="AA62" s="9"/>
      <c r="AB62" s="9" t="s">
        <v>58</v>
      </c>
      <c r="AC62" s="9" t="s">
        <v>255</v>
      </c>
      <c r="AD62" s="9" t="s">
        <v>248</v>
      </c>
      <c r="AE62" s="9" t="s">
        <v>463</v>
      </c>
      <c r="AF62" s="9"/>
      <c r="AG62" s="9"/>
      <c r="AH62" s="9"/>
      <c r="AI62" s="9"/>
      <c r="AJ62" s="9"/>
      <c r="AK62" s="9"/>
      <c r="AL62" s="9"/>
      <c r="AM62" s="9"/>
      <c r="AN62" s="9"/>
      <c r="AO62" s="5" t="s">
        <v>243</v>
      </c>
      <c r="AP62" s="5" t="s">
        <v>65</v>
      </c>
      <c r="AQ62" s="5" t="s">
        <v>65</v>
      </c>
      <c r="AR62" s="5" t="s">
        <v>65</v>
      </c>
    </row>
    <row r="63" spans="1:44" x14ac:dyDescent="0.25">
      <c r="A63" s="9">
        <v>139</v>
      </c>
      <c r="B63" s="9" t="s">
        <v>464</v>
      </c>
      <c r="C63" s="9" t="s">
        <v>465</v>
      </c>
      <c r="D63" s="46" t="s">
        <v>373</v>
      </c>
      <c r="E63" s="9" t="s">
        <v>466</v>
      </c>
      <c r="F63" s="9" t="s">
        <v>438</v>
      </c>
      <c r="G63" s="9" t="s">
        <v>81</v>
      </c>
      <c r="H63" s="9" t="s">
        <v>82</v>
      </c>
      <c r="I63" s="9" t="s">
        <v>47</v>
      </c>
      <c r="J63" s="9" t="s">
        <v>83</v>
      </c>
      <c r="K63" s="9" t="s">
        <v>99</v>
      </c>
      <c r="L63" s="9" t="s">
        <v>50</v>
      </c>
      <c r="M63" s="9" t="s">
        <v>259</v>
      </c>
      <c r="N63" s="9" t="s">
        <v>467</v>
      </c>
      <c r="O63" s="9"/>
      <c r="P63" s="9"/>
      <c r="Q63" s="9"/>
      <c r="R63" s="9"/>
      <c r="S63" s="9" t="s">
        <v>53</v>
      </c>
      <c r="T63" s="9" t="s">
        <v>92</v>
      </c>
      <c r="U63" s="9" t="s">
        <v>55</v>
      </c>
      <c r="V63" s="9" t="s">
        <v>468</v>
      </c>
      <c r="W63" s="9" t="s">
        <v>74</v>
      </c>
      <c r="X63" s="9"/>
      <c r="Y63" s="9"/>
      <c r="Z63" s="9"/>
      <c r="AA63" s="9"/>
      <c r="AB63" s="9" t="s">
        <v>58</v>
      </c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5" t="s">
        <v>243</v>
      </c>
      <c r="AP63" s="5" t="s">
        <v>65</v>
      </c>
      <c r="AQ63" s="5" t="s">
        <v>65</v>
      </c>
      <c r="AR63" s="5" t="s">
        <v>65</v>
      </c>
    </row>
    <row r="64" spans="1:44" x14ac:dyDescent="0.25">
      <c r="A64" s="9">
        <v>140</v>
      </c>
      <c r="B64" s="9" t="s">
        <v>469</v>
      </c>
      <c r="C64" s="9" t="s">
        <v>181</v>
      </c>
      <c r="D64" s="46" t="s">
        <v>373</v>
      </c>
      <c r="E64" s="9" t="s">
        <v>446</v>
      </c>
      <c r="F64" s="9" t="s">
        <v>470</v>
      </c>
      <c r="G64" s="9" t="s">
        <v>81</v>
      </c>
      <c r="H64" s="9" t="s">
        <v>82</v>
      </c>
      <c r="I64" s="9" t="s">
        <v>47</v>
      </c>
      <c r="J64" s="9" t="s">
        <v>83</v>
      </c>
      <c r="K64" s="9" t="s">
        <v>84</v>
      </c>
      <c r="L64" s="9" t="s">
        <v>50</v>
      </c>
      <c r="M64" s="9" t="s">
        <v>51</v>
      </c>
      <c r="N64" s="9" t="s">
        <v>471</v>
      </c>
      <c r="O64" s="9"/>
      <c r="P64" s="9"/>
      <c r="Q64" s="9"/>
      <c r="R64" s="9"/>
      <c r="S64" s="9" t="s">
        <v>109</v>
      </c>
      <c r="T64" s="9" t="s">
        <v>92</v>
      </c>
      <c r="U64" s="9" t="s">
        <v>86</v>
      </c>
      <c r="V64" s="9" t="s">
        <v>472</v>
      </c>
      <c r="W64" s="9" t="s">
        <v>74</v>
      </c>
      <c r="X64" s="9"/>
      <c r="Y64" s="9"/>
      <c r="Z64" s="9"/>
      <c r="AA64" s="9"/>
      <c r="AB64" s="9" t="s">
        <v>58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5" t="s">
        <v>243</v>
      </c>
      <c r="AP64" s="5" t="s">
        <v>65</v>
      </c>
      <c r="AQ64" s="5" t="s">
        <v>65</v>
      </c>
      <c r="AR64" s="5" t="s">
        <v>65</v>
      </c>
    </row>
    <row r="65" spans="1:44" x14ac:dyDescent="0.25">
      <c r="A65" s="9">
        <v>141</v>
      </c>
      <c r="B65" s="9" t="s">
        <v>473</v>
      </c>
      <c r="C65" s="45" t="s">
        <v>127</v>
      </c>
      <c r="D65" s="46" t="s">
        <v>373</v>
      </c>
      <c r="E65" s="9" t="s">
        <v>474</v>
      </c>
      <c r="F65" s="9" t="s">
        <v>178</v>
      </c>
      <c r="G65" s="9" t="s">
        <v>81</v>
      </c>
      <c r="H65" s="9" t="s">
        <v>46</v>
      </c>
      <c r="I65" s="9" t="s">
        <v>47</v>
      </c>
      <c r="J65" s="9" t="s">
        <v>83</v>
      </c>
      <c r="K65" s="9" t="s">
        <v>99</v>
      </c>
      <c r="L65" s="9" t="s">
        <v>50</v>
      </c>
      <c r="M65" s="9" t="s">
        <v>259</v>
      </c>
      <c r="N65" s="9" t="s">
        <v>475</v>
      </c>
      <c r="O65" s="9"/>
      <c r="P65" s="9"/>
      <c r="Q65" s="9"/>
      <c r="R65" s="9"/>
      <c r="S65" s="9"/>
      <c r="T65" s="9" t="s">
        <v>54</v>
      </c>
      <c r="U65" s="9"/>
      <c r="V65" s="9"/>
      <c r="W65" s="9" t="s">
        <v>57</v>
      </c>
      <c r="X65" s="9"/>
      <c r="Y65" s="9"/>
      <c r="Z65" s="9"/>
      <c r="AA65" s="9"/>
      <c r="AB65" s="9" t="s">
        <v>58</v>
      </c>
      <c r="AC65" s="9" t="s">
        <v>62</v>
      </c>
      <c r="AD65" s="9" t="s">
        <v>279</v>
      </c>
      <c r="AE65" s="9" t="s">
        <v>476</v>
      </c>
      <c r="AF65" s="9"/>
      <c r="AG65" s="9"/>
      <c r="AH65" s="9"/>
      <c r="AI65" s="9"/>
      <c r="AJ65" s="9"/>
      <c r="AK65" s="9"/>
      <c r="AL65" s="9"/>
      <c r="AM65" s="9"/>
      <c r="AN65" s="9"/>
      <c r="AO65" s="5" t="s">
        <v>243</v>
      </c>
      <c r="AP65" s="5" t="s">
        <v>65</v>
      </c>
      <c r="AQ65" s="5" t="s">
        <v>65</v>
      </c>
      <c r="AR65" s="5" t="s">
        <v>65</v>
      </c>
    </row>
    <row r="66" spans="1:44" x14ac:dyDescent="0.25">
      <c r="A66" s="9">
        <v>142</v>
      </c>
      <c r="B66" s="9" t="s">
        <v>477</v>
      </c>
      <c r="C66" s="45" t="s">
        <v>478</v>
      </c>
      <c r="D66" s="46" t="s">
        <v>373</v>
      </c>
      <c r="E66" s="9" t="s">
        <v>479</v>
      </c>
      <c r="F66" s="9"/>
      <c r="G66" s="9" t="s">
        <v>199</v>
      </c>
      <c r="H66" s="9" t="s">
        <v>82</v>
      </c>
      <c r="I66" s="9" t="s">
        <v>47</v>
      </c>
      <c r="J66" s="9" t="s">
        <v>200</v>
      </c>
      <c r="K66" s="9" t="s">
        <v>49</v>
      </c>
      <c r="L66" s="9" t="s">
        <v>50</v>
      </c>
      <c r="M66" s="9" t="s">
        <v>70</v>
      </c>
      <c r="N66" s="9" t="s">
        <v>480</v>
      </c>
      <c r="O66" s="9"/>
      <c r="P66" s="9"/>
      <c r="Q66" s="9"/>
      <c r="R66" s="9"/>
      <c r="S66" s="9"/>
      <c r="T66" s="9" t="s">
        <v>92</v>
      </c>
      <c r="U66" s="9" t="s">
        <v>55</v>
      </c>
      <c r="V66" s="9" t="s">
        <v>481</v>
      </c>
      <c r="W66" s="9" t="s">
        <v>74</v>
      </c>
      <c r="X66" s="9"/>
      <c r="Y66" s="9"/>
      <c r="Z66" s="9"/>
      <c r="AA66" s="9"/>
      <c r="AB66" s="9" t="s">
        <v>58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5" t="s">
        <v>243</v>
      </c>
      <c r="AP66" s="5" t="s">
        <v>65</v>
      </c>
      <c r="AQ66" s="5" t="s">
        <v>65</v>
      </c>
      <c r="AR66" s="5" t="s">
        <v>65</v>
      </c>
    </row>
    <row r="67" spans="1:44" x14ac:dyDescent="0.25">
      <c r="A67" s="9">
        <v>143</v>
      </c>
      <c r="B67" s="9" t="s">
        <v>482</v>
      </c>
      <c r="C67" s="45" t="s">
        <v>483</v>
      </c>
      <c r="D67" s="46" t="s">
        <v>373</v>
      </c>
      <c r="E67" s="9" t="s">
        <v>484</v>
      </c>
      <c r="F67" s="9" t="s">
        <v>80</v>
      </c>
      <c r="G67" s="9" t="s">
        <v>45</v>
      </c>
      <c r="H67" s="9" t="s">
        <v>82</v>
      </c>
      <c r="I67" s="9"/>
      <c r="J67" s="9" t="s">
        <v>485</v>
      </c>
      <c r="K67" s="9" t="s">
        <v>99</v>
      </c>
      <c r="L67" s="9" t="s">
        <v>50</v>
      </c>
      <c r="M67" s="9" t="s">
        <v>70</v>
      </c>
      <c r="N67" s="9" t="s">
        <v>486</v>
      </c>
      <c r="O67" s="9"/>
      <c r="P67" s="9"/>
      <c r="Q67" s="9"/>
      <c r="R67" s="9"/>
      <c r="S67" s="9" t="s">
        <v>487</v>
      </c>
      <c r="T67" s="9" t="s">
        <v>54</v>
      </c>
      <c r="U67" s="9" t="s">
        <v>86</v>
      </c>
      <c r="V67" s="9" t="s">
        <v>488</v>
      </c>
      <c r="W67" s="9" t="s">
        <v>57</v>
      </c>
      <c r="X67" s="9" t="s">
        <v>81</v>
      </c>
      <c r="Y67" s="9" t="s">
        <v>54</v>
      </c>
      <c r="Z67" s="9" t="s">
        <v>55</v>
      </c>
      <c r="AA67" s="9" t="s">
        <v>489</v>
      </c>
      <c r="AB67" s="9" t="s">
        <v>104</v>
      </c>
      <c r="AC67" s="9" t="s">
        <v>255</v>
      </c>
      <c r="AD67" s="9" t="s">
        <v>60</v>
      </c>
      <c r="AE67" s="9" t="s">
        <v>490</v>
      </c>
      <c r="AF67" s="9"/>
      <c r="AG67" s="9"/>
      <c r="AH67" s="9"/>
      <c r="AI67" s="9"/>
      <c r="AJ67" s="9"/>
      <c r="AK67" s="9"/>
      <c r="AL67" s="9"/>
      <c r="AM67" s="9"/>
      <c r="AN67" s="9"/>
      <c r="AO67" s="5" t="s">
        <v>243</v>
      </c>
      <c r="AP67" s="5" t="s">
        <v>65</v>
      </c>
      <c r="AQ67" s="5" t="s">
        <v>65</v>
      </c>
      <c r="AR67" s="5" t="s">
        <v>65</v>
      </c>
    </row>
    <row r="68" spans="1:44" x14ac:dyDescent="0.25">
      <c r="A68" s="9">
        <v>144</v>
      </c>
      <c r="B68" s="9" t="s">
        <v>491</v>
      </c>
      <c r="C68" s="45" t="s">
        <v>187</v>
      </c>
      <c r="D68" s="46" t="s">
        <v>492</v>
      </c>
      <c r="E68" s="9" t="s">
        <v>264</v>
      </c>
      <c r="F68" s="9" t="s">
        <v>178</v>
      </c>
      <c r="G68" s="9" t="s">
        <v>81</v>
      </c>
      <c r="H68" s="9" t="s">
        <v>82</v>
      </c>
      <c r="I68" s="9" t="s">
        <v>47</v>
      </c>
      <c r="J68" s="9" t="s">
        <v>83</v>
      </c>
      <c r="K68" s="9" t="s">
        <v>99</v>
      </c>
      <c r="L68" s="9" t="s">
        <v>50</v>
      </c>
      <c r="M68" s="9" t="s">
        <v>70</v>
      </c>
      <c r="N68" s="9" t="s">
        <v>493</v>
      </c>
      <c r="O68" s="9"/>
      <c r="P68" s="9"/>
      <c r="Q68" s="9"/>
      <c r="R68" s="9"/>
      <c r="S68" s="9" t="s">
        <v>53</v>
      </c>
      <c r="T68" s="9" t="s">
        <v>54</v>
      </c>
      <c r="U68" s="9" t="s">
        <v>55</v>
      </c>
      <c r="V68" s="9" t="s">
        <v>494</v>
      </c>
      <c r="W68" s="9" t="s">
        <v>57</v>
      </c>
      <c r="X68" s="9"/>
      <c r="Y68" s="9"/>
      <c r="Z68" s="9"/>
      <c r="AA68" s="9"/>
      <c r="AB68" s="9" t="s">
        <v>58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5" t="s">
        <v>243</v>
      </c>
      <c r="AP68" s="5" t="s">
        <v>65</v>
      </c>
      <c r="AQ68" s="5" t="s">
        <v>65</v>
      </c>
      <c r="AR68" s="5" t="s">
        <v>65</v>
      </c>
    </row>
    <row r="69" spans="1:44" x14ac:dyDescent="0.25">
      <c r="A69" s="9">
        <v>145</v>
      </c>
      <c r="B69" s="9" t="s">
        <v>495</v>
      </c>
      <c r="C69" s="45" t="s">
        <v>496</v>
      </c>
      <c r="D69" s="46" t="s">
        <v>492</v>
      </c>
      <c r="E69" s="9" t="s">
        <v>169</v>
      </c>
      <c r="F69" s="9" t="s">
        <v>129</v>
      </c>
      <c r="G69" s="9" t="s">
        <v>81</v>
      </c>
      <c r="H69" s="9" t="s">
        <v>82</v>
      </c>
      <c r="I69" s="9" t="s">
        <v>47</v>
      </c>
      <c r="J69" s="9" t="s">
        <v>83</v>
      </c>
      <c r="K69" s="9"/>
      <c r="L69" s="9"/>
      <c r="M69" s="9"/>
      <c r="N69" s="9"/>
      <c r="O69" s="9" t="s">
        <v>99</v>
      </c>
      <c r="P69" s="9" t="s">
        <v>50</v>
      </c>
      <c r="Q69" s="9" t="s">
        <v>70</v>
      </c>
      <c r="R69" s="9" t="s">
        <v>497</v>
      </c>
      <c r="S69" s="9"/>
      <c r="T69" s="9"/>
      <c r="U69" s="9"/>
      <c r="V69" s="9"/>
      <c r="W69" s="9" t="s">
        <v>57</v>
      </c>
      <c r="X69" s="9" t="s">
        <v>53</v>
      </c>
      <c r="Y69" s="9" t="s">
        <v>54</v>
      </c>
      <c r="Z69" s="9" t="s">
        <v>55</v>
      </c>
      <c r="AA69" s="9" t="s">
        <v>498</v>
      </c>
      <c r="AB69" s="9" t="s">
        <v>58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5" t="s">
        <v>243</v>
      </c>
      <c r="AP69" s="5" t="s">
        <v>65</v>
      </c>
      <c r="AQ69" s="5" t="s">
        <v>65</v>
      </c>
      <c r="AR69" s="5" t="s">
        <v>65</v>
      </c>
    </row>
    <row r="70" spans="1:44" x14ac:dyDescent="0.25">
      <c r="A70" s="9">
        <v>146</v>
      </c>
      <c r="B70" s="9" t="s">
        <v>499</v>
      </c>
      <c r="C70" s="45" t="s">
        <v>205</v>
      </c>
      <c r="D70" s="46" t="s">
        <v>492</v>
      </c>
      <c r="E70" s="9" t="s">
        <v>98</v>
      </c>
      <c r="F70" s="9" t="s">
        <v>120</v>
      </c>
      <c r="G70" s="9" t="s">
        <v>81</v>
      </c>
      <c r="H70" s="9" t="s">
        <v>46</v>
      </c>
      <c r="I70" s="9" t="s">
        <v>47</v>
      </c>
      <c r="J70" s="47" t="s">
        <v>83</v>
      </c>
      <c r="K70" s="9" t="s">
        <v>99</v>
      </c>
      <c r="L70" s="9" t="s">
        <v>50</v>
      </c>
      <c r="M70" s="9" t="s">
        <v>70</v>
      </c>
      <c r="N70" s="9" t="s">
        <v>500</v>
      </c>
      <c r="O70" s="9" t="s">
        <v>99</v>
      </c>
      <c r="P70" s="9" t="s">
        <v>50</v>
      </c>
      <c r="Q70" s="9" t="s">
        <v>70</v>
      </c>
      <c r="R70" s="9" t="s">
        <v>501</v>
      </c>
      <c r="S70" s="9" t="s">
        <v>72</v>
      </c>
      <c r="T70" s="9" t="s">
        <v>54</v>
      </c>
      <c r="U70" s="9" t="s">
        <v>55</v>
      </c>
      <c r="V70" s="9" t="s">
        <v>502</v>
      </c>
      <c r="W70" s="9" t="s">
        <v>74</v>
      </c>
      <c r="X70" s="9" t="s">
        <v>53</v>
      </c>
      <c r="Y70" s="9" t="s">
        <v>54</v>
      </c>
      <c r="Z70" s="9" t="s">
        <v>55</v>
      </c>
      <c r="AA70" s="9" t="s">
        <v>503</v>
      </c>
      <c r="AB70" s="9" t="s">
        <v>58</v>
      </c>
      <c r="AC70" s="9" t="s">
        <v>504</v>
      </c>
      <c r="AD70" s="9" t="s">
        <v>60</v>
      </c>
      <c r="AE70" s="9" t="s">
        <v>505</v>
      </c>
      <c r="AF70" s="9" t="s">
        <v>506</v>
      </c>
      <c r="AG70" s="9" t="s">
        <v>279</v>
      </c>
      <c r="AH70" s="9" t="s">
        <v>507</v>
      </c>
      <c r="AI70" s="9"/>
      <c r="AJ70" s="9"/>
      <c r="AK70" s="9"/>
      <c r="AL70" s="9"/>
      <c r="AM70" s="9"/>
      <c r="AN70" s="9"/>
      <c r="AO70" s="5" t="s">
        <v>243</v>
      </c>
      <c r="AP70" s="5" t="s">
        <v>65</v>
      </c>
      <c r="AQ70" s="5" t="s">
        <v>65</v>
      </c>
      <c r="AR70" s="5" t="s">
        <v>65</v>
      </c>
    </row>
    <row r="71" spans="1:44" x14ac:dyDescent="0.25">
      <c r="A71" s="9">
        <v>147</v>
      </c>
      <c r="B71" s="9" t="s">
        <v>508</v>
      </c>
      <c r="C71" s="9" t="s">
        <v>213</v>
      </c>
      <c r="D71" s="46" t="s">
        <v>492</v>
      </c>
      <c r="E71" s="9" t="s">
        <v>139</v>
      </c>
      <c r="F71" s="9" t="s">
        <v>91</v>
      </c>
      <c r="G71" s="9" t="s">
        <v>199</v>
      </c>
      <c r="H71" s="9" t="s">
        <v>82</v>
      </c>
      <c r="I71" s="9" t="s">
        <v>47</v>
      </c>
      <c r="J71" s="9" t="s">
        <v>200</v>
      </c>
      <c r="K71" s="9" t="s">
        <v>99</v>
      </c>
      <c r="L71" s="9" t="s">
        <v>50</v>
      </c>
      <c r="M71" s="9" t="s">
        <v>51</v>
      </c>
      <c r="N71" s="9" t="s">
        <v>509</v>
      </c>
      <c r="O71" s="9" t="s">
        <v>84</v>
      </c>
      <c r="P71" s="9" t="s">
        <v>50</v>
      </c>
      <c r="Q71" s="9" t="s">
        <v>51</v>
      </c>
      <c r="R71" s="9" t="s">
        <v>510</v>
      </c>
      <c r="S71" s="9" t="s">
        <v>53</v>
      </c>
      <c r="T71" s="9" t="s">
        <v>92</v>
      </c>
      <c r="U71" s="9" t="s">
        <v>55</v>
      </c>
      <c r="V71" s="9" t="s">
        <v>511</v>
      </c>
      <c r="W71" s="9" t="s">
        <v>74</v>
      </c>
      <c r="X71" s="9" t="s">
        <v>53</v>
      </c>
      <c r="Y71" s="9" t="s">
        <v>92</v>
      </c>
      <c r="Z71" s="9" t="s">
        <v>55</v>
      </c>
      <c r="AA71" s="9" t="s">
        <v>512</v>
      </c>
      <c r="AB71" s="9" t="s">
        <v>104</v>
      </c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5" t="s">
        <v>243</v>
      </c>
      <c r="AP71" s="5" t="s">
        <v>65</v>
      </c>
      <c r="AQ71" s="5" t="s">
        <v>65</v>
      </c>
      <c r="AR71" s="5" t="s">
        <v>65</v>
      </c>
    </row>
    <row r="72" spans="1:44" x14ac:dyDescent="0.25">
      <c r="A72" s="9">
        <v>148</v>
      </c>
      <c r="B72" s="9" t="s">
        <v>513</v>
      </c>
      <c r="C72" s="9" t="s">
        <v>263</v>
      </c>
      <c r="D72" s="46" t="s">
        <v>492</v>
      </c>
      <c r="E72" s="9" t="s">
        <v>155</v>
      </c>
      <c r="F72" s="9" t="s">
        <v>206</v>
      </c>
      <c r="G72" s="9" t="s">
        <v>199</v>
      </c>
      <c r="H72" s="9" t="s">
        <v>82</v>
      </c>
      <c r="I72" s="9" t="s">
        <v>47</v>
      </c>
      <c r="J72" s="9" t="s">
        <v>200</v>
      </c>
      <c r="K72" s="9" t="s">
        <v>99</v>
      </c>
      <c r="L72" s="9" t="s">
        <v>50</v>
      </c>
      <c r="M72" s="9" t="s">
        <v>51</v>
      </c>
      <c r="N72" s="9" t="s">
        <v>514</v>
      </c>
      <c r="O72" s="9" t="s">
        <v>99</v>
      </c>
      <c r="P72" s="9" t="s">
        <v>50</v>
      </c>
      <c r="Q72" s="9" t="s">
        <v>51</v>
      </c>
      <c r="R72" s="9" t="s">
        <v>515</v>
      </c>
      <c r="S72" s="9" t="s">
        <v>53</v>
      </c>
      <c r="T72" s="9" t="s">
        <v>92</v>
      </c>
      <c r="U72" s="9" t="s">
        <v>55</v>
      </c>
      <c r="V72" s="9" t="s">
        <v>516</v>
      </c>
      <c r="W72" s="9" t="s">
        <v>74</v>
      </c>
      <c r="X72" s="9" t="s">
        <v>53</v>
      </c>
      <c r="Y72" s="9" t="s">
        <v>92</v>
      </c>
      <c r="Z72" s="9" t="s">
        <v>55</v>
      </c>
      <c r="AA72" s="9" t="s">
        <v>517</v>
      </c>
      <c r="AB72" s="9" t="s">
        <v>104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5" t="s">
        <v>243</v>
      </c>
      <c r="AP72" s="5" t="s">
        <v>65</v>
      </c>
      <c r="AQ72" s="5" t="s">
        <v>65</v>
      </c>
      <c r="AR72" s="5" t="s">
        <v>65</v>
      </c>
    </row>
    <row r="73" spans="1:44" x14ac:dyDescent="0.25">
      <c r="A73" s="9">
        <v>149</v>
      </c>
      <c r="B73" s="9" t="s">
        <v>518</v>
      </c>
      <c r="C73" s="9" t="s">
        <v>519</v>
      </c>
      <c r="D73" s="46" t="s">
        <v>492</v>
      </c>
      <c r="E73" s="9" t="s">
        <v>155</v>
      </c>
      <c r="F73" s="9" t="s">
        <v>91</v>
      </c>
      <c r="G73" s="9" t="s">
        <v>81</v>
      </c>
      <c r="H73" s="9" t="s">
        <v>46</v>
      </c>
      <c r="I73" s="9" t="s">
        <v>47</v>
      </c>
      <c r="J73" s="9" t="s">
        <v>83</v>
      </c>
      <c r="K73" s="9" t="s">
        <v>84</v>
      </c>
      <c r="L73" s="9" t="s">
        <v>50</v>
      </c>
      <c r="M73" s="9" t="s">
        <v>70</v>
      </c>
      <c r="N73" s="9" t="s">
        <v>520</v>
      </c>
      <c r="O73" s="9"/>
      <c r="P73" s="9"/>
      <c r="Q73" s="9"/>
      <c r="R73" s="9"/>
      <c r="S73" s="9" t="s">
        <v>113</v>
      </c>
      <c r="T73" s="9" t="s">
        <v>92</v>
      </c>
      <c r="U73" s="9" t="s">
        <v>55</v>
      </c>
      <c r="V73" s="9" t="s">
        <v>521</v>
      </c>
      <c r="W73" s="9" t="s">
        <v>74</v>
      </c>
      <c r="X73" s="9"/>
      <c r="Y73" s="9"/>
      <c r="Z73" s="9"/>
      <c r="AA73" s="9"/>
      <c r="AB73" s="9" t="s">
        <v>58</v>
      </c>
      <c r="AC73" s="9" t="s">
        <v>62</v>
      </c>
      <c r="AD73" s="9" t="s">
        <v>279</v>
      </c>
      <c r="AE73" s="9" t="s">
        <v>522</v>
      </c>
      <c r="AF73" s="9"/>
      <c r="AG73" s="9"/>
      <c r="AH73" s="9"/>
      <c r="AI73" s="9"/>
      <c r="AJ73" s="9"/>
      <c r="AK73" s="9"/>
      <c r="AL73" s="9"/>
      <c r="AM73" s="9"/>
      <c r="AN73" s="9"/>
      <c r="AO73" s="5" t="s">
        <v>243</v>
      </c>
      <c r="AP73" s="5" t="s">
        <v>65</v>
      </c>
      <c r="AQ73" s="5" t="s">
        <v>65</v>
      </c>
      <c r="AR73" s="5" t="s">
        <v>65</v>
      </c>
    </row>
    <row r="74" spans="1:44" x14ac:dyDescent="0.25">
      <c r="A74" s="9">
        <v>150</v>
      </c>
      <c r="B74" s="9" t="s">
        <v>523</v>
      </c>
      <c r="C74" s="9" t="s">
        <v>232</v>
      </c>
      <c r="D74" s="46" t="s">
        <v>492</v>
      </c>
      <c r="E74" s="9" t="s">
        <v>474</v>
      </c>
      <c r="F74" s="9" t="s">
        <v>470</v>
      </c>
      <c r="G74" s="9" t="s">
        <v>81</v>
      </c>
      <c r="H74" s="9" t="s">
        <v>82</v>
      </c>
      <c r="I74" s="9" t="s">
        <v>47</v>
      </c>
      <c r="J74" s="9" t="s">
        <v>83</v>
      </c>
      <c r="K74" s="9" t="s">
        <v>49</v>
      </c>
      <c r="L74" s="9" t="s">
        <v>50</v>
      </c>
      <c r="M74" s="9" t="s">
        <v>70</v>
      </c>
      <c r="N74" s="9" t="s">
        <v>524</v>
      </c>
      <c r="O74" s="9"/>
      <c r="P74" s="9"/>
      <c r="Q74" s="9"/>
      <c r="R74" s="9"/>
      <c r="S74" s="9"/>
      <c r="T74" s="9"/>
      <c r="U74" s="9"/>
      <c r="V74" s="9"/>
      <c r="W74" s="9" t="s">
        <v>57</v>
      </c>
      <c r="X74" s="9"/>
      <c r="Y74" s="9"/>
      <c r="Z74" s="9"/>
      <c r="AA74" s="9"/>
      <c r="AB74" s="9" t="s">
        <v>58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5" t="s">
        <v>243</v>
      </c>
      <c r="AP74" s="5" t="s">
        <v>65</v>
      </c>
      <c r="AQ74" s="5" t="s">
        <v>65</v>
      </c>
      <c r="AR74" s="5" t="s">
        <v>65</v>
      </c>
    </row>
    <row r="75" spans="1:44" x14ac:dyDescent="0.25">
      <c r="A75" s="9"/>
      <c r="B75" s="9"/>
      <c r="C75" s="9"/>
      <c r="D75" s="46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</row>
    <row r="76" spans="1:44" x14ac:dyDescent="0.25">
      <c r="A76" s="9"/>
      <c r="B76" s="9"/>
      <c r="C76" s="9"/>
      <c r="D76" s="46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spans="1:44" x14ac:dyDescent="0.25">
      <c r="A77" s="9"/>
      <c r="B77" s="9"/>
      <c r="C77" s="9"/>
      <c r="D77" s="46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spans="1:44" x14ac:dyDescent="0.25">
      <c r="A78" s="9"/>
      <c r="B78" s="9"/>
      <c r="C78" s="9"/>
      <c r="D78" s="46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spans="1:44" x14ac:dyDescent="0.25">
      <c r="A79" s="9"/>
      <c r="B79" s="9"/>
      <c r="C79" s="9"/>
      <c r="D79" s="46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spans="1:44" x14ac:dyDescent="0.25">
      <c r="A80" s="9"/>
      <c r="B80" s="9"/>
      <c r="C80" s="9"/>
      <c r="D80" s="46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spans="1:40" x14ac:dyDescent="0.25">
      <c r="A81" s="9"/>
      <c r="B81" s="9"/>
      <c r="C81" s="9"/>
      <c r="D81" s="46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spans="1:40" x14ac:dyDescent="0.25">
      <c r="A82" s="9"/>
      <c r="B82" s="9"/>
      <c r="C82" s="9"/>
      <c r="D82" s="46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 x14ac:dyDescent="0.25">
      <c r="A83" s="9"/>
      <c r="B83" s="9"/>
      <c r="C83" s="9"/>
      <c r="D83" s="46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spans="1:40" x14ac:dyDescent="0.25">
      <c r="A84" s="9"/>
      <c r="B84" s="9"/>
      <c r="C84" s="45"/>
      <c r="D84" s="46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 x14ac:dyDescent="0.25">
      <c r="A85" s="9"/>
      <c r="B85" s="9"/>
      <c r="C85" s="45"/>
      <c r="D85" s="46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spans="1:40" x14ac:dyDescent="0.25">
      <c r="A86" s="9"/>
      <c r="B86" s="9"/>
      <c r="C86" s="45"/>
      <c r="D86" s="46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spans="1:40" x14ac:dyDescent="0.25">
      <c r="A87" s="9"/>
      <c r="B87" s="9"/>
      <c r="C87" s="29"/>
      <c r="D87" s="46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spans="1:40" x14ac:dyDescent="0.25">
      <c r="A88" s="9"/>
      <c r="B88" s="9"/>
      <c r="C88" s="45"/>
      <c r="D88" s="46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spans="1:40" x14ac:dyDescent="0.25">
      <c r="A89" s="9"/>
      <c r="B89" s="9"/>
      <c r="C89" s="45"/>
      <c r="D89" s="46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</row>
    <row r="90" spans="1:40" x14ac:dyDescent="0.25">
      <c r="A90" s="9"/>
      <c r="B90" s="9"/>
      <c r="C90" s="45"/>
      <c r="D90" s="46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spans="1:40" x14ac:dyDescent="0.25">
      <c r="A91" s="9"/>
      <c r="B91" s="9"/>
      <c r="C91" s="45"/>
      <c r="D91" s="46"/>
      <c r="E91" s="9"/>
      <c r="F91" s="9"/>
      <c r="G91" s="9"/>
      <c r="H91" s="9"/>
      <c r="I91" s="9"/>
      <c r="J91" s="4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spans="1:40" x14ac:dyDescent="0.25">
      <c r="A92" s="9"/>
      <c r="B92" s="9"/>
      <c r="C92" s="45"/>
      <c r="D92" s="46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spans="1:40" x14ac:dyDescent="0.25">
      <c r="A93" s="9"/>
      <c r="B93" s="9"/>
      <c r="C93" s="45"/>
      <c r="D93" s="46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spans="1:40" x14ac:dyDescent="0.25">
      <c r="A94" s="9"/>
      <c r="B94" s="9"/>
      <c r="C94" s="45"/>
      <c r="D94" s="46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spans="1:40" x14ac:dyDescent="0.25">
      <c r="A95" s="9"/>
      <c r="B95" s="9"/>
      <c r="C95" s="45"/>
      <c r="D95" s="46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spans="1:40" x14ac:dyDescent="0.25">
      <c r="A96" s="9"/>
      <c r="B96" s="9"/>
      <c r="C96" s="45"/>
      <c r="D96" s="46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spans="1:40" x14ac:dyDescent="0.25">
      <c r="A97" s="9"/>
      <c r="B97" s="9"/>
      <c r="C97" s="45"/>
      <c r="D97" s="46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spans="1:40" x14ac:dyDescent="0.25">
      <c r="A98" s="9"/>
      <c r="B98" s="9"/>
      <c r="C98" s="45"/>
      <c r="D98" s="46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spans="1:40" x14ac:dyDescent="0.25">
      <c r="A99" s="9"/>
      <c r="B99" s="9"/>
      <c r="C99" s="45"/>
      <c r="D99" s="46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spans="1:40" x14ac:dyDescent="0.25">
      <c r="A100" s="9"/>
      <c r="B100" s="9"/>
      <c r="C100" s="45"/>
      <c r="D100" s="46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spans="1:40" x14ac:dyDescent="0.25">
      <c r="A101" s="9"/>
      <c r="B101" s="9"/>
      <c r="C101" s="45"/>
      <c r="D101" s="46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spans="1:40" x14ac:dyDescent="0.25">
      <c r="A102" s="9"/>
      <c r="B102" s="9"/>
      <c r="C102" s="45"/>
      <c r="D102" s="46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spans="1:40" x14ac:dyDescent="0.25">
      <c r="A103" s="9"/>
      <c r="B103" s="9"/>
      <c r="C103" s="45"/>
      <c r="D103" s="46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spans="1:40" x14ac:dyDescent="0.25">
      <c r="A104" s="9"/>
      <c r="B104" s="9"/>
      <c r="C104" s="45"/>
      <c r="D104" s="46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spans="1:40" x14ac:dyDescent="0.25">
      <c r="A105" s="9"/>
      <c r="B105" s="9"/>
      <c r="C105" s="45"/>
      <c r="D105" s="46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spans="1:40" x14ac:dyDescent="0.25">
      <c r="A106" s="9"/>
      <c r="B106" s="9"/>
      <c r="C106" s="45"/>
      <c r="D106" s="46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spans="1:40" x14ac:dyDescent="0.25">
      <c r="A107" s="9"/>
      <c r="B107" s="9"/>
      <c r="C107" s="45"/>
      <c r="D107" s="46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spans="1:40" x14ac:dyDescent="0.25">
      <c r="A108" s="9"/>
      <c r="B108" s="9"/>
      <c r="C108" s="45"/>
      <c r="D108" s="46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spans="1:40" x14ac:dyDescent="0.25">
      <c r="A109" s="9"/>
      <c r="B109" s="9"/>
      <c r="C109" s="45"/>
      <c r="D109" s="46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spans="1:40" x14ac:dyDescent="0.25">
      <c r="A110" s="9"/>
      <c r="B110" s="9"/>
      <c r="C110" s="45"/>
      <c r="D110" s="46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spans="1:40" x14ac:dyDescent="0.25">
      <c r="A111" s="9"/>
      <c r="B111" s="9"/>
      <c r="C111" s="45"/>
      <c r="D111" s="46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spans="1:40" x14ac:dyDescent="0.25">
      <c r="A112" s="9"/>
      <c r="B112" s="9"/>
      <c r="C112" s="45"/>
      <c r="D112" s="46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spans="1:40" x14ac:dyDescent="0.25">
      <c r="A113" s="9"/>
      <c r="B113" s="9"/>
      <c r="C113" s="45"/>
      <c r="D113" s="46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spans="1:40" x14ac:dyDescent="0.25">
      <c r="A114" s="9"/>
      <c r="B114" s="9"/>
      <c r="C114" s="45"/>
      <c r="D114" s="46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spans="1:40" x14ac:dyDescent="0.25">
      <c r="A115" s="9"/>
      <c r="B115" s="9"/>
      <c r="C115" s="45"/>
      <c r="D115" s="46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spans="1:40" x14ac:dyDescent="0.25">
      <c r="A116" s="9"/>
      <c r="B116" s="9"/>
      <c r="C116" s="45"/>
      <c r="D116" s="46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spans="1:40" x14ac:dyDescent="0.25">
      <c r="A117" s="9"/>
      <c r="B117" s="9"/>
      <c r="C117" s="45"/>
      <c r="D117" s="46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spans="1:40" x14ac:dyDescent="0.25">
      <c r="A118" s="9"/>
      <c r="B118" s="9"/>
      <c r="C118" s="45"/>
      <c r="D118" s="46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1:40" x14ac:dyDescent="0.25">
      <c r="A119" s="9"/>
      <c r="B119" s="9"/>
      <c r="C119" s="45"/>
      <c r="D119" s="46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spans="1:40" x14ac:dyDescent="0.25">
      <c r="A120" s="9"/>
      <c r="B120" s="9"/>
      <c r="C120" s="45"/>
      <c r="D120" s="46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spans="1:40" x14ac:dyDescent="0.25">
      <c r="A121" s="9"/>
      <c r="B121" s="9"/>
      <c r="C121" s="45"/>
      <c r="D121" s="46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spans="1:40" x14ac:dyDescent="0.25">
      <c r="A122" s="9"/>
      <c r="B122" s="9"/>
      <c r="C122" s="45"/>
      <c r="D122" s="46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spans="1:40" x14ac:dyDescent="0.25">
      <c r="A123" s="9"/>
      <c r="B123" s="9"/>
      <c r="C123" s="45"/>
      <c r="D123" s="46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spans="1:40" x14ac:dyDescent="0.25">
      <c r="A124" s="9"/>
      <c r="B124" s="9"/>
      <c r="C124" s="29"/>
      <c r="D124" s="46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spans="1:40" x14ac:dyDescent="0.25">
      <c r="A125" s="9"/>
      <c r="B125" s="9"/>
      <c r="C125" s="45"/>
      <c r="D125" s="46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spans="1:40" x14ac:dyDescent="0.25">
      <c r="A126" s="9"/>
      <c r="B126" s="9"/>
      <c r="C126" s="45"/>
      <c r="D126" s="46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spans="1:40" x14ac:dyDescent="0.25">
      <c r="A127" s="9"/>
      <c r="B127" s="9"/>
      <c r="C127" s="45"/>
      <c r="D127" s="46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1:40" x14ac:dyDescent="0.25">
      <c r="A128" s="9"/>
      <c r="B128" s="9"/>
      <c r="C128" s="45"/>
      <c r="D128" s="46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spans="1:40" x14ac:dyDescent="0.25">
      <c r="A129" s="9"/>
      <c r="B129" s="9"/>
      <c r="C129" s="45"/>
      <c r="D129" s="46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spans="1:40" x14ac:dyDescent="0.25">
      <c r="A130" s="9"/>
      <c r="B130" s="9"/>
      <c r="C130" s="45"/>
      <c r="D130" s="46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spans="1:40" x14ac:dyDescent="0.25">
      <c r="A131" s="9"/>
      <c r="B131" s="9"/>
      <c r="C131" s="45"/>
      <c r="D131" s="46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spans="1:40" x14ac:dyDescent="0.25">
      <c r="A132" s="9"/>
      <c r="B132" s="9"/>
      <c r="C132" s="45"/>
      <c r="D132" s="46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spans="1:40" x14ac:dyDescent="0.25">
      <c r="A133" s="9"/>
      <c r="B133" s="9"/>
      <c r="C133" s="45"/>
      <c r="D133" s="46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spans="1:40" x14ac:dyDescent="0.25">
      <c r="A134" s="9"/>
      <c r="B134" s="9"/>
      <c r="C134" s="45"/>
      <c r="D134" s="46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spans="1:40" x14ac:dyDescent="0.25">
      <c r="A135" s="9"/>
      <c r="B135" s="9"/>
      <c r="C135" s="45"/>
      <c r="D135" s="46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spans="1:40" x14ac:dyDescent="0.25">
      <c r="A136" s="9"/>
      <c r="B136" s="9"/>
      <c r="C136" s="45"/>
      <c r="D136" s="46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1:40" x14ac:dyDescent="0.25">
      <c r="A137" s="9"/>
      <c r="B137" s="9"/>
      <c r="C137" s="45"/>
      <c r="D137" s="46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1:40" x14ac:dyDescent="0.25">
      <c r="A138" s="9"/>
      <c r="B138" s="9"/>
      <c r="C138" s="45"/>
      <c r="D138" s="46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spans="1:40" x14ac:dyDescent="0.25">
      <c r="A139" s="9"/>
      <c r="B139" s="9"/>
      <c r="C139" s="45"/>
      <c r="D139" s="46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spans="1:40" x14ac:dyDescent="0.25">
      <c r="A140" s="9"/>
      <c r="B140" s="9"/>
      <c r="C140" s="45"/>
      <c r="D140" s="46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spans="1:40" x14ac:dyDescent="0.25">
      <c r="A141" s="9"/>
      <c r="B141" s="9"/>
      <c r="C141" s="45"/>
      <c r="D141" s="46"/>
      <c r="E141" s="9"/>
      <c r="F141" s="9"/>
      <c r="G141" s="9"/>
      <c r="H141" s="9"/>
      <c r="I141" s="9"/>
      <c r="J141" s="4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spans="1:40" x14ac:dyDescent="0.25">
      <c r="A142" s="9"/>
      <c r="B142" s="9"/>
      <c r="C142" s="45"/>
      <c r="D142" s="46"/>
      <c r="E142" s="9"/>
      <c r="F142" s="9"/>
      <c r="G142" s="9"/>
      <c r="H142" s="9"/>
      <c r="I142" s="9"/>
      <c r="J142" s="4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spans="1:40" x14ac:dyDescent="0.25">
      <c r="A143" s="9"/>
      <c r="B143" s="9"/>
      <c r="C143" s="45"/>
      <c r="D143" s="46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spans="1:40" x14ac:dyDescent="0.25">
      <c r="A144" s="9"/>
      <c r="B144" s="9"/>
      <c r="C144" s="45"/>
      <c r="D144" s="46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spans="1:40" x14ac:dyDescent="0.25">
      <c r="A145" s="9"/>
      <c r="B145" s="9"/>
      <c r="C145" s="45"/>
      <c r="D145" s="46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1:40" x14ac:dyDescent="0.25">
      <c r="A146" s="9"/>
      <c r="B146" s="9"/>
      <c r="C146" s="45"/>
      <c r="D146" s="46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1:40" x14ac:dyDescent="0.25">
      <c r="A147" s="9"/>
      <c r="B147" s="9"/>
      <c r="C147" s="45"/>
      <c r="D147" s="46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spans="1:40" x14ac:dyDescent="0.25">
      <c r="A148" s="9"/>
      <c r="B148" s="9"/>
      <c r="C148" s="45"/>
      <c r="D148" s="46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spans="1:40" x14ac:dyDescent="0.25">
      <c r="A149" s="9"/>
      <c r="B149" s="9"/>
      <c r="C149" s="45"/>
      <c r="D149" s="46"/>
      <c r="E149" s="9"/>
      <c r="F149" s="9"/>
      <c r="G149" s="45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spans="1:40" x14ac:dyDescent="0.25">
      <c r="A150" s="9"/>
      <c r="B150" s="9"/>
      <c r="C150" s="45"/>
      <c r="D150" s="46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spans="1:40" x14ac:dyDescent="0.25">
      <c r="A151" s="9"/>
      <c r="B151" s="9"/>
      <c r="C151" s="45"/>
      <c r="D151" s="46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spans="1:40" x14ac:dyDescent="0.25">
      <c r="A152" s="9"/>
      <c r="B152" s="9"/>
      <c r="C152" s="45"/>
      <c r="D152" s="46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spans="1:40" x14ac:dyDescent="0.25">
      <c r="A153" s="9"/>
      <c r="B153" s="9"/>
      <c r="C153" s="45"/>
      <c r="D153" s="46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spans="1:40" x14ac:dyDescent="0.25">
      <c r="A154" s="9"/>
      <c r="B154" s="9"/>
      <c r="C154" s="45"/>
      <c r="D154" s="46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spans="1:40" x14ac:dyDescent="0.25">
      <c r="A155" s="9"/>
      <c r="B155" s="9"/>
      <c r="C155" s="45"/>
      <c r="D155" s="46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1:40" x14ac:dyDescent="0.25">
      <c r="A156" s="9"/>
      <c r="B156" s="9"/>
      <c r="C156" s="45"/>
      <c r="D156" s="46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1:40" x14ac:dyDescent="0.25">
      <c r="A157" s="9"/>
      <c r="B157" s="9"/>
      <c r="C157" s="45"/>
      <c r="D157" s="46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spans="1:40" x14ac:dyDescent="0.25">
      <c r="A158" s="9"/>
      <c r="B158" s="9"/>
      <c r="C158" s="45"/>
      <c r="D158" s="46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spans="1:40" x14ac:dyDescent="0.25">
      <c r="A159" s="9"/>
      <c r="B159" s="9"/>
      <c r="C159" s="45"/>
      <c r="D159" s="46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spans="1:40" x14ac:dyDescent="0.25">
      <c r="A160" s="9"/>
      <c r="B160" s="9"/>
      <c r="C160" s="45"/>
      <c r="D160" s="46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spans="1:40" x14ac:dyDescent="0.25">
      <c r="A161" s="9"/>
      <c r="B161" s="9"/>
      <c r="C161" s="45"/>
      <c r="D161" s="46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spans="1:40" x14ac:dyDescent="0.25">
      <c r="A162" s="9"/>
      <c r="B162" s="9"/>
      <c r="C162" s="45"/>
      <c r="D162" s="46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spans="1:40" x14ac:dyDescent="0.25">
      <c r="A163" s="9"/>
      <c r="B163" s="9"/>
      <c r="C163" s="45"/>
      <c r="D163" s="46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spans="1:40" x14ac:dyDescent="0.25">
      <c r="A164" s="9"/>
      <c r="B164" s="9"/>
      <c r="C164" s="45"/>
      <c r="D164" s="46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1:40" x14ac:dyDescent="0.25">
      <c r="A165" s="9"/>
      <c r="B165" s="9"/>
      <c r="C165" s="45"/>
      <c r="D165" s="46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1:40" x14ac:dyDescent="0.25">
      <c r="A166" s="9"/>
      <c r="B166" s="9"/>
      <c r="C166" s="45"/>
      <c r="D166" s="46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spans="1:40" x14ac:dyDescent="0.25">
      <c r="A167" s="9"/>
      <c r="B167" s="9"/>
      <c r="C167" s="45"/>
      <c r="D167" s="46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spans="1:40" x14ac:dyDescent="0.25">
      <c r="A168" s="9"/>
      <c r="B168" s="9"/>
      <c r="C168" s="45"/>
      <c r="D168" s="46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spans="1:40" x14ac:dyDescent="0.25">
      <c r="A169" s="9"/>
      <c r="B169" s="9"/>
      <c r="C169" s="45"/>
      <c r="D169" s="46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spans="1:40" x14ac:dyDescent="0.25">
      <c r="A170" s="9"/>
      <c r="B170" s="9"/>
      <c r="C170" s="45"/>
      <c r="D170" s="46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spans="1:40" x14ac:dyDescent="0.25">
      <c r="A171" s="9"/>
      <c r="B171" s="9"/>
      <c r="C171" s="45"/>
      <c r="D171" s="46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spans="1:40" x14ac:dyDescent="0.25">
      <c r="A172" s="9"/>
      <c r="B172" s="9"/>
      <c r="C172" s="45"/>
      <c r="D172" s="46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spans="1:40" x14ac:dyDescent="0.25">
      <c r="A173" s="9"/>
      <c r="B173" s="9"/>
      <c r="C173" s="45"/>
      <c r="D173" s="46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spans="1:40" x14ac:dyDescent="0.25">
      <c r="A174" s="9"/>
      <c r="B174" s="9"/>
      <c r="C174" s="45"/>
      <c r="D174" s="46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spans="1:40" x14ac:dyDescent="0.25">
      <c r="A175" s="9"/>
      <c r="B175" s="9"/>
      <c r="C175" s="45"/>
      <c r="D175" s="46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spans="1:40" x14ac:dyDescent="0.25">
      <c r="A176" s="9"/>
      <c r="B176" s="9"/>
      <c r="C176" s="45"/>
      <c r="D176" s="46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spans="1:40" x14ac:dyDescent="0.25">
      <c r="A177" s="9"/>
      <c r="B177" s="9"/>
      <c r="C177" s="45"/>
      <c r="D177" s="46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spans="1:40" x14ac:dyDescent="0.25">
      <c r="A178" s="9"/>
      <c r="B178" s="9"/>
      <c r="C178" s="45"/>
      <c r="D178" s="46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spans="1:40" x14ac:dyDescent="0.25">
      <c r="A179" s="9"/>
      <c r="B179" s="9"/>
      <c r="C179" s="45"/>
      <c r="D179" s="46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spans="1:40" x14ac:dyDescent="0.25">
      <c r="A180" s="9"/>
      <c r="B180" s="9"/>
      <c r="C180" s="45"/>
      <c r="D180" s="46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spans="1:40" x14ac:dyDescent="0.25">
      <c r="A181" s="9"/>
      <c r="B181" s="9"/>
      <c r="C181" s="45"/>
      <c r="D181" s="46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spans="1:40" x14ac:dyDescent="0.25">
      <c r="A182" s="9"/>
      <c r="B182" s="9"/>
      <c r="C182" s="45"/>
      <c r="D182" s="46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spans="1:40" x14ac:dyDescent="0.25">
      <c r="A183" s="9"/>
      <c r="B183" s="9"/>
      <c r="C183" s="45"/>
      <c r="D183" s="46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spans="1:40" x14ac:dyDescent="0.25">
      <c r="A184" s="9"/>
      <c r="B184" s="9"/>
      <c r="C184" s="45"/>
      <c r="D184" s="46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spans="1:40" x14ac:dyDescent="0.25">
      <c r="A185" s="9"/>
      <c r="B185" s="9"/>
      <c r="C185" s="45"/>
      <c r="D185" s="46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spans="1:40" x14ac:dyDescent="0.25">
      <c r="A186" s="9"/>
      <c r="B186" s="9"/>
      <c r="C186" s="45"/>
      <c r="D186" s="46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spans="1:40" x14ac:dyDescent="0.25">
      <c r="A187" s="9"/>
      <c r="B187" s="9"/>
      <c r="C187" s="45"/>
      <c r="D187" s="46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spans="1:40" x14ac:dyDescent="0.25">
      <c r="A188" s="9"/>
      <c r="B188" s="9"/>
      <c r="C188" s="45"/>
      <c r="D188" s="46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spans="1:40" x14ac:dyDescent="0.25">
      <c r="A189" s="9"/>
      <c r="B189" s="9"/>
      <c r="C189" s="45"/>
      <c r="D189" s="46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spans="1:40" x14ac:dyDescent="0.25">
      <c r="A190" s="9"/>
      <c r="B190" s="9"/>
      <c r="C190" s="45"/>
      <c r="D190" s="46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spans="1:40" x14ac:dyDescent="0.25">
      <c r="A191" s="9"/>
      <c r="B191" s="9"/>
      <c r="C191" s="45"/>
      <c r="D191" s="46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spans="1:40" x14ac:dyDescent="0.25">
      <c r="A192" s="9"/>
      <c r="B192" s="9"/>
      <c r="C192" s="45"/>
      <c r="D192" s="46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spans="1:40" x14ac:dyDescent="0.25">
      <c r="A193" s="9"/>
      <c r="B193" s="9"/>
      <c r="C193" s="45"/>
      <c r="D193" s="46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spans="1:40" x14ac:dyDescent="0.25">
      <c r="A194" s="9"/>
      <c r="B194" s="9"/>
      <c r="C194" s="45"/>
      <c r="D194" s="46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spans="1:40" x14ac:dyDescent="0.25">
      <c r="A195" s="9"/>
      <c r="B195" s="9"/>
      <c r="C195" s="45"/>
      <c r="D195" s="46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spans="1:40" x14ac:dyDescent="0.25">
      <c r="A196" s="9"/>
      <c r="B196" s="9"/>
      <c r="C196" s="45"/>
      <c r="D196" s="46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spans="1:40" x14ac:dyDescent="0.25">
      <c r="A197" s="9"/>
      <c r="B197" s="9"/>
      <c r="C197" s="45"/>
      <c r="D197" s="46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spans="1:40" x14ac:dyDescent="0.25">
      <c r="A198" s="9"/>
      <c r="B198" s="9"/>
      <c r="C198" s="45"/>
      <c r="D198" s="46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spans="1:40" x14ac:dyDescent="0.25">
      <c r="A199" s="9"/>
      <c r="B199" s="9"/>
      <c r="C199" s="45"/>
      <c r="D199" s="46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spans="1:40" x14ac:dyDescent="0.25">
      <c r="A200" s="9"/>
      <c r="B200" s="9"/>
      <c r="C200" s="45"/>
      <c r="D200" s="46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spans="1:40" x14ac:dyDescent="0.25">
      <c r="A201" s="9"/>
      <c r="B201" s="9"/>
      <c r="C201" s="45"/>
      <c r="D201" s="46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spans="1:40" x14ac:dyDescent="0.25">
      <c r="A202" s="9"/>
      <c r="B202" s="9"/>
      <c r="C202" s="45"/>
      <c r="D202" s="46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spans="1:40" x14ac:dyDescent="0.25">
      <c r="A203" s="9"/>
      <c r="B203" s="9"/>
      <c r="C203" s="45"/>
      <c r="D203" s="46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spans="1:40" x14ac:dyDescent="0.25">
      <c r="A204" s="9"/>
      <c r="B204" s="9"/>
      <c r="C204" s="45"/>
      <c r="D204" s="46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spans="1:40" x14ac:dyDescent="0.25">
      <c r="A205" s="9"/>
      <c r="B205" s="9"/>
      <c r="C205" s="45"/>
      <c r="D205" s="46"/>
      <c r="E205" s="3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spans="1:40" x14ac:dyDescent="0.25">
      <c r="A206" s="9"/>
      <c r="B206" s="9"/>
      <c r="C206" s="45"/>
      <c r="D206" s="46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spans="1:40" x14ac:dyDescent="0.25">
      <c r="A207" s="9"/>
      <c r="B207" s="9"/>
      <c r="C207" s="45"/>
      <c r="D207" s="46"/>
      <c r="E207" s="3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spans="1:40" x14ac:dyDescent="0.25">
      <c r="A208" s="9"/>
      <c r="B208" s="9"/>
      <c r="C208" s="45"/>
      <c r="D208" s="46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spans="1:40" x14ac:dyDescent="0.25">
      <c r="A209" s="9"/>
      <c r="B209" s="9"/>
      <c r="C209" s="45"/>
      <c r="D209" s="46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spans="1:40" x14ac:dyDescent="0.25">
      <c r="A210" s="9"/>
      <c r="B210" s="9"/>
      <c r="C210" s="45"/>
      <c r="D210" s="46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48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spans="1:40" x14ac:dyDescent="0.25">
      <c r="A211" s="9"/>
      <c r="B211" s="9"/>
      <c r="C211" s="45"/>
      <c r="D211" s="46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spans="1:40" x14ac:dyDescent="0.25">
      <c r="A212" s="9"/>
      <c r="B212" s="9"/>
      <c r="C212" s="45"/>
      <c r="D212" s="46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spans="1:40" x14ac:dyDescent="0.25">
      <c r="A213" s="9"/>
      <c r="B213" s="9"/>
      <c r="C213" s="45"/>
      <c r="D213" s="46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spans="1:40" x14ac:dyDescent="0.25">
      <c r="A214" s="9"/>
      <c r="B214" s="9"/>
      <c r="C214" s="45"/>
      <c r="D214" s="46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spans="1:40" x14ac:dyDescent="0.25">
      <c r="A215" s="9"/>
      <c r="B215" s="9"/>
      <c r="C215" s="45"/>
      <c r="D215" s="46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spans="1:40" x14ac:dyDescent="0.25">
      <c r="A216" s="9"/>
      <c r="B216" s="9"/>
      <c r="C216" s="45"/>
      <c r="D216" s="46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spans="1:40" x14ac:dyDescent="0.25">
      <c r="A217" s="9"/>
      <c r="B217" s="9"/>
      <c r="C217" s="45"/>
      <c r="D217" s="46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spans="1:40" x14ac:dyDescent="0.25">
      <c r="A218" s="9"/>
      <c r="B218" s="9"/>
      <c r="C218" s="45"/>
      <c r="D218" s="46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spans="1:40" x14ac:dyDescent="0.25">
      <c r="A219" s="9"/>
      <c r="B219" s="9"/>
      <c r="C219" s="45"/>
      <c r="D219" s="46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spans="1:40" x14ac:dyDescent="0.25">
      <c r="A220" s="9"/>
      <c r="B220" s="9"/>
      <c r="C220" s="45"/>
      <c r="D220" s="46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spans="1:40" x14ac:dyDescent="0.25">
      <c r="A221" s="9"/>
      <c r="B221" s="9"/>
      <c r="C221" s="45"/>
      <c r="D221" s="46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spans="1:40" x14ac:dyDescent="0.25">
      <c r="A222" s="9"/>
      <c r="B222" s="9"/>
      <c r="C222" s="45"/>
      <c r="D222" s="46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spans="1:40" x14ac:dyDescent="0.25">
      <c r="A223" s="9"/>
      <c r="B223" s="9"/>
      <c r="C223" s="45"/>
      <c r="D223" s="46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spans="1:40" x14ac:dyDescent="0.25">
      <c r="A224" s="9"/>
      <c r="B224" s="9"/>
      <c r="C224" s="45"/>
      <c r="D224" s="46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spans="1:40" x14ac:dyDescent="0.25">
      <c r="A225" s="9"/>
      <c r="B225" s="9"/>
      <c r="C225" s="45"/>
      <c r="D225" s="46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spans="1:40" x14ac:dyDescent="0.25">
      <c r="A226" s="9"/>
      <c r="B226" s="9"/>
      <c r="C226" s="45"/>
      <c r="D226" s="46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spans="1:40" x14ac:dyDescent="0.25">
      <c r="A227" s="9"/>
      <c r="B227" s="9"/>
      <c r="C227" s="45"/>
      <c r="D227" s="46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spans="1:40" x14ac:dyDescent="0.25">
      <c r="A228" s="9"/>
      <c r="B228" s="9"/>
      <c r="C228" s="45"/>
      <c r="D228" s="46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spans="1:40" x14ac:dyDescent="0.25">
      <c r="A229" s="9"/>
      <c r="B229" s="9"/>
      <c r="C229" s="45"/>
      <c r="D229" s="46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spans="1:40" x14ac:dyDescent="0.25">
      <c r="A230" s="9"/>
      <c r="B230" s="9"/>
      <c r="C230" s="45"/>
      <c r="D230" s="46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spans="1:40" x14ac:dyDescent="0.25">
      <c r="A231" s="9"/>
      <c r="B231" s="9"/>
      <c r="C231" s="45"/>
      <c r="D231" s="46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spans="1:40" x14ac:dyDescent="0.25">
      <c r="A232" s="9"/>
      <c r="B232" s="9"/>
      <c r="C232" s="45"/>
      <c r="D232" s="46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spans="1:40" x14ac:dyDescent="0.25">
      <c r="A233" s="9"/>
      <c r="B233" s="9"/>
      <c r="C233" s="45"/>
      <c r="D233" s="46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spans="1:40" x14ac:dyDescent="0.25">
      <c r="A234" s="9"/>
      <c r="B234" s="9"/>
      <c r="C234" s="45"/>
      <c r="D234" s="46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spans="1:40" x14ac:dyDescent="0.25">
      <c r="A235" s="9"/>
      <c r="B235" s="9"/>
      <c r="C235" s="45"/>
      <c r="D235" s="46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spans="1:40" x14ac:dyDescent="0.25">
      <c r="A236" s="9"/>
      <c r="B236" s="9"/>
      <c r="C236" s="45"/>
      <c r="D236" s="46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spans="1:40" x14ac:dyDescent="0.25">
      <c r="A237" s="9"/>
      <c r="B237" s="9"/>
      <c r="C237" s="45"/>
      <c r="D237" s="46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spans="1:40" x14ac:dyDescent="0.25">
      <c r="A238" s="9"/>
      <c r="B238" s="9"/>
      <c r="C238" s="45"/>
      <c r="D238" s="46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spans="1:40" x14ac:dyDescent="0.25">
      <c r="A239" s="9"/>
      <c r="B239" s="9"/>
      <c r="C239" s="45"/>
      <c r="D239" s="46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spans="1:40" x14ac:dyDescent="0.25">
      <c r="A240" s="9"/>
      <c r="B240" s="9"/>
      <c r="C240" s="45"/>
      <c r="D240" s="46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spans="1:40" x14ac:dyDescent="0.25">
      <c r="A241" s="9"/>
      <c r="B241" s="9"/>
      <c r="C241" s="45"/>
      <c r="D241" s="46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spans="1:40" x14ac:dyDescent="0.25">
      <c r="A242" s="9"/>
      <c r="B242" s="9"/>
      <c r="C242" s="45"/>
      <c r="D242" s="46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spans="1:40" x14ac:dyDescent="0.25">
      <c r="A243" s="9"/>
      <c r="B243" s="9"/>
      <c r="C243" s="45"/>
      <c r="D243" s="46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spans="1:40" x14ac:dyDescent="0.25">
      <c r="A244" s="9"/>
      <c r="B244" s="9"/>
      <c r="C244" s="45"/>
      <c r="D244" s="46"/>
      <c r="E244" s="9"/>
      <c r="F244" s="9"/>
      <c r="G244" s="9"/>
      <c r="H244" s="9"/>
      <c r="I244" s="9"/>
      <c r="J244" s="47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spans="1:40" x14ac:dyDescent="0.25">
      <c r="A245" s="9"/>
      <c r="B245" s="9"/>
      <c r="C245" s="45"/>
      <c r="D245" s="46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spans="1:40" x14ac:dyDescent="0.25">
      <c r="A246" s="9"/>
      <c r="B246" s="9"/>
      <c r="C246" s="45"/>
      <c r="D246" s="46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spans="1:40" x14ac:dyDescent="0.25">
      <c r="A247" s="9"/>
      <c r="B247" s="9"/>
      <c r="C247" s="45"/>
      <c r="D247" s="46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spans="1:40" x14ac:dyDescent="0.25">
      <c r="A248" s="9"/>
      <c r="B248" s="9"/>
      <c r="C248" s="45"/>
      <c r="D248" s="46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spans="1:40" x14ac:dyDescent="0.25">
      <c r="A249" s="9"/>
      <c r="B249" s="9"/>
      <c r="C249" s="45"/>
      <c r="D249" s="46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spans="1:40" x14ac:dyDescent="0.25">
      <c r="A250" s="9"/>
      <c r="B250" s="9"/>
      <c r="C250" s="45"/>
      <c r="D250" s="46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spans="1:40" x14ac:dyDescent="0.25">
      <c r="A251" s="9"/>
      <c r="B251" s="9"/>
      <c r="C251" s="45"/>
      <c r="D251" s="46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spans="1:40" x14ac:dyDescent="0.25">
      <c r="A252" s="9"/>
      <c r="B252" s="9"/>
      <c r="C252" s="45"/>
      <c r="D252" s="46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spans="1:40" x14ac:dyDescent="0.25">
      <c r="A253" s="9"/>
      <c r="B253" s="9"/>
      <c r="C253" s="45"/>
      <c r="D253" s="46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spans="1:40" x14ac:dyDescent="0.25">
      <c r="A254" s="9"/>
      <c r="B254" s="9"/>
      <c r="C254" s="45"/>
      <c r="D254" s="46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spans="1:40" x14ac:dyDescent="0.25">
      <c r="A255" s="9"/>
      <c r="B255" s="9"/>
      <c r="C255" s="45"/>
      <c r="D255" s="46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spans="1:40" x14ac:dyDescent="0.25">
      <c r="A256" s="9"/>
      <c r="B256" s="9"/>
      <c r="C256" s="45"/>
      <c r="D256" s="46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spans="1:40" x14ac:dyDescent="0.25">
      <c r="A257" s="9"/>
      <c r="B257" s="9"/>
      <c r="C257" s="45"/>
      <c r="D257" s="46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spans="1:40" x14ac:dyDescent="0.25">
      <c r="A258" s="9"/>
      <c r="B258" s="9"/>
      <c r="C258" s="45"/>
      <c r="D258" s="46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spans="1:40" x14ac:dyDescent="0.25">
      <c r="A259" s="9"/>
      <c r="B259" s="9"/>
      <c r="C259" s="45"/>
      <c r="D259" s="46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spans="1:40" x14ac:dyDescent="0.25">
      <c r="A260" s="9"/>
      <c r="B260" s="9"/>
      <c r="C260" s="45"/>
      <c r="D260" s="46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spans="1:40" x14ac:dyDescent="0.25">
      <c r="A261" s="9"/>
      <c r="B261" s="9"/>
      <c r="C261" s="45"/>
      <c r="D261" s="46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spans="1:40" x14ac:dyDescent="0.25">
      <c r="A262" s="9"/>
      <c r="B262" s="9"/>
      <c r="C262" s="45"/>
      <c r="D262" s="46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spans="1:40" x14ac:dyDescent="0.25">
      <c r="A263" s="9"/>
      <c r="B263" s="9"/>
      <c r="C263" s="45"/>
      <c r="D263" s="46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spans="1:40" x14ac:dyDescent="0.25">
      <c r="A264" s="9"/>
      <c r="B264" s="9"/>
      <c r="C264" s="45"/>
      <c r="D264" s="46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spans="1:40" x14ac:dyDescent="0.25">
      <c r="A265" s="9"/>
      <c r="B265" s="9"/>
      <c r="C265" s="45"/>
      <c r="D265" s="46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spans="1:40" x14ac:dyDescent="0.25">
      <c r="A266" s="9"/>
      <c r="B266" s="9"/>
      <c r="C266" s="45"/>
      <c r="D266" s="46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spans="1:40" x14ac:dyDescent="0.25">
      <c r="A267" s="9"/>
      <c r="B267" s="9"/>
      <c r="C267" s="45"/>
      <c r="D267" s="46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spans="1:40" x14ac:dyDescent="0.25">
      <c r="A268" s="9"/>
      <c r="B268" s="9"/>
      <c r="C268" s="45"/>
      <c r="D268" s="46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spans="1:40" x14ac:dyDescent="0.25">
      <c r="A269" s="9"/>
      <c r="B269" s="9"/>
      <c r="C269" s="45"/>
      <c r="D269" s="46"/>
      <c r="E269" s="9"/>
      <c r="F269" s="9"/>
      <c r="G269" s="9"/>
      <c r="H269" s="9"/>
      <c r="I269" s="9"/>
      <c r="J269" s="47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spans="1:40" x14ac:dyDescent="0.25">
      <c r="A270" s="9"/>
      <c r="B270" s="9"/>
      <c r="C270" s="45"/>
      <c r="D270" s="46"/>
      <c r="E270" s="9"/>
      <c r="F270" s="9"/>
      <c r="G270" s="9"/>
      <c r="H270" s="9"/>
      <c r="I270" s="9"/>
      <c r="J270" s="47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spans="1:40" x14ac:dyDescent="0.25">
      <c r="A271" s="9"/>
      <c r="B271" s="9"/>
      <c r="C271" s="45"/>
      <c r="D271" s="46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spans="1:40" x14ac:dyDescent="0.25">
      <c r="A272" s="9"/>
      <c r="B272" s="9"/>
      <c r="C272" s="45"/>
      <c r="D272" s="46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spans="1:40" x14ac:dyDescent="0.25">
      <c r="A273" s="9"/>
      <c r="B273" s="9"/>
      <c r="C273" s="45"/>
      <c r="D273" s="46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spans="1:40" x14ac:dyDescent="0.25">
      <c r="A274" s="9"/>
      <c r="B274" s="9"/>
      <c r="C274" s="45"/>
      <c r="D274" s="46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spans="1:40" x14ac:dyDescent="0.25">
      <c r="A275" s="9"/>
      <c r="B275" s="9"/>
      <c r="C275" s="45"/>
      <c r="D275" s="46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spans="1:40" x14ac:dyDescent="0.25">
      <c r="A276" s="9"/>
      <c r="B276" s="9"/>
      <c r="C276" s="45"/>
      <c r="D276" s="46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spans="1:40" x14ac:dyDescent="0.25">
      <c r="A277" s="9"/>
      <c r="B277" s="9"/>
      <c r="C277" s="45"/>
      <c r="D277" s="46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spans="1:40" x14ac:dyDescent="0.25">
      <c r="A278" s="9"/>
      <c r="B278" s="9"/>
      <c r="C278" s="45"/>
      <c r="D278" s="46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spans="1:40" x14ac:dyDescent="0.25">
      <c r="A279" s="9"/>
      <c r="B279" s="9"/>
      <c r="C279" s="45"/>
      <c r="D279" s="46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</row>
    <row r="280" spans="1:40" x14ac:dyDescent="0.25">
      <c r="A280" s="9"/>
      <c r="B280" s="9"/>
      <c r="C280" s="45"/>
      <c r="D280" s="46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</row>
    <row r="281" spans="1:40" x14ac:dyDescent="0.25">
      <c r="A281" s="9"/>
      <c r="B281" s="9"/>
      <c r="C281" s="45"/>
      <c r="D281" s="46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</row>
    <row r="282" spans="1:40" x14ac:dyDescent="0.25">
      <c r="A282" s="9"/>
      <c r="B282" s="9"/>
      <c r="C282" s="45"/>
      <c r="D282" s="46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</row>
    <row r="283" spans="1:40" x14ac:dyDescent="0.25">
      <c r="A283" s="9"/>
      <c r="B283" s="9"/>
      <c r="C283" s="45"/>
      <c r="D283" s="46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</row>
    <row r="284" spans="1:40" x14ac:dyDescent="0.25">
      <c r="A284" s="9"/>
      <c r="B284" s="9"/>
      <c r="C284" s="45"/>
      <c r="D284" s="46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</row>
    <row r="285" spans="1:40" x14ac:dyDescent="0.25">
      <c r="A285" s="9"/>
      <c r="B285" s="9"/>
      <c r="C285" s="45"/>
      <c r="D285" s="46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</row>
    <row r="286" spans="1:40" x14ac:dyDescent="0.25">
      <c r="A286" s="9"/>
      <c r="B286" s="9"/>
      <c r="C286" s="45"/>
      <c r="D286" s="46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</row>
    <row r="287" spans="1:40" x14ac:dyDescent="0.25">
      <c r="A287" s="9"/>
      <c r="B287" s="9"/>
      <c r="C287" s="45"/>
      <c r="D287" s="46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spans="1:40" x14ac:dyDescent="0.25">
      <c r="A288" s="9"/>
      <c r="B288" s="9"/>
      <c r="C288" s="45"/>
      <c r="D288" s="46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spans="1:40" x14ac:dyDescent="0.25">
      <c r="A289" s="9"/>
      <c r="B289" s="9"/>
      <c r="C289" s="45"/>
      <c r="D289" s="46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</row>
    <row r="290" spans="1:40" x14ac:dyDescent="0.25">
      <c r="A290" s="9"/>
      <c r="B290" s="9"/>
      <c r="C290" s="45"/>
      <c r="D290" s="46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</row>
    <row r="291" spans="1:40" x14ac:dyDescent="0.25">
      <c r="A291" s="9"/>
      <c r="B291" s="9"/>
      <c r="C291" s="45"/>
      <c r="D291" s="46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</row>
    <row r="292" spans="1:40" x14ac:dyDescent="0.25">
      <c r="A292" s="9"/>
      <c r="B292" s="9"/>
      <c r="C292" s="45"/>
      <c r="D292" s="46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</row>
    <row r="293" spans="1:40" x14ac:dyDescent="0.25">
      <c r="A293" s="9"/>
      <c r="B293" s="9"/>
      <c r="C293" s="45"/>
      <c r="D293" s="46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</row>
    <row r="294" spans="1:40" x14ac:dyDescent="0.25">
      <c r="A294" s="9"/>
      <c r="B294" s="9"/>
      <c r="C294" s="45"/>
      <c r="D294" s="46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</row>
    <row r="295" spans="1:40" x14ac:dyDescent="0.25">
      <c r="A295" s="9"/>
      <c r="B295" s="9"/>
      <c r="C295" s="45"/>
      <c r="D295" s="46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</row>
    <row r="296" spans="1:40" x14ac:dyDescent="0.25">
      <c r="A296" s="9"/>
      <c r="B296" s="9"/>
      <c r="C296" s="45"/>
      <c r="D296" s="46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</row>
    <row r="297" spans="1:40" x14ac:dyDescent="0.25">
      <c r="A297" s="9"/>
      <c r="B297" s="9"/>
      <c r="C297" s="45"/>
      <c r="D297" s="46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</row>
    <row r="298" spans="1:40" x14ac:dyDescent="0.25">
      <c r="A298" s="9"/>
      <c r="B298" s="9"/>
      <c r="C298" s="45"/>
      <c r="D298" s="46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</row>
    <row r="299" spans="1:40" x14ac:dyDescent="0.25">
      <c r="A299" s="9"/>
      <c r="B299" s="9"/>
      <c r="C299" s="45"/>
      <c r="D299" s="46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</row>
    <row r="300" spans="1:40" x14ac:dyDescent="0.25">
      <c r="A300" s="9"/>
      <c r="B300" s="9"/>
      <c r="C300" s="45"/>
      <c r="D300" s="46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</row>
    <row r="301" spans="1:40" x14ac:dyDescent="0.25">
      <c r="A301" s="9"/>
      <c r="B301" s="9"/>
      <c r="C301" s="45"/>
      <c r="D301" s="46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</row>
    <row r="302" spans="1:40" x14ac:dyDescent="0.25">
      <c r="A302" s="9"/>
      <c r="B302" s="9"/>
      <c r="C302" s="45"/>
      <c r="D302" s="46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</row>
    <row r="303" spans="1:40" x14ac:dyDescent="0.25">
      <c r="A303" s="9"/>
      <c r="B303" s="9"/>
      <c r="C303" s="45"/>
      <c r="D303" s="46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</row>
    <row r="304" spans="1:40" x14ac:dyDescent="0.25">
      <c r="A304" s="9"/>
      <c r="B304" s="9"/>
      <c r="C304" s="45"/>
      <c r="D304" s="46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</row>
    <row r="305" spans="1:40" x14ac:dyDescent="0.25">
      <c r="A305" s="9"/>
      <c r="B305" s="9"/>
      <c r="C305" s="45"/>
      <c r="D305" s="46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</row>
    <row r="306" spans="1:40" x14ac:dyDescent="0.25">
      <c r="A306" s="9"/>
      <c r="B306" s="9"/>
      <c r="C306" s="45"/>
      <c r="D306" s="46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</row>
    <row r="307" spans="1:40" x14ac:dyDescent="0.25">
      <c r="A307" s="9"/>
      <c r="B307" s="9"/>
      <c r="C307" s="45"/>
      <c r="D307" s="46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</row>
    <row r="308" spans="1:40" x14ac:dyDescent="0.25">
      <c r="A308" s="9"/>
      <c r="B308" s="9"/>
      <c r="C308" s="45"/>
      <c r="D308" s="46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</row>
    <row r="309" spans="1:40" x14ac:dyDescent="0.25">
      <c r="A309" s="9"/>
      <c r="B309" s="9"/>
      <c r="C309" s="45"/>
      <c r="D309" s="46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</row>
    <row r="310" spans="1:40" x14ac:dyDescent="0.25">
      <c r="A310" s="9"/>
      <c r="B310" s="9"/>
      <c r="C310" s="45"/>
      <c r="D310" s="46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</row>
    <row r="311" spans="1:40" x14ac:dyDescent="0.25">
      <c r="A311" s="9"/>
      <c r="B311" s="9"/>
      <c r="C311" s="45"/>
      <c r="D311" s="46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</row>
    <row r="312" spans="1:40" x14ac:dyDescent="0.25">
      <c r="A312" s="9"/>
      <c r="B312" s="9"/>
      <c r="C312" s="45"/>
      <c r="D312" s="46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</row>
    <row r="313" spans="1:40" x14ac:dyDescent="0.25">
      <c r="A313" s="9"/>
      <c r="B313" s="9"/>
      <c r="C313" s="45"/>
      <c r="D313" s="46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</row>
    <row r="314" spans="1:40" x14ac:dyDescent="0.25">
      <c r="A314" s="9"/>
      <c r="B314" s="9"/>
      <c r="C314" s="45"/>
      <c r="D314" s="46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</row>
    <row r="315" spans="1:40" x14ac:dyDescent="0.25">
      <c r="A315" s="9"/>
      <c r="B315" s="9"/>
      <c r="C315" s="45"/>
      <c r="D315" s="46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</row>
    <row r="316" spans="1:40" x14ac:dyDescent="0.25">
      <c r="A316" s="9"/>
      <c r="B316" s="9"/>
      <c r="C316" s="45"/>
      <c r="D316" s="46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workbookViewId="0">
      <selection sqref="A1:I11"/>
    </sheetView>
  </sheetViews>
  <sheetFormatPr defaultRowHeight="15" x14ac:dyDescent="0.25"/>
  <cols>
    <col min="1" max="9" width="29" customWidth="1"/>
    <col min="11" max="11" width="17" bestFit="1" customWidth="1"/>
    <col min="14" max="14" width="22.42578125" bestFit="1" customWidth="1"/>
    <col min="15" max="15" width="24.7109375" bestFit="1" customWidth="1"/>
    <col min="16" max="16" width="22.140625" bestFit="1" customWidth="1"/>
    <col min="23" max="23" width="32.5703125" bestFit="1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e">
        <f ca="1">_xlfn.XLOOKUP(IFERROR(VALUE(MID(CELL("filename",$A$1),FIND("]",CELL("filename",$A$1))+1,255)), MID(CELL("filename",$A$1),FIND("]",CELL("filename",$A$1))+1,255)), 'SUBSTATION LIST'!$A:$A, INDEX('SUBSTATION LIST'!$B:$CA, 0, ROW(A1)))</f>
        <v>#N/A</v>
      </c>
    </row>
    <row r="2" spans="1:20" x14ac:dyDescent="0.25">
      <c r="A2" s="5" t="s">
        <v>1534</v>
      </c>
      <c r="B2" s="5"/>
      <c r="C2" s="5"/>
      <c r="D2" s="5"/>
      <c r="E2" s="5"/>
      <c r="F2" s="5"/>
      <c r="G2" s="5"/>
      <c r="H2" s="5"/>
      <c r="I2" s="5"/>
      <c r="N2" s="6" t="s">
        <v>1692</v>
      </c>
      <c r="O2" s="6" t="s">
        <v>2</v>
      </c>
      <c r="P2" s="27" t="e">
        <f ca="1">_xlfn.XLOOKUP(IFERROR(VALUE(MID(CELL("filename",$A$1),FIND("]",CELL("filename",$A$1))+1,255)), MID(CELL("filename",$A$1),FIND("]",CELL("filename",$A$1))+1,255)), 'SUBSTATION LIST'!$A:$A, INDEX('SUBSTATION LIST'!$B:$CA, 0, ROW(A2)))</f>
        <v>#N/A</v>
      </c>
    </row>
    <row r="3" spans="1:20" x14ac:dyDescent="0.25">
      <c r="A3" s="5" t="s">
        <v>1535</v>
      </c>
      <c r="B3" s="5"/>
      <c r="C3" s="5"/>
      <c r="D3" s="5"/>
      <c r="E3" s="5"/>
      <c r="F3" s="5"/>
      <c r="G3" s="5"/>
      <c r="H3" s="5"/>
      <c r="I3" s="5"/>
      <c r="N3" s="6" t="s">
        <v>1693</v>
      </c>
      <c r="O3" s="6" t="s">
        <v>3</v>
      </c>
      <c r="P3" s="26" t="e">
        <f ca="1">_xlfn.XLOOKUP(IFERROR(VALUE(MID(CELL("filename",$A$1),FIND("]",CELL("filename",$A$1))+1,255)), MID(CELL("filename",$A$1),FIND("]",CELL("filename",$A$1))+1,255)), 'SUBSTATION LIST'!$A:$A, INDEX('SUBSTATION LIST'!$B:$CA, 0, ROW(A3)))</f>
        <v>#N/A</v>
      </c>
    </row>
    <row r="4" spans="1:20" x14ac:dyDescent="0.25">
      <c r="A4" s="5" t="s">
        <v>1536</v>
      </c>
      <c r="B4" s="5"/>
      <c r="C4" s="5"/>
      <c r="D4" s="5"/>
      <c r="E4" s="5"/>
      <c r="F4" s="5"/>
      <c r="G4" s="5"/>
      <c r="H4" s="5"/>
      <c r="I4" s="5"/>
      <c r="N4" s="6" t="s">
        <v>1694</v>
      </c>
      <c r="O4" s="6" t="s">
        <v>4</v>
      </c>
      <c r="P4" s="28" t="e">
        <f ca="1">_xlfn.XLOOKUP(IFERROR(VALUE(MID(CELL("filename",$A$1),FIND("]",CELL("filename",$A$1))+1,255)), MID(CELL("filename",$A$1),FIND("]",CELL("filename",$A$1))+1,255)), 'SUBSTATION LIST'!$A:$A, INDEX('SUBSTATION LIST'!$B:$CA, 0, ROW(A4)))</f>
        <v>#N/A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/>
      <c r="N5" s="6" t="s">
        <v>1695</v>
      </c>
      <c r="O5" s="6" t="s">
        <v>5</v>
      </c>
      <c r="P5" s="28" t="e">
        <f ca="1">_xlfn.XLOOKUP(IFERROR(VALUE(MID(CELL("filename",$A$1),FIND("]",CELL("filename",$A$1))+1,255)), MID(CELL("filename",$A$1),FIND("]",CELL("filename",$A$1))+1,255)), 'SUBSTATION LIST'!$A:$A, INDEX('SUBSTATION LIST'!$B:$CA, 0, ROW(A5)))</f>
        <v>#N/A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e">
        <f ca="1">_xlfn.XLOOKUP(IFERROR(VALUE(MID(CELL("filename",$A$1),FIND("]",CELL("filename",$A$1))+1,255)), MID(CELL("filename",$A$1),FIND("]",CELL("filename",$A$1))+1,255)), 'SUBSTATION LIST'!$A:$A, INDEX('SUBSTATION LIST'!$B:$CA, 0, ROW(A6)))</f>
        <v>#N/A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e">
        <f ca="1">_xlfn.XLOOKUP(IFERROR(VALUE(MID(CELL("filename",$A$1),FIND("]",CELL("filename",$A$1))+1,255)), MID(CELL("filename",$A$1),FIND("]",CELL("filename",$A$1))+1,255)), 'SUBSTATION LIST'!$A:$A, INDEX('SUBSTATION LIST'!$B:$CA, 0, ROW(A7)))</f>
        <v>#N/A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e">
        <f ca="1">_xlfn.XLOOKUP(IFERROR(VALUE(MID(CELL("filename",$A$1),FIND("]",CELL("filename",$A$1))+1,255)), MID(CELL("filename",$A$1),FIND("]",CELL("filename",$A$1))+1,255)), 'SUBSTATION LIST'!$A:$A, INDEX('SUBSTATION LIST'!$B:$CA, 0, ROW(A8)))</f>
        <v>#N/A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e">
        <f ca="1">_xlfn.XLOOKUP(IFERROR(VALUE(MID(CELL("filename",$A$1),FIND("]",CELL("filename",$A$1))+1,255)), MID(CELL("filename",$A$1),FIND("]",CELL("filename",$A$1))+1,255)), 'SUBSTATION LIST'!$A:$A, INDEX('SUBSTATION LIST'!$B:$CA, 0, ROW(A9)))</f>
        <v>#N/A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e">
        <f ca="1">_xlfn.XLOOKUP(IFERROR(VALUE(MID(CELL("filename",$A$1),FIND("]",CELL("filename",$A$1))+1,255)), MID(CELL("filename",$A$1),FIND("]",CELL("filename",$A$1))+1,255)), 'SUBSTATION LIST'!$A:$A, INDEX('SUBSTATION LIST'!$B:$CA, 0, ROW(A10)))</f>
        <v>#N/A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e">
        <f ca="1">_xlfn.XLOOKUP(IFERROR(VALUE(MID(CELL("filename",$A$1),FIND("]",CELL("filename",$A$1))+1,255)), MID(CELL("filename",$A$1),FIND("]",CELL("filename",$A$1))+1,255)), 'SUBSTATION LIST'!$A:$A, INDEX('SUBSTATION LIST'!$B:$CA, 0, ROW(A11)))</f>
        <v>#N/A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e">
        <f ca="1">_xlfn.XLOOKUP(IFERROR(VALUE(MID(CELL("filename",$A$1),FIND("]",CELL("filename",$A$1))+1,255)), MID(CELL("filename",$A$1),FIND("]",CELL("filename",$A$1))+1,255)), 'SUBSTATION LIST'!$A:$A, INDEX('SUBSTATION LIST'!$B:$CA, 0, ROW(A12)))</f>
        <v>#N/A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e">
        <f ca="1">_xlfn.XLOOKUP(IFERROR(VALUE(MID(CELL("filename",$A$1),FIND("]",CELL("filename",$A$1))+1,255)), MID(CELL("filename",$A$1),FIND("]",CELL("filename",$A$1))+1,255)), 'SUBSTATION LIST'!$A:$A, INDEX('SUBSTATION LIST'!$B:$CA, 0, ROW(A13)))</f>
        <v>#N/A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e">
        <f ca="1">_xlfn.XLOOKUP(IFERROR(VALUE(MID(CELL("filename",$A$1),FIND("]",CELL("filename",$A$1))+1,255)), MID(CELL("filename",$A$1),FIND("]",CELL("filename",$A$1))+1,255)), 'SUBSTATION LIST'!$A:$A, INDEX('SUBSTATION LIST'!$B:$CA, 0, ROW(A14)))</f>
        <v>#N/A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e">
        <f ca="1">_xlfn.XLOOKUP(IFERROR(VALUE(MID(CELL("filename",$A$1),FIND("]",CELL("filename",$A$1))+1,255)), MID(CELL("filename",$A$1),FIND("]",CELL("filename",$A$1))+1,255)), 'SUBSTATION LIST'!$A:$A, INDEX('SUBSTATION LIST'!$B:$CA, 0, ROW(A15)))</f>
        <v>#N/A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e">
        <f ca="1">_xlfn.XLOOKUP(IFERROR(VALUE(MID(CELL("filename",$A$1),FIND("]",CELL("filename",$A$1))+1,255)), MID(CELL("filename",$A$1),FIND("]",CELL("filename",$A$1))+1,255)), 'SUBSTATION LIST'!$A:$A, INDEX('SUBSTATION LIST'!$B:$CA, 0, ROW(A16)))</f>
        <v>#N/A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e">
        <f ca="1">_xlfn.XLOOKUP(IFERROR(VALUE(MID(CELL("filename",$A$1),FIND("]",CELL("filename",$A$1))+1,255)), MID(CELL("filename",$A$1),FIND("]",CELL("filename",$A$1))+1,255)), 'SUBSTATION LIST'!$A:$A, INDEX('SUBSTATION LIST'!$B:$CA, 0, ROW(A17)))</f>
        <v>#N/A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e">
        <f ca="1">_xlfn.XLOOKUP(IFERROR(VALUE(MID(CELL("filename",$A$1),FIND("]",CELL("filename",$A$1))+1,255)), MID(CELL("filename",$A$1),FIND("]",CELL("filename",$A$1))+1,255)), 'SUBSTATION LIST'!$A:$A, INDEX('SUBSTATION LIST'!$B:$CA, 0, ROW(A18)))</f>
        <v>#N/A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e">
        <f ca="1">_xlfn.XLOOKUP(IFERROR(VALUE(MID(CELL("filename",$A$1),FIND("]",CELL("filename",$A$1))+1,255)), MID(CELL("filename",$A$1),FIND("]",CELL("filename",$A$1))+1,255)), 'SUBSTATION LIST'!$A:$A, INDEX('SUBSTATION LIST'!$B:$CA, 0, ROW(A19)))</f>
        <v>#N/A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e">
        <f ca="1">_xlfn.XLOOKUP(IFERROR(VALUE(MID(CELL("filename",$A$1),FIND("]",CELL("filename",$A$1))+1,255)), MID(CELL("filename",$A$1),FIND("]",CELL("filename",$A$1))+1,255)), 'SUBSTATION LIST'!$A:$A, INDEX('SUBSTATION LIST'!$B:$CA, 0, ROW(A20)))</f>
        <v>#N/A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e">
        <f ca="1">_xlfn.XLOOKUP(IFERROR(VALUE(MID(CELL("filename",$A$1),FIND("]",CELL("filename",$A$1))+1,255)), MID(CELL("filename",$A$1),FIND("]",CELL("filename",$A$1))+1,255)), 'SUBSTATION LIST'!$A:$A, INDEX('SUBSTATION LIST'!$B:$CA, 0, ROW(A21)))</f>
        <v>#N/A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e">
        <f ca="1">_xlfn.XLOOKUP(IFERROR(VALUE(MID(CELL("filename",$A$1),FIND("]",CELL("filename",$A$1))+1,255)), MID(CELL("filename",$A$1),FIND("]",CELL("filename",$A$1))+1,255)), 'SUBSTATION LIST'!$A:$A, INDEX('SUBSTATION LIST'!$B:$CA, 0, ROW(A22)))</f>
        <v>#N/A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e">
        <f ca="1">_xlfn.XLOOKUP(IFERROR(VALUE(MID(CELL("filename",$A$1),FIND("]",CELL("filename",$A$1))+1,255)), MID(CELL("filename",$A$1),FIND("]",CELL("filename",$A$1))+1,255)), 'SUBSTATION LIST'!$A:$A, INDEX('SUBSTATION LIST'!$B:$CA, 0, ROW(A23)))</f>
        <v>#N/A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e">
        <f ca="1">_xlfn.XLOOKUP(IFERROR(VALUE(MID(CELL("filename",$A$1),FIND("]",CELL("filename",$A$1))+1,255)), MID(CELL("filename",$A$1),FIND("]",CELL("filename",$A$1))+1,255)), 'SUBSTATION LIST'!$A:$A, INDEX('SUBSTATION LIST'!$B:$CA, 0, ROW(A24)))</f>
        <v>#N/A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e">
        <f ca="1">_xlfn.XLOOKUP(IFERROR(VALUE(MID(CELL("filename",$A$1),FIND("]",CELL("filename",$A$1))+1,255)), MID(CELL("filename",$A$1),FIND("]",CELL("filename",$A$1))+1,255)), 'SUBSTATION LIST'!$A:$A, INDEX('SUBSTATION LIST'!$B:$CA, 0, ROW(A25)))</f>
        <v>#N/A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e">
        <f ca="1">_xlfn.XLOOKUP(IFERROR(VALUE(MID(CELL("filename",$A$1),FIND("]",CELL("filename",$A$1))+1,255)), MID(CELL("filename",$A$1),FIND("]",CELL("filename",$A$1))+1,255)), 'SUBSTATION LIST'!$A:$A, INDEX('SUBSTATION LIST'!$B:$CA, 0, ROW(A26)))</f>
        <v>#N/A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e">
        <f ca="1">_xlfn.XLOOKUP(IFERROR(VALUE(MID(CELL("filename",$A$1),FIND("]",CELL("filename",$A$1))+1,255)), MID(CELL("filename",$A$1),FIND("]",CELL("filename",$A$1))+1,255)), 'SUBSTATION LIST'!$A:$A, INDEX('SUBSTATION LIST'!$B:$CA, 0, ROW(A27)))</f>
        <v>#N/A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e">
        <f ca="1">_xlfn.XLOOKUP(IFERROR(VALUE(MID(CELL("filename",$A$1),FIND("]",CELL("filename",$A$1))+1,255)), MID(CELL("filename",$A$1),FIND("]",CELL("filename",$A$1))+1,255)), 'SUBSTATION LIST'!$A:$A, INDEX('SUBSTATION LIST'!$B:$CA, 0, ROW(A28)))</f>
        <v>#N/A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e">
        <f ca="1">_xlfn.XLOOKUP(IFERROR(VALUE(MID(CELL("filename",$A$1),FIND("]",CELL("filename",$A$1))+1,255)), MID(CELL("filename",$A$1),FIND("]",CELL("filename",$A$1))+1,255)), 'SUBSTATION LIST'!$A:$A, INDEX('SUBSTATION LIST'!$B:$CA, 0, ROW(A29)))</f>
        <v>#N/A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e">
        <f ca="1">_xlfn.XLOOKUP(IFERROR(VALUE(MID(CELL("filename",$A$1),FIND("]",CELL("filename",$A$1))+1,255)), MID(CELL("filename",$A$1),FIND("]",CELL("filename",$A$1))+1,255)), 'SUBSTATION LIST'!$A:$A, INDEX('SUBSTATION LIST'!$B:$CA, 0, ROW(A30)))</f>
        <v>#N/A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e">
        <f ca="1">_xlfn.XLOOKUP(IFERROR(VALUE(MID(CELL("filename",$A$1),FIND("]",CELL("filename",$A$1))+1,255)), MID(CELL("filename",$A$1),FIND("]",CELL("filename",$A$1))+1,255)), 'SUBSTATION LIST'!$A:$A, INDEX('SUBSTATION LIST'!$B:$CA, 0, ROW(A31)))</f>
        <v>#N/A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e">
        <f ca="1">_xlfn.XLOOKUP(IFERROR(VALUE(MID(CELL("filename",$A$1),FIND("]",CELL("filename",$A$1))+1,255)), MID(CELL("filename",$A$1),FIND("]",CELL("filename",$A$1))+1,255)), 'SUBSTATION LIST'!$A:$A, INDEX('SUBSTATION LIST'!$B:$CA, 0, ROW(A32)))</f>
        <v>#N/A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e">
        <f ca="1">_xlfn.XLOOKUP(IFERROR(VALUE(MID(CELL("filename",$A$1),FIND("]",CELL("filename",$A$1))+1,255)), MID(CELL("filename",$A$1),FIND("]",CELL("filename",$A$1))+1,255)), 'SUBSTATION LIST'!$A:$A, INDEX('SUBSTATION LIST'!$B:$CA, 0, ROW(A33)))</f>
        <v>#N/A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 t="e">
        <f ca="1">_xlfn.XLOOKUP(IFERROR(VALUE(MID(CELL("filename",$A$1),FIND("]",CELL("filename",$A$1))+1,255)), MID(CELL("filename",$A$1),FIND("]",CELL("filename",$A$1))+1,255)), 'SUBSTATION LIST'!$A:$A, INDEX('SUBSTATION LIST'!$B:$CA, 0, ROW(A34)))</f>
        <v>#N/A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 t="e">
        <f ca="1">_xlfn.XLOOKUP(IFERROR(VALUE(MID(CELL("filename",$A$1),FIND("]",CELL("filename",$A$1))+1,255)), MID(CELL("filename",$A$1),FIND("]",CELL("filename",$A$1))+1,255)), 'SUBSTATION LIST'!$A:$A, INDEX('SUBSTATION LIST'!$B:$CA, 0, ROW(A35)))</f>
        <v>#N/A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 t="e">
        <f ca="1">_xlfn.XLOOKUP(IFERROR(VALUE(MID(CELL("filename",$A$1),FIND("]",CELL("filename",$A$1))+1,255)), MID(CELL("filename",$A$1),FIND("]",CELL("filename",$A$1))+1,255)), 'SUBSTATION LIST'!$A:$A, INDEX('SUBSTATION LIST'!$B:$CA, 0, ROW(A36)))</f>
        <v>#N/A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 t="e">
        <f ca="1">_xlfn.XLOOKUP(IFERROR(VALUE(MID(CELL("filename",$A$1),FIND("]",CELL("filename",$A$1))+1,255)), MID(CELL("filename",$A$1),FIND("]",CELL("filename",$A$1))+1,255)), 'SUBSTATION LIST'!$A:$A, INDEX('SUBSTATION LIST'!$B:$CA, 0, ROW(A37)))</f>
        <v>#N/A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 t="e">
        <f ca="1">_xlfn.XLOOKUP(IFERROR(VALUE(MID(CELL("filename",$A$1),FIND("]",CELL("filename",$A$1))+1,255)), MID(CELL("filename",$A$1),FIND("]",CELL("filename",$A$1))+1,255)), 'SUBSTATION LIST'!$A:$A, INDEX('SUBSTATION LIST'!$B:$CA, 0, ROW(A38)))</f>
        <v>#N/A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 t="e">
        <f ca="1">_xlfn.XLOOKUP(IFERROR(VALUE(MID(CELL("filename",$A$1),FIND("]",CELL("filename",$A$1))+1,255)), MID(CELL("filename",$A$1),FIND("]",CELL("filename",$A$1))+1,255)), 'SUBSTATION LIST'!$A:$A, INDEX('SUBSTATION LIST'!$B:$CA, 0, ROW(A39)))</f>
        <v>#N/A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7"/>
  <sheetViews>
    <sheetView workbookViewId="0">
      <selection activeCell="F9" sqref="F9"/>
    </sheetView>
  </sheetViews>
  <sheetFormatPr defaultRowHeight="15" x14ac:dyDescent="0.25"/>
  <cols>
    <col min="2" max="2" width="9.85546875" bestFit="1" customWidth="1"/>
  </cols>
  <sheetData>
    <row r="2" spans="2:3" x14ac:dyDescent="0.25">
      <c r="B2" s="9"/>
      <c r="C2" s="9" t="s">
        <v>2296</v>
      </c>
    </row>
    <row r="3" spans="2:3" x14ac:dyDescent="0.25">
      <c r="B3" s="9" t="s">
        <v>2297</v>
      </c>
      <c r="C3" s="9">
        <v>1</v>
      </c>
    </row>
    <row r="4" spans="2:3" x14ac:dyDescent="0.25">
      <c r="B4" s="9" t="s">
        <v>2298</v>
      </c>
      <c r="C4" s="9">
        <v>51</v>
      </c>
    </row>
    <row r="5" spans="2:3" x14ac:dyDescent="0.25">
      <c r="B5" s="9" t="s">
        <v>2299</v>
      </c>
      <c r="C5" s="9">
        <v>751</v>
      </c>
    </row>
    <row r="6" spans="2:3" x14ac:dyDescent="0.25">
      <c r="B6" s="9" t="s">
        <v>2298</v>
      </c>
      <c r="C6" s="9">
        <v>801</v>
      </c>
    </row>
    <row r="7" spans="2:3" x14ac:dyDescent="0.25">
      <c r="B7" s="9" t="s">
        <v>2300</v>
      </c>
      <c r="C7" s="9">
        <v>1501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51"/>
  <sheetViews>
    <sheetView topLeftCell="D1" workbookViewId="0">
      <selection activeCell="E10" sqref="E10"/>
    </sheetView>
  </sheetViews>
  <sheetFormatPr defaultRowHeight="15" x14ac:dyDescent="0.25"/>
  <cols>
    <col min="1" max="1" width="15" bestFit="1" customWidth="1"/>
    <col min="2" max="2" width="25.42578125" bestFit="1" customWidth="1"/>
    <col min="3" max="3" width="20" bestFit="1" customWidth="1"/>
    <col min="4" max="4" width="23.85546875" bestFit="1" customWidth="1"/>
    <col min="5" max="5" width="27.42578125" bestFit="1" customWidth="1"/>
    <col min="6" max="6" width="28.5703125" bestFit="1" customWidth="1"/>
    <col min="7" max="7" width="22.85546875" bestFit="1" customWidth="1"/>
    <col min="8" max="8" width="24.85546875" bestFit="1" customWidth="1"/>
    <col min="9" max="9" width="25.42578125" bestFit="1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e">
        <f ca="1">_xlfn.XLOOKUP(IFERROR(VALUE(MID(CELL("filename",$A$1),FIND("]",CELL("filename",$A$1))+1,255)), MID(CELL("filename",$A$1),FIND("]",CELL("filename",$A$1))+1,255)), 'SUBSTATION LIST'!$A:$A, INDEX('SUBSTATION LIST'!$B:$CA, 0, ROW(A1)))</f>
        <v>#N/A</v>
      </c>
    </row>
    <row r="2" spans="1:20" x14ac:dyDescent="0.25">
      <c r="A2" s="5" t="s">
        <v>1534</v>
      </c>
      <c r="B2" s="5" t="s">
        <v>2301</v>
      </c>
      <c r="C2" s="5" t="s">
        <v>2302</v>
      </c>
      <c r="D2" s="5" t="s">
        <v>2303</v>
      </c>
      <c r="E2" s="5" t="s">
        <v>2304</v>
      </c>
      <c r="F2" s="5"/>
      <c r="G2" s="5"/>
      <c r="H2" s="5"/>
      <c r="I2" s="5" t="s">
        <v>2305</v>
      </c>
      <c r="N2" s="6" t="s">
        <v>1692</v>
      </c>
      <c r="O2" s="6" t="s">
        <v>2</v>
      </c>
      <c r="P2" s="27" t="e">
        <f ca="1">_xlfn.XLOOKUP(IFERROR(VALUE(MID(CELL("filename",$A$1),FIND("]",CELL("filename",$A$1))+1,255)), MID(CELL("filename",$A$1),FIND("]",CELL("filename",$A$1))+1,255)), 'SUBSTATION LIST'!$A:$A, INDEX('SUBSTATION LIST'!$B:$CA, 0, ROW(A2)))</f>
        <v>#N/A</v>
      </c>
    </row>
    <row r="3" spans="1:20" x14ac:dyDescent="0.25">
      <c r="A3" s="5" t="s">
        <v>1535</v>
      </c>
      <c r="B3" s="5" t="s">
        <v>2306</v>
      </c>
      <c r="C3" s="5" t="s">
        <v>2307</v>
      </c>
      <c r="D3" s="5" t="s">
        <v>2303</v>
      </c>
      <c r="E3" s="5" t="s">
        <v>2304</v>
      </c>
      <c r="F3" s="5"/>
      <c r="G3" s="5"/>
      <c r="H3" s="5"/>
      <c r="I3" s="5" t="s">
        <v>2305</v>
      </c>
      <c r="N3" s="6" t="s">
        <v>1693</v>
      </c>
      <c r="O3" s="6" t="s">
        <v>3</v>
      </c>
      <c r="P3" s="26" t="e">
        <f ca="1">_xlfn.XLOOKUP(IFERROR(VALUE(MID(CELL("filename",$A$1),FIND("]",CELL("filename",$A$1))+1,255)), MID(CELL("filename",$A$1),FIND("]",CELL("filename",$A$1))+1,255)), 'SUBSTATION LIST'!$A:$A, INDEX('SUBSTATION LIST'!$B:$CA, 0, ROW(A3)))</f>
        <v>#N/A</v>
      </c>
    </row>
    <row r="4" spans="1:20" x14ac:dyDescent="0.25">
      <c r="A4" s="5" t="s">
        <v>1536</v>
      </c>
      <c r="B4" s="5" t="s">
        <v>2308</v>
      </c>
      <c r="C4" s="5" t="s">
        <v>2309</v>
      </c>
      <c r="D4" s="5" t="s">
        <v>2303</v>
      </c>
      <c r="E4" s="5" t="s">
        <v>2304</v>
      </c>
      <c r="F4" s="5"/>
      <c r="G4" s="5"/>
      <c r="H4" s="5"/>
      <c r="I4" s="5" t="s">
        <v>2305</v>
      </c>
      <c r="N4" s="6" t="s">
        <v>1694</v>
      </c>
      <c r="O4" s="6" t="s">
        <v>4</v>
      </c>
      <c r="P4" s="28" t="e">
        <f ca="1">_xlfn.XLOOKUP(IFERROR(VALUE(MID(CELL("filename",$A$1),FIND("]",CELL("filename",$A$1))+1,255)), MID(CELL("filename",$A$1),FIND("]",CELL("filename",$A$1))+1,255)), 'SUBSTATION LIST'!$A:$A, INDEX('SUBSTATION LIST'!$B:$CA, 0, ROW(A4)))</f>
        <v>#N/A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2305</v>
      </c>
      <c r="N5" s="6" t="s">
        <v>1695</v>
      </c>
      <c r="O5" s="6" t="s">
        <v>5</v>
      </c>
      <c r="P5" s="28" t="e">
        <f ca="1">_xlfn.XLOOKUP(IFERROR(VALUE(MID(CELL("filename",$A$1),FIND("]",CELL("filename",$A$1))+1,255)), MID(CELL("filename",$A$1),FIND("]",CELL("filename",$A$1))+1,255)), 'SUBSTATION LIST'!$A:$A, INDEX('SUBSTATION LIST'!$B:$CA, 0, ROW(A5)))</f>
        <v>#N/A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e">
        <f ca="1">_xlfn.XLOOKUP(IFERROR(VALUE(MID(CELL("filename",$A$1),FIND("]",CELL("filename",$A$1))+1,255)), MID(CELL("filename",$A$1),FIND("]",CELL("filename",$A$1))+1,255)), 'SUBSTATION LIST'!$A:$A, INDEX('SUBSTATION LIST'!$B:$CA, 0, ROW(A6)))</f>
        <v>#N/A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e">
        <f ca="1">_xlfn.XLOOKUP(IFERROR(VALUE(MID(CELL("filename",$A$1),FIND("]",CELL("filename",$A$1))+1,255)), MID(CELL("filename",$A$1),FIND("]",CELL("filename",$A$1))+1,255)), 'SUBSTATION LIST'!$A:$A, INDEX('SUBSTATION LIST'!$B:$CA, 0, ROW(A7)))</f>
        <v>#N/A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e">
        <f ca="1">_xlfn.XLOOKUP(IFERROR(VALUE(MID(CELL("filename",$A$1),FIND("]",CELL("filename",$A$1))+1,255)), MID(CELL("filename",$A$1),FIND("]",CELL("filename",$A$1))+1,255)), 'SUBSTATION LIST'!$A:$A, INDEX('SUBSTATION LIST'!$B:$CA, 0, ROW(A8)))</f>
        <v>#N/A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e">
        <f ca="1">_xlfn.XLOOKUP(IFERROR(VALUE(MID(CELL("filename",$A$1),FIND("]",CELL("filename",$A$1))+1,255)), MID(CELL("filename",$A$1),FIND("]",CELL("filename",$A$1))+1,255)), 'SUBSTATION LIST'!$A:$A, INDEX('SUBSTATION LIST'!$B:$CA, 0, ROW(A9)))</f>
        <v>#N/A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e">
        <f ca="1">_xlfn.XLOOKUP(IFERROR(VALUE(MID(CELL("filename",$A$1),FIND("]",CELL("filename",$A$1))+1,255)), MID(CELL("filename",$A$1),FIND("]",CELL("filename",$A$1))+1,255)), 'SUBSTATION LIST'!$A:$A, INDEX('SUBSTATION LIST'!$B:$CA, 0, ROW(A10)))</f>
        <v>#N/A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e">
        <f ca="1">_xlfn.XLOOKUP(IFERROR(VALUE(MID(CELL("filename",$A$1),FIND("]",CELL("filename",$A$1))+1,255)), MID(CELL("filename",$A$1),FIND("]",CELL("filename",$A$1))+1,255)), 'SUBSTATION LIST'!$A:$A, INDEX('SUBSTATION LIST'!$B:$CA, 0, ROW(A11)))</f>
        <v>#N/A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e">
        <f ca="1">_xlfn.XLOOKUP(IFERROR(VALUE(MID(CELL("filename",$A$1),FIND("]",CELL("filename",$A$1))+1,255)), MID(CELL("filename",$A$1),FIND("]",CELL("filename",$A$1))+1,255)), 'SUBSTATION LIST'!$A:$A, INDEX('SUBSTATION LIST'!$B:$CA, 0, ROW(A12)))</f>
        <v>#N/A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e">
        <f ca="1">_xlfn.XLOOKUP(IFERROR(VALUE(MID(CELL("filename",$A$1),FIND("]",CELL("filename",$A$1))+1,255)), MID(CELL("filename",$A$1),FIND("]",CELL("filename",$A$1))+1,255)), 'SUBSTATION LIST'!$A:$A, INDEX('SUBSTATION LIST'!$B:$CA, 0, ROW(A13)))</f>
        <v>#N/A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e">
        <f ca="1">_xlfn.XLOOKUP(IFERROR(VALUE(MID(CELL("filename",$A$1),FIND("]",CELL("filename",$A$1))+1,255)), MID(CELL("filename",$A$1),FIND("]",CELL("filename",$A$1))+1,255)), 'SUBSTATION LIST'!$A:$A, INDEX('SUBSTATION LIST'!$B:$CA, 0, ROW(A14)))</f>
        <v>#N/A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e">
        <f ca="1">_xlfn.XLOOKUP(IFERROR(VALUE(MID(CELL("filename",$A$1),FIND("]",CELL("filename",$A$1))+1,255)), MID(CELL("filename",$A$1),FIND("]",CELL("filename",$A$1))+1,255)), 'SUBSTATION LIST'!$A:$A, INDEX('SUBSTATION LIST'!$B:$CA, 0, ROW(A15)))</f>
        <v>#N/A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e">
        <f ca="1">_xlfn.XLOOKUP(IFERROR(VALUE(MID(CELL("filename",$A$1),FIND("]",CELL("filename",$A$1))+1,255)), MID(CELL("filename",$A$1),FIND("]",CELL("filename",$A$1))+1,255)), 'SUBSTATION LIST'!$A:$A, INDEX('SUBSTATION LIST'!$B:$CA, 0, ROW(A16)))</f>
        <v>#N/A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e">
        <f ca="1">_xlfn.XLOOKUP(IFERROR(VALUE(MID(CELL("filename",$A$1),FIND("]",CELL("filename",$A$1))+1,255)), MID(CELL("filename",$A$1),FIND("]",CELL("filename",$A$1))+1,255)), 'SUBSTATION LIST'!$A:$A, INDEX('SUBSTATION LIST'!$B:$CA, 0, ROW(A17)))</f>
        <v>#N/A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e">
        <f ca="1">_xlfn.XLOOKUP(IFERROR(VALUE(MID(CELL("filename",$A$1),FIND("]",CELL("filename",$A$1))+1,255)), MID(CELL("filename",$A$1),FIND("]",CELL("filename",$A$1))+1,255)), 'SUBSTATION LIST'!$A:$A, INDEX('SUBSTATION LIST'!$B:$CA, 0, ROW(A18)))</f>
        <v>#N/A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e">
        <f ca="1">_xlfn.XLOOKUP(IFERROR(VALUE(MID(CELL("filename",$A$1),FIND("]",CELL("filename",$A$1))+1,255)), MID(CELL("filename",$A$1),FIND("]",CELL("filename",$A$1))+1,255)), 'SUBSTATION LIST'!$A:$A, INDEX('SUBSTATION LIST'!$B:$CA, 0, ROW(A19)))</f>
        <v>#N/A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e">
        <f ca="1">_xlfn.XLOOKUP(IFERROR(VALUE(MID(CELL("filename",$A$1),FIND("]",CELL("filename",$A$1))+1,255)), MID(CELL("filename",$A$1),FIND("]",CELL("filename",$A$1))+1,255)), 'SUBSTATION LIST'!$A:$A, INDEX('SUBSTATION LIST'!$B:$CA, 0, ROW(A20)))</f>
        <v>#N/A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e">
        <f ca="1">_xlfn.XLOOKUP(IFERROR(VALUE(MID(CELL("filename",$A$1),FIND("]",CELL("filename",$A$1))+1,255)), MID(CELL("filename",$A$1),FIND("]",CELL("filename",$A$1))+1,255)), 'SUBSTATION LIST'!$A:$A, INDEX('SUBSTATION LIST'!$B:$CA, 0, ROW(A21)))</f>
        <v>#N/A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e">
        <f ca="1">_xlfn.XLOOKUP(IFERROR(VALUE(MID(CELL("filename",$A$1),FIND("]",CELL("filename",$A$1))+1,255)), MID(CELL("filename",$A$1),FIND("]",CELL("filename",$A$1))+1,255)), 'SUBSTATION LIST'!$A:$A, INDEX('SUBSTATION LIST'!$B:$CA, 0, ROW(A22)))</f>
        <v>#N/A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e">
        <f ca="1">_xlfn.XLOOKUP(IFERROR(VALUE(MID(CELL("filename",$A$1),FIND("]",CELL("filename",$A$1))+1,255)), MID(CELL("filename",$A$1),FIND("]",CELL("filename",$A$1))+1,255)), 'SUBSTATION LIST'!$A:$A, INDEX('SUBSTATION LIST'!$B:$CA, 0, ROW(A23)))</f>
        <v>#N/A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e">
        <f ca="1">_xlfn.XLOOKUP(IFERROR(VALUE(MID(CELL("filename",$A$1),FIND("]",CELL("filename",$A$1))+1,255)), MID(CELL("filename",$A$1),FIND("]",CELL("filename",$A$1))+1,255)), 'SUBSTATION LIST'!$A:$A, INDEX('SUBSTATION LIST'!$B:$CA, 0, ROW(A24)))</f>
        <v>#N/A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e">
        <f ca="1">_xlfn.XLOOKUP(IFERROR(VALUE(MID(CELL("filename",$A$1),FIND("]",CELL("filename",$A$1))+1,255)), MID(CELL("filename",$A$1),FIND("]",CELL("filename",$A$1))+1,255)), 'SUBSTATION LIST'!$A:$A, INDEX('SUBSTATION LIST'!$B:$CA, 0, ROW(A25)))</f>
        <v>#N/A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e">
        <f ca="1">_xlfn.XLOOKUP(IFERROR(VALUE(MID(CELL("filename",$A$1),FIND("]",CELL("filename",$A$1))+1,255)), MID(CELL("filename",$A$1),FIND("]",CELL("filename",$A$1))+1,255)), 'SUBSTATION LIST'!$A:$A, INDEX('SUBSTATION LIST'!$B:$CA, 0, ROW(A26)))</f>
        <v>#N/A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e">
        <f ca="1">_xlfn.XLOOKUP(IFERROR(VALUE(MID(CELL("filename",$A$1),FIND("]",CELL("filename",$A$1))+1,255)), MID(CELL("filename",$A$1),FIND("]",CELL("filename",$A$1))+1,255)), 'SUBSTATION LIST'!$A:$A, INDEX('SUBSTATION LIST'!$B:$CA, 0, ROW(A27)))</f>
        <v>#N/A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e">
        <f ca="1">_xlfn.XLOOKUP(IFERROR(VALUE(MID(CELL("filename",$A$1),FIND("]",CELL("filename",$A$1))+1,255)), MID(CELL("filename",$A$1),FIND("]",CELL("filename",$A$1))+1,255)), 'SUBSTATION LIST'!$A:$A, INDEX('SUBSTATION LIST'!$B:$CA, 0, ROW(A28)))</f>
        <v>#N/A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e">
        <f ca="1">_xlfn.XLOOKUP(IFERROR(VALUE(MID(CELL("filename",$A$1),FIND("]",CELL("filename",$A$1))+1,255)), MID(CELL("filename",$A$1),FIND("]",CELL("filename",$A$1))+1,255)), 'SUBSTATION LIST'!$A:$A, INDEX('SUBSTATION LIST'!$B:$CA, 0, ROW(A29)))</f>
        <v>#N/A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e">
        <f ca="1">_xlfn.XLOOKUP(IFERROR(VALUE(MID(CELL("filename",$A$1),FIND("]",CELL("filename",$A$1))+1,255)), MID(CELL("filename",$A$1),FIND("]",CELL("filename",$A$1))+1,255)), 'SUBSTATION LIST'!$A:$A, INDEX('SUBSTATION LIST'!$B:$CA, 0, ROW(A30)))</f>
        <v>#N/A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e">
        <f ca="1">_xlfn.XLOOKUP(IFERROR(VALUE(MID(CELL("filename",$A$1),FIND("]",CELL("filename",$A$1))+1,255)), MID(CELL("filename",$A$1),FIND("]",CELL("filename",$A$1))+1,255)), 'SUBSTATION LIST'!$A:$A, INDEX('SUBSTATION LIST'!$B:$CA, 0, ROW(A31)))</f>
        <v>#N/A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e">
        <f ca="1">_xlfn.XLOOKUP(IFERROR(VALUE(MID(CELL("filename",$A$1),FIND("]",CELL("filename",$A$1))+1,255)), MID(CELL("filename",$A$1),FIND("]",CELL("filename",$A$1))+1,255)), 'SUBSTATION LIST'!$A:$A, INDEX('SUBSTATION LIST'!$B:$CA, 0, ROW(A32)))</f>
        <v>#N/A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e">
        <f ca="1">_xlfn.XLOOKUP(IFERROR(VALUE(MID(CELL("filename",$A$1),FIND("]",CELL("filename",$A$1))+1,255)), MID(CELL("filename",$A$1),FIND("]",CELL("filename",$A$1))+1,255)), 'SUBSTATION LIST'!$A:$A, INDEX('SUBSTATION LIST'!$B:$CA, 0, ROW(A33)))</f>
        <v>#N/A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 t="e">
        <f ca="1">_xlfn.XLOOKUP(IFERROR(VALUE(MID(CELL("filename",$A$1),FIND("]",CELL("filename",$A$1))+1,255)), MID(CELL("filename",$A$1),FIND("]",CELL("filename",$A$1))+1,255)), 'SUBSTATION LIST'!$A:$A, INDEX('SUBSTATION LIST'!$B:$CA, 0, ROW(A34)))</f>
        <v>#N/A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 t="e">
        <f ca="1">_xlfn.XLOOKUP(IFERROR(VALUE(MID(CELL("filename",$A$1),FIND("]",CELL("filename",$A$1))+1,255)), MID(CELL("filename",$A$1),FIND("]",CELL("filename",$A$1))+1,255)), 'SUBSTATION LIST'!$A:$A, INDEX('SUBSTATION LIST'!$B:$CA, 0, ROW(A35)))</f>
        <v>#N/A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 t="e">
        <f ca="1">_xlfn.XLOOKUP(IFERROR(VALUE(MID(CELL("filename",$A$1),FIND("]",CELL("filename",$A$1))+1,255)), MID(CELL("filename",$A$1),FIND("]",CELL("filename",$A$1))+1,255)), 'SUBSTATION LIST'!$A:$A, INDEX('SUBSTATION LIST'!$B:$CA, 0, ROW(A36)))</f>
        <v>#N/A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 t="e">
        <f ca="1">_xlfn.XLOOKUP(IFERROR(VALUE(MID(CELL("filename",$A$1),FIND("]",CELL("filename",$A$1))+1,255)), MID(CELL("filename",$A$1),FIND("]",CELL("filename",$A$1))+1,255)), 'SUBSTATION LIST'!$A:$A, INDEX('SUBSTATION LIST'!$B:$CA, 0, ROW(A37)))</f>
        <v>#N/A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 t="e">
        <f ca="1">_xlfn.XLOOKUP(IFERROR(VALUE(MID(CELL("filename",$A$1),FIND("]",CELL("filename",$A$1))+1,255)), MID(CELL("filename",$A$1),FIND("]",CELL("filename",$A$1))+1,255)), 'SUBSTATION LIST'!$A:$A, INDEX('SUBSTATION LIST'!$B:$CA, 0, ROW(A38)))</f>
        <v>#N/A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 t="e">
        <f ca="1">_xlfn.XLOOKUP(IFERROR(VALUE(MID(CELL("filename",$A$1),FIND("]",CELL("filename",$A$1))+1,255)), MID(CELL("filename",$A$1),FIND("]",CELL("filename",$A$1))+1,255)), 'SUBSTATION LIST'!$A:$A, INDEX('SUBSTATION LIST'!$B:$CA, 0, ROW(A39)))</f>
        <v>#N/A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TAMAN ULAM RAJA</v>
      </c>
    </row>
    <row r="2" spans="1:20" x14ac:dyDescent="0.25">
      <c r="A2" s="5" t="s">
        <v>1534</v>
      </c>
      <c r="B2" s="5" t="s">
        <v>2310</v>
      </c>
      <c r="C2" s="5" t="s">
        <v>66</v>
      </c>
      <c r="D2" s="5" t="s">
        <v>2311</v>
      </c>
      <c r="E2" s="5" t="s">
        <v>2304</v>
      </c>
      <c r="F2" s="5"/>
      <c r="G2" s="5"/>
      <c r="H2" s="5"/>
      <c r="I2" s="5" t="s">
        <v>2312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07:00 PM</v>
      </c>
    </row>
    <row r="3" spans="1:20" x14ac:dyDescent="0.25">
      <c r="A3" s="5" t="s">
        <v>1535</v>
      </c>
      <c r="B3" s="5" t="s">
        <v>2313</v>
      </c>
      <c r="C3" s="5" t="s">
        <v>2314</v>
      </c>
      <c r="D3" s="5" t="s">
        <v>2311</v>
      </c>
      <c r="E3" s="5" t="s">
        <v>2304</v>
      </c>
      <c r="F3" s="5"/>
      <c r="G3" s="5"/>
      <c r="H3" s="5"/>
      <c r="I3" s="5" t="s">
        <v>2312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2315</v>
      </c>
      <c r="C4" s="5" t="s">
        <v>2316</v>
      </c>
      <c r="D4" s="5" t="s">
        <v>2311</v>
      </c>
      <c r="E4" s="5" t="s">
        <v>2304</v>
      </c>
      <c r="F4" s="5"/>
      <c r="G4" s="5"/>
      <c r="H4" s="5"/>
      <c r="I4" s="5" t="s">
        <v>2312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32.3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2312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64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EPE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CFC 2S+1F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500kVA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EWT/91260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LV974-1999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11193-9638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str">
        <f ca="1">_xlfn.XLOOKUP(IFERROR(VALUE(MID(CELL("filename",$A$1),FIND("]",CELL("filename",$A$1))+1,255)), MID(CELL("filename",$A$1),FIND("]",CELL("filename",$A$1))+1,255)), 'SUBSTATION LIST'!$A:$A, INDEX('SUBSTATION LIST'!$B:$CA, 0, ROW(A31)))</f>
        <v>BERKAT INSAF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str">
        <f ca="1">_xlfn.XLOOKUP(IFERROR(VALUE(MID(CELL("filename",$A$1),FIND("]",CELL("filename",$A$1))+1,255)), MID(CELL("filename",$A$1),FIND("]",CELL("filename",$A$1))+1,255)), 'SUBSTATION LIST'!$A:$A, INDEX('SUBSTATION LIST'!$B:$CA, 0, ROW(A32)))</f>
        <v>SEB100-30-10UL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str">
        <f ca="1">_xlfn.XLOOKUP(IFERROR(VALUE(MID(CELL("filename",$A$1),FIND("]",CELL("filename",$A$1))+1,255)), MID(CELL("filename",$A$1),FIND("]",CELL("filename",$A$1))+1,255)), 'SUBSTATION LIST'!$A:$A, INDEX('SUBSTATION LIST'!$B:$CA, 0, ROW(A33)))</f>
        <v>B21219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SK KG MAJU JAYA</v>
      </c>
    </row>
    <row r="2" spans="1:20" x14ac:dyDescent="0.25">
      <c r="A2" s="5" t="s">
        <v>1534</v>
      </c>
      <c r="B2" s="5" t="s">
        <v>2317</v>
      </c>
      <c r="C2" s="5" t="s">
        <v>2318</v>
      </c>
      <c r="D2" s="5" t="s">
        <v>2311</v>
      </c>
      <c r="E2" s="5" t="s">
        <v>2304</v>
      </c>
      <c r="F2" s="5"/>
      <c r="G2" s="5"/>
      <c r="H2" s="5"/>
      <c r="I2" s="5" t="s">
        <v>2319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07:40 PM</v>
      </c>
    </row>
    <row r="3" spans="1:20" x14ac:dyDescent="0.25">
      <c r="A3" s="5" t="s">
        <v>1535</v>
      </c>
      <c r="B3" s="5" t="s">
        <v>2320</v>
      </c>
      <c r="C3" s="5" t="s">
        <v>2321</v>
      </c>
      <c r="D3" s="5" t="s">
        <v>2311</v>
      </c>
      <c r="E3" s="5" t="s">
        <v>2304</v>
      </c>
      <c r="F3" s="5"/>
      <c r="G3" s="5"/>
      <c r="H3" s="5"/>
      <c r="I3" s="5" t="s">
        <v>2319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2322</v>
      </c>
      <c r="C4" s="5" t="s">
        <v>2323</v>
      </c>
      <c r="D4" s="5" t="s">
        <v>2311</v>
      </c>
      <c r="E4" s="5" t="s">
        <v>2304</v>
      </c>
      <c r="F4" s="5"/>
      <c r="G4" s="5"/>
      <c r="H4" s="5"/>
      <c r="I4" s="5" t="s">
        <v>2319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32.0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2319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63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EPE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CFC 2S+1F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EWT/91670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TOPRANK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652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11193-9636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OD KG MAJU JAYA NO.1</v>
      </c>
    </row>
    <row r="2" spans="1:20" x14ac:dyDescent="0.25">
      <c r="A2" s="5" t="s">
        <v>1534</v>
      </c>
      <c r="B2" s="5" t="s">
        <v>2324</v>
      </c>
      <c r="C2" s="5" t="s">
        <v>2325</v>
      </c>
      <c r="D2" s="5" t="s">
        <v>2311</v>
      </c>
      <c r="E2" s="5" t="s">
        <v>2304</v>
      </c>
      <c r="F2" s="5"/>
      <c r="G2" s="5"/>
      <c r="H2" s="5"/>
      <c r="I2" s="5" t="s">
        <v>2326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08:50 PM</v>
      </c>
    </row>
    <row r="3" spans="1:20" x14ac:dyDescent="0.25">
      <c r="A3" s="5" t="s">
        <v>1535</v>
      </c>
      <c r="B3" s="5" t="s">
        <v>2327</v>
      </c>
      <c r="C3" s="5" t="s">
        <v>2328</v>
      </c>
      <c r="D3" s="5" t="s">
        <v>2311</v>
      </c>
      <c r="E3" s="5" t="s">
        <v>2304</v>
      </c>
      <c r="F3" s="5"/>
      <c r="G3" s="5"/>
      <c r="H3" s="5"/>
      <c r="I3" s="5" t="s">
        <v>2326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2329</v>
      </c>
      <c r="C4" s="5" t="s">
        <v>2330</v>
      </c>
      <c r="D4" s="5" t="s">
        <v>2311</v>
      </c>
      <c r="E4" s="5" t="s">
        <v>2304</v>
      </c>
      <c r="F4" s="5"/>
      <c r="G4" s="5"/>
      <c r="H4" s="5"/>
      <c r="I4" s="5" t="s">
        <v>2326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32.9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2326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727812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800A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N//A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KG MAJU JAYA</v>
      </c>
    </row>
    <row r="2" spans="1:20" x14ac:dyDescent="0.25">
      <c r="A2" s="5" t="s">
        <v>1534</v>
      </c>
      <c r="B2" s="5" t="s">
        <v>2331</v>
      </c>
      <c r="C2" s="5" t="s">
        <v>2332</v>
      </c>
      <c r="D2" s="5" t="s">
        <v>2303</v>
      </c>
      <c r="E2" s="5" t="s">
        <v>2304</v>
      </c>
      <c r="F2" s="5"/>
      <c r="G2" s="5"/>
      <c r="H2" s="5"/>
      <c r="I2" s="5" t="s">
        <v>2333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10:00 PM</v>
      </c>
    </row>
    <row r="3" spans="1:20" x14ac:dyDescent="0.25">
      <c r="A3" s="5" t="s">
        <v>1535</v>
      </c>
      <c r="B3" s="5" t="s">
        <v>2334</v>
      </c>
      <c r="C3" s="5" t="s">
        <v>2335</v>
      </c>
      <c r="D3" s="5" t="s">
        <v>2303</v>
      </c>
      <c r="E3" s="5" t="s">
        <v>2304</v>
      </c>
      <c r="F3" s="5"/>
      <c r="G3" s="5"/>
      <c r="H3" s="5"/>
      <c r="I3" s="5" t="s">
        <v>2333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2336</v>
      </c>
      <c r="C4" s="5" t="s">
        <v>2314</v>
      </c>
      <c r="D4" s="5" t="s">
        <v>2303</v>
      </c>
      <c r="E4" s="5" t="s">
        <v>2304</v>
      </c>
      <c r="F4" s="5"/>
      <c r="G4" s="5"/>
      <c r="H4" s="5"/>
      <c r="I4" s="5" t="s">
        <v>2333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31.9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2333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INDKOM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800A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LSE240205082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SEB100-24-10SD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CSU-SCADA-700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RMMJ SBP 2 NO.1</v>
      </c>
    </row>
    <row r="2" spans="1:20" x14ac:dyDescent="0.25">
      <c r="A2" s="5" t="s">
        <v>1534</v>
      </c>
      <c r="B2" s="5" t="s">
        <v>2337</v>
      </c>
      <c r="C2" s="5" t="s">
        <v>2338</v>
      </c>
      <c r="D2" s="5" t="s">
        <v>2311</v>
      </c>
      <c r="E2" s="5" t="s">
        <v>2304</v>
      </c>
      <c r="F2" s="5"/>
      <c r="G2" s="5"/>
      <c r="H2" s="5"/>
      <c r="I2" s="5" t="s">
        <v>2339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11:05 PM</v>
      </c>
    </row>
    <row r="3" spans="1:20" x14ac:dyDescent="0.25">
      <c r="A3" s="5" t="s">
        <v>1535</v>
      </c>
      <c r="B3" s="5" t="s">
        <v>2340</v>
      </c>
      <c r="C3" s="5" t="s">
        <v>2341</v>
      </c>
      <c r="D3" s="5" t="s">
        <v>2311</v>
      </c>
      <c r="E3" s="5" t="s">
        <v>2304</v>
      </c>
      <c r="F3" s="5"/>
      <c r="G3" s="5"/>
      <c r="H3" s="5"/>
      <c r="I3" s="5" t="s">
        <v>2339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2342</v>
      </c>
      <c r="C4" s="5" t="s">
        <v>2343</v>
      </c>
      <c r="D4" s="5" t="s">
        <v>2311</v>
      </c>
      <c r="E4" s="5" t="s">
        <v>2304</v>
      </c>
      <c r="F4" s="5"/>
      <c r="G4" s="5"/>
      <c r="H4" s="5"/>
      <c r="I4" s="5" t="s">
        <v>2339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30.6</v>
      </c>
    </row>
    <row r="5" spans="1:20" x14ac:dyDescent="0.25">
      <c r="A5" s="5" t="s">
        <v>1537</v>
      </c>
      <c r="B5" s="5" t="s">
        <v>2344</v>
      </c>
      <c r="C5" s="5" t="s">
        <v>2343</v>
      </c>
      <c r="D5" s="5" t="s">
        <v>2311</v>
      </c>
      <c r="E5" s="5" t="s">
        <v>2304</v>
      </c>
      <c r="F5" s="5"/>
      <c r="G5" s="5"/>
      <c r="H5" s="5"/>
      <c r="I5" s="5" t="s">
        <v>2339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T1/15/14911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T1/15/13989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FP1600-1201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FP1600-1168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RIBJ BDO NO.1</v>
      </c>
    </row>
    <row r="2" spans="1:20" x14ac:dyDescent="0.25">
      <c r="A2" s="5" t="s">
        <v>1534</v>
      </c>
      <c r="B2" s="5" t="s">
        <v>2345</v>
      </c>
      <c r="C2" s="5" t="s">
        <v>2346</v>
      </c>
      <c r="D2" s="5" t="s">
        <v>2303</v>
      </c>
      <c r="E2" s="5" t="s">
        <v>2304</v>
      </c>
      <c r="F2" s="5"/>
      <c r="G2" s="5"/>
      <c r="H2" s="5"/>
      <c r="I2" s="5" t="s">
        <v>2347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12:15 AM</v>
      </c>
    </row>
    <row r="3" spans="1:20" x14ac:dyDescent="0.25">
      <c r="A3" s="5" t="s">
        <v>1535</v>
      </c>
      <c r="B3" s="5" t="s">
        <v>2348</v>
      </c>
      <c r="C3" s="5" t="s">
        <v>2349</v>
      </c>
      <c r="D3" s="5" t="s">
        <v>2303</v>
      </c>
      <c r="E3" s="5" t="s">
        <v>2304</v>
      </c>
      <c r="F3" s="5"/>
      <c r="G3" s="5"/>
      <c r="H3" s="5"/>
      <c r="I3" s="5" t="s">
        <v>2347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2350</v>
      </c>
      <c r="C4" s="5" t="s">
        <v>2351</v>
      </c>
      <c r="D4" s="5" t="s">
        <v>2303</v>
      </c>
      <c r="E4" s="5" t="s">
        <v>2304</v>
      </c>
      <c r="F4" s="5"/>
      <c r="G4" s="5"/>
      <c r="H4" s="5"/>
      <c r="I4" s="5" t="s">
        <v>2347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30.5</v>
      </c>
    </row>
    <row r="5" spans="1:20" x14ac:dyDescent="0.25">
      <c r="A5" s="5" t="s">
        <v>1537</v>
      </c>
      <c r="B5" s="5" t="s">
        <v>2352</v>
      </c>
      <c r="C5" s="5" t="s">
        <v>2353</v>
      </c>
      <c r="D5" s="5" t="s">
        <v>2303</v>
      </c>
      <c r="E5" s="5" t="s">
        <v>2304</v>
      </c>
      <c r="F5" s="5"/>
      <c r="G5" s="5"/>
      <c r="H5" s="5"/>
      <c r="I5" s="5" t="s">
        <v>2347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2S2F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A03634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A03600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ITEM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D10556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FPLR16-0226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11193-3749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RIBJ BDO NO.2</v>
      </c>
    </row>
    <row r="2" spans="1:20" x14ac:dyDescent="0.25">
      <c r="A2" s="5" t="s">
        <v>1534</v>
      </c>
      <c r="B2" s="5" t="s">
        <v>2354</v>
      </c>
      <c r="C2" s="5" t="s">
        <v>2355</v>
      </c>
      <c r="D2" s="5" t="s">
        <v>2303</v>
      </c>
      <c r="E2" s="5" t="s">
        <v>2304</v>
      </c>
      <c r="F2" s="5"/>
      <c r="G2" s="5"/>
      <c r="H2" s="5"/>
      <c r="I2" s="5" t="s">
        <v>2356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01:10 AM</v>
      </c>
    </row>
    <row r="3" spans="1:20" x14ac:dyDescent="0.25">
      <c r="A3" s="5" t="s">
        <v>1535</v>
      </c>
      <c r="B3" s="5" t="s">
        <v>2357</v>
      </c>
      <c r="C3" s="5" t="s">
        <v>2349</v>
      </c>
      <c r="D3" s="5" t="s">
        <v>2303</v>
      </c>
      <c r="E3" s="5" t="s">
        <v>2304</v>
      </c>
      <c r="F3" s="5"/>
      <c r="G3" s="5"/>
      <c r="H3" s="5"/>
      <c r="I3" s="5" t="s">
        <v>2356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2358</v>
      </c>
      <c r="C4" s="5" t="s">
        <v>2359</v>
      </c>
      <c r="D4" s="5" t="s">
        <v>2303</v>
      </c>
      <c r="E4" s="5" t="s">
        <v>2304</v>
      </c>
      <c r="F4" s="5"/>
      <c r="G4" s="5"/>
      <c r="H4" s="5"/>
      <c r="I4" s="5" t="s">
        <v>2356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31.8</v>
      </c>
    </row>
    <row r="5" spans="1:20" x14ac:dyDescent="0.25">
      <c r="A5" s="5" t="s">
        <v>1537</v>
      </c>
      <c r="B5" s="5" t="s">
        <v>2360</v>
      </c>
      <c r="C5" s="5" t="s">
        <v>2353</v>
      </c>
      <c r="D5" s="5" t="s">
        <v>2303</v>
      </c>
      <c r="E5" s="5" t="s">
        <v>2304</v>
      </c>
      <c r="F5" s="5"/>
      <c r="G5" s="5"/>
      <c r="H5" s="5"/>
      <c r="I5" s="5" t="s">
        <v>2356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2S2F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A03593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A03631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ITEM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D10555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ITEM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D10544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11193-3750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RIBJ BDO NO.3</v>
      </c>
    </row>
    <row r="2" spans="1:20" x14ac:dyDescent="0.25">
      <c r="A2" s="5" t="s">
        <v>1534</v>
      </c>
      <c r="B2" s="5" t="s">
        <v>2361</v>
      </c>
      <c r="C2" s="5" t="s">
        <v>2362</v>
      </c>
      <c r="D2" s="5" t="s">
        <v>2303</v>
      </c>
      <c r="E2" s="5" t="s">
        <v>2304</v>
      </c>
      <c r="F2" s="5"/>
      <c r="G2" s="5"/>
      <c r="H2" s="5"/>
      <c r="I2" s="5" t="s">
        <v>2363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02:30 AM</v>
      </c>
    </row>
    <row r="3" spans="1:20" x14ac:dyDescent="0.25">
      <c r="A3" s="5" t="s">
        <v>1535</v>
      </c>
      <c r="B3" s="5" t="s">
        <v>2364</v>
      </c>
      <c r="C3" s="5" t="s">
        <v>2343</v>
      </c>
      <c r="D3" s="5" t="s">
        <v>2303</v>
      </c>
      <c r="E3" s="5" t="s">
        <v>2304</v>
      </c>
      <c r="F3" s="5"/>
      <c r="G3" s="5"/>
      <c r="H3" s="5"/>
      <c r="I3" s="5" t="s">
        <v>2363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14/07/26</v>
      </c>
    </row>
    <row r="4" spans="1:20" x14ac:dyDescent="0.25">
      <c r="A4" s="5" t="s">
        <v>1536</v>
      </c>
      <c r="B4" s="5" t="s">
        <v>2365</v>
      </c>
      <c r="C4" s="5" t="s">
        <v>2366</v>
      </c>
      <c r="D4" s="5" t="s">
        <v>2303</v>
      </c>
      <c r="E4" s="5" t="s">
        <v>2304</v>
      </c>
      <c r="F4" s="5"/>
      <c r="G4" s="5"/>
      <c r="H4" s="5"/>
      <c r="I4" s="5" t="s">
        <v>2363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31.5</v>
      </c>
    </row>
    <row r="5" spans="1:20" x14ac:dyDescent="0.25">
      <c r="A5" s="5" t="s">
        <v>1537</v>
      </c>
      <c r="B5" s="5" t="s">
        <v>2367</v>
      </c>
      <c r="C5" s="5" t="s">
        <v>2368</v>
      </c>
      <c r="D5" s="5" t="s">
        <v>2303</v>
      </c>
      <c r="E5" s="5" t="s">
        <v>2304</v>
      </c>
      <c r="F5" s="5"/>
      <c r="G5" s="5"/>
      <c r="H5" s="5"/>
      <c r="I5" s="5" t="s">
        <v>2363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2S2F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A03632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A03598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ITEM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D10548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FPLR16-0225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SPS30-10L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11193-3752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7</v>
      </c>
    </row>
    <row r="2" spans="1:20" x14ac:dyDescent="0.25">
      <c r="A2" s="5" t="s">
        <v>1534</v>
      </c>
      <c r="B2" s="5" t="s">
        <v>2369</v>
      </c>
      <c r="C2" s="5" t="s">
        <v>2370</v>
      </c>
      <c r="D2" s="5" t="s">
        <v>2311</v>
      </c>
      <c r="E2" s="5" t="s">
        <v>2304</v>
      </c>
      <c r="F2" s="5"/>
      <c r="G2" s="5"/>
      <c r="H2" s="5"/>
      <c r="I2" s="5" t="s">
        <v>2371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06:55 PM</v>
      </c>
    </row>
    <row r="3" spans="1:20" x14ac:dyDescent="0.25">
      <c r="A3" s="5" t="s">
        <v>1535</v>
      </c>
      <c r="B3" s="5" t="s">
        <v>2372</v>
      </c>
      <c r="C3" s="5" t="s">
        <v>2373</v>
      </c>
      <c r="D3" s="5" t="s">
        <v>2311</v>
      </c>
      <c r="E3" s="5" t="s">
        <v>2304</v>
      </c>
      <c r="F3" s="5"/>
      <c r="G3" s="5"/>
      <c r="H3" s="5"/>
      <c r="I3" s="5" t="s">
        <v>2371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2374</v>
      </c>
      <c r="C4" s="5" t="s">
        <v>2349</v>
      </c>
      <c r="D4" s="5" t="s">
        <v>2311</v>
      </c>
      <c r="E4" s="5" t="s">
        <v>2304</v>
      </c>
      <c r="F4" s="5"/>
      <c r="G4" s="5"/>
      <c r="H4" s="5"/>
      <c r="I4" s="5" t="s">
        <v>2371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30.0</v>
      </c>
    </row>
    <row r="5" spans="1:20" x14ac:dyDescent="0.25">
      <c r="A5" s="5" t="s">
        <v>1537</v>
      </c>
      <c r="B5" s="5" t="s">
        <v>2375</v>
      </c>
      <c r="C5" s="5" t="s">
        <v>2349</v>
      </c>
      <c r="D5" s="5" t="s">
        <v>2311</v>
      </c>
      <c r="E5" s="5" t="s">
        <v>2304</v>
      </c>
      <c r="F5" s="5"/>
      <c r="G5" s="5"/>
      <c r="H5" s="5"/>
      <c r="I5" s="5" t="s">
        <v>2371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75909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EWT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75910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FP9803-1607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FP9803-1645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11193-1698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4</v>
      </c>
    </row>
    <row r="2" spans="1:20" x14ac:dyDescent="0.25">
      <c r="A2" s="5" t="s">
        <v>1534</v>
      </c>
      <c r="B2" s="5" t="s">
        <v>2376</v>
      </c>
      <c r="C2" s="5" t="s">
        <v>2349</v>
      </c>
      <c r="D2" s="5" t="s">
        <v>2311</v>
      </c>
      <c r="E2" s="5" t="s">
        <v>2304</v>
      </c>
      <c r="F2" s="5"/>
      <c r="G2" s="5"/>
      <c r="H2" s="5"/>
      <c r="I2" s="5" t="s">
        <v>2377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07:30 PM</v>
      </c>
    </row>
    <row r="3" spans="1:20" x14ac:dyDescent="0.25">
      <c r="A3" s="5" t="s">
        <v>1535</v>
      </c>
      <c r="B3" s="5" t="s">
        <v>2378</v>
      </c>
      <c r="C3" s="5" t="s">
        <v>2379</v>
      </c>
      <c r="D3" s="5" t="s">
        <v>2311</v>
      </c>
      <c r="E3" s="5" t="s">
        <v>2304</v>
      </c>
      <c r="F3" s="5"/>
      <c r="G3" s="5"/>
      <c r="H3" s="5"/>
      <c r="I3" s="5" t="s">
        <v>2377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2380</v>
      </c>
      <c r="C4" s="5" t="s">
        <v>2381</v>
      </c>
      <c r="D4" s="5" t="s">
        <v>2311</v>
      </c>
      <c r="E4" s="5" t="s">
        <v>2304</v>
      </c>
      <c r="F4" s="5"/>
      <c r="G4" s="5"/>
      <c r="H4" s="5"/>
      <c r="I4" s="5" t="s">
        <v>2377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30.7</v>
      </c>
    </row>
    <row r="5" spans="1:20" x14ac:dyDescent="0.25">
      <c r="A5" s="5" t="s">
        <v>1537</v>
      </c>
      <c r="B5" s="5" t="s">
        <v>2382</v>
      </c>
      <c r="C5" s="5" t="s">
        <v>2353</v>
      </c>
      <c r="D5" s="5" t="s">
        <v>2311</v>
      </c>
      <c r="E5" s="5" t="s">
        <v>2304</v>
      </c>
      <c r="F5" s="5"/>
      <c r="G5" s="5"/>
      <c r="H5" s="5"/>
      <c r="I5" s="5" t="s">
        <v>2377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SIEMENS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8DJH TRRT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75872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14484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FP9803-1641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FP9803-1412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6</v>
      </c>
    </row>
    <row r="2" spans="1:20" x14ac:dyDescent="0.25">
      <c r="A2" s="5" t="s">
        <v>1534</v>
      </c>
      <c r="B2" s="5" t="s">
        <v>2383</v>
      </c>
      <c r="C2" s="5" t="s">
        <v>2349</v>
      </c>
      <c r="D2" s="5" t="s">
        <v>2311</v>
      </c>
      <c r="E2" s="5" t="s">
        <v>2304</v>
      </c>
      <c r="F2" s="5"/>
      <c r="G2" s="5"/>
      <c r="H2" s="5"/>
      <c r="I2" s="5" t="s">
        <v>2384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08:50 PM</v>
      </c>
    </row>
    <row r="3" spans="1:20" x14ac:dyDescent="0.25">
      <c r="A3" s="5" t="s">
        <v>1535</v>
      </c>
      <c r="B3" s="5" t="s">
        <v>2385</v>
      </c>
      <c r="C3" s="5" t="s">
        <v>2379</v>
      </c>
      <c r="D3" s="5" t="s">
        <v>2311</v>
      </c>
      <c r="E3" s="5" t="s">
        <v>2304</v>
      </c>
      <c r="F3" s="5"/>
      <c r="G3" s="5"/>
      <c r="H3" s="5"/>
      <c r="I3" s="5" t="s">
        <v>2384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2386</v>
      </c>
      <c r="C4" s="5" t="s">
        <v>2379</v>
      </c>
      <c r="D4" s="5" t="s">
        <v>2311</v>
      </c>
      <c r="E4" s="5" t="s">
        <v>2304</v>
      </c>
      <c r="F4" s="5"/>
      <c r="G4" s="5"/>
      <c r="H4" s="5"/>
      <c r="I4" s="5" t="s">
        <v>2384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29.8</v>
      </c>
    </row>
    <row r="5" spans="1:20" x14ac:dyDescent="0.25">
      <c r="A5" s="5" t="s">
        <v>1537</v>
      </c>
      <c r="B5" s="5" t="s">
        <v>2387</v>
      </c>
      <c r="C5" s="5" t="s">
        <v>2353</v>
      </c>
      <c r="D5" s="5" t="s">
        <v>2311</v>
      </c>
      <c r="E5" s="5" t="s">
        <v>2304</v>
      </c>
      <c r="F5" s="5"/>
      <c r="G5" s="5"/>
      <c r="H5" s="5"/>
      <c r="I5" s="5" t="s">
        <v>2384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SIEMENS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8DJH TRRT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14075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EWT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75908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FP9803-1614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FP9803-1613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5</v>
      </c>
    </row>
    <row r="2" spans="1:20" x14ac:dyDescent="0.25">
      <c r="A2" s="5" t="s">
        <v>1534</v>
      </c>
      <c r="B2" s="5" t="s">
        <v>2388</v>
      </c>
      <c r="C2" s="5" t="s">
        <v>2349</v>
      </c>
      <c r="D2" s="5" t="s">
        <v>2311</v>
      </c>
      <c r="E2" s="5" t="s">
        <v>2304</v>
      </c>
      <c r="F2" s="5"/>
      <c r="G2" s="5"/>
      <c r="H2" s="5"/>
      <c r="I2" s="5" t="s">
        <v>2389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10:10 PM</v>
      </c>
    </row>
    <row r="3" spans="1:20" x14ac:dyDescent="0.25">
      <c r="A3" s="5" t="s">
        <v>1535</v>
      </c>
      <c r="B3" s="5" t="s">
        <v>2390</v>
      </c>
      <c r="C3" s="5" t="s">
        <v>2370</v>
      </c>
      <c r="D3" s="5" t="s">
        <v>2311</v>
      </c>
      <c r="E3" s="5" t="s">
        <v>2304</v>
      </c>
      <c r="F3" s="5"/>
      <c r="G3" s="5"/>
      <c r="H3" s="5"/>
      <c r="I3" s="5" t="s">
        <v>2389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2376</v>
      </c>
      <c r="C4" s="5" t="s">
        <v>2391</v>
      </c>
      <c r="D4" s="5" t="s">
        <v>2311</v>
      </c>
      <c r="E4" s="5" t="s">
        <v>2304</v>
      </c>
      <c r="F4" s="5"/>
      <c r="G4" s="5"/>
      <c r="H4" s="5"/>
      <c r="I4" s="5" t="s">
        <v>2389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30.6</v>
      </c>
    </row>
    <row r="5" spans="1:20" x14ac:dyDescent="0.25">
      <c r="A5" s="5" t="s">
        <v>1537</v>
      </c>
      <c r="B5" s="5" t="s">
        <v>2392</v>
      </c>
      <c r="C5" s="5" t="s">
        <v>2353</v>
      </c>
      <c r="D5" s="5" t="s">
        <v>2311</v>
      </c>
      <c r="E5" s="5" t="s">
        <v>2304</v>
      </c>
      <c r="F5" s="5"/>
      <c r="G5" s="5"/>
      <c r="H5" s="5"/>
      <c r="I5" s="5" t="s">
        <v>2389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SIEMENS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8DJH TRRT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74906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14208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SEE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FP9803-1615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FP9803-1611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2</v>
      </c>
    </row>
    <row r="2" spans="1:20" x14ac:dyDescent="0.25">
      <c r="A2" s="5" t="s">
        <v>1534</v>
      </c>
      <c r="B2" s="5" t="s">
        <v>2393</v>
      </c>
      <c r="C2" s="5" t="s">
        <v>2394</v>
      </c>
      <c r="D2" s="5" t="s">
        <v>2311</v>
      </c>
      <c r="E2" s="5" t="s">
        <v>2304</v>
      </c>
      <c r="F2" s="5"/>
      <c r="G2" s="5"/>
      <c r="H2" s="5"/>
      <c r="I2" s="5" t="s">
        <v>2395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11:00 PM</v>
      </c>
    </row>
    <row r="3" spans="1:20" x14ac:dyDescent="0.25">
      <c r="A3" s="5" t="s">
        <v>1535</v>
      </c>
      <c r="B3" s="5" t="s">
        <v>2396</v>
      </c>
      <c r="C3" s="5" t="s">
        <v>2397</v>
      </c>
      <c r="D3" s="5" t="s">
        <v>2311</v>
      </c>
      <c r="E3" s="5" t="s">
        <v>2304</v>
      </c>
      <c r="F3" s="5"/>
      <c r="G3" s="5"/>
      <c r="H3" s="5"/>
      <c r="I3" s="5" t="s">
        <v>2395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2398</v>
      </c>
      <c r="C4" s="5" t="s">
        <v>2399</v>
      </c>
      <c r="D4" s="5" t="s">
        <v>2311</v>
      </c>
      <c r="E4" s="5" t="s">
        <v>2304</v>
      </c>
      <c r="F4" s="5"/>
      <c r="G4" s="5"/>
      <c r="H4" s="5"/>
      <c r="I4" s="5" t="s">
        <v>2395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30.2</v>
      </c>
    </row>
    <row r="5" spans="1:20" x14ac:dyDescent="0.25">
      <c r="A5" s="5" t="s">
        <v>1537</v>
      </c>
      <c r="B5" s="5" t="s">
        <v>2400</v>
      </c>
      <c r="C5" s="5" t="s">
        <v>2401</v>
      </c>
      <c r="D5" s="5" t="s">
        <v>2311</v>
      </c>
      <c r="E5" s="5" t="s">
        <v>2304</v>
      </c>
      <c r="F5" s="5"/>
      <c r="G5" s="5"/>
      <c r="H5" s="5"/>
      <c r="I5" s="5" t="s">
        <v>2395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75871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EWT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75907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FP9803-1410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FP9803-1609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11193-1706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3</v>
      </c>
    </row>
    <row r="2" spans="1:20" x14ac:dyDescent="0.25">
      <c r="A2" s="5" t="s">
        <v>1534</v>
      </c>
      <c r="B2" s="5" t="s">
        <v>2402</v>
      </c>
      <c r="C2" s="5" t="s">
        <v>2373</v>
      </c>
      <c r="D2" s="5" t="s">
        <v>2303</v>
      </c>
      <c r="E2" s="5" t="s">
        <v>2304</v>
      </c>
      <c r="F2" s="5"/>
      <c r="G2" s="5"/>
      <c r="H2" s="5"/>
      <c r="I2" s="5" t="s">
        <v>2403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12:05 AM</v>
      </c>
    </row>
    <row r="3" spans="1:20" x14ac:dyDescent="0.25">
      <c r="A3" s="5" t="s">
        <v>1535</v>
      </c>
      <c r="B3" s="5" t="s">
        <v>2404</v>
      </c>
      <c r="C3" s="5" t="s">
        <v>2405</v>
      </c>
      <c r="D3" s="5" t="s">
        <v>2303</v>
      </c>
      <c r="E3" s="5" t="s">
        <v>2304</v>
      </c>
      <c r="F3" s="5"/>
      <c r="G3" s="5"/>
      <c r="H3" s="5"/>
      <c r="I3" s="5" t="s">
        <v>2403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2406</v>
      </c>
      <c r="C4" s="5" t="s">
        <v>2321</v>
      </c>
      <c r="D4" s="5" t="s">
        <v>2303</v>
      </c>
      <c r="E4" s="5" t="s">
        <v>2304</v>
      </c>
      <c r="F4" s="5"/>
      <c r="G4" s="5"/>
      <c r="H4" s="5"/>
      <c r="I4" s="5" t="s">
        <v>2403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2403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INDKOM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LA15051010014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FAIR VISTA NO 1</v>
      </c>
    </row>
    <row r="2" spans="1:20" x14ac:dyDescent="0.25">
      <c r="A2" s="5" t="s">
        <v>1534</v>
      </c>
      <c r="B2" s="5" t="s">
        <v>2407</v>
      </c>
      <c r="C2" s="5" t="s">
        <v>2321</v>
      </c>
      <c r="D2" s="5" t="s">
        <v>2311</v>
      </c>
      <c r="E2" s="5" t="s">
        <v>2304</v>
      </c>
      <c r="F2" s="5"/>
      <c r="G2" s="5"/>
      <c r="H2" s="5"/>
      <c r="I2" s="5" t="s">
        <v>2408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01:30 AM</v>
      </c>
    </row>
    <row r="3" spans="1:20" x14ac:dyDescent="0.25">
      <c r="A3" s="5" t="s">
        <v>1535</v>
      </c>
      <c r="B3" s="5" t="s">
        <v>2409</v>
      </c>
      <c r="C3" s="5" t="s">
        <v>2381</v>
      </c>
      <c r="D3" s="5" t="s">
        <v>2311</v>
      </c>
      <c r="E3" s="5" t="s">
        <v>2304</v>
      </c>
      <c r="F3" s="5"/>
      <c r="G3" s="5"/>
      <c r="H3" s="5"/>
      <c r="I3" s="5" t="s">
        <v>2408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15/07/2026</v>
      </c>
    </row>
    <row r="4" spans="1:20" x14ac:dyDescent="0.25">
      <c r="A4" s="5" t="s">
        <v>1536</v>
      </c>
      <c r="B4" s="5" t="s">
        <v>2410</v>
      </c>
      <c r="C4" s="5" t="s">
        <v>2411</v>
      </c>
      <c r="D4" s="5" t="s">
        <v>2311</v>
      </c>
      <c r="E4" s="5" t="s">
        <v>2304</v>
      </c>
      <c r="F4" s="5"/>
      <c r="G4" s="5"/>
      <c r="H4" s="5"/>
      <c r="I4" s="5" t="s">
        <v>2408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28.9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2408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2l1T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4000054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DFP LV DH 5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PERSIMPANGAN KEMPAS</v>
      </c>
    </row>
    <row r="2" spans="1:20" x14ac:dyDescent="0.25">
      <c r="A2" s="5" t="s">
        <v>1534</v>
      </c>
      <c r="B2" s="5" t="s">
        <v>2412</v>
      </c>
      <c r="C2" s="5" t="s">
        <v>2413</v>
      </c>
      <c r="D2" s="5" t="s">
        <v>2303</v>
      </c>
      <c r="E2" s="5" t="s">
        <v>2304</v>
      </c>
      <c r="F2" s="5"/>
      <c r="G2" s="5"/>
      <c r="H2" s="5"/>
      <c r="I2" s="5" t="s">
        <v>2414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08:45 PM</v>
      </c>
    </row>
    <row r="3" spans="1:20" x14ac:dyDescent="0.25">
      <c r="A3" s="5" t="s">
        <v>1535</v>
      </c>
      <c r="B3" s="5" t="s">
        <v>2415</v>
      </c>
      <c r="C3" s="5" t="s">
        <v>2416</v>
      </c>
      <c r="D3" s="5" t="s">
        <v>2303</v>
      </c>
      <c r="E3" s="5" t="s">
        <v>2304</v>
      </c>
      <c r="F3" s="5"/>
      <c r="G3" s="5"/>
      <c r="H3" s="5"/>
      <c r="I3" s="5" t="s">
        <v>2414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2417</v>
      </c>
      <c r="C4" s="5" t="s">
        <v>2314</v>
      </c>
      <c r="D4" s="5" t="s">
        <v>2303</v>
      </c>
      <c r="E4" s="5" t="s">
        <v>2304</v>
      </c>
      <c r="F4" s="5"/>
      <c r="G4" s="5"/>
      <c r="H4" s="5"/>
      <c r="I4" s="5" t="s">
        <v>2414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29.8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2414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SIEMENS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8DJH RRT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500kVA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4037794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PRONUTEC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800A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27417101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JUMBOHAN MARKETING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JCV-T-24-10/L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121233-31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PLAZA TOL KEMPAS</v>
      </c>
    </row>
    <row r="2" spans="1:20" x14ac:dyDescent="0.25">
      <c r="A2" s="5" t="s">
        <v>1534</v>
      </c>
      <c r="B2" s="5" t="s">
        <v>2418</v>
      </c>
      <c r="C2" s="5" t="s">
        <v>196</v>
      </c>
      <c r="D2" s="5" t="s">
        <v>2303</v>
      </c>
      <c r="E2" s="5" t="s">
        <v>2304</v>
      </c>
      <c r="F2" s="5"/>
      <c r="G2" s="5"/>
      <c r="H2" s="5"/>
      <c r="I2" s="5" t="s">
        <v>2419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09:55 PM</v>
      </c>
    </row>
    <row r="3" spans="1:20" x14ac:dyDescent="0.25">
      <c r="A3" s="5" t="s">
        <v>1535</v>
      </c>
      <c r="B3" s="5" t="s">
        <v>2420</v>
      </c>
      <c r="C3" s="5" t="s">
        <v>2330</v>
      </c>
      <c r="D3" s="5" t="s">
        <v>2303</v>
      </c>
      <c r="E3" s="5" t="s">
        <v>2304</v>
      </c>
      <c r="F3" s="5"/>
      <c r="G3" s="5"/>
      <c r="H3" s="5"/>
      <c r="I3" s="5" t="s">
        <v>2419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2421</v>
      </c>
      <c r="C4" s="5" t="s">
        <v>2422</v>
      </c>
      <c r="D4" s="5" t="s">
        <v>2303</v>
      </c>
      <c r="E4" s="5" t="s">
        <v>2304</v>
      </c>
      <c r="F4" s="5"/>
      <c r="G4" s="5"/>
      <c r="H4" s="5"/>
      <c r="I4" s="5" t="s">
        <v>2419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29.6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2419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87454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EWT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LVBCSU4822-1000-11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JUMBOHAN MARKETING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JCV-T-24-10/L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122332-55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ASTINAS CONST &amp; DEV</v>
      </c>
    </row>
    <row r="2" spans="1:20" x14ac:dyDescent="0.25">
      <c r="A2" s="5" t="s">
        <v>1534</v>
      </c>
      <c r="B2" s="5" t="s">
        <v>2423</v>
      </c>
      <c r="C2" s="5" t="s">
        <v>2424</v>
      </c>
      <c r="D2" s="5" t="s">
        <v>2311</v>
      </c>
      <c r="E2" s="5" t="s">
        <v>2304</v>
      </c>
      <c r="F2" s="5"/>
      <c r="G2" s="5"/>
      <c r="H2" s="5"/>
      <c r="I2" s="5" t="s">
        <v>2425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10:40 PM</v>
      </c>
    </row>
    <row r="3" spans="1:20" x14ac:dyDescent="0.25">
      <c r="A3" s="5" t="s">
        <v>1535</v>
      </c>
      <c r="B3" s="5" t="s">
        <v>2426</v>
      </c>
      <c r="C3" s="5" t="s">
        <v>2349</v>
      </c>
      <c r="D3" s="5" t="s">
        <v>2311</v>
      </c>
      <c r="E3" s="5" t="s">
        <v>2304</v>
      </c>
      <c r="F3" s="5"/>
      <c r="G3" s="5"/>
      <c r="H3" s="5"/>
      <c r="I3" s="5" t="s">
        <v>2425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2427</v>
      </c>
      <c r="C4" s="5" t="s">
        <v>2349</v>
      </c>
      <c r="D4" s="5" t="s">
        <v>2311</v>
      </c>
      <c r="E4" s="5" t="s">
        <v>2304</v>
      </c>
      <c r="F4" s="5"/>
      <c r="G4" s="5"/>
      <c r="H4" s="5"/>
      <c r="I4" s="5" t="s">
        <v>2425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30.2</v>
      </c>
    </row>
    <row r="5" spans="1:20" x14ac:dyDescent="0.25">
      <c r="A5" s="5" t="s">
        <v>1537</v>
      </c>
      <c r="B5" s="5" t="s">
        <v>2428</v>
      </c>
      <c r="C5" s="5" t="s">
        <v>2429</v>
      </c>
      <c r="D5" s="5" t="s">
        <v>2311</v>
      </c>
      <c r="E5" s="5" t="s">
        <v>2304</v>
      </c>
      <c r="F5" s="5"/>
      <c r="G5" s="5"/>
      <c r="H5" s="5"/>
      <c r="I5" s="5" t="s">
        <v>2425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71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ID2L+2T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300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296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FP9802-0201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FP9802-0208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KEMPAS UTAMA NO4</v>
      </c>
    </row>
    <row r="2" spans="1:20" x14ac:dyDescent="0.25">
      <c r="A2" s="5" t="s">
        <v>1534</v>
      </c>
      <c r="B2" s="5" t="s">
        <v>2430</v>
      </c>
      <c r="C2" s="5" t="s">
        <v>2330</v>
      </c>
      <c r="D2" s="5" t="s">
        <v>2303</v>
      </c>
      <c r="E2" s="5" t="s">
        <v>2304</v>
      </c>
      <c r="F2" s="5"/>
      <c r="G2" s="5"/>
      <c r="H2" s="5"/>
      <c r="I2" s="5" t="s">
        <v>2431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11:45 PM</v>
      </c>
    </row>
    <row r="3" spans="1:20" x14ac:dyDescent="0.25">
      <c r="A3" s="5" t="s">
        <v>1535</v>
      </c>
      <c r="B3" s="5" t="s">
        <v>2432</v>
      </c>
      <c r="C3" s="5" t="s">
        <v>2433</v>
      </c>
      <c r="D3" s="5" t="s">
        <v>2303</v>
      </c>
      <c r="E3" s="5" t="s">
        <v>2304</v>
      </c>
      <c r="F3" s="5"/>
      <c r="G3" s="5"/>
      <c r="H3" s="5"/>
      <c r="I3" s="5" t="s">
        <v>2431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2434</v>
      </c>
      <c r="C4" s="5" t="s">
        <v>2435</v>
      </c>
      <c r="D4" s="5" t="s">
        <v>2303</v>
      </c>
      <c r="E4" s="5" t="s">
        <v>2304</v>
      </c>
      <c r="F4" s="5"/>
      <c r="G4" s="5"/>
      <c r="H4" s="5"/>
      <c r="I4" s="5" t="s">
        <v>2431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28.9</v>
      </c>
    </row>
    <row r="5" spans="1:20" x14ac:dyDescent="0.25">
      <c r="A5" s="5" t="s">
        <v>1537</v>
      </c>
      <c r="B5" s="5" t="s">
        <v>2436</v>
      </c>
      <c r="C5" s="5" t="s">
        <v>2368</v>
      </c>
      <c r="D5" s="5" t="s">
        <v>2303</v>
      </c>
      <c r="E5" s="5" t="s">
        <v>2304</v>
      </c>
      <c r="F5" s="5"/>
      <c r="G5" s="5"/>
      <c r="H5" s="5"/>
      <c r="I5" s="5" t="s">
        <v>2431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SIEMENS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8DJH TRRT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723012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2386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FP9709-1001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ITEM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D0173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PADAT SHELL TIONG NAM</v>
      </c>
    </row>
    <row r="2" spans="1:20" x14ac:dyDescent="0.25">
      <c r="A2" s="5" t="s">
        <v>1534</v>
      </c>
      <c r="B2" s="5" t="s">
        <v>2437</v>
      </c>
      <c r="C2" s="5" t="s">
        <v>2438</v>
      </c>
      <c r="D2" s="5" t="s">
        <v>2303</v>
      </c>
      <c r="E2" s="5" t="s">
        <v>2304</v>
      </c>
      <c r="F2" s="5"/>
      <c r="G2" s="5"/>
      <c r="H2" s="5"/>
      <c r="I2" s="5" t="s">
        <v>2439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12:35 AM</v>
      </c>
    </row>
    <row r="3" spans="1:20" x14ac:dyDescent="0.25">
      <c r="A3" s="5" t="s">
        <v>1535</v>
      </c>
      <c r="B3" s="5" t="s">
        <v>2440</v>
      </c>
      <c r="C3" s="5" t="s">
        <v>2441</v>
      </c>
      <c r="D3" s="5" t="s">
        <v>2303</v>
      </c>
      <c r="E3" s="5" t="s">
        <v>2304</v>
      </c>
      <c r="F3" s="5"/>
      <c r="G3" s="5"/>
      <c r="H3" s="5"/>
      <c r="I3" s="5" t="s">
        <v>2439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2442</v>
      </c>
      <c r="C4" s="5" t="s">
        <v>2330</v>
      </c>
      <c r="D4" s="5" t="s">
        <v>2303</v>
      </c>
      <c r="E4" s="5" t="s">
        <v>2304</v>
      </c>
      <c r="F4" s="5"/>
      <c r="G4" s="5"/>
      <c r="H4" s="5"/>
      <c r="I4" s="5" t="s">
        <v>2439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30.0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2439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4035648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TN 22 61 0006C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JUMBOHAN MARKETING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JCV-T-24-10/L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171932-100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MODERN UNIT NO2</v>
      </c>
    </row>
    <row r="2" spans="1:20" x14ac:dyDescent="0.25">
      <c r="A2" s="5" t="s">
        <v>1534</v>
      </c>
      <c r="B2" s="5" t="s">
        <v>2443</v>
      </c>
      <c r="C2" s="5" t="s">
        <v>2444</v>
      </c>
      <c r="D2" s="5" t="s">
        <v>2311</v>
      </c>
      <c r="E2" s="5" t="s">
        <v>2304</v>
      </c>
      <c r="F2" s="5"/>
      <c r="G2" s="5"/>
      <c r="H2" s="5"/>
      <c r="I2" s="5" t="s">
        <v>2445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01:35 AM</v>
      </c>
    </row>
    <row r="3" spans="1:20" x14ac:dyDescent="0.25">
      <c r="A3" s="5" t="s">
        <v>1535</v>
      </c>
      <c r="B3" s="5" t="s">
        <v>2446</v>
      </c>
      <c r="C3" s="5" t="s">
        <v>2447</v>
      </c>
      <c r="D3" s="5" t="s">
        <v>2311</v>
      </c>
      <c r="E3" s="5" t="s">
        <v>2304</v>
      </c>
      <c r="F3" s="5"/>
      <c r="G3" s="5"/>
      <c r="H3" s="5"/>
      <c r="I3" s="5" t="s">
        <v>2445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2448</v>
      </c>
      <c r="C4" s="5" t="s">
        <v>2349</v>
      </c>
      <c r="D4" s="5" t="s">
        <v>2311</v>
      </c>
      <c r="E4" s="5" t="s">
        <v>2304</v>
      </c>
      <c r="F4" s="5"/>
      <c r="G4" s="5"/>
      <c r="H4" s="5"/>
      <c r="I4" s="5" t="s">
        <v>2445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29.5</v>
      </c>
    </row>
    <row r="5" spans="1:20" x14ac:dyDescent="0.25">
      <c r="A5" s="5" t="s">
        <v>1537</v>
      </c>
      <c r="B5" s="5" t="s">
        <v>2449</v>
      </c>
      <c r="C5" s="5" t="s">
        <v>2349</v>
      </c>
      <c r="D5" s="5" t="s">
        <v>2311</v>
      </c>
      <c r="E5" s="5" t="s">
        <v>2304</v>
      </c>
      <c r="F5" s="5"/>
      <c r="G5" s="5"/>
      <c r="H5" s="5"/>
      <c r="I5" s="5" t="s">
        <v>2445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71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17038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17036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 1600-0328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FP1600-0297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11193-9637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MODERN UNIT SDN BHD</v>
      </c>
    </row>
    <row r="2" spans="1:20" x14ac:dyDescent="0.25">
      <c r="A2" s="5" t="s">
        <v>1534</v>
      </c>
      <c r="B2" s="5" t="s">
        <v>2450</v>
      </c>
      <c r="C2" s="5" t="s">
        <v>2451</v>
      </c>
      <c r="D2" s="5" t="s">
        <v>2311</v>
      </c>
      <c r="E2" s="5" t="s">
        <v>2304</v>
      </c>
      <c r="F2" s="5"/>
      <c r="G2" s="5"/>
      <c r="H2" s="5"/>
      <c r="I2" s="5" t="s">
        <v>2452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02:35 AM</v>
      </c>
    </row>
    <row r="3" spans="1:20" x14ac:dyDescent="0.25">
      <c r="A3" s="5" t="s">
        <v>1535</v>
      </c>
      <c r="B3" s="5" t="s">
        <v>2453</v>
      </c>
      <c r="C3" s="5" t="s">
        <v>2454</v>
      </c>
      <c r="D3" s="5" t="s">
        <v>2311</v>
      </c>
      <c r="E3" s="5" t="s">
        <v>2304</v>
      </c>
      <c r="F3" s="5"/>
      <c r="G3" s="5"/>
      <c r="H3" s="5"/>
      <c r="I3" s="5" t="s">
        <v>2452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16/07/26</v>
      </c>
    </row>
    <row r="4" spans="1:20" x14ac:dyDescent="0.25">
      <c r="A4" s="5" t="s">
        <v>1536</v>
      </c>
      <c r="B4" s="5" t="s">
        <v>2455</v>
      </c>
      <c r="C4" s="5" t="s">
        <v>1570</v>
      </c>
      <c r="D4" s="5" t="s">
        <v>2311</v>
      </c>
      <c r="E4" s="5" t="s">
        <v>2304</v>
      </c>
      <c r="F4" s="5"/>
      <c r="G4" s="5"/>
      <c r="H4" s="5"/>
      <c r="I4" s="5" t="s">
        <v>2452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30.2</v>
      </c>
    </row>
    <row r="5" spans="1:20" x14ac:dyDescent="0.25">
      <c r="A5" s="5" t="s">
        <v>1537</v>
      </c>
      <c r="B5" s="5" t="s">
        <v>2456</v>
      </c>
      <c r="C5" s="5" t="s">
        <v>1574</v>
      </c>
      <c r="D5" s="5" t="s">
        <v>2311</v>
      </c>
      <c r="E5" s="5" t="s">
        <v>2304</v>
      </c>
      <c r="F5" s="5"/>
      <c r="G5" s="5"/>
      <c r="H5" s="5"/>
      <c r="I5" s="5" t="s">
        <v>2452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75586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297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FP9803-0294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FP9802-0342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JUMBOHAN MARKETING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11193-0968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DRAGON PRIDE NO3</v>
      </c>
    </row>
    <row r="2" spans="1:20" x14ac:dyDescent="0.25">
      <c r="A2" s="5" t="s">
        <v>1534</v>
      </c>
      <c r="B2" s="5" t="s">
        <v>2457</v>
      </c>
      <c r="C2" s="5" t="s">
        <v>2458</v>
      </c>
      <c r="D2" s="5" t="s">
        <v>2311</v>
      </c>
      <c r="E2" s="5" t="s">
        <v>2304</v>
      </c>
      <c r="F2" s="5"/>
      <c r="G2" s="5"/>
      <c r="H2" s="5"/>
      <c r="I2" s="5" t="s">
        <v>2459</v>
      </c>
      <c r="N2" s="6" t="s">
        <v>1692</v>
      </c>
      <c r="O2" s="6" t="s">
        <v>2</v>
      </c>
      <c r="P2" s="27">
        <f ca="1">_xlfn.XLOOKUP(IFERROR(VALUE(MID(CELL("filename",$A$1),FIND("]",CELL("filename",$A$1))+1,255)), MID(CELL("filename",$A$1),FIND("]",CELL("filename",$A$1))+1,255)), 'SUBSTATION LIST'!$A:$A, INDEX('SUBSTATION LIST'!$B:$CA, 0, ROW(A2)))</f>
        <v>0</v>
      </c>
    </row>
    <row r="3" spans="1:20" x14ac:dyDescent="0.25">
      <c r="A3" s="5" t="s">
        <v>1535</v>
      </c>
      <c r="B3" s="5" t="s">
        <v>2460</v>
      </c>
      <c r="C3" s="5" t="s">
        <v>2321</v>
      </c>
      <c r="D3" s="5" t="s">
        <v>2311</v>
      </c>
      <c r="E3" s="5" t="s">
        <v>2304</v>
      </c>
      <c r="F3" s="5"/>
      <c r="G3" s="5"/>
      <c r="H3" s="5"/>
      <c r="I3" s="5" t="s">
        <v>2459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2461</v>
      </c>
      <c r="C4" s="5" t="s">
        <v>244</v>
      </c>
      <c r="D4" s="5" t="s">
        <v>2311</v>
      </c>
      <c r="E4" s="5" t="s">
        <v>2304</v>
      </c>
      <c r="F4" s="5"/>
      <c r="G4" s="5"/>
      <c r="H4" s="5"/>
      <c r="I4" s="5" t="s">
        <v>2459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30.2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2459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SSE LUCY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VRN2a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15547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DRAGON PRIDE</v>
      </c>
    </row>
    <row r="2" spans="1:20" x14ac:dyDescent="0.25">
      <c r="A2" s="5" t="s">
        <v>1534</v>
      </c>
      <c r="B2" s="5" t="s">
        <v>2462</v>
      </c>
      <c r="C2" s="5" t="s">
        <v>2463</v>
      </c>
      <c r="D2" s="5" t="s">
        <v>2303</v>
      </c>
      <c r="E2" s="5" t="s">
        <v>2304</v>
      </c>
      <c r="F2" s="5"/>
      <c r="G2" s="5"/>
      <c r="H2" s="5"/>
      <c r="I2" s="5" t="s">
        <v>2464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09:50 PM</v>
      </c>
    </row>
    <row r="3" spans="1:20" x14ac:dyDescent="0.25">
      <c r="A3" s="5" t="s">
        <v>1535</v>
      </c>
      <c r="B3" s="5" t="s">
        <v>2465</v>
      </c>
      <c r="C3" s="5" t="s">
        <v>2466</v>
      </c>
      <c r="D3" s="5" t="s">
        <v>2303</v>
      </c>
      <c r="E3" s="5" t="s">
        <v>2304</v>
      </c>
      <c r="F3" s="5"/>
      <c r="G3" s="5"/>
      <c r="H3" s="5"/>
      <c r="I3" s="5" t="s">
        <v>2464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2467</v>
      </c>
      <c r="C4" s="5" t="s">
        <v>2321</v>
      </c>
      <c r="D4" s="5" t="s">
        <v>2303</v>
      </c>
      <c r="E4" s="5" t="s">
        <v>2304</v>
      </c>
      <c r="F4" s="5"/>
      <c r="G4" s="5"/>
      <c r="H4" s="5"/>
      <c r="I4" s="5" t="s">
        <v>2464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2464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4046233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24DU729_4042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24-10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11298-0359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PKJ KEMPAS INDAH</v>
      </c>
    </row>
    <row r="2" spans="1:20" x14ac:dyDescent="0.25">
      <c r="A2" s="5" t="s">
        <v>1534</v>
      </c>
      <c r="B2" s="5" t="s">
        <v>2468</v>
      </c>
      <c r="C2" s="5" t="s">
        <v>2469</v>
      </c>
      <c r="D2" s="5" t="s">
        <v>2303</v>
      </c>
      <c r="E2" s="5" t="s">
        <v>2304</v>
      </c>
      <c r="F2" s="5"/>
      <c r="G2" s="5"/>
      <c r="H2" s="5"/>
      <c r="I2" s="5" t="s">
        <v>2470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10:45 PM</v>
      </c>
    </row>
    <row r="3" spans="1:20" x14ac:dyDescent="0.25">
      <c r="A3" s="5" t="s">
        <v>1535</v>
      </c>
      <c r="B3" s="5" t="s">
        <v>2471</v>
      </c>
      <c r="C3" s="5" t="s">
        <v>2330</v>
      </c>
      <c r="D3" s="5" t="s">
        <v>2303</v>
      </c>
      <c r="E3" s="5" t="s">
        <v>2304</v>
      </c>
      <c r="F3" s="5"/>
      <c r="G3" s="5"/>
      <c r="H3" s="5"/>
      <c r="I3" s="5" t="s">
        <v>2470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2472</v>
      </c>
      <c r="C4" s="5" t="s">
        <v>2473</v>
      </c>
      <c r="D4" s="5" t="s">
        <v>2303</v>
      </c>
      <c r="E4" s="5" t="s">
        <v>2304</v>
      </c>
      <c r="F4" s="5"/>
      <c r="G4" s="5"/>
      <c r="H4" s="5"/>
      <c r="I4" s="5" t="s">
        <v>2470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31.2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2470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93996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EWT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LVBCSU 6197-1000-11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 TECHNOLOGIES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24-10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11298-1315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TAMAN KEMPAS INDAH NO.7</v>
      </c>
    </row>
    <row r="2" spans="1:20" x14ac:dyDescent="0.25">
      <c r="A2" s="5" t="s">
        <v>1534</v>
      </c>
      <c r="B2" s="5" t="s">
        <v>2474</v>
      </c>
      <c r="C2" s="5" t="s">
        <v>1570</v>
      </c>
      <c r="D2" s="5" t="s">
        <v>2311</v>
      </c>
      <c r="E2" s="5" t="s">
        <v>2304</v>
      </c>
      <c r="F2" s="5"/>
      <c r="G2" s="5"/>
      <c r="H2" s="5"/>
      <c r="I2" s="5" t="s">
        <v>2475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11:45 PM</v>
      </c>
    </row>
    <row r="3" spans="1:20" x14ac:dyDescent="0.25">
      <c r="A3" s="5" t="s">
        <v>1535</v>
      </c>
      <c r="B3" s="5" t="s">
        <v>2476</v>
      </c>
      <c r="C3" s="5" t="s">
        <v>2477</v>
      </c>
      <c r="D3" s="5" t="s">
        <v>2311</v>
      </c>
      <c r="E3" s="5" t="s">
        <v>2304</v>
      </c>
      <c r="F3" s="5"/>
      <c r="G3" s="5"/>
      <c r="H3" s="5"/>
      <c r="I3" s="5" t="s">
        <v>2475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2478</v>
      </c>
      <c r="C4" s="5" t="s">
        <v>1574</v>
      </c>
      <c r="D4" s="5" t="s">
        <v>2311</v>
      </c>
      <c r="E4" s="5" t="s">
        <v>2479</v>
      </c>
      <c r="F4" s="5"/>
      <c r="G4" s="5"/>
      <c r="H4" s="5"/>
      <c r="I4" s="5" t="s">
        <v>2475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29.4</v>
      </c>
    </row>
    <row r="5" spans="1:20" x14ac:dyDescent="0.25">
      <c r="A5" s="5" t="s">
        <v>1537</v>
      </c>
      <c r="B5" s="5" t="s">
        <v>2480</v>
      </c>
      <c r="C5" s="5" t="s">
        <v>2481</v>
      </c>
      <c r="D5" s="5" t="s">
        <v>2311</v>
      </c>
      <c r="E5" s="5" t="s">
        <v>2304</v>
      </c>
      <c r="F5" s="5"/>
      <c r="G5" s="5"/>
      <c r="H5" s="5"/>
      <c r="I5" s="5" t="s">
        <v>2475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179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FP9709-0734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TAMAN KEMPAS INDAH NO.6</v>
      </c>
    </row>
    <row r="2" spans="1:20" x14ac:dyDescent="0.25">
      <c r="A2" s="5" t="s">
        <v>1534</v>
      </c>
      <c r="B2" s="5" t="s">
        <v>2482</v>
      </c>
      <c r="C2" s="5" t="s">
        <v>2483</v>
      </c>
      <c r="D2" s="5" t="s">
        <v>2311</v>
      </c>
      <c r="E2" s="5" t="s">
        <v>2304</v>
      </c>
      <c r="F2" s="5"/>
      <c r="G2" s="5"/>
      <c r="H2" s="5"/>
      <c r="I2" s="5" t="s">
        <v>2484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12:30 AM</v>
      </c>
    </row>
    <row r="3" spans="1:20" x14ac:dyDescent="0.25">
      <c r="A3" s="5" t="s">
        <v>1535</v>
      </c>
      <c r="B3" s="5" t="s">
        <v>2485</v>
      </c>
      <c r="C3" s="5" t="s">
        <v>1570</v>
      </c>
      <c r="D3" s="5" t="s">
        <v>2311</v>
      </c>
      <c r="E3" s="5" t="s">
        <v>2304</v>
      </c>
      <c r="F3" s="5"/>
      <c r="G3" s="5"/>
      <c r="H3" s="5"/>
      <c r="I3" s="5" t="s">
        <v>2484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2486</v>
      </c>
      <c r="C4" s="5" t="s">
        <v>2487</v>
      </c>
      <c r="D4" s="5" t="s">
        <v>2311</v>
      </c>
      <c r="E4" s="5" t="s">
        <v>2304</v>
      </c>
      <c r="F4" s="5"/>
      <c r="G4" s="5"/>
      <c r="H4" s="5"/>
      <c r="I4" s="5" t="s">
        <v>2484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30.4</v>
      </c>
    </row>
    <row r="5" spans="1:20" x14ac:dyDescent="0.25">
      <c r="A5" s="5" t="s">
        <v>1537</v>
      </c>
      <c r="B5" s="5" t="s">
        <v>2488</v>
      </c>
      <c r="C5" s="5" t="s">
        <v>2489</v>
      </c>
      <c r="D5" s="5" t="s">
        <v>2311</v>
      </c>
      <c r="E5" s="5" t="s">
        <v>2304</v>
      </c>
      <c r="F5" s="5"/>
      <c r="G5" s="5"/>
      <c r="H5" s="5"/>
      <c r="I5" s="5" t="s">
        <v>2484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TAMCO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GR1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1251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13927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FP-16001-2914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LV975-0569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TMN KEMPAS INDAH NO. 5</v>
      </c>
    </row>
    <row r="2" spans="1:20" x14ac:dyDescent="0.25">
      <c r="A2" s="5" t="s">
        <v>1534</v>
      </c>
      <c r="B2" s="5" t="s">
        <v>2490</v>
      </c>
      <c r="C2" s="5" t="s">
        <v>2491</v>
      </c>
      <c r="D2" s="5" t="s">
        <v>2311</v>
      </c>
      <c r="E2" s="5" t="s">
        <v>2304</v>
      </c>
      <c r="F2" s="5"/>
      <c r="G2" s="5"/>
      <c r="H2" s="5"/>
      <c r="I2" s="5" t="s">
        <v>2492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01:30 AM</v>
      </c>
    </row>
    <row r="3" spans="1:20" x14ac:dyDescent="0.25">
      <c r="A3" s="5" t="s">
        <v>1535</v>
      </c>
      <c r="B3" s="5" t="s">
        <v>2493</v>
      </c>
      <c r="C3" s="5" t="s">
        <v>2353</v>
      </c>
      <c r="D3" s="5" t="s">
        <v>2311</v>
      </c>
      <c r="E3" s="5" t="s">
        <v>2304</v>
      </c>
      <c r="F3" s="5"/>
      <c r="G3" s="5"/>
      <c r="H3" s="5"/>
      <c r="I3" s="5" t="s">
        <v>2492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2494</v>
      </c>
      <c r="C4" s="5" t="s">
        <v>2349</v>
      </c>
      <c r="D4" s="5" t="s">
        <v>2311</v>
      </c>
      <c r="E4" s="5" t="s">
        <v>2304</v>
      </c>
      <c r="F4" s="5"/>
      <c r="G4" s="5"/>
      <c r="H4" s="5"/>
      <c r="I4" s="5" t="s">
        <v>2492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30.0</v>
      </c>
    </row>
    <row r="5" spans="1:20" x14ac:dyDescent="0.25">
      <c r="A5" s="5" t="s">
        <v>1537</v>
      </c>
      <c r="B5" s="5" t="s">
        <v>2495</v>
      </c>
      <c r="C5" s="5" t="s">
        <v>2496</v>
      </c>
      <c r="D5" s="5" t="s">
        <v>2311</v>
      </c>
      <c r="E5" s="5" t="s">
        <v>2304</v>
      </c>
      <c r="F5" s="5"/>
      <c r="G5" s="5"/>
      <c r="H5" s="5"/>
      <c r="I5" s="5" t="s">
        <v>2492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TAMCO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GR1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13904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13946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LV975-0349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TMN KEMPAS INDAH NO. 4</v>
      </c>
    </row>
    <row r="2" spans="1:20" x14ac:dyDescent="0.25">
      <c r="A2" s="5" t="s">
        <v>1534</v>
      </c>
      <c r="B2" s="5" t="s">
        <v>2497</v>
      </c>
      <c r="C2" s="5" t="s">
        <v>2498</v>
      </c>
      <c r="D2" s="5" t="s">
        <v>2303</v>
      </c>
      <c r="E2" s="5" t="s">
        <v>2304</v>
      </c>
      <c r="F2" s="5"/>
      <c r="G2" s="5"/>
      <c r="H2" s="5"/>
      <c r="I2" s="5" t="s">
        <v>2499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02:30 AM</v>
      </c>
    </row>
    <row r="3" spans="1:20" x14ac:dyDescent="0.25">
      <c r="A3" s="5" t="s">
        <v>1535</v>
      </c>
      <c r="B3" s="5" t="s">
        <v>2500</v>
      </c>
      <c r="C3" s="5" t="s">
        <v>2501</v>
      </c>
      <c r="D3" s="5" t="s">
        <v>2303</v>
      </c>
      <c r="E3" s="5" t="s">
        <v>2304</v>
      </c>
      <c r="F3" s="5"/>
      <c r="G3" s="5"/>
      <c r="H3" s="5"/>
      <c r="I3" s="5" t="s">
        <v>2499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17/07/2026</v>
      </c>
    </row>
    <row r="4" spans="1:20" x14ac:dyDescent="0.25">
      <c r="A4" s="5" t="s">
        <v>1536</v>
      </c>
      <c r="B4" s="5" t="s">
        <v>2502</v>
      </c>
      <c r="C4" s="5" t="s">
        <v>2503</v>
      </c>
      <c r="D4" s="5" t="s">
        <v>2303</v>
      </c>
      <c r="E4" s="5" t="s">
        <v>2304</v>
      </c>
      <c r="F4" s="5"/>
      <c r="G4" s="5"/>
      <c r="H4" s="5"/>
      <c r="I4" s="5" t="s">
        <v>2499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29.9</v>
      </c>
    </row>
    <row r="5" spans="1:20" x14ac:dyDescent="0.25">
      <c r="A5" s="5" t="s">
        <v>1537</v>
      </c>
      <c r="B5" s="5" t="s">
        <v>2504</v>
      </c>
      <c r="C5" s="5" t="s">
        <v>2353</v>
      </c>
      <c r="D5" s="5" t="s">
        <v>2303</v>
      </c>
      <c r="E5" s="5" t="s">
        <v>2304</v>
      </c>
      <c r="F5" s="5"/>
      <c r="G5" s="5"/>
      <c r="H5" s="5"/>
      <c r="I5" s="5" t="s">
        <v>2499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13921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LV974-1041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B10006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str">
        <f ca="1">_xlfn.XLOOKUP(IFERROR(VALUE(MID(CELL("filename",$A$1),FIND("]",CELL("filename",$A$1))+1,255)), MID(CELL("filename",$A$1),FIND("]",CELL("filename",$A$1))+1,255)), 'SUBSTATION LIST'!$A:$A, INDEX('SUBSTATION LIST'!$B:$CA, 0, ROW(A31)))</f>
        <v>SUNPOWER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str">
        <f ca="1">_xlfn.XLOOKUP(IFERROR(VALUE(MID(CELL("filename",$A$1),FIND("]",CELL("filename",$A$1))+1,255)), MID(CELL("filename",$A$1),FIND("]",CELL("filename",$A$1))+1,255)), 'SUBSTATION LIST'!$A:$A, INDEX('SUBSTATION LIST'!$B:$CA, 0, ROW(A32)))</f>
        <v>SPS 30-10 L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str">
        <f ca="1">_xlfn.XLOOKUP(IFERROR(VALUE(MID(CELL("filename",$A$1),FIND("]",CELL("filename",$A$1))+1,255)), MID(CELL("filename",$A$1),FIND("]",CELL("filename",$A$1))+1,255)), 'SUBSTATION LIST'!$A:$A, INDEX('SUBSTATION LIST'!$B:$CA, 0, ROW(A33)))</f>
        <v>11193-4877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NUSAJAYA VILLAGE RESORTS</v>
      </c>
    </row>
    <row r="2" spans="1:20" x14ac:dyDescent="0.25">
      <c r="A2" s="5" t="s">
        <v>1534</v>
      </c>
      <c r="B2" s="5" t="s">
        <v>2505</v>
      </c>
      <c r="C2" s="5" t="s">
        <v>2506</v>
      </c>
      <c r="D2" s="5" t="s">
        <v>2303</v>
      </c>
      <c r="E2" s="5" t="s">
        <v>2479</v>
      </c>
      <c r="F2" s="5"/>
      <c r="G2" s="5"/>
      <c r="H2" s="5"/>
      <c r="I2" s="5" t="s">
        <v>2507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10:00 AM</v>
      </c>
    </row>
    <row r="3" spans="1:20" x14ac:dyDescent="0.25">
      <c r="A3" s="5" t="s">
        <v>1535</v>
      </c>
      <c r="B3" s="5" t="s">
        <v>2508</v>
      </c>
      <c r="C3" s="5" t="s">
        <v>2509</v>
      </c>
      <c r="D3" s="5" t="s">
        <v>2303</v>
      </c>
      <c r="E3" s="5" t="s">
        <v>2304</v>
      </c>
      <c r="F3" s="5"/>
      <c r="G3" s="5"/>
      <c r="H3" s="5"/>
      <c r="I3" s="5" t="s">
        <v>2507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2510</v>
      </c>
      <c r="C4" s="5" t="s">
        <v>2503</v>
      </c>
      <c r="D4" s="5" t="s">
        <v>2303</v>
      </c>
      <c r="E4" s="5" t="s">
        <v>2479</v>
      </c>
      <c r="F4" s="5"/>
      <c r="G4" s="5"/>
      <c r="H4" s="5"/>
      <c r="I4" s="5" t="s">
        <v>2507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28.9</v>
      </c>
    </row>
    <row r="5" spans="1:20" x14ac:dyDescent="0.25">
      <c r="A5" s="5" t="s">
        <v>1537</v>
      </c>
      <c r="B5" s="5" t="s">
        <v>2511</v>
      </c>
      <c r="C5" s="5" t="s">
        <v>2512</v>
      </c>
      <c r="D5" s="5" t="s">
        <v>2303</v>
      </c>
      <c r="E5" s="5" t="s">
        <v>2304</v>
      </c>
      <c r="F5" s="5"/>
      <c r="G5" s="5"/>
      <c r="H5" s="5"/>
      <c r="I5" s="5" t="s">
        <v>2507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65832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B10322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PST KOMPLEKS NUSAJAYA</v>
      </c>
    </row>
    <row r="2" spans="1:20" x14ac:dyDescent="0.25">
      <c r="A2" s="5" t="s">
        <v>1534</v>
      </c>
      <c r="B2" s="5" t="s">
        <v>2513</v>
      </c>
      <c r="C2" s="5" t="s">
        <v>295</v>
      </c>
      <c r="D2" s="5" t="s">
        <v>2303</v>
      </c>
      <c r="E2" s="5" t="s">
        <v>2304</v>
      </c>
      <c r="F2" s="5"/>
      <c r="G2" s="5"/>
      <c r="H2" s="5"/>
      <c r="I2" s="5" t="s">
        <v>2514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10:45 AM</v>
      </c>
    </row>
    <row r="3" spans="1:20" x14ac:dyDescent="0.25">
      <c r="A3" s="5" t="s">
        <v>1535</v>
      </c>
      <c r="B3" s="5" t="s">
        <v>2515</v>
      </c>
      <c r="C3" s="5" t="s">
        <v>2516</v>
      </c>
      <c r="D3" s="5" t="s">
        <v>2303</v>
      </c>
      <c r="E3" s="5" t="s">
        <v>2304</v>
      </c>
      <c r="F3" s="5"/>
      <c r="G3" s="5"/>
      <c r="H3" s="5"/>
      <c r="I3" s="5" t="s">
        <v>2514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2517</v>
      </c>
      <c r="C4" s="5" t="s">
        <v>2343</v>
      </c>
      <c r="D4" s="5" t="s">
        <v>2303</v>
      </c>
      <c r="E4" s="5" t="s">
        <v>2304</v>
      </c>
      <c r="F4" s="5"/>
      <c r="G4" s="5"/>
      <c r="H4" s="5"/>
      <c r="I4" s="5" t="s">
        <v>2514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32.2</v>
      </c>
    </row>
    <row r="5" spans="1:20" x14ac:dyDescent="0.25">
      <c r="A5" s="5" t="s">
        <v>1537</v>
      </c>
      <c r="B5" s="5" t="s">
        <v>2518</v>
      </c>
      <c r="C5" s="5" t="s">
        <v>2368</v>
      </c>
      <c r="D5" s="5" t="s">
        <v>2303</v>
      </c>
      <c r="E5" s="5" t="s">
        <v>2304</v>
      </c>
      <c r="F5" s="5"/>
      <c r="G5" s="5"/>
      <c r="H5" s="5"/>
      <c r="I5" s="5" t="s">
        <v>2514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63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1245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1244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PSB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DB9221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B9821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VELEDROM JOHOR</v>
      </c>
    </row>
    <row r="2" spans="1:20" x14ac:dyDescent="0.25">
      <c r="A2" s="5" t="s">
        <v>1534</v>
      </c>
      <c r="B2" s="5" t="s">
        <v>2519</v>
      </c>
      <c r="C2" s="5" t="s">
        <v>2520</v>
      </c>
      <c r="D2" s="5" t="s">
        <v>2311</v>
      </c>
      <c r="E2" s="5" t="s">
        <v>2304</v>
      </c>
      <c r="F2" s="5"/>
      <c r="G2" s="5"/>
      <c r="H2" s="5"/>
      <c r="I2" s="5" t="s">
        <v>2521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11:30 AM</v>
      </c>
    </row>
    <row r="3" spans="1:20" x14ac:dyDescent="0.25">
      <c r="A3" s="5" t="s">
        <v>1535</v>
      </c>
      <c r="B3" s="5" t="s">
        <v>2522</v>
      </c>
      <c r="C3" s="5" t="s">
        <v>2321</v>
      </c>
      <c r="D3" s="5" t="s">
        <v>2311</v>
      </c>
      <c r="E3" s="5" t="s">
        <v>2304</v>
      </c>
      <c r="F3" s="5"/>
      <c r="G3" s="5"/>
      <c r="H3" s="5"/>
      <c r="I3" s="5" t="s">
        <v>2521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2523</v>
      </c>
      <c r="C4" s="5" t="s">
        <v>2524</v>
      </c>
      <c r="D4" s="5" t="s">
        <v>2311</v>
      </c>
      <c r="E4" s="5" t="s">
        <v>2304</v>
      </c>
      <c r="F4" s="5"/>
      <c r="G4" s="5"/>
      <c r="H4" s="5"/>
      <c r="I4" s="5" t="s">
        <v>2521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31.4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2521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SSE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VRN6A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A01109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11426-0082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C-S LAMPU JALAN MEDINI</v>
      </c>
    </row>
    <row r="2" spans="1:20" x14ac:dyDescent="0.25">
      <c r="A2" s="5" t="s">
        <v>1534</v>
      </c>
      <c r="B2" s="5" t="s">
        <v>2525</v>
      </c>
      <c r="C2" s="5" t="s">
        <v>2526</v>
      </c>
      <c r="D2" s="5" t="s">
        <v>2303</v>
      </c>
      <c r="E2" s="5" t="s">
        <v>2304</v>
      </c>
      <c r="F2" s="5"/>
      <c r="G2" s="5"/>
      <c r="H2" s="5"/>
      <c r="I2" s="5" t="s">
        <v>2527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12:30 PM</v>
      </c>
    </row>
    <row r="3" spans="1:20" x14ac:dyDescent="0.25">
      <c r="A3" s="5" t="s">
        <v>1535</v>
      </c>
      <c r="B3" s="5" t="s">
        <v>2528</v>
      </c>
      <c r="C3" s="5" t="s">
        <v>295</v>
      </c>
      <c r="D3" s="5" t="s">
        <v>2303</v>
      </c>
      <c r="E3" s="5" t="s">
        <v>2304</v>
      </c>
      <c r="F3" s="5"/>
      <c r="G3" s="5"/>
      <c r="H3" s="5"/>
      <c r="I3" s="5" t="s">
        <v>2527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2529</v>
      </c>
      <c r="C4" s="5" t="s">
        <v>2330</v>
      </c>
      <c r="D4" s="5" t="s">
        <v>2303</v>
      </c>
      <c r="E4" s="5" t="s">
        <v>2304</v>
      </c>
      <c r="F4" s="5"/>
      <c r="G4" s="5"/>
      <c r="H4" s="5"/>
      <c r="I4" s="5" t="s">
        <v>2527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2527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INDKOM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LSR230710031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SEB100-24-10SD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CSU-SCADA-348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DATARAN MAHKOTA</v>
      </c>
    </row>
    <row r="2" spans="1:20" x14ac:dyDescent="0.25">
      <c r="A2" s="5" t="s">
        <v>1534</v>
      </c>
      <c r="B2" s="5" t="s">
        <v>2530</v>
      </c>
      <c r="C2" s="5" t="s">
        <v>2531</v>
      </c>
      <c r="D2" s="5" t="s">
        <v>2303</v>
      </c>
      <c r="E2" s="5" t="s">
        <v>2304</v>
      </c>
      <c r="F2" s="5"/>
      <c r="G2" s="5"/>
      <c r="H2" s="5"/>
      <c r="I2" s="5" t="s">
        <v>2532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01:20 PM</v>
      </c>
    </row>
    <row r="3" spans="1:20" x14ac:dyDescent="0.25">
      <c r="A3" s="5" t="s">
        <v>1535</v>
      </c>
      <c r="B3" s="5" t="s">
        <v>2533</v>
      </c>
      <c r="C3" s="5" t="s">
        <v>2534</v>
      </c>
      <c r="D3" s="5" t="s">
        <v>2303</v>
      </c>
      <c r="E3" s="5" t="s">
        <v>2304</v>
      </c>
      <c r="F3" s="5"/>
      <c r="G3" s="5"/>
      <c r="H3" s="5"/>
      <c r="I3" s="5" t="s">
        <v>2532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2535</v>
      </c>
      <c r="C4" s="5" t="s">
        <v>2536</v>
      </c>
      <c r="D4" s="5" t="s">
        <v>2303</v>
      </c>
      <c r="E4" s="5" t="s">
        <v>2304</v>
      </c>
      <c r="F4" s="5"/>
      <c r="G4" s="5"/>
      <c r="H4" s="5"/>
      <c r="I4" s="5" t="s">
        <v>2532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32.4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2532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31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TOPRANK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LVV424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7760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RMU A BGN MB-SUK.docx (SWG 1)</v>
      </c>
    </row>
    <row r="2" spans="1:20" x14ac:dyDescent="0.25">
      <c r="A2" s="5" t="s">
        <v>1534</v>
      </c>
      <c r="B2" s="5" t="s">
        <v>2537</v>
      </c>
      <c r="C2" s="5" t="s">
        <v>2302</v>
      </c>
      <c r="D2" s="5" t="s">
        <v>2303</v>
      </c>
      <c r="E2" s="5" t="s">
        <v>2304</v>
      </c>
      <c r="F2" s="5"/>
      <c r="G2" s="5"/>
      <c r="H2" s="5"/>
      <c r="I2" s="5" t="s">
        <v>2538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02:30 PM</v>
      </c>
    </row>
    <row r="3" spans="1:20" x14ac:dyDescent="0.25">
      <c r="A3" s="5" t="s">
        <v>1535</v>
      </c>
      <c r="B3" s="5" t="s">
        <v>2539</v>
      </c>
      <c r="C3" s="5" t="s">
        <v>2307</v>
      </c>
      <c r="D3" s="5" t="s">
        <v>2303</v>
      </c>
      <c r="E3" s="5" t="s">
        <v>2304</v>
      </c>
      <c r="F3" s="5"/>
      <c r="G3" s="5"/>
      <c r="H3" s="5"/>
      <c r="I3" s="5" t="s">
        <v>2538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2540</v>
      </c>
      <c r="C4" s="5" t="s">
        <v>2309</v>
      </c>
      <c r="D4" s="5" t="s">
        <v>2303</v>
      </c>
      <c r="E4" s="5" t="s">
        <v>2304</v>
      </c>
      <c r="F4" s="5"/>
      <c r="G4" s="5"/>
      <c r="H4" s="5"/>
      <c r="I4" s="5" t="s">
        <v>2538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30.9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2538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B7809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RMU A BGN MB-SUK.docx (SWG 2)</v>
      </c>
    </row>
    <row r="2" spans="1:20" x14ac:dyDescent="0.25">
      <c r="A2" s="5" t="s">
        <v>1534</v>
      </c>
      <c r="B2" s="5" t="s">
        <v>2541</v>
      </c>
      <c r="C2" s="5" t="s">
        <v>2542</v>
      </c>
      <c r="D2" s="5" t="s">
        <v>2311</v>
      </c>
      <c r="E2" s="5" t="s">
        <v>2304</v>
      </c>
      <c r="F2" s="5"/>
      <c r="G2" s="5"/>
      <c r="H2" s="5"/>
      <c r="I2" s="5" t="s">
        <v>2543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02:30 PM</v>
      </c>
    </row>
    <row r="3" spans="1:20" x14ac:dyDescent="0.25">
      <c r="A3" s="5" t="s">
        <v>1535</v>
      </c>
      <c r="B3" s="5" t="s">
        <v>2544</v>
      </c>
      <c r="C3" s="5" t="s">
        <v>2545</v>
      </c>
      <c r="D3" s="5" t="s">
        <v>2311</v>
      </c>
      <c r="E3" s="5" t="s">
        <v>2304</v>
      </c>
      <c r="F3" s="5"/>
      <c r="G3" s="5"/>
      <c r="H3" s="5"/>
      <c r="I3" s="5" t="s">
        <v>2543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2546</v>
      </c>
      <c r="C4" s="5" t="s">
        <v>2547</v>
      </c>
      <c r="D4" s="5" t="s">
        <v>2311</v>
      </c>
      <c r="E4" s="5" t="s">
        <v>2304</v>
      </c>
      <c r="F4" s="5"/>
      <c r="G4" s="5"/>
      <c r="H4" s="5"/>
      <c r="I4" s="5" t="s">
        <v>2543</v>
      </c>
      <c r="N4" s="6" t="s">
        <v>1694</v>
      </c>
      <c r="O4" s="6" t="s">
        <v>4</v>
      </c>
      <c r="P4" s="28">
        <f ca="1">_xlfn.XLOOKUP(IFERROR(VALUE(MID(CELL("filename",$A$1),FIND("]",CELL("filename",$A$1))+1,255)), MID(CELL("filename",$A$1),FIND("]",CELL("filename",$A$1))+1,255)), 'SUBSTATION LIST'!$A:$A, INDEX('SUBSTATION LIST'!$B:$CA, 0, ROW(A4)))</f>
        <v>0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2543</v>
      </c>
      <c r="N5" s="6" t="s">
        <v>1695</v>
      </c>
      <c r="O5" s="6" t="s">
        <v>5</v>
      </c>
      <c r="P5" s="28">
        <f ca="1">_xlfn.XLOOKUP(IFERROR(VALUE(MID(CELL("filename",$A$1),FIND("]",CELL("filename",$A$1))+1,255)), MID(CELL("filename",$A$1),FIND("]",CELL("filename",$A$1))+1,255)), 'SUBSTATION LIST'!$A:$A, INDEX('SUBSTATION LIST'!$B:$CA, 0, ROW(A5)))</f>
        <v>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TAMCO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GR1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>
        <f ca="1">_xlfn.XLOOKUP(IFERROR(VALUE(MID(CELL("filename",$A$1),FIND("]",CELL("filename",$A$1))+1,255)), MID(CELL("filename",$A$1),FIND("]",CELL("filename",$A$1))+1,255)), 'SUBSTATION LIST'!$A:$A, INDEX('SUBSTATION LIST'!$B:$CA, 0, ROW(A22)))</f>
        <v>0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>
        <f ca="1">_xlfn.XLOOKUP(IFERROR(VALUE(MID(CELL("filename",$A$1),FIND("]",CELL("filename",$A$1))+1,255)), MID(CELL("filename",$A$1),FIND("]",CELL("filename",$A$1))+1,255)), 'SUBSTATION LIST'!$A:$A, INDEX('SUBSTATION LIST'!$B:$CA, 0, ROW(A27)))</f>
        <v>0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BGN DUN</v>
      </c>
    </row>
    <row r="2" spans="1:20" x14ac:dyDescent="0.25">
      <c r="A2" s="5" t="s">
        <v>1534</v>
      </c>
      <c r="B2" s="5" t="s">
        <v>2548</v>
      </c>
      <c r="C2" s="5" t="s">
        <v>2549</v>
      </c>
      <c r="D2" s="5" t="s">
        <v>2303</v>
      </c>
      <c r="E2" s="5" t="s">
        <v>2304</v>
      </c>
      <c r="F2" s="5"/>
      <c r="G2" s="5"/>
      <c r="H2" s="5"/>
      <c r="I2" s="5" t="s">
        <v>2550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03:35 PM</v>
      </c>
    </row>
    <row r="3" spans="1:20" x14ac:dyDescent="0.25">
      <c r="A3" s="5" t="s">
        <v>1535</v>
      </c>
      <c r="B3" s="5" t="s">
        <v>2551</v>
      </c>
      <c r="C3" s="5" t="s">
        <v>2552</v>
      </c>
      <c r="D3" s="5" t="s">
        <v>2303</v>
      </c>
      <c r="E3" s="5" t="s">
        <v>2479</v>
      </c>
      <c r="F3" s="5"/>
      <c r="G3" s="5"/>
      <c r="H3" s="5"/>
      <c r="I3" s="5" t="s">
        <v>2550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2553</v>
      </c>
      <c r="C4" s="5" t="s">
        <v>2542</v>
      </c>
      <c r="D4" s="5" t="s">
        <v>2303</v>
      </c>
      <c r="E4" s="5" t="s">
        <v>2304</v>
      </c>
      <c r="F4" s="5"/>
      <c r="G4" s="5"/>
      <c r="H4" s="5"/>
      <c r="I4" s="5" t="s">
        <v>2550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32.3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2550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B7807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C2S JSNAC</v>
      </c>
    </row>
    <row r="2" spans="1:20" x14ac:dyDescent="0.25">
      <c r="A2" s="5" t="s">
        <v>1534</v>
      </c>
      <c r="B2" s="5" t="s">
        <v>2554</v>
      </c>
      <c r="C2" s="5" t="s">
        <v>328</v>
      </c>
      <c r="D2" s="5" t="s">
        <v>2311</v>
      </c>
      <c r="E2" s="5" t="s">
        <v>2304</v>
      </c>
      <c r="F2" s="5"/>
      <c r="G2" s="5"/>
      <c r="H2" s="5"/>
      <c r="I2" s="5" t="s">
        <v>2555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04:30 PM</v>
      </c>
    </row>
    <row r="3" spans="1:20" x14ac:dyDescent="0.25">
      <c r="A3" s="5" t="s">
        <v>1535</v>
      </c>
      <c r="B3" s="5" t="s">
        <v>2556</v>
      </c>
      <c r="C3" s="5" t="s">
        <v>333</v>
      </c>
      <c r="D3" s="5" t="s">
        <v>2311</v>
      </c>
      <c r="E3" s="5" t="s">
        <v>2304</v>
      </c>
      <c r="F3" s="5"/>
      <c r="G3" s="5"/>
      <c r="H3" s="5"/>
      <c r="I3" s="5" t="s">
        <v>2555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2557</v>
      </c>
      <c r="C4" s="5" t="s">
        <v>2558</v>
      </c>
      <c r="D4" s="5" t="s">
        <v>2311</v>
      </c>
      <c r="E4" s="5" t="s">
        <v>2304</v>
      </c>
      <c r="F4" s="5"/>
      <c r="G4" s="5"/>
      <c r="H4" s="5"/>
      <c r="I4" s="5" t="s">
        <v>2555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32.7</v>
      </c>
    </row>
    <row r="5" spans="1:20" x14ac:dyDescent="0.25">
      <c r="A5" s="5" t="s">
        <v>1537</v>
      </c>
      <c r="B5" s="5" t="s">
        <v>2559</v>
      </c>
      <c r="C5" s="5" t="s">
        <v>2560</v>
      </c>
      <c r="D5" s="5" t="s">
        <v>2311</v>
      </c>
      <c r="E5" s="5" t="s">
        <v>2304</v>
      </c>
      <c r="F5" s="5"/>
      <c r="G5" s="5"/>
      <c r="H5" s="5"/>
      <c r="I5" s="5" t="s">
        <v>2555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714294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SGB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750kVA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714295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7791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C3S JSNAC</v>
      </c>
    </row>
    <row r="2" spans="1:20" x14ac:dyDescent="0.25">
      <c r="A2" s="5" t="s">
        <v>1534</v>
      </c>
      <c r="B2" s="5" t="s">
        <v>2561</v>
      </c>
      <c r="C2" s="5" t="s">
        <v>2562</v>
      </c>
      <c r="D2" s="5" t="s">
        <v>2303</v>
      </c>
      <c r="E2" s="5" t="s">
        <v>2304</v>
      </c>
      <c r="F2" s="5"/>
      <c r="G2" s="5"/>
      <c r="H2" s="5"/>
      <c r="I2" s="5" t="s">
        <v>2563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05:35 PM</v>
      </c>
    </row>
    <row r="3" spans="1:20" x14ac:dyDescent="0.25">
      <c r="A3" s="5" t="s">
        <v>1535</v>
      </c>
      <c r="B3" s="5" t="s">
        <v>2564</v>
      </c>
      <c r="C3" s="5" t="s">
        <v>2565</v>
      </c>
      <c r="D3" s="5" t="s">
        <v>2303</v>
      </c>
      <c r="E3" s="5" t="s">
        <v>2304</v>
      </c>
      <c r="F3" s="5"/>
      <c r="G3" s="5"/>
      <c r="H3" s="5"/>
      <c r="I3" s="5" t="s">
        <v>2563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2566</v>
      </c>
      <c r="C4" s="5" t="s">
        <v>2343</v>
      </c>
      <c r="D4" s="5" t="s">
        <v>2303</v>
      </c>
      <c r="E4" s="5" t="s">
        <v>2304</v>
      </c>
      <c r="F4" s="5"/>
      <c r="G4" s="5"/>
      <c r="H4" s="5"/>
      <c r="I4" s="5" t="s">
        <v>2563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32.5</v>
      </c>
    </row>
    <row r="5" spans="1:20" x14ac:dyDescent="0.25">
      <c r="A5" s="5" t="s">
        <v>1537</v>
      </c>
      <c r="B5" s="5" t="s">
        <v>2567</v>
      </c>
      <c r="C5" s="5" t="s">
        <v>2368</v>
      </c>
      <c r="D5" s="5" t="s">
        <v>2303</v>
      </c>
      <c r="E5" s="5" t="s">
        <v>2304</v>
      </c>
      <c r="F5" s="5"/>
      <c r="G5" s="5"/>
      <c r="H5" s="5"/>
      <c r="I5" s="5" t="s">
        <v>2563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711891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SGB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711892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B7781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SERVICES JSNAC</v>
      </c>
    </row>
    <row r="2" spans="1:20" x14ac:dyDescent="0.25">
      <c r="A2" s="5" t="s">
        <v>1534</v>
      </c>
      <c r="B2" s="5" t="s">
        <v>2568</v>
      </c>
      <c r="C2" s="5" t="s">
        <v>2569</v>
      </c>
      <c r="D2" s="5" t="s">
        <v>2303</v>
      </c>
      <c r="E2" s="5" t="s">
        <v>2479</v>
      </c>
      <c r="F2" s="5"/>
      <c r="G2" s="5"/>
      <c r="H2" s="5"/>
      <c r="I2" s="5" t="s">
        <v>2570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06:15 PM</v>
      </c>
    </row>
    <row r="3" spans="1:20" x14ac:dyDescent="0.25">
      <c r="A3" s="5" t="s">
        <v>1535</v>
      </c>
      <c r="B3" s="5" t="s">
        <v>2571</v>
      </c>
      <c r="C3" s="5" t="s">
        <v>2572</v>
      </c>
      <c r="D3" s="5" t="s">
        <v>2303</v>
      </c>
      <c r="E3" s="5" t="s">
        <v>2304</v>
      </c>
      <c r="F3" s="5"/>
      <c r="G3" s="5"/>
      <c r="H3" s="5"/>
      <c r="I3" s="5" t="s">
        <v>2570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2573</v>
      </c>
      <c r="C4" s="5" t="s">
        <v>2574</v>
      </c>
      <c r="D4" s="5" t="s">
        <v>2303</v>
      </c>
      <c r="E4" s="5" t="s">
        <v>2304</v>
      </c>
      <c r="F4" s="5"/>
      <c r="G4" s="5"/>
      <c r="H4" s="5"/>
      <c r="I4" s="5" t="s">
        <v>2570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32.6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2570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714512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TOPRANK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LVV1178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B7765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MASJID KOTA ISKANDAR</v>
      </c>
    </row>
    <row r="2" spans="1:20" x14ac:dyDescent="0.25">
      <c r="A2" s="5" t="s">
        <v>1534</v>
      </c>
      <c r="B2" s="5" t="s">
        <v>2575</v>
      </c>
      <c r="C2" s="5" t="s">
        <v>2576</v>
      </c>
      <c r="D2" s="5" t="s">
        <v>2303</v>
      </c>
      <c r="E2" s="5" t="s">
        <v>2577</v>
      </c>
      <c r="F2" s="5" t="s">
        <v>2578</v>
      </c>
      <c r="G2" s="5"/>
      <c r="H2" s="5" t="s">
        <v>2579</v>
      </c>
      <c r="I2" s="5" t="s">
        <v>2580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08:45 PM</v>
      </c>
    </row>
    <row r="3" spans="1:20" x14ac:dyDescent="0.25">
      <c r="A3" s="5" t="s">
        <v>1535</v>
      </c>
      <c r="B3" s="5" t="s">
        <v>2581</v>
      </c>
      <c r="C3" s="5" t="s">
        <v>2582</v>
      </c>
      <c r="D3" s="5" t="s">
        <v>2303</v>
      </c>
      <c r="E3" s="5" t="s">
        <v>2577</v>
      </c>
      <c r="F3" s="5" t="s">
        <v>2578</v>
      </c>
      <c r="G3" s="5"/>
      <c r="H3" s="5" t="s">
        <v>2579</v>
      </c>
      <c r="I3" s="5" t="s">
        <v>2583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2584</v>
      </c>
      <c r="C4" s="5" t="s">
        <v>2330</v>
      </c>
      <c r="D4" s="5" t="s">
        <v>2303</v>
      </c>
      <c r="E4" s="5" t="s">
        <v>2577</v>
      </c>
      <c r="F4" s="5" t="s">
        <v>2578</v>
      </c>
      <c r="G4" s="5"/>
      <c r="H4" s="5" t="s">
        <v>2579</v>
      </c>
      <c r="I4" s="5" t="s">
        <v>2585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/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TAMCO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VCB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VHIH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725187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B7711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str">
        <f ca="1">_xlfn.XLOOKUP(IFERROR(VALUE(MID(CELL("filename",$A$1),FIND("]",CELL("filename",$A$1))+1,255)), MID(CELL("filename",$A$1),FIND("]",CELL("filename",$A$1))+1,255)), 'SUBSTATION LIST'!$A:$A, INDEX('SUBSTATION LIST'!$B:$CA, 0, ROW(A31)))</f>
        <v>BERKAT INSAF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str">
        <f ca="1">_xlfn.XLOOKUP(IFERROR(VALUE(MID(CELL("filename",$A$1),FIND("]",CELL("filename",$A$1))+1,255)), MID(CELL("filename",$A$1),FIND("]",CELL("filename",$A$1))+1,255)), 'SUBSTATION LIST'!$A:$A, INDEX('SUBSTATION LIST'!$B:$CA, 0, ROW(A32)))</f>
        <v>SEB100-30-10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str">
        <f ca="1">_xlfn.XLOOKUP(IFERROR(VALUE(MID(CELL("filename",$A$1),FIND("]",CELL("filename",$A$1))+1,255)), MID(CELL("filename",$A$1),FIND("]",CELL("filename",$A$1))+1,255)), 'SUBSTATION LIST'!$A:$A, INDEX('SUBSTATION LIST'!$B:$CA, 0, ROW(A33)))</f>
        <v>B10290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STUDENT HUB</v>
      </c>
    </row>
    <row r="2" spans="1:20" x14ac:dyDescent="0.25">
      <c r="A2" s="5" t="s">
        <v>1534</v>
      </c>
      <c r="B2" s="5" t="s">
        <v>2586</v>
      </c>
      <c r="C2" s="5" t="s">
        <v>2587</v>
      </c>
      <c r="D2" s="5" t="s">
        <v>2311</v>
      </c>
      <c r="E2" s="5" t="s">
        <v>2304</v>
      </c>
      <c r="F2" s="5"/>
      <c r="G2" s="5"/>
      <c r="H2" s="5"/>
      <c r="I2" s="5" t="s">
        <v>2588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10:05 PM</v>
      </c>
    </row>
    <row r="3" spans="1:20" x14ac:dyDescent="0.25">
      <c r="A3" s="5" t="s">
        <v>1535</v>
      </c>
      <c r="B3" s="5" t="s">
        <v>2589</v>
      </c>
      <c r="C3" s="5" t="s">
        <v>2590</v>
      </c>
      <c r="D3" s="5" t="s">
        <v>2311</v>
      </c>
      <c r="E3" s="5" t="s">
        <v>2304</v>
      </c>
      <c r="F3" s="5"/>
      <c r="G3" s="5"/>
      <c r="H3" s="5"/>
      <c r="I3" s="5" t="s">
        <v>2588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2591</v>
      </c>
      <c r="C4" s="5" t="s">
        <v>2330</v>
      </c>
      <c r="D4" s="5" t="s">
        <v>2311</v>
      </c>
      <c r="E4" s="5" t="s">
        <v>2304</v>
      </c>
      <c r="F4" s="5"/>
      <c r="G4" s="5"/>
      <c r="H4" s="5"/>
      <c r="I4" s="5" t="s">
        <v>2588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29.8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2588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4035617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TN 21 61 0051C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JUMBOHAN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JCV-T-24-10/L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121732-65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DATARAN MBIP</v>
      </c>
    </row>
    <row r="2" spans="1:20" x14ac:dyDescent="0.25">
      <c r="A2" s="5" t="s">
        <v>1534</v>
      </c>
      <c r="B2" s="5" t="s">
        <v>2592</v>
      </c>
      <c r="C2" s="5" t="s">
        <v>2593</v>
      </c>
      <c r="D2" s="5" t="s">
        <v>2303</v>
      </c>
      <c r="E2" s="5" t="s">
        <v>2304</v>
      </c>
      <c r="F2" s="5"/>
      <c r="G2" s="5"/>
      <c r="H2" s="5"/>
      <c r="I2" s="5" t="s">
        <v>2594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11:00 PM</v>
      </c>
    </row>
    <row r="3" spans="1:20" x14ac:dyDescent="0.25">
      <c r="A3" s="5" t="s">
        <v>1535</v>
      </c>
      <c r="B3" s="5" t="s">
        <v>2595</v>
      </c>
      <c r="C3" s="5" t="s">
        <v>354</v>
      </c>
      <c r="D3" s="5" t="s">
        <v>2303</v>
      </c>
      <c r="E3" s="5" t="s">
        <v>2304</v>
      </c>
      <c r="F3" s="5"/>
      <c r="G3" s="5"/>
      <c r="H3" s="5"/>
      <c r="I3" s="5" t="s">
        <v>2594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2596</v>
      </c>
      <c r="C4" s="5" t="s">
        <v>2503</v>
      </c>
      <c r="D4" s="5" t="s">
        <v>2303</v>
      </c>
      <c r="E4" s="5" t="s">
        <v>2479</v>
      </c>
      <c r="F4" s="5"/>
      <c r="G4" s="5"/>
      <c r="H4" s="5"/>
      <c r="I4" s="5" t="s">
        <v>2594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30.4</v>
      </c>
    </row>
    <row r="5" spans="1:20" x14ac:dyDescent="0.25">
      <c r="A5" s="5" t="s">
        <v>1537</v>
      </c>
      <c r="B5" s="5" t="s">
        <v>2597</v>
      </c>
      <c r="C5" s="5" t="s">
        <v>2598</v>
      </c>
      <c r="D5" s="5" t="s">
        <v>2303</v>
      </c>
      <c r="E5" s="5" t="s">
        <v>2304</v>
      </c>
      <c r="F5" s="5"/>
      <c r="G5" s="5"/>
      <c r="H5" s="5"/>
      <c r="I5" s="5" t="s">
        <v>2594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500kVA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52801C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11193-1703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PDT CALTEX EDUCITY</v>
      </c>
    </row>
    <row r="2" spans="1:20" x14ac:dyDescent="0.25">
      <c r="A2" s="5" t="s">
        <v>1534</v>
      </c>
      <c r="B2" s="5" t="s">
        <v>2599</v>
      </c>
      <c r="C2" s="5" t="s">
        <v>2600</v>
      </c>
      <c r="D2" s="5" t="s">
        <v>2303</v>
      </c>
      <c r="E2" s="5" t="s">
        <v>2479</v>
      </c>
      <c r="F2" s="5"/>
      <c r="G2" s="5"/>
      <c r="H2" s="5"/>
      <c r="I2" s="5" t="s">
        <v>2601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12:10 AM</v>
      </c>
    </row>
    <row r="3" spans="1:20" x14ac:dyDescent="0.25">
      <c r="A3" s="5" t="s">
        <v>1535</v>
      </c>
      <c r="B3" s="5" t="s">
        <v>2602</v>
      </c>
      <c r="C3" s="5" t="s">
        <v>2603</v>
      </c>
      <c r="D3" s="5" t="s">
        <v>2303</v>
      </c>
      <c r="E3" s="5" t="s">
        <v>2304</v>
      </c>
      <c r="F3" s="5"/>
      <c r="G3" s="5"/>
      <c r="H3" s="5"/>
      <c r="I3" s="5" t="s">
        <v>2601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2604</v>
      </c>
      <c r="C4" s="5" t="s">
        <v>2330</v>
      </c>
      <c r="D4" s="5" t="s">
        <v>2303</v>
      </c>
      <c r="E4" s="5" t="s">
        <v>2304</v>
      </c>
      <c r="F4" s="5"/>
      <c r="G4" s="5"/>
      <c r="H4" s="5"/>
      <c r="I4" s="5" t="s">
        <v>2601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2601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4031926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TN 21 61 0018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JUMBOHAN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JCV-T-24-10/L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261731-09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SMK KOTA ILMU</v>
      </c>
    </row>
    <row r="2" spans="1:20" x14ac:dyDescent="0.25">
      <c r="A2" s="5" t="s">
        <v>1534</v>
      </c>
      <c r="B2" s="5" t="s">
        <v>2605</v>
      </c>
      <c r="C2" s="5" t="s">
        <v>354</v>
      </c>
      <c r="D2" s="5" t="s">
        <v>2303</v>
      </c>
      <c r="E2" s="5" t="s">
        <v>2304</v>
      </c>
      <c r="F2" s="5"/>
      <c r="G2" s="5"/>
      <c r="H2" s="5"/>
      <c r="I2" s="5" t="s">
        <v>2606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01:00 AM</v>
      </c>
    </row>
    <row r="3" spans="1:20" x14ac:dyDescent="0.25">
      <c r="A3" s="5" t="s">
        <v>1535</v>
      </c>
      <c r="B3" s="5" t="s">
        <v>2607</v>
      </c>
      <c r="C3" s="5" t="s">
        <v>2608</v>
      </c>
      <c r="D3" s="5" t="s">
        <v>2303</v>
      </c>
      <c r="E3" s="5" t="s">
        <v>2304</v>
      </c>
      <c r="F3" s="5"/>
      <c r="G3" s="5"/>
      <c r="H3" s="5"/>
      <c r="I3" s="5" t="s">
        <v>2606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2609</v>
      </c>
      <c r="C4" s="5" t="s">
        <v>1570</v>
      </c>
      <c r="D4" s="5" t="s">
        <v>2303</v>
      </c>
      <c r="E4" s="5" t="s">
        <v>2304</v>
      </c>
      <c r="F4" s="5"/>
      <c r="G4" s="5"/>
      <c r="H4" s="5"/>
      <c r="I4" s="5" t="s">
        <v>2606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30.0</v>
      </c>
    </row>
    <row r="5" spans="1:20" x14ac:dyDescent="0.25">
      <c r="A5" s="5" t="s">
        <v>1537</v>
      </c>
      <c r="B5" s="5" t="s">
        <v>2610</v>
      </c>
      <c r="C5" s="5" t="s">
        <v>1574</v>
      </c>
      <c r="D5" s="5" t="s">
        <v>2303</v>
      </c>
      <c r="E5" s="5" t="s">
        <v>2304</v>
      </c>
      <c r="F5" s="5"/>
      <c r="G5" s="5"/>
      <c r="H5" s="5"/>
      <c r="I5" s="5" t="s">
        <v>2606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720916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SGB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750kVA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720920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ALGEBRA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A089-0396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11193-689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STP EDUCITY NUSAJAYA</v>
      </c>
    </row>
    <row r="2" spans="1:20" x14ac:dyDescent="0.25">
      <c r="A2" s="5" t="s">
        <v>1534</v>
      </c>
      <c r="B2" s="5" t="s">
        <v>2611</v>
      </c>
      <c r="C2" s="5" t="s">
        <v>359</v>
      </c>
      <c r="D2" s="5" t="s">
        <v>2303</v>
      </c>
      <c r="E2" s="5" t="s">
        <v>2304</v>
      </c>
      <c r="F2" s="5"/>
      <c r="G2" s="5"/>
      <c r="H2" s="5"/>
      <c r="I2" s="5" t="s">
        <v>2612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02:00 AM</v>
      </c>
    </row>
    <row r="3" spans="1:20" x14ac:dyDescent="0.25">
      <c r="A3" s="5" t="s">
        <v>1535</v>
      </c>
      <c r="B3" s="5" t="s">
        <v>2613</v>
      </c>
      <c r="C3" s="5" t="s">
        <v>2614</v>
      </c>
      <c r="D3" s="5" t="s">
        <v>2303</v>
      </c>
      <c r="E3" s="5" t="s">
        <v>2304</v>
      </c>
      <c r="F3" s="5"/>
      <c r="G3" s="5"/>
      <c r="H3" s="5"/>
      <c r="I3" s="5" t="s">
        <v>2612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18/07/26</v>
      </c>
    </row>
    <row r="4" spans="1:20" x14ac:dyDescent="0.25">
      <c r="A4" s="5" t="s">
        <v>1536</v>
      </c>
      <c r="B4" s="5" t="s">
        <v>2615</v>
      </c>
      <c r="C4" s="5" t="s">
        <v>2330</v>
      </c>
      <c r="D4" s="5" t="s">
        <v>2303</v>
      </c>
      <c r="E4" s="5" t="s">
        <v>2304</v>
      </c>
      <c r="F4" s="5"/>
      <c r="G4" s="5"/>
      <c r="H4" s="5"/>
      <c r="I4" s="5" t="s">
        <v>2612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29.7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2612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INDKOM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LSE241110162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SEB100-24-10SD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CSU-SCADA-854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WISMA MARIA</v>
      </c>
    </row>
    <row r="2" spans="1:20" x14ac:dyDescent="0.25">
      <c r="A2" s="5" t="s">
        <v>1534</v>
      </c>
      <c r="B2" s="5" t="s">
        <v>2616</v>
      </c>
      <c r="C2" s="5" t="s">
        <v>2617</v>
      </c>
      <c r="D2" s="5" t="s">
        <v>2303</v>
      </c>
      <c r="E2" s="5" t="s">
        <v>2304</v>
      </c>
      <c r="F2" s="5"/>
      <c r="G2" s="5"/>
      <c r="H2" s="5"/>
      <c r="I2" s="5" t="s">
        <v>2618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09:15 AM</v>
      </c>
    </row>
    <row r="3" spans="1:20" x14ac:dyDescent="0.25">
      <c r="A3" s="5" t="s">
        <v>1535</v>
      </c>
      <c r="B3" s="5" t="s">
        <v>2619</v>
      </c>
      <c r="C3" s="5" t="s">
        <v>413</v>
      </c>
      <c r="D3" s="5" t="s">
        <v>2303</v>
      </c>
      <c r="E3" s="5" t="s">
        <v>2304</v>
      </c>
      <c r="F3" s="5"/>
      <c r="G3" s="5"/>
      <c r="H3" s="5"/>
      <c r="I3" s="5" t="s">
        <v>2618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2620</v>
      </c>
      <c r="C4" s="5" t="s">
        <v>2560</v>
      </c>
      <c r="D4" s="5" t="s">
        <v>2303</v>
      </c>
      <c r="E4" s="5" t="s">
        <v>2304</v>
      </c>
      <c r="F4" s="5"/>
      <c r="G4" s="5"/>
      <c r="H4" s="5"/>
      <c r="I4" s="5" t="s">
        <v>2618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29.1</v>
      </c>
    </row>
    <row r="5" spans="1:20" x14ac:dyDescent="0.25">
      <c r="A5" s="5" t="s">
        <v>1537</v>
      </c>
      <c r="B5" s="5" t="s">
        <v>2621</v>
      </c>
      <c r="C5" s="5" t="s">
        <v>2558</v>
      </c>
      <c r="D5" s="5" t="s">
        <v>2303</v>
      </c>
      <c r="E5" s="5" t="s">
        <v>2304</v>
      </c>
      <c r="F5" s="5"/>
      <c r="G5" s="5"/>
      <c r="H5" s="5"/>
      <c r="I5" s="5" t="s">
        <v>2618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81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4003627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SGB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750kVA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TAMCO CUTLER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1000A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T0163/86-J4544/1-33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KEJURUTERAAN PETROL TEKNIK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FP952/96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WISMA PERSEKUTUAN BLOK B</v>
      </c>
    </row>
    <row r="2" spans="1:20" x14ac:dyDescent="0.25">
      <c r="A2" s="5" t="s">
        <v>1534</v>
      </c>
      <c r="B2" s="5" t="s">
        <v>2622</v>
      </c>
      <c r="C2" s="5" t="s">
        <v>390</v>
      </c>
      <c r="D2" s="5" t="s">
        <v>2303</v>
      </c>
      <c r="E2" s="5" t="s">
        <v>2304</v>
      </c>
      <c r="F2" s="5"/>
      <c r="G2" s="5"/>
      <c r="H2" s="5"/>
      <c r="I2" s="5" t="s">
        <v>2623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10:05 AM</v>
      </c>
    </row>
    <row r="3" spans="1:20" x14ac:dyDescent="0.25">
      <c r="A3" s="5" t="s">
        <v>1535</v>
      </c>
      <c r="B3" s="5" t="s">
        <v>2624</v>
      </c>
      <c r="C3" s="5" t="s">
        <v>2343</v>
      </c>
      <c r="D3" s="5" t="s">
        <v>2303</v>
      </c>
      <c r="E3" s="5" t="s">
        <v>2304</v>
      </c>
      <c r="F3" s="5"/>
      <c r="G3" s="5"/>
      <c r="H3" s="5"/>
      <c r="I3" s="5" t="s">
        <v>2623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2625</v>
      </c>
      <c r="C4" s="5" t="s">
        <v>2626</v>
      </c>
      <c r="D4" s="5" t="s">
        <v>2303</v>
      </c>
      <c r="E4" s="5" t="s">
        <v>2304</v>
      </c>
      <c r="F4" s="5"/>
      <c r="G4" s="5"/>
      <c r="H4" s="5"/>
      <c r="I4" s="5" t="s">
        <v>2623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29.8</v>
      </c>
    </row>
    <row r="5" spans="1:20" x14ac:dyDescent="0.25">
      <c r="A5" s="5" t="s">
        <v>1537</v>
      </c>
      <c r="B5" s="5" t="s">
        <v>2627</v>
      </c>
      <c r="C5" s="5" t="s">
        <v>2368</v>
      </c>
      <c r="D5" s="5" t="s">
        <v>2303</v>
      </c>
      <c r="E5" s="5" t="s">
        <v>2304</v>
      </c>
      <c r="F5" s="5"/>
      <c r="G5" s="5"/>
      <c r="H5" s="5"/>
      <c r="I5" s="5" t="s">
        <v>2623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2S+2F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77057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EWT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77032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BONAR LONG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800A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9722982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WISMA PERSEKUTUAN BLOK A</v>
      </c>
    </row>
    <row r="2" spans="1:20" x14ac:dyDescent="0.25">
      <c r="A2" s="5" t="s">
        <v>1534</v>
      </c>
      <c r="B2" s="5" t="s">
        <v>2628</v>
      </c>
      <c r="C2" s="5" t="s">
        <v>382</v>
      </c>
      <c r="D2" s="5" t="s">
        <v>2303</v>
      </c>
      <c r="E2" s="5" t="s">
        <v>2304</v>
      </c>
      <c r="F2" s="5"/>
      <c r="G2" s="5"/>
      <c r="H2" s="5"/>
      <c r="I2" s="5" t="s">
        <v>2629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11:00 AM</v>
      </c>
    </row>
    <row r="3" spans="1:20" x14ac:dyDescent="0.25">
      <c r="A3" s="5" t="s">
        <v>1535</v>
      </c>
      <c r="B3" s="5" t="s">
        <v>2630</v>
      </c>
      <c r="C3" s="5" t="s">
        <v>2631</v>
      </c>
      <c r="D3" s="5" t="s">
        <v>2303</v>
      </c>
      <c r="E3" s="5" t="s">
        <v>2304</v>
      </c>
      <c r="F3" s="5"/>
      <c r="G3" s="5"/>
      <c r="H3" s="5"/>
      <c r="I3" s="5" t="s">
        <v>2629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2632</v>
      </c>
      <c r="C4" s="5" t="s">
        <v>2558</v>
      </c>
      <c r="D4" s="5" t="s">
        <v>2303</v>
      </c>
      <c r="E4" s="5" t="s">
        <v>2304</v>
      </c>
      <c r="F4" s="5"/>
      <c r="G4" s="5"/>
      <c r="H4" s="5"/>
      <c r="I4" s="5" t="s">
        <v>2629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30.3</v>
      </c>
    </row>
    <row r="5" spans="1:20" x14ac:dyDescent="0.25">
      <c r="A5" s="5" t="s">
        <v>1537</v>
      </c>
      <c r="B5" s="5" t="s">
        <v>2633</v>
      </c>
      <c r="C5" s="5" t="s">
        <v>2560</v>
      </c>
      <c r="D5" s="5" t="s">
        <v>2303</v>
      </c>
      <c r="E5" s="5" t="s">
        <v>2304</v>
      </c>
      <c r="F5" s="5"/>
      <c r="G5" s="5"/>
      <c r="H5" s="5"/>
      <c r="I5" s="5" t="s">
        <v>2629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8784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750kVA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8981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B9376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TALIKOM</v>
      </c>
    </row>
    <row r="2" spans="1:20" x14ac:dyDescent="0.25">
      <c r="A2" s="5" t="s">
        <v>1534</v>
      </c>
      <c r="B2" s="5" t="s">
        <v>2634</v>
      </c>
      <c r="C2" s="5" t="s">
        <v>2635</v>
      </c>
      <c r="D2" s="5" t="s">
        <v>2303</v>
      </c>
      <c r="E2" s="5" t="s">
        <v>2304</v>
      </c>
      <c r="F2" s="5"/>
      <c r="G2" s="5"/>
      <c r="H2" s="5"/>
      <c r="I2" s="5" t="s">
        <v>2636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11:55 AM</v>
      </c>
    </row>
    <row r="3" spans="1:20" x14ac:dyDescent="0.25">
      <c r="A3" s="5" t="s">
        <v>1535</v>
      </c>
      <c r="B3" s="5" t="s">
        <v>2637</v>
      </c>
      <c r="C3" s="5" t="s">
        <v>2638</v>
      </c>
      <c r="D3" s="5" t="s">
        <v>2303</v>
      </c>
      <c r="E3" s="5" t="s">
        <v>2304</v>
      </c>
      <c r="F3" s="5"/>
      <c r="G3" s="5"/>
      <c r="H3" s="5"/>
      <c r="I3" s="5" t="s">
        <v>2636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2639</v>
      </c>
      <c r="C4" s="5" t="s">
        <v>2558</v>
      </c>
      <c r="D4" s="5" t="s">
        <v>2303</v>
      </c>
      <c r="E4" s="5" t="s">
        <v>2304</v>
      </c>
      <c r="F4" s="5"/>
      <c r="G4" s="5"/>
      <c r="H4" s="5"/>
      <c r="I4" s="5" t="s">
        <v>2636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32.0</v>
      </c>
    </row>
    <row r="5" spans="1:20" x14ac:dyDescent="0.25">
      <c r="A5" s="5" t="s">
        <v>1537</v>
      </c>
      <c r="B5" s="5" t="s">
        <v>2640</v>
      </c>
      <c r="C5" s="5" t="s">
        <v>2560</v>
      </c>
      <c r="D5" s="5" t="s">
        <v>2303</v>
      </c>
      <c r="E5" s="5" t="s">
        <v>2304</v>
      </c>
      <c r="F5" s="5"/>
      <c r="G5" s="5"/>
      <c r="H5" s="5"/>
      <c r="I5" s="5" t="s">
        <v>2636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74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8977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750kVA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8772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SEB100-30-10UL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B1818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IBU SAWAT TALIKOM</v>
      </c>
    </row>
    <row r="2" spans="1:20" x14ac:dyDescent="0.25">
      <c r="A2" s="5" t="s">
        <v>1534</v>
      </c>
      <c r="B2" s="5" t="s">
        <v>2641</v>
      </c>
      <c r="C2" s="5" t="s">
        <v>397</v>
      </c>
      <c r="D2" s="5" t="s">
        <v>2303</v>
      </c>
      <c r="E2" s="5" t="s">
        <v>2304</v>
      </c>
      <c r="F2" s="5"/>
      <c r="G2" s="5"/>
      <c r="H2" s="5"/>
      <c r="I2" s="5" t="s">
        <v>2642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12:40 PM</v>
      </c>
    </row>
    <row r="3" spans="1:20" x14ac:dyDescent="0.25">
      <c r="A3" s="5" t="s">
        <v>1535</v>
      </c>
      <c r="B3" s="5" t="s">
        <v>2643</v>
      </c>
      <c r="C3" s="5" t="s">
        <v>2644</v>
      </c>
      <c r="D3" s="5" t="s">
        <v>2303</v>
      </c>
      <c r="E3" s="5" t="s">
        <v>2304</v>
      </c>
      <c r="F3" s="5"/>
      <c r="G3" s="5"/>
      <c r="H3" s="5"/>
      <c r="I3" s="5" t="s">
        <v>2642</v>
      </c>
      <c r="N3" s="6" t="s">
        <v>1693</v>
      </c>
      <c r="O3" s="6" t="s">
        <v>3</v>
      </c>
      <c r="P3" s="26">
        <f ca="1">_xlfn.XLOOKUP(IFERROR(VALUE(MID(CELL("filename",$A$1),FIND("]",CELL("filename",$A$1))+1,255)), MID(CELL("filename",$A$1),FIND("]",CELL("filename",$A$1))+1,255)), 'SUBSTATION LIST'!$A:$A, INDEX('SUBSTATION LIST'!$B:$CA, 0, ROW(A3)))</f>
        <v>0</v>
      </c>
    </row>
    <row r="4" spans="1:20" x14ac:dyDescent="0.25">
      <c r="A4" s="5" t="s">
        <v>1536</v>
      </c>
      <c r="B4" s="5" t="s">
        <v>2645</v>
      </c>
      <c r="C4" s="5" t="s">
        <v>2646</v>
      </c>
      <c r="D4" s="5" t="s">
        <v>2303</v>
      </c>
      <c r="E4" s="5" t="s">
        <v>2479</v>
      </c>
      <c r="F4" s="5"/>
      <c r="G4" s="5"/>
      <c r="H4" s="5"/>
      <c r="I4" s="5" t="s">
        <v>2642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33.1</v>
      </c>
    </row>
    <row r="5" spans="1:20" x14ac:dyDescent="0.25">
      <c r="A5" s="5" t="s">
        <v>1537</v>
      </c>
      <c r="B5" s="5" t="s">
        <v>2647</v>
      </c>
      <c r="C5" s="5" t="s">
        <v>2648</v>
      </c>
      <c r="D5" s="5" t="s">
        <v>2303</v>
      </c>
      <c r="E5" s="5" t="s">
        <v>2304</v>
      </c>
      <c r="F5" s="5"/>
      <c r="G5" s="5"/>
      <c r="H5" s="5"/>
      <c r="I5" s="5" t="s">
        <v>2642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14183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15155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SEB100-30-10UL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B1820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SWISS IN JB JLN DATO DALAM</v>
      </c>
    </row>
    <row r="2" spans="1:20" x14ac:dyDescent="0.25">
      <c r="A2" s="5" t="s">
        <v>1534</v>
      </c>
      <c r="B2" s="5" t="s">
        <v>2649</v>
      </c>
      <c r="C2" s="5" t="s">
        <v>2650</v>
      </c>
      <c r="D2" s="5" t="s">
        <v>2303</v>
      </c>
      <c r="E2" s="5" t="s">
        <v>2304</v>
      </c>
      <c r="F2" s="5" t="s">
        <v>2651</v>
      </c>
      <c r="G2" s="5"/>
      <c r="H2" s="5" t="s">
        <v>2578</v>
      </c>
      <c r="I2" s="5" t="s">
        <v>2652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02:30 PM</v>
      </c>
    </row>
    <row r="3" spans="1:20" x14ac:dyDescent="0.25">
      <c r="A3" s="5" t="s">
        <v>1535</v>
      </c>
      <c r="B3" s="5" t="s">
        <v>2653</v>
      </c>
      <c r="C3" s="5" t="s">
        <v>2654</v>
      </c>
      <c r="D3" s="5" t="s">
        <v>2303</v>
      </c>
      <c r="E3" s="5" t="s">
        <v>2304</v>
      </c>
      <c r="F3" s="5" t="s">
        <v>2655</v>
      </c>
      <c r="G3" s="5"/>
      <c r="H3" s="5" t="s">
        <v>2578</v>
      </c>
      <c r="I3" s="5" t="s">
        <v>2656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2657</v>
      </c>
      <c r="C4" s="5" t="s">
        <v>2658</v>
      </c>
      <c r="D4" s="5" t="s">
        <v>2303</v>
      </c>
      <c r="E4" s="5" t="s">
        <v>2304</v>
      </c>
      <c r="F4" s="5" t="s">
        <v>2659</v>
      </c>
      <c r="G4" s="5"/>
      <c r="H4" s="5" t="s">
        <v>2578</v>
      </c>
      <c r="I4" s="5" t="s">
        <v>2660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33.5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/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>
        <f ca="1">_xlfn.XLOOKUP(IFERROR(VALUE(MID(CELL("filename",$A$1),FIND("]",CELL("filename",$A$1))+1,255)), MID(CELL("filename",$A$1),FIND("]",CELL("filename",$A$1))+1,255)), 'SUBSTATION LIST'!$A:$A, INDEX('SUBSTATION LIST'!$B:$CA, 0, ROW(A6)))</f>
        <v>0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VCB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>
        <f ca="1">_xlfn.XLOOKUP(IFERROR(VALUE(MID(CELL("filename",$A$1),FIND("]",CELL("filename",$A$1))+1,255)), MID(CELL("filename",$A$1),FIND("]",CELL("filename",$A$1))+1,255)), 'SUBSTATION LIST'!$A:$A, INDEX('SUBSTATION LIST'!$B:$CA, 0, ROW(A8)))</f>
        <v>0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>
        <f ca="1">_xlfn.XLOOKUP(IFERROR(VALUE(MID(CELL("filename",$A$1),FIND("]",CELL("filename",$A$1))+1,255)), MID(CELL("filename",$A$1),FIND("]",CELL("filename",$A$1))+1,255)), 'SUBSTATION LIST'!$A:$A, INDEX('SUBSTATION LIST'!$B:$CA, 0, ROW(A9)))</f>
        <v>0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11193-1694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str">
        <f ca="1">_xlfn.XLOOKUP(IFERROR(VALUE(MID(CELL("filename",$A$1),FIND("]",CELL("filename",$A$1))+1,255)), MID(CELL("filename",$A$1),FIND("]",CELL("filename",$A$1))+1,255)), 'SUBSTATION LIST'!$A:$A, INDEX('SUBSTATION LIST'!$B:$CA, 0, ROW(A31)))</f>
        <v>SUNPOWER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str">
        <f ca="1">_xlfn.XLOOKUP(IFERROR(VALUE(MID(CELL("filename",$A$1),FIND("]",CELL("filename",$A$1))+1,255)), MID(CELL("filename",$A$1),FIND("]",CELL("filename",$A$1))+1,255)), 'SUBSTATION LIST'!$A:$A, INDEX('SUBSTATION LIST'!$B:$CA, 0, ROW(A32)))</f>
        <v>SPS 30-10L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str">
        <f ca="1">_xlfn.XLOOKUP(IFERROR(VALUE(MID(CELL("filename",$A$1),FIND("]",CELL("filename",$A$1))+1,255)), MID(CELL("filename",$A$1),FIND("]",CELL("filename",$A$1))+1,255)), 'SUBSTATION LIST'!$A:$A, INDEX('SUBSTATION LIST'!$B:$CA, 0, ROW(A33)))</f>
        <v>11193-6653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WISMA LKN</v>
      </c>
    </row>
    <row r="2" spans="1:20" x14ac:dyDescent="0.25">
      <c r="A2" s="5" t="s">
        <v>1534</v>
      </c>
      <c r="B2" s="5" t="s">
        <v>2661</v>
      </c>
      <c r="C2" s="5" t="s">
        <v>2662</v>
      </c>
      <c r="D2" s="5" t="s">
        <v>2311</v>
      </c>
      <c r="E2" s="5" t="s">
        <v>2304</v>
      </c>
      <c r="F2" s="5"/>
      <c r="G2" s="5"/>
      <c r="H2" s="5"/>
      <c r="I2" s="5" t="s">
        <v>2663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03:50 PM</v>
      </c>
    </row>
    <row r="3" spans="1:20" x14ac:dyDescent="0.25">
      <c r="A3" s="5" t="s">
        <v>1535</v>
      </c>
      <c r="B3" s="5" t="s">
        <v>2664</v>
      </c>
      <c r="C3" s="5" t="s">
        <v>371</v>
      </c>
      <c r="D3" s="5" t="s">
        <v>2311</v>
      </c>
      <c r="E3" s="5" t="s">
        <v>2304</v>
      </c>
      <c r="F3" s="5"/>
      <c r="G3" s="5"/>
      <c r="H3" s="5"/>
      <c r="I3" s="5" t="s">
        <v>2663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2665</v>
      </c>
      <c r="C4" s="5" t="s">
        <v>2666</v>
      </c>
      <c r="D4" s="5" t="s">
        <v>2311</v>
      </c>
      <c r="E4" s="5" t="s">
        <v>2304</v>
      </c>
      <c r="F4" s="5"/>
      <c r="G4" s="5"/>
      <c r="H4" s="5"/>
      <c r="I4" s="5" t="s">
        <v>2663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32.7</v>
      </c>
    </row>
    <row r="5" spans="1:20" x14ac:dyDescent="0.25">
      <c r="A5" s="5" t="s">
        <v>1537</v>
      </c>
      <c r="B5" s="5" t="s">
        <v>2667</v>
      </c>
      <c r="C5" s="5" t="s">
        <v>2668</v>
      </c>
      <c r="D5" s="5" t="s">
        <v>2311</v>
      </c>
      <c r="E5" s="5" t="s">
        <v>2304</v>
      </c>
      <c r="F5" s="5"/>
      <c r="G5" s="5"/>
      <c r="H5" s="5"/>
      <c r="I5" s="5" t="s">
        <v>2663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ZZTT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74822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750kVA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13754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CSU WARISAN JOHOR</v>
      </c>
    </row>
    <row r="2" spans="1:20" x14ac:dyDescent="0.25">
      <c r="A2" s="5" t="s">
        <v>1534</v>
      </c>
      <c r="B2" s="5" t="s">
        <v>2669</v>
      </c>
      <c r="C2" s="5" t="s">
        <v>2670</v>
      </c>
      <c r="D2" s="5" t="s">
        <v>2303</v>
      </c>
      <c r="E2" s="5" t="s">
        <v>2304</v>
      </c>
      <c r="F2" s="5"/>
      <c r="G2" s="5"/>
      <c r="H2" s="5"/>
      <c r="I2" s="5" t="s">
        <v>2671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04:40 PM</v>
      </c>
    </row>
    <row r="3" spans="1:20" x14ac:dyDescent="0.25">
      <c r="A3" s="5" t="s">
        <v>1535</v>
      </c>
      <c r="B3" s="5" t="s">
        <v>2672</v>
      </c>
      <c r="C3" s="5" t="s">
        <v>2673</v>
      </c>
      <c r="D3" s="5" t="s">
        <v>2303</v>
      </c>
      <c r="E3" s="5" t="s">
        <v>2304</v>
      </c>
      <c r="F3" s="5"/>
      <c r="G3" s="5"/>
      <c r="H3" s="5"/>
      <c r="I3" s="5" t="s">
        <v>2671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2674</v>
      </c>
      <c r="C4" s="5" t="s">
        <v>2675</v>
      </c>
      <c r="D4" s="5" t="s">
        <v>2303</v>
      </c>
      <c r="E4" s="5" t="s">
        <v>2304</v>
      </c>
      <c r="F4" s="5"/>
      <c r="G4" s="5"/>
      <c r="H4" s="5"/>
      <c r="I4" s="5" t="s">
        <v>2671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31.8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2671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71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 | 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4051266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250U729_4156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SEK MEN VOKAY NO.1</v>
      </c>
    </row>
    <row r="2" spans="1:20" x14ac:dyDescent="0.25">
      <c r="A2" s="5" t="s">
        <v>1534</v>
      </c>
      <c r="B2" s="5" t="s">
        <v>2676</v>
      </c>
      <c r="C2" s="5" t="s">
        <v>2677</v>
      </c>
      <c r="D2" s="5" t="s">
        <v>2303</v>
      </c>
      <c r="E2" s="5" t="s">
        <v>2304</v>
      </c>
      <c r="F2" s="5"/>
      <c r="G2" s="5"/>
      <c r="H2" s="5"/>
      <c r="I2" s="5" t="s">
        <v>2678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05:30 PM</v>
      </c>
    </row>
    <row r="3" spans="1:20" x14ac:dyDescent="0.25">
      <c r="A3" s="5" t="s">
        <v>1535</v>
      </c>
      <c r="B3" s="5" t="s">
        <v>2679</v>
      </c>
      <c r="C3" s="5" t="s">
        <v>2680</v>
      </c>
      <c r="D3" s="5" t="s">
        <v>2303</v>
      </c>
      <c r="E3" s="5" t="s">
        <v>2304</v>
      </c>
      <c r="F3" s="5"/>
      <c r="G3" s="5"/>
      <c r="H3" s="5"/>
      <c r="I3" s="5" t="s">
        <v>2678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20/7/2026</v>
      </c>
    </row>
    <row r="4" spans="1:20" x14ac:dyDescent="0.25">
      <c r="A4" s="5" t="s">
        <v>1536</v>
      </c>
      <c r="B4" s="5" t="s">
        <v>2681</v>
      </c>
      <c r="C4" s="5" t="s">
        <v>2682</v>
      </c>
      <c r="D4" s="5" t="s">
        <v>2303</v>
      </c>
      <c r="E4" s="5" t="s">
        <v>2304</v>
      </c>
      <c r="F4" s="5"/>
      <c r="G4" s="5"/>
      <c r="H4" s="5"/>
      <c r="I4" s="5" t="s">
        <v>2678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30.7</v>
      </c>
    </row>
    <row r="5" spans="1:20" x14ac:dyDescent="0.25">
      <c r="A5" s="5" t="s">
        <v>1537</v>
      </c>
      <c r="B5" s="5" t="s">
        <v>2683</v>
      </c>
      <c r="C5" s="5" t="s">
        <v>2684</v>
      </c>
      <c r="D5" s="5" t="s">
        <v>2303</v>
      </c>
      <c r="E5" s="5" t="s">
        <v>2304</v>
      </c>
      <c r="F5" s="5"/>
      <c r="G5" s="5"/>
      <c r="H5" s="5"/>
      <c r="I5" s="5" t="s">
        <v>2678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71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>
        <f ca="1">_xlfn.XLOOKUP(IFERROR(VALUE(MID(CELL("filename",$A$1),FIND("]",CELL("filename",$A$1))+1,255)), MID(CELL("filename",$A$1),FIND("]",CELL("filename",$A$1))+1,255)), 'SUBSTATION LIST'!$A:$A, INDEX('SUBSTATION LIST'!$B:$CA, 0, ROW(A8)))</f>
        <v>0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ZZTT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67946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EWT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67949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GEC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18522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CS CALTEX JLN TAR</v>
      </c>
    </row>
    <row r="2" spans="1:20" x14ac:dyDescent="0.25">
      <c r="A2" s="5" t="s">
        <v>1534</v>
      </c>
      <c r="B2" s="5" t="s">
        <v>2685</v>
      </c>
      <c r="C2" s="5" t="s">
        <v>2686</v>
      </c>
      <c r="D2" s="5" t="s">
        <v>2303</v>
      </c>
      <c r="E2" s="5" t="s">
        <v>2304</v>
      </c>
      <c r="F2" s="5"/>
      <c r="G2" s="5"/>
      <c r="H2" s="5"/>
      <c r="I2" s="5" t="s">
        <v>2687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06:15 PM</v>
      </c>
    </row>
    <row r="3" spans="1:20" x14ac:dyDescent="0.25">
      <c r="A3" s="5" t="s">
        <v>1535</v>
      </c>
      <c r="B3" s="5" t="s">
        <v>2688</v>
      </c>
      <c r="C3" s="5" t="s">
        <v>2689</v>
      </c>
      <c r="D3" s="5" t="s">
        <v>2303</v>
      </c>
      <c r="E3" s="5" t="s">
        <v>2304</v>
      </c>
      <c r="F3" s="5"/>
      <c r="G3" s="5"/>
      <c r="H3" s="5"/>
      <c r="I3" s="5" t="s">
        <v>2687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2690</v>
      </c>
      <c r="C4" s="5" t="s">
        <v>2330</v>
      </c>
      <c r="D4" s="5" t="s">
        <v>2303</v>
      </c>
      <c r="E4" s="5" t="s">
        <v>2304</v>
      </c>
      <c r="F4" s="5"/>
      <c r="G4" s="5"/>
      <c r="H4" s="5"/>
      <c r="I4" s="5" t="s">
        <v>2687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30.4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2687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ZZT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13925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tan &amp; low electrical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TL/PAJ 417/03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WISMA TNB</v>
      </c>
    </row>
    <row r="2" spans="1:20" x14ac:dyDescent="0.25">
      <c r="A2" s="5" t="s">
        <v>1534</v>
      </c>
      <c r="B2" s="5" t="s">
        <v>2691</v>
      </c>
      <c r="C2" s="5" t="s">
        <v>2692</v>
      </c>
      <c r="D2" s="5" t="s">
        <v>2303</v>
      </c>
      <c r="E2" s="5" t="s">
        <v>2304</v>
      </c>
      <c r="F2" s="5"/>
      <c r="G2" s="5"/>
      <c r="H2" s="5"/>
      <c r="I2" s="5" t="s">
        <v>2693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08:40 PM</v>
      </c>
    </row>
    <row r="3" spans="1:20" x14ac:dyDescent="0.25">
      <c r="A3" s="5" t="s">
        <v>1535</v>
      </c>
      <c r="B3" s="5" t="s">
        <v>2694</v>
      </c>
      <c r="C3" s="5" t="s">
        <v>444</v>
      </c>
      <c r="D3" s="5" t="s">
        <v>2303</v>
      </c>
      <c r="E3" s="5" t="s">
        <v>2479</v>
      </c>
      <c r="F3" s="5"/>
      <c r="G3" s="5"/>
      <c r="H3" s="5"/>
      <c r="I3" s="5" t="s">
        <v>2693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2695</v>
      </c>
      <c r="C4" s="5" t="s">
        <v>2696</v>
      </c>
      <c r="D4" s="5" t="s">
        <v>2303</v>
      </c>
      <c r="E4" s="5" t="s">
        <v>2304</v>
      </c>
      <c r="F4" s="5"/>
      <c r="G4" s="5"/>
      <c r="H4" s="5"/>
      <c r="I4" s="5" t="s">
        <v>2693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28.0</v>
      </c>
    </row>
    <row r="5" spans="1:20" x14ac:dyDescent="0.25">
      <c r="A5" s="5" t="s">
        <v>1537</v>
      </c>
      <c r="B5" s="5" t="s">
        <v>2697</v>
      </c>
      <c r="C5" s="5" t="s">
        <v>2698</v>
      </c>
      <c r="D5" s="5" t="s">
        <v>2303</v>
      </c>
      <c r="E5" s="5" t="s">
        <v>2304</v>
      </c>
      <c r="F5" s="5"/>
      <c r="G5" s="5"/>
      <c r="H5" s="5"/>
      <c r="I5" s="5" t="s">
        <v>2693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73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>
        <f ca="1">_xlfn.XLOOKUP(IFERROR(VALUE(MID(CELL("filename",$A$1),FIND("]",CELL("filename",$A$1))+1,255)), MID(CELL("filename",$A$1),FIND("]",CELL("filename",$A$1))+1,255)), 'SUBSTATION LIST'!$A:$A, INDEX('SUBSTATION LIST'!$B:$CA, 0, ROW(A8)))</f>
        <v>0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305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317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ALGEBRA ENGINEERING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LV2835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T51"/>
  <sheetViews>
    <sheetView tabSelected="1" workbookViewId="0">
      <selection activeCell="K22" sqref="K22"/>
    </sheetView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PERPUSTAKAAN PUSAT</v>
      </c>
    </row>
    <row r="2" spans="1:20" x14ac:dyDescent="0.25">
      <c r="A2" s="5" t="s">
        <v>1534</v>
      </c>
      <c r="B2" s="5" t="s">
        <v>2699</v>
      </c>
      <c r="C2" s="5" t="s">
        <v>2700</v>
      </c>
      <c r="D2" s="5" t="s">
        <v>2303</v>
      </c>
      <c r="E2" s="5" t="s">
        <v>2304</v>
      </c>
      <c r="F2" s="5"/>
      <c r="G2" s="5"/>
      <c r="H2" s="5"/>
      <c r="I2" s="5" t="s">
        <v>2701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09:30 PM</v>
      </c>
    </row>
    <row r="3" spans="1:20" x14ac:dyDescent="0.25">
      <c r="A3" s="5" t="s">
        <v>1535</v>
      </c>
      <c r="B3" s="5" t="s">
        <v>2702</v>
      </c>
      <c r="C3" s="5" t="s">
        <v>435</v>
      </c>
      <c r="D3" s="5" t="s">
        <v>2303</v>
      </c>
      <c r="E3" s="5" t="s">
        <v>2479</v>
      </c>
      <c r="F3" s="5"/>
      <c r="G3" s="5"/>
      <c r="H3" s="5"/>
      <c r="I3" s="5" t="s">
        <v>2701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2703</v>
      </c>
      <c r="C4" s="5" t="s">
        <v>2574</v>
      </c>
      <c r="D4" s="5" t="s">
        <v>2303</v>
      </c>
      <c r="E4" s="5" t="s">
        <v>2304</v>
      </c>
      <c r="F4" s="5"/>
      <c r="G4" s="5"/>
      <c r="H4" s="5"/>
      <c r="I4" s="5" t="s">
        <v>2701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2701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TOSHIBA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1317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INDKOM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LV5080090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 TECHNOLOGIES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11193-8527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PADAT QRTS JAB AGAMA</v>
      </c>
    </row>
    <row r="2" spans="1:20" x14ac:dyDescent="0.25">
      <c r="A2" s="5" t="s">
        <v>1534</v>
      </c>
      <c r="B2" s="5" t="s">
        <v>2704</v>
      </c>
      <c r="C2" s="5" t="s">
        <v>444</v>
      </c>
      <c r="D2" s="5" t="s">
        <v>2303</v>
      </c>
      <c r="E2" s="5" t="s">
        <v>2304</v>
      </c>
      <c r="F2" s="5"/>
      <c r="G2" s="5"/>
      <c r="H2" s="5"/>
      <c r="I2" s="5" t="s">
        <v>2705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10:15 PM</v>
      </c>
    </row>
    <row r="3" spans="1:20" x14ac:dyDescent="0.25">
      <c r="A3" s="5" t="s">
        <v>1535</v>
      </c>
      <c r="B3" s="5" t="s">
        <v>2706</v>
      </c>
      <c r="C3" s="5" t="s">
        <v>2707</v>
      </c>
      <c r="D3" s="5" t="s">
        <v>2303</v>
      </c>
      <c r="E3" s="5" t="s">
        <v>2304</v>
      </c>
      <c r="F3" s="5"/>
      <c r="G3" s="5"/>
      <c r="H3" s="5"/>
      <c r="I3" s="5" t="s">
        <v>2705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2708</v>
      </c>
      <c r="C4" s="5" t="s">
        <v>2709</v>
      </c>
      <c r="D4" s="5" t="s">
        <v>2303</v>
      </c>
      <c r="E4" s="5" t="s">
        <v>2304</v>
      </c>
      <c r="F4" s="5"/>
      <c r="G4" s="5"/>
      <c r="H4" s="5"/>
      <c r="I4" s="5" t="s">
        <v>2705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30.3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2705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73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SIEMENS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8DJ20 10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722727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ITEM INDUSTRIAL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J02/38-013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KOMPLEKS ISLAM N0.2</v>
      </c>
    </row>
    <row r="2" spans="1:20" x14ac:dyDescent="0.25">
      <c r="A2" s="5" t="s">
        <v>1534</v>
      </c>
      <c r="B2" s="5" t="s">
        <v>2710</v>
      </c>
      <c r="C2" s="5" t="s">
        <v>2711</v>
      </c>
      <c r="D2" s="5" t="s">
        <v>2303</v>
      </c>
      <c r="E2" s="5" t="s">
        <v>2304</v>
      </c>
      <c r="F2" s="5"/>
      <c r="G2" s="5"/>
      <c r="H2" s="5"/>
      <c r="I2" s="5" t="s">
        <v>2712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11:00 PM</v>
      </c>
    </row>
    <row r="3" spans="1:20" x14ac:dyDescent="0.25">
      <c r="A3" s="5" t="s">
        <v>1535</v>
      </c>
      <c r="B3" s="5" t="s">
        <v>2713</v>
      </c>
      <c r="C3" s="5" t="s">
        <v>2714</v>
      </c>
      <c r="D3" s="5" t="s">
        <v>2303</v>
      </c>
      <c r="E3" s="5" t="s">
        <v>2304</v>
      </c>
      <c r="F3" s="5"/>
      <c r="G3" s="5"/>
      <c r="H3" s="5"/>
      <c r="I3" s="5" t="s">
        <v>2712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2715</v>
      </c>
      <c r="C4" s="5" t="s">
        <v>2574</v>
      </c>
      <c r="D4" s="5" t="s">
        <v>2303</v>
      </c>
      <c r="E4" s="5" t="s">
        <v>2304</v>
      </c>
      <c r="F4" s="5"/>
      <c r="G4" s="5"/>
      <c r="H4" s="5"/>
      <c r="I4" s="5" t="s">
        <v>2712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29.0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2712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63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>
        <f ca="1">_xlfn.XLOOKUP(IFERROR(VALUE(MID(CELL("filename",$A$1),FIND("]",CELL("filename",$A$1))+1,255)), MID(CELL("filename",$A$1),FIND("]",CELL("filename",$A$1))+1,255)), 'SUBSTATION LIST'!$A:$A, INDEX('SUBSTATION LIST'!$B:$CA, 0, ROW(A8)))</f>
        <v>0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1314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ALGEBRA ENGINEERING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 0092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ZOO JOHOR</v>
      </c>
    </row>
    <row r="2" spans="1:20" x14ac:dyDescent="0.25">
      <c r="A2" s="5" t="s">
        <v>1534</v>
      </c>
      <c r="B2" s="5" t="s">
        <v>2716</v>
      </c>
      <c r="C2" s="5" t="s">
        <v>2717</v>
      </c>
      <c r="D2" s="5" t="s">
        <v>2303</v>
      </c>
      <c r="E2" s="5" t="s">
        <v>2304</v>
      </c>
      <c r="F2" s="5"/>
      <c r="G2" s="5"/>
      <c r="H2" s="5"/>
      <c r="I2" s="5" t="s">
        <v>2718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11:45 PM</v>
      </c>
    </row>
    <row r="3" spans="1:20" x14ac:dyDescent="0.25">
      <c r="A3" s="5" t="s">
        <v>1535</v>
      </c>
      <c r="B3" s="5" t="s">
        <v>2719</v>
      </c>
      <c r="C3" s="5" t="s">
        <v>2330</v>
      </c>
      <c r="D3" s="5" t="s">
        <v>2303</v>
      </c>
      <c r="E3" s="5" t="s">
        <v>2304</v>
      </c>
      <c r="F3" s="5"/>
      <c r="G3" s="5"/>
      <c r="H3" s="5"/>
      <c r="I3" s="5" t="s">
        <v>2718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2720</v>
      </c>
      <c r="C4" s="5" t="s">
        <v>2721</v>
      </c>
      <c r="D4" s="5" t="s">
        <v>2303</v>
      </c>
      <c r="E4" s="5" t="s">
        <v>2304</v>
      </c>
      <c r="F4" s="5"/>
      <c r="G4" s="5"/>
      <c r="H4" s="5"/>
      <c r="I4" s="5" t="s">
        <v>2718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2718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67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>
        <f ca="1">_xlfn.XLOOKUP(IFERROR(VALUE(MID(CELL("filename",$A$1),FIND("]",CELL("filename",$A$1))+1,255)), MID(CELL("filename",$A$1),FIND("]",CELL("filename",$A$1))+1,255)), 'SUBSTATION LIST'!$A:$A, INDEX('SUBSTATION LIST'!$B:$CA, 0, ROW(A8)))</f>
        <v>0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94018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EWT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LVBCSU 6193-1000-11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 TECHNOLOGIES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24-10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11298-1422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BANGUNAN AZIZAH</v>
      </c>
    </row>
    <row r="2" spans="1:20" x14ac:dyDescent="0.25">
      <c r="A2" s="5" t="s">
        <v>1534</v>
      </c>
      <c r="B2" s="5" t="s">
        <v>2722</v>
      </c>
      <c r="C2" s="5" t="s">
        <v>371</v>
      </c>
      <c r="D2" s="5" t="s">
        <v>2303</v>
      </c>
      <c r="E2" s="5" t="s">
        <v>2304</v>
      </c>
      <c r="F2" s="5"/>
      <c r="G2" s="5"/>
      <c r="H2" s="5"/>
      <c r="I2" s="5" t="s">
        <v>2723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12:40 AM</v>
      </c>
    </row>
    <row r="3" spans="1:20" x14ac:dyDescent="0.25">
      <c r="A3" s="5" t="s">
        <v>1535</v>
      </c>
      <c r="B3" s="5" t="s">
        <v>2724</v>
      </c>
      <c r="C3" s="5" t="s">
        <v>2725</v>
      </c>
      <c r="D3" s="5" t="s">
        <v>2303</v>
      </c>
      <c r="E3" s="5" t="s">
        <v>2304</v>
      </c>
      <c r="F3" s="5"/>
      <c r="G3" s="5"/>
      <c r="H3" s="5"/>
      <c r="I3" s="5" t="s">
        <v>2723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2726</v>
      </c>
      <c r="C4" s="5" t="s">
        <v>2574</v>
      </c>
      <c r="D4" s="5" t="s">
        <v>2303</v>
      </c>
      <c r="E4" s="5" t="s">
        <v>2304</v>
      </c>
      <c r="F4" s="5"/>
      <c r="G4" s="5"/>
      <c r="H4" s="5"/>
      <c r="I4" s="5" t="s">
        <v>2723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28.4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2723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73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7944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FP9802-0083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C-S MASJID IPK</v>
      </c>
    </row>
    <row r="2" spans="1:20" x14ac:dyDescent="0.25">
      <c r="A2" s="5" t="s">
        <v>1534</v>
      </c>
      <c r="B2" s="5" t="s">
        <v>2727</v>
      </c>
      <c r="C2" s="5" t="s">
        <v>2728</v>
      </c>
      <c r="D2" s="5" t="s">
        <v>2303</v>
      </c>
      <c r="E2" s="5" t="s">
        <v>2304</v>
      </c>
      <c r="F2" s="5"/>
      <c r="G2" s="5"/>
      <c r="H2" s="5"/>
      <c r="I2" s="5" t="s">
        <v>2729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01:30 AM</v>
      </c>
    </row>
    <row r="3" spans="1:20" x14ac:dyDescent="0.25">
      <c r="A3" s="5" t="s">
        <v>1535</v>
      </c>
      <c r="B3" s="5" t="s">
        <v>2730</v>
      </c>
      <c r="C3" s="5" t="s">
        <v>2731</v>
      </c>
      <c r="D3" s="5" t="s">
        <v>2303</v>
      </c>
      <c r="E3" s="5" t="s">
        <v>2304</v>
      </c>
      <c r="F3" s="5"/>
      <c r="G3" s="5"/>
      <c r="H3" s="5"/>
      <c r="I3" s="5" t="s">
        <v>2729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2732</v>
      </c>
      <c r="C4" s="5" t="s">
        <v>2733</v>
      </c>
      <c r="D4" s="5" t="s">
        <v>2303</v>
      </c>
      <c r="E4" s="5" t="s">
        <v>2304</v>
      </c>
      <c r="F4" s="5"/>
      <c r="G4" s="5"/>
      <c r="H4" s="5"/>
      <c r="I4" s="5" t="s">
        <v>2729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28.5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2729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72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500kVA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727896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TOSHIBA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800A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DFPA BH 16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KUARTERS FRU JALAN TEBRAU</v>
      </c>
    </row>
    <row r="2" spans="1:20" x14ac:dyDescent="0.25">
      <c r="A2" s="5" t="s">
        <v>1534</v>
      </c>
      <c r="B2" s="5" t="s">
        <v>2734</v>
      </c>
      <c r="C2" s="5" t="s">
        <v>2735</v>
      </c>
      <c r="D2" s="5" t="s">
        <v>2303</v>
      </c>
      <c r="E2" s="5" t="s">
        <v>2304</v>
      </c>
      <c r="F2" s="5"/>
      <c r="G2" s="5"/>
      <c r="H2" s="5"/>
      <c r="I2" s="5" t="s">
        <v>2736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02:30 AM</v>
      </c>
    </row>
    <row r="3" spans="1:20" x14ac:dyDescent="0.25">
      <c r="A3" s="5" t="s">
        <v>1535</v>
      </c>
      <c r="B3" s="5" t="s">
        <v>2737</v>
      </c>
      <c r="C3" s="5" t="s">
        <v>2738</v>
      </c>
      <c r="D3" s="5" t="s">
        <v>2303</v>
      </c>
      <c r="E3" s="5" t="s">
        <v>2304</v>
      </c>
      <c r="F3" s="5"/>
      <c r="G3" s="5"/>
      <c r="H3" s="5"/>
      <c r="I3" s="5" t="s">
        <v>2736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2739</v>
      </c>
      <c r="C4" s="5" t="s">
        <v>2574</v>
      </c>
      <c r="D4" s="5" t="s">
        <v>2303</v>
      </c>
      <c r="E4" s="5" t="s">
        <v>2304</v>
      </c>
      <c r="F4" s="5"/>
      <c r="G4" s="5"/>
      <c r="H4" s="5"/>
      <c r="I4" s="5" t="s">
        <v>2736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30.1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2736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750kVA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1039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B16891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C-S FRU NO.2</v>
      </c>
    </row>
    <row r="2" spans="1:20" x14ac:dyDescent="0.25">
      <c r="A2" s="5" t="s">
        <v>1534</v>
      </c>
      <c r="B2" s="5" t="s">
        <v>2740</v>
      </c>
      <c r="C2" s="5" t="s">
        <v>2741</v>
      </c>
      <c r="D2" s="5" t="s">
        <v>2303</v>
      </c>
      <c r="E2" s="5" t="s">
        <v>2304</v>
      </c>
      <c r="F2" s="5"/>
      <c r="G2" s="5"/>
      <c r="H2" s="5"/>
      <c r="I2" s="5" t="s">
        <v>2742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03:30 AM</v>
      </c>
    </row>
    <row r="3" spans="1:20" x14ac:dyDescent="0.25">
      <c r="A3" s="5" t="s">
        <v>1535</v>
      </c>
      <c r="B3" s="5" t="s">
        <v>2743</v>
      </c>
      <c r="C3" s="5" t="s">
        <v>2330</v>
      </c>
      <c r="D3" s="5" t="s">
        <v>2303</v>
      </c>
      <c r="E3" s="5" t="s">
        <v>2304</v>
      </c>
      <c r="F3" s="5"/>
      <c r="G3" s="5"/>
      <c r="H3" s="5"/>
      <c r="I3" s="5" t="s">
        <v>2742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2744</v>
      </c>
      <c r="C4" s="5" t="s">
        <v>2745</v>
      </c>
      <c r="D4" s="5" t="s">
        <v>2303</v>
      </c>
      <c r="E4" s="5" t="s">
        <v>2304</v>
      </c>
      <c r="F4" s="5"/>
      <c r="G4" s="5"/>
      <c r="H4" s="5"/>
      <c r="I4" s="5" t="s">
        <v>2742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28.3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2742</v>
      </c>
      <c r="N5" s="6" t="s">
        <v>1695</v>
      </c>
      <c r="O5" s="6" t="s">
        <v>5</v>
      </c>
      <c r="P5" s="28">
        <f ca="1">_xlfn.XLOOKUP(IFERROR(VALUE(MID(CELL("filename",$A$1),FIND("]",CELL("filename",$A$1))+1,255)), MID(CELL("filename",$A$1),FIND("]",CELL("filename",$A$1))+1,255)), 'SUBSTATION LIST'!$A:$A, INDEX('SUBSTATION LIST'!$B:$CA, 0, ROW(A5)))</f>
        <v>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74776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LVB-CSU 1590-1000-11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BUKIT CAGAR</v>
      </c>
    </row>
    <row r="2" spans="1:20" x14ac:dyDescent="0.25">
      <c r="A2" s="5" t="s">
        <v>1534</v>
      </c>
      <c r="B2" s="5" t="s">
        <v>2746</v>
      </c>
      <c r="C2" s="5" t="s">
        <v>2747</v>
      </c>
      <c r="D2" s="5" t="s">
        <v>2303</v>
      </c>
      <c r="E2" s="5" t="s">
        <v>2304</v>
      </c>
      <c r="F2" s="5"/>
      <c r="G2" s="5"/>
      <c r="H2" s="5"/>
      <c r="I2" s="5" t="s">
        <v>2748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04:30 AM</v>
      </c>
    </row>
    <row r="3" spans="1:20" x14ac:dyDescent="0.25">
      <c r="A3" s="5" t="s">
        <v>1535</v>
      </c>
      <c r="B3" s="5" t="s">
        <v>2749</v>
      </c>
      <c r="C3" s="5" t="s">
        <v>2330</v>
      </c>
      <c r="D3" s="5" t="s">
        <v>2303</v>
      </c>
      <c r="E3" s="5" t="s">
        <v>2304</v>
      </c>
      <c r="F3" s="5"/>
      <c r="G3" s="5"/>
      <c r="H3" s="5"/>
      <c r="I3" s="5" t="s">
        <v>2748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20/07/2026</v>
      </c>
    </row>
    <row r="4" spans="1:20" x14ac:dyDescent="0.25">
      <c r="A4" s="5" t="s">
        <v>1536</v>
      </c>
      <c r="B4" s="5" t="s">
        <v>2750</v>
      </c>
      <c r="C4" s="5" t="s">
        <v>2680</v>
      </c>
      <c r="D4" s="5" t="s">
        <v>2303</v>
      </c>
      <c r="E4" s="5" t="s">
        <v>2304</v>
      </c>
      <c r="F4" s="5"/>
      <c r="G4" s="5"/>
      <c r="H4" s="5"/>
      <c r="I4" s="5" t="s">
        <v>2748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29.2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2748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68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EPE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>
        <f ca="1">_xlfn.XLOOKUP(IFERROR(VALUE(MID(CELL("filename",$A$1),FIND("]",CELL("filename",$A$1))+1,255)), MID(CELL("filename",$A$1),FIND("]",CELL("filename",$A$1))+1,255)), 'SUBSTATION LIST'!$A:$A, INDEX('SUBSTATION LIST'!$B:$CA, 0, ROW(A8)))</f>
        <v>0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2S+1F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493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TAMCO CUTLER-HAMMER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800A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70300101-82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INDKOM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FP7030012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SUNPOWER TECHNOLOGIES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11193-10144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TAMAN KEMPAS INDAH NO.3</v>
      </c>
    </row>
    <row r="2" spans="1:20" x14ac:dyDescent="0.25">
      <c r="A2" s="5" t="s">
        <v>1534</v>
      </c>
      <c r="B2" s="5" t="s">
        <v>2751</v>
      </c>
      <c r="C2" s="5" t="s">
        <v>2752</v>
      </c>
      <c r="D2" s="5" t="s">
        <v>2311</v>
      </c>
      <c r="E2" s="5" t="s">
        <v>2304</v>
      </c>
      <c r="F2" s="5"/>
      <c r="G2" s="5"/>
      <c r="H2" s="5"/>
      <c r="I2" s="5" t="s">
        <v>2753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08:45 PM</v>
      </c>
    </row>
    <row r="3" spans="1:20" x14ac:dyDescent="0.25">
      <c r="A3" s="5" t="s">
        <v>1535</v>
      </c>
      <c r="B3" s="5" t="s">
        <v>2754</v>
      </c>
      <c r="C3" s="5" t="s">
        <v>2755</v>
      </c>
      <c r="D3" s="5" t="s">
        <v>2311</v>
      </c>
      <c r="E3" s="5" t="s">
        <v>2304</v>
      </c>
      <c r="F3" s="5"/>
      <c r="G3" s="5"/>
      <c r="H3" s="5"/>
      <c r="I3" s="5" t="s">
        <v>2753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2756</v>
      </c>
      <c r="C4" s="5" t="s">
        <v>2349</v>
      </c>
      <c r="D4" s="5" t="s">
        <v>2311</v>
      </c>
      <c r="E4" s="5" t="s">
        <v>2304</v>
      </c>
      <c r="F4" s="5"/>
      <c r="G4" s="5"/>
      <c r="H4" s="5"/>
      <c r="I4" s="5" t="s">
        <v>2753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30.4</v>
      </c>
    </row>
    <row r="5" spans="1:20" x14ac:dyDescent="0.25">
      <c r="A5" s="5" t="s">
        <v>1537</v>
      </c>
      <c r="B5" s="5" t="s">
        <v>2757</v>
      </c>
      <c r="C5" s="5" t="s">
        <v>2758</v>
      </c>
      <c r="D5" s="5" t="s">
        <v>2311</v>
      </c>
      <c r="E5" s="5" t="s">
        <v>2304</v>
      </c>
      <c r="F5" s="5"/>
      <c r="G5" s="5"/>
      <c r="H5" s="5"/>
      <c r="I5" s="5" t="s">
        <v>2753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65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T1/283/2012/13931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LV974-1042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TAMAN KEMPAS INDAH NO.2</v>
      </c>
    </row>
    <row r="2" spans="1:20" x14ac:dyDescent="0.25">
      <c r="A2" s="5" t="s">
        <v>1534</v>
      </c>
      <c r="B2" s="5" t="s">
        <v>2759</v>
      </c>
      <c r="C2" s="5" t="s">
        <v>2760</v>
      </c>
      <c r="D2" s="5" t="s">
        <v>2311</v>
      </c>
      <c r="E2" s="5" t="s">
        <v>2304</v>
      </c>
      <c r="F2" s="5"/>
      <c r="G2" s="5"/>
      <c r="H2" s="5"/>
      <c r="I2" s="5" t="s">
        <v>2761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09:35 PM</v>
      </c>
    </row>
    <row r="3" spans="1:20" x14ac:dyDescent="0.25">
      <c r="A3" s="5" t="s">
        <v>1535</v>
      </c>
      <c r="B3" s="5" t="s">
        <v>2762</v>
      </c>
      <c r="C3" s="5" t="s">
        <v>2501</v>
      </c>
      <c r="D3" s="5" t="s">
        <v>2311</v>
      </c>
      <c r="E3" s="5" t="s">
        <v>2304</v>
      </c>
      <c r="F3" s="5"/>
      <c r="G3" s="5"/>
      <c r="H3" s="5"/>
      <c r="I3" s="5" t="s">
        <v>2761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2763</v>
      </c>
      <c r="C4" s="5" t="s">
        <v>2349</v>
      </c>
      <c r="D4" s="5" t="s">
        <v>2311</v>
      </c>
      <c r="E4" s="5" t="s">
        <v>2479</v>
      </c>
      <c r="F4" s="5"/>
      <c r="G4" s="5"/>
      <c r="H4" s="5"/>
      <c r="I4" s="5" t="s">
        <v>2761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30.2</v>
      </c>
    </row>
    <row r="5" spans="1:20" x14ac:dyDescent="0.25">
      <c r="A5" s="5" t="s">
        <v>1537</v>
      </c>
      <c r="B5" s="5" t="s">
        <v>2764</v>
      </c>
      <c r="C5" s="5" t="s">
        <v>2353</v>
      </c>
      <c r="D5" s="5" t="s">
        <v>2311</v>
      </c>
      <c r="E5" s="5" t="s">
        <v>2479</v>
      </c>
      <c r="F5" s="5"/>
      <c r="G5" s="5"/>
      <c r="H5" s="5"/>
      <c r="I5" s="5" t="s">
        <v>2761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70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>
        <f ca="1">_xlfn.XLOOKUP(IFERROR(VALUE(MID(CELL("filename",$A$1),FIND("]",CELL("filename",$A$1))+1,255)), MID(CELL("filename",$A$1),FIND("]",CELL("filename",$A$1))+1,255)), 'SUBSTATION LIST'!$A:$A, INDEX('SUBSTATION LIST'!$B:$CA, 0, ROW(A10)))</f>
        <v>0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>
        <f ca="1">_xlfn.XLOOKUP(IFERROR(VALUE(MID(CELL("filename",$A$1),FIND("]",CELL("filename",$A$1))+1,255)), MID(CELL("filename",$A$1),FIND("]",CELL("filename",$A$1))+1,255)), 'SUBSTATION LIST'!$A:$A, INDEX('SUBSTATION LIST'!$B:$CA, 0, ROW(A11)))</f>
        <v>0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>
        <f ca="1">_xlfn.XLOOKUP(IFERROR(VALUE(MID(CELL("filename",$A$1),FIND("]",CELL("filename",$A$1))+1,255)), MID(CELL("filename",$A$1),FIND("]",CELL("filename",$A$1))+1,255)), 'SUBSTATION LIST'!$A:$A, INDEX('SUBSTATION LIST'!$B:$CA, 0, ROW(A12)))</f>
        <v>0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>
        <f ca="1">_xlfn.XLOOKUP(IFERROR(VALUE(MID(CELL("filename",$A$1),FIND("]",CELL("filename",$A$1))+1,255)), MID(CELL("filename",$A$1),FIND("]",CELL("filename",$A$1))+1,255)), 'SUBSTATION LIST'!$A:$A, INDEX('SUBSTATION LIST'!$B:$CA, 0, ROW(A13)))</f>
        <v>0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T1/283/2012/13908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LV974-1010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TAMAN KEMPAS INDAH NO.1</v>
      </c>
    </row>
    <row r="2" spans="1:20" x14ac:dyDescent="0.25">
      <c r="A2" s="5" t="s">
        <v>1534</v>
      </c>
      <c r="B2" s="5" t="s">
        <v>2765</v>
      </c>
      <c r="C2" s="5" t="s">
        <v>2766</v>
      </c>
      <c r="D2" s="5" t="s">
        <v>2303</v>
      </c>
      <c r="E2" s="5" t="s">
        <v>2304</v>
      </c>
      <c r="F2" s="5"/>
      <c r="G2" s="5"/>
      <c r="H2" s="5"/>
      <c r="I2" s="5" t="s">
        <v>2767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10:40 PM</v>
      </c>
    </row>
    <row r="3" spans="1:20" x14ac:dyDescent="0.25">
      <c r="A3" s="5" t="s">
        <v>1535</v>
      </c>
      <c r="B3" s="5" t="s">
        <v>2768</v>
      </c>
      <c r="C3" s="5" t="s">
        <v>2752</v>
      </c>
      <c r="D3" s="5" t="s">
        <v>2303</v>
      </c>
      <c r="E3" s="5" t="s">
        <v>2304</v>
      </c>
      <c r="F3" s="5"/>
      <c r="G3" s="5"/>
      <c r="H3" s="5"/>
      <c r="I3" s="5" t="s">
        <v>2767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2769</v>
      </c>
      <c r="C4" s="5" t="s">
        <v>2349</v>
      </c>
      <c r="D4" s="5" t="s">
        <v>2303</v>
      </c>
      <c r="E4" s="5" t="s">
        <v>2304</v>
      </c>
      <c r="F4" s="5"/>
      <c r="G4" s="5"/>
      <c r="H4" s="5"/>
      <c r="I4" s="5" t="s">
        <v>2767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30.6</v>
      </c>
    </row>
    <row r="5" spans="1:20" x14ac:dyDescent="0.25">
      <c r="A5" s="5" t="s">
        <v>1537</v>
      </c>
      <c r="B5" s="5" t="s">
        <v>2770</v>
      </c>
      <c r="C5" s="5" t="s">
        <v>2353</v>
      </c>
      <c r="D5" s="5" t="s">
        <v>2303</v>
      </c>
      <c r="E5" s="5" t="s">
        <v>2304</v>
      </c>
      <c r="F5" s="5"/>
      <c r="G5" s="5"/>
      <c r="H5" s="5"/>
      <c r="I5" s="5" t="s">
        <v>2767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66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T1/283/2012/13892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1000kVA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T1/283/2012/13864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TOPRANK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J-SLOTTED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FPX1527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J-SLOTTED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LV974-1009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BC1- SUNPOWER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SPS 30-10 L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11193-4878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 t="str">
        <f ca="1">_xlfn.XLOOKUP(IFERROR(VALUE(MID(CELL("filename",$A$1),FIND("]",CELL("filename",$A$1))+1,255)), MID(CELL("filename",$A$1),FIND("]",CELL("filename",$A$1))+1,255)), 'SUBSTATION LIST'!$A:$A, INDEX('SUBSTATION LIST'!$B:$CA, 0, ROW(A31)))</f>
        <v>BC2- BERKAT INSAF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 t="str">
        <f ca="1">_xlfn.XLOOKUP(IFERROR(VALUE(MID(CELL("filename",$A$1),FIND("]",CELL("filename",$A$1))+1,255)), MID(CELL("filename",$A$1),FIND("]",CELL("filename",$A$1))+1,255)), 'SUBSTATION LIST'!$A:$A, INDEX('SUBSTATION LIST'!$B:$CA, 0, ROW(A32)))</f>
        <v>SEB100-30-10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 t="str">
        <f ca="1">_xlfn.XLOOKUP(IFERROR(VALUE(MID(CELL("filename",$A$1),FIND("]",CELL("filename",$A$1))+1,255)), MID(CELL("filename",$A$1),FIND("]",CELL("filename",$A$1))+1,255)), 'SUBSTATION LIST'!$A:$A, INDEX('SUBSTATION LIST'!$B:$CA, 0, ROW(A33)))</f>
        <v>B7700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 KEDAI UTAMA NO1</v>
      </c>
    </row>
    <row r="2" spans="1:20" x14ac:dyDescent="0.25">
      <c r="A2" s="5" t="s">
        <v>1534</v>
      </c>
      <c r="B2" s="5" t="s">
        <v>2771</v>
      </c>
      <c r="C2" s="5" t="s">
        <v>1570</v>
      </c>
      <c r="D2" s="5" t="s">
        <v>2311</v>
      </c>
      <c r="E2" s="5" t="s">
        <v>2304</v>
      </c>
      <c r="F2" s="5"/>
      <c r="G2" s="5"/>
      <c r="H2" s="5"/>
      <c r="I2" s="5" t="s">
        <v>2772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11:45 PM</v>
      </c>
    </row>
    <row r="3" spans="1:20" x14ac:dyDescent="0.25">
      <c r="A3" s="5" t="s">
        <v>1535</v>
      </c>
      <c r="B3" s="5" t="s">
        <v>2773</v>
      </c>
      <c r="C3" s="5" t="s">
        <v>2774</v>
      </c>
      <c r="D3" s="5" t="s">
        <v>2311</v>
      </c>
      <c r="E3" s="5" t="s">
        <v>2304</v>
      </c>
      <c r="F3" s="5"/>
      <c r="G3" s="5"/>
      <c r="H3" s="5"/>
      <c r="I3" s="5" t="s">
        <v>2772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2775</v>
      </c>
      <c r="C4" s="5" t="s">
        <v>1574</v>
      </c>
      <c r="D4" s="5" t="s">
        <v>2311</v>
      </c>
      <c r="E4" s="5" t="s">
        <v>2304</v>
      </c>
      <c r="F4" s="5"/>
      <c r="G4" s="5"/>
      <c r="H4" s="5"/>
      <c r="I4" s="5" t="s">
        <v>2772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30.0</v>
      </c>
    </row>
    <row r="5" spans="1:20" x14ac:dyDescent="0.25">
      <c r="A5" s="5" t="s">
        <v>1537</v>
      </c>
      <c r="B5" s="5" t="s">
        <v>2776</v>
      </c>
      <c r="C5" s="5" t="s">
        <v>2777</v>
      </c>
      <c r="D5" s="5" t="s">
        <v>2311</v>
      </c>
      <c r="E5" s="5" t="s">
        <v>2304</v>
      </c>
      <c r="F5" s="5"/>
      <c r="G5" s="5"/>
      <c r="H5" s="5"/>
      <c r="I5" s="5" t="s">
        <v>2772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500kVA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T1/283/2012/51299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SGB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500kVA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725095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FP9802-1260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FP9802-1314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R KEDAI UTAMA NO2</v>
      </c>
    </row>
    <row r="2" spans="1:20" x14ac:dyDescent="0.25">
      <c r="A2" s="5" t="s">
        <v>1534</v>
      </c>
      <c r="B2" s="5" t="s">
        <v>2778</v>
      </c>
      <c r="C2" s="5" t="s">
        <v>1570</v>
      </c>
      <c r="D2" s="5" t="s">
        <v>2311</v>
      </c>
      <c r="E2" s="5" t="s">
        <v>2304</v>
      </c>
      <c r="F2" s="5"/>
      <c r="G2" s="5"/>
      <c r="H2" s="5"/>
      <c r="I2" s="5" t="s">
        <v>2779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12:30 AM</v>
      </c>
    </row>
    <row r="3" spans="1:20" x14ac:dyDescent="0.25">
      <c r="A3" s="5" t="s">
        <v>1535</v>
      </c>
      <c r="B3" s="5" t="s">
        <v>2780</v>
      </c>
      <c r="C3" s="5" t="s">
        <v>2781</v>
      </c>
      <c r="D3" s="5" t="s">
        <v>2311</v>
      </c>
      <c r="E3" s="5" t="s">
        <v>2304</v>
      </c>
      <c r="F3" s="5"/>
      <c r="G3" s="5"/>
      <c r="H3" s="5"/>
      <c r="I3" s="5" t="s">
        <v>2779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2782</v>
      </c>
      <c r="C4" s="5" t="s">
        <v>1574</v>
      </c>
      <c r="D4" s="5" t="s">
        <v>2311</v>
      </c>
      <c r="E4" s="5" t="s">
        <v>2304</v>
      </c>
      <c r="F4" s="5"/>
      <c r="G4" s="5"/>
      <c r="H4" s="5"/>
      <c r="I4" s="5" t="s">
        <v>2779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29.8</v>
      </c>
    </row>
    <row r="5" spans="1:20" x14ac:dyDescent="0.25">
      <c r="A5" s="5" t="s">
        <v>1537</v>
      </c>
      <c r="B5" s="5" t="s">
        <v>2783</v>
      </c>
      <c r="C5" s="5" t="s">
        <v>2784</v>
      </c>
      <c r="D5" s="5" t="s">
        <v>2311</v>
      </c>
      <c r="E5" s="5" t="s">
        <v>2304</v>
      </c>
      <c r="F5" s="5"/>
      <c r="G5" s="5"/>
      <c r="H5" s="5"/>
      <c r="I5" s="5" t="s">
        <v>2779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71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SCHNEIDER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RM6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MTM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500kVA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T1/283/2012/51304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 t="str">
        <f ca="1">_xlfn.XLOOKUP(IFERROR(VALUE(MID(CELL("filename",$A$1),FIND("]",CELL("filename",$A$1))+1,255)), MID(CELL("filename",$A$1),FIND("]",CELL("filename",$A$1))+1,255)), 'SUBSTATION LIST'!$A:$A, INDEX('SUBSTATION LIST'!$B:$CA, 0, ROW(A14)))</f>
        <v>MTM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 t="str">
        <f ca="1">_xlfn.XLOOKUP(IFERROR(VALUE(MID(CELL("filename",$A$1),FIND("]",CELL("filename",$A$1))+1,255)), MID(CELL("filename",$A$1),FIND("]",CELL("filename",$A$1))+1,255)), 'SUBSTATION LIST'!$A:$A, INDEX('SUBSTATION LIST'!$B:$CA, 0, ROW(A15)))</f>
        <v>HERMETICALLY SEAL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 t="str">
        <f ca="1">_xlfn.XLOOKUP(IFERROR(VALUE(MID(CELL("filename",$A$1),FIND("]",CELL("filename",$A$1))+1,255)), MID(CELL("filename",$A$1),FIND("]",CELL("filename",$A$1))+1,255)), 'SUBSTATION LIST'!$A:$A, INDEX('SUBSTATION LIST'!$B:$CA, 0, ROW(A16)))</f>
        <v>500kVA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 t="str">
        <f ca="1">_xlfn.XLOOKUP(IFERROR(VALUE(MID(CELL("filename",$A$1),FIND("]",CELL("filename",$A$1))+1,255)), MID(CELL("filename",$A$1),FIND("]",CELL("filename",$A$1))+1,255)), 'SUBSTATION LIST'!$A:$A, INDEX('SUBSTATION LIST'!$B:$CA, 0, ROW(A17)))</f>
        <v>T1/283/2012/51306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SSE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FP9802-1266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 t="str">
        <f ca="1">_xlfn.XLOOKUP(IFERROR(VALUE(MID(CELL("filename",$A$1),FIND("]",CELL("filename",$A$1))+1,255)), MID(CELL("filename",$A$1),FIND("]",CELL("filename",$A$1))+1,255)), 'SUBSTATION LIST'!$A:$A, INDEX('SUBSTATION LIST'!$B:$CA, 0, ROW(A23)))</f>
        <v>SSE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 t="str">
        <f ca="1">_xlfn.XLOOKUP(IFERROR(VALUE(MID(CELL("filename",$A$1),FIND("]",CELL("filename",$A$1))+1,255)), MID(CELL("filename",$A$1),FIND("]",CELL("filename",$A$1))+1,255)), 'SUBSTATION LIST'!$A:$A, INDEX('SUBSTATION LIST'!$B:$CA, 0, ROW(A24)))</f>
        <v>DIN TYPE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 t="str">
        <f ca="1">_xlfn.XLOOKUP(IFERROR(VALUE(MID(CELL("filename",$A$1),FIND("]",CELL("filename",$A$1))+1,255)), MID(CELL("filename",$A$1),FIND("]",CELL("filename",$A$1))+1,255)), 'SUBSTATION LIST'!$A:$A, INDEX('SUBSTATION LIST'!$B:$CA, 0, ROW(A25)))</f>
        <v>1600A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 t="str">
        <f ca="1">_xlfn.XLOOKUP(IFERROR(VALUE(MID(CELL("filename",$A$1),FIND("]",CELL("filename",$A$1))+1,255)), MID(CELL("filename",$A$1),FIND("]",CELL("filename",$A$1))+1,255)), 'SUBSTATION LIST'!$A:$A, INDEX('SUBSTATION LIST'!$B:$CA, 0, ROW(A26)))</f>
        <v>FP9802-1263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FP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STP KEMPAS UTAMA.pdf</v>
      </c>
    </row>
    <row r="2" spans="1:20" x14ac:dyDescent="0.25">
      <c r="A2" s="5" t="s">
        <v>1534</v>
      </c>
      <c r="B2" s="5" t="s">
        <v>2785</v>
      </c>
      <c r="C2" s="5" t="s">
        <v>2786</v>
      </c>
      <c r="D2" s="5" t="s">
        <v>2311</v>
      </c>
      <c r="E2" s="5" t="s">
        <v>2304</v>
      </c>
      <c r="F2" s="5"/>
      <c r="G2" s="5"/>
      <c r="H2" s="5"/>
      <c r="I2" s="5" t="s">
        <v>2787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01:33 AM</v>
      </c>
    </row>
    <row r="3" spans="1:20" x14ac:dyDescent="0.25">
      <c r="A3" s="5" t="s">
        <v>1535</v>
      </c>
      <c r="B3" s="5" t="s">
        <v>2788</v>
      </c>
      <c r="C3" s="5" t="s">
        <v>2789</v>
      </c>
      <c r="D3" s="5" t="s">
        <v>2311</v>
      </c>
      <c r="E3" s="5" t="s">
        <v>2304</v>
      </c>
      <c r="F3" s="5"/>
      <c r="G3" s="5"/>
      <c r="H3" s="5"/>
      <c r="I3" s="5" t="s">
        <v>2787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2790</v>
      </c>
      <c r="C4" s="5" t="s">
        <v>2321</v>
      </c>
      <c r="D4" s="5" t="s">
        <v>2311</v>
      </c>
      <c r="E4" s="5" t="s">
        <v>2304</v>
      </c>
      <c r="F4" s="5"/>
      <c r="G4" s="5"/>
      <c r="H4" s="5"/>
      <c r="I4" s="5" t="s">
        <v>2787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29.8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2787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69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MRMU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SGB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719699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 t="str">
        <f ca="1">_xlfn.XLOOKUP(IFERROR(VALUE(MID(CELL("filename",$A$1),FIND("]",CELL("filename",$A$1))+1,255)), MID(CELL("filename",$A$1),FIND("]",CELL("filename",$A$1))+1,255)), 'SUBSTATION LIST'!$A:$A, INDEX('SUBSTATION LIST'!$B:$CA, 0, ROW(A18)))</f>
        <v>ITEM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 t="str">
        <f ca="1">_xlfn.XLOOKUP(IFERROR(VALUE(MID(CELL("filename",$A$1),FIND("]",CELL("filename",$A$1))+1,255)), MID(CELL("filename",$A$1),FIND("]",CELL("filename",$A$1))+1,255)), 'SUBSTATION LIST'!$A:$A, INDEX('SUBSTATION LIST'!$B:$CA, 0, ROW(A19)))</f>
        <v>DIN TYPE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 t="str">
        <f ca="1">_xlfn.XLOOKUP(IFERROR(VALUE(MID(CELL("filename",$A$1),FIND("]",CELL("filename",$A$1))+1,255)), MID(CELL("filename",$A$1),FIND("]",CELL("filename",$A$1))+1,255)), 'SUBSTATION LIST'!$A:$A, INDEX('SUBSTATION LIST'!$B:$CA, 0, ROW(A20)))</f>
        <v>1600A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 t="str">
        <f ca="1">_xlfn.XLOOKUP(IFERROR(VALUE(MID(CELL("filename",$A$1),FIND("]",CELL("filename",$A$1))+1,255)), MID(CELL("filename",$A$1),FIND("]",CELL("filename",$A$1))+1,255)), 'SUBSTATION LIST'!$A:$A, INDEX('SUBSTATION LIST'!$B:$CA, 0, ROW(A21)))</f>
        <v>D2178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FP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 t="str">
        <f ca="1">_xlfn.XLOOKUP(IFERROR(VALUE(MID(CELL("filename",$A$1),FIND("]",CELL("filename",$A$1))+1,255)), MID(CELL("filename",$A$1),FIND("]",CELL("filename",$A$1))+1,255)), 'SUBSTATION LIST'!$A:$A, INDEX('SUBSTATION LIST'!$B:$CA, 0, ROW(A28)))</f>
        <v>BERKAT INSAF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 t="str">
        <f ca="1">_xlfn.XLOOKUP(IFERROR(VALUE(MID(CELL("filename",$A$1),FIND("]",CELL("filename",$A$1))+1,255)), MID(CELL("filename",$A$1),FIND("]",CELL("filename",$A$1))+1,255)), 'SUBSTATION LIST'!$A:$A, INDEX('SUBSTATION LIST'!$B:$CA, 0, ROW(A29)))</f>
        <v>SEB100-30-10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 t="str">
        <f ca="1">_xlfn.XLOOKUP(IFERROR(VALUE(MID(CELL("filename",$A$1),FIND("]",CELL("filename",$A$1))+1,255)), MID(CELL("filename",$A$1),FIND("]",CELL("filename",$A$1))+1,255)), 'SUBSTATION LIST'!$A:$A, INDEX('SUBSTATION LIST'!$B:$CA, 0, ROW(A30)))</f>
        <v>B18995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T51"/>
  <sheetViews>
    <sheetView workbookViewId="0"/>
  </sheetViews>
  <sheetFormatPr defaultRowHeight="15" x14ac:dyDescent="0.25"/>
  <cols>
    <col min="1" max="1" width="29" customWidth="1"/>
    <col min="11" max="11" width="17" customWidth="1"/>
    <col min="14" max="14" width="22.42578125" customWidth="1"/>
    <col min="15" max="15" width="24.7109375" customWidth="1"/>
    <col min="16" max="16" width="22.140625" customWidth="1"/>
    <col min="23" max="23" width="32.5703125" customWidth="1"/>
  </cols>
  <sheetData>
    <row r="1" spans="1:20" x14ac:dyDescent="0.25">
      <c r="A1" t="s">
        <v>2266</v>
      </c>
      <c r="B1" s="5" t="s">
        <v>1697</v>
      </c>
      <c r="C1" s="5" t="s">
        <v>1698</v>
      </c>
      <c r="D1" s="5" t="s">
        <v>1699</v>
      </c>
      <c r="E1" s="5" t="s">
        <v>1700</v>
      </c>
      <c r="F1" s="5" t="s">
        <v>1701</v>
      </c>
      <c r="G1" s="5" t="s">
        <v>1702</v>
      </c>
      <c r="H1" s="5" t="s">
        <v>1703</v>
      </c>
      <c r="I1" s="5" t="s">
        <v>1704</v>
      </c>
      <c r="N1" s="6" t="s">
        <v>1691</v>
      </c>
      <c r="O1" s="6" t="s">
        <v>2267</v>
      </c>
      <c r="P1" s="6" t="str">
        <f ca="1">_xlfn.XLOOKUP(IFERROR(VALUE(MID(CELL("filename",$A$1),FIND("]",CELL("filename",$A$1))+1,255)), MID(CELL("filename",$A$1),FIND("]",CELL("filename",$A$1))+1,255)), 'SUBSTATION LIST'!$A:$A, INDEX('SUBSTATION LIST'!$B:$CA, 0, ROW(A1)))</f>
        <v>PE PKJ BLOK A</v>
      </c>
    </row>
    <row r="2" spans="1:20" x14ac:dyDescent="0.25">
      <c r="A2" s="5" t="s">
        <v>1534</v>
      </c>
      <c r="B2" s="5" t="s">
        <v>2791</v>
      </c>
      <c r="C2" s="5" t="s">
        <v>2792</v>
      </c>
      <c r="D2" s="5" t="s">
        <v>2303</v>
      </c>
      <c r="E2" s="5" t="s">
        <v>2304</v>
      </c>
      <c r="F2" s="5"/>
      <c r="G2" s="5"/>
      <c r="H2" s="5"/>
      <c r="I2" s="5" t="s">
        <v>2793</v>
      </c>
      <c r="N2" s="6" t="s">
        <v>1692</v>
      </c>
      <c r="O2" s="6" t="s">
        <v>2</v>
      </c>
      <c r="P2" s="27" t="str">
        <f ca="1">_xlfn.XLOOKUP(IFERROR(VALUE(MID(CELL("filename",$A$1),FIND("]",CELL("filename",$A$1))+1,255)), MID(CELL("filename",$A$1),FIND("]",CELL("filename",$A$1))+1,255)), 'SUBSTATION LIST'!$A:$A, INDEX('SUBSTATION LIST'!$B:$CA, 0, ROW(A2)))</f>
        <v>02:35 AM</v>
      </c>
    </row>
    <row r="3" spans="1:20" x14ac:dyDescent="0.25">
      <c r="A3" s="5" t="s">
        <v>1535</v>
      </c>
      <c r="B3" s="5" t="s">
        <v>2794</v>
      </c>
      <c r="C3" s="5" t="s">
        <v>2795</v>
      </c>
      <c r="D3" s="5" t="s">
        <v>2303</v>
      </c>
      <c r="E3" s="5" t="s">
        <v>2304</v>
      </c>
      <c r="F3" s="5"/>
      <c r="G3" s="5"/>
      <c r="H3" s="5"/>
      <c r="I3" s="5" t="s">
        <v>2793</v>
      </c>
      <c r="N3" s="6" t="s">
        <v>1693</v>
      </c>
      <c r="O3" s="6" t="s">
        <v>3</v>
      </c>
      <c r="P3" s="26" t="str">
        <f ca="1">_xlfn.XLOOKUP(IFERROR(VALUE(MID(CELL("filename",$A$1),FIND("]",CELL("filename",$A$1))+1,255)), MID(CELL("filename",$A$1),FIND("]",CELL("filename",$A$1))+1,255)), 'SUBSTATION LIST'!$A:$A, INDEX('SUBSTATION LIST'!$B:$CA, 0, ROW(A3)))</f>
        <v>23/07/26</v>
      </c>
    </row>
    <row r="4" spans="1:20" x14ac:dyDescent="0.25">
      <c r="A4" s="5" t="s">
        <v>1536</v>
      </c>
      <c r="B4" s="5" t="s">
        <v>2796</v>
      </c>
      <c r="C4" s="5" t="s">
        <v>2321</v>
      </c>
      <c r="D4" s="5" t="s">
        <v>2303</v>
      </c>
      <c r="E4" s="5" t="s">
        <v>2304</v>
      </c>
      <c r="F4" s="5"/>
      <c r="G4" s="5"/>
      <c r="H4" s="5"/>
      <c r="I4" s="5" t="s">
        <v>2793</v>
      </c>
      <c r="N4" s="6" t="s">
        <v>1694</v>
      </c>
      <c r="O4" s="6" t="s">
        <v>4</v>
      </c>
      <c r="P4" s="28" t="str">
        <f ca="1">_xlfn.XLOOKUP(IFERROR(VALUE(MID(CELL("filename",$A$1),FIND("]",CELL("filename",$A$1))+1,255)), MID(CELL("filename",$A$1),FIND("]",CELL("filename",$A$1))+1,255)), 'SUBSTATION LIST'!$A:$A, INDEX('SUBSTATION LIST'!$B:$CA, 0, ROW(A4)))</f>
        <v>30.1</v>
      </c>
    </row>
    <row r="5" spans="1:20" x14ac:dyDescent="0.25">
      <c r="A5" s="5" t="s">
        <v>1537</v>
      </c>
      <c r="B5" s="5"/>
      <c r="C5" s="5"/>
      <c r="D5" s="5"/>
      <c r="E5" s="5"/>
      <c r="F5" s="5"/>
      <c r="G5" s="5"/>
      <c r="H5" s="5"/>
      <c r="I5" s="5" t="s">
        <v>2793</v>
      </c>
      <c r="N5" s="6" t="s">
        <v>1695</v>
      </c>
      <c r="O5" s="6" t="s">
        <v>5</v>
      </c>
      <c r="P5" s="28" t="str">
        <f ca="1">_xlfn.XLOOKUP(IFERROR(VALUE(MID(CELL("filename",$A$1),FIND("]",CELL("filename",$A$1))+1,255)), MID(CELL("filename",$A$1),FIND("]",CELL("filename",$A$1))+1,255)), 'SUBSTATION LIST'!$A:$A, INDEX('SUBSTATION LIST'!$B:$CA, 0, ROW(A5)))</f>
        <v>72</v>
      </c>
    </row>
    <row r="6" spans="1:20" x14ac:dyDescent="0.25">
      <c r="A6" s="5" t="s">
        <v>1542</v>
      </c>
      <c r="B6" s="5"/>
      <c r="C6" s="5"/>
      <c r="D6" s="5"/>
      <c r="E6" s="5"/>
      <c r="F6" s="5"/>
      <c r="G6" s="5"/>
      <c r="H6" s="5"/>
      <c r="I6" s="5"/>
      <c r="N6" s="8" t="s">
        <v>1705</v>
      </c>
      <c r="O6" s="6" t="s">
        <v>6</v>
      </c>
      <c r="P6" s="6" t="str">
        <f ca="1">_xlfn.XLOOKUP(IFERROR(VALUE(MID(CELL("filename",$A$1),FIND("]",CELL("filename",$A$1))+1,255)), MID(CELL("filename",$A$1),FIND("]",CELL("filename",$A$1))+1,255)), 'SUBSTATION LIST'!$A:$A, INDEX('SUBSTATION LIST'!$B:$CA, 0, ROW(A6)))</f>
        <v>INDKOM</v>
      </c>
    </row>
    <row r="7" spans="1:20" x14ac:dyDescent="0.25">
      <c r="A7" s="5" t="s">
        <v>1547</v>
      </c>
      <c r="B7" s="5"/>
      <c r="C7" s="5"/>
      <c r="D7" s="5"/>
      <c r="E7" s="5"/>
      <c r="F7" s="5"/>
      <c r="G7" s="5"/>
      <c r="H7" s="5"/>
      <c r="I7" s="5"/>
      <c r="N7" s="8" t="s">
        <v>1706</v>
      </c>
      <c r="O7" s="6" t="s">
        <v>7</v>
      </c>
      <c r="P7" s="6" t="str">
        <f ca="1">_xlfn.XLOOKUP(IFERROR(VALUE(MID(CELL("filename",$A$1),FIND("]",CELL("filename",$A$1))+1,255)), MID(CELL("filename",$A$1),FIND("]",CELL("filename",$A$1))+1,255)), 'SUBSTATION LIST'!$A:$A, INDEX('SUBSTATION LIST'!$B:$CA, 0, ROW(A7)))</f>
        <v>RMU SF6</v>
      </c>
    </row>
    <row r="8" spans="1:20" x14ac:dyDescent="0.25">
      <c r="A8" s="5" t="s">
        <v>1552</v>
      </c>
      <c r="B8" s="5"/>
      <c r="C8" s="5"/>
      <c r="D8" s="5"/>
      <c r="E8" s="5"/>
      <c r="F8" s="5"/>
      <c r="G8" s="5"/>
      <c r="H8" s="5"/>
      <c r="I8" s="5"/>
      <c r="N8" s="12" t="s">
        <v>1707</v>
      </c>
      <c r="O8" s="6" t="s">
        <v>8</v>
      </c>
      <c r="P8" s="6" t="str">
        <f ca="1">_xlfn.XLOOKUP(IFERROR(VALUE(MID(CELL("filename",$A$1),FIND("]",CELL("filename",$A$1))+1,255)), MID(CELL("filename",$A$1),FIND("]",CELL("filename",$A$1))+1,255)), 'SUBSTATION LIST'!$A:$A, INDEX('SUBSTATION LIST'!$B:$CA, 0, ROW(A8)))</f>
        <v>12kV</v>
      </c>
    </row>
    <row r="9" spans="1:20" x14ac:dyDescent="0.25">
      <c r="A9" s="5" t="s">
        <v>1557</v>
      </c>
      <c r="B9" s="5"/>
      <c r="C9" s="5"/>
      <c r="D9" s="5"/>
      <c r="E9" s="5"/>
      <c r="F9" s="5"/>
      <c r="G9" s="5"/>
      <c r="H9" s="5"/>
      <c r="I9" s="5"/>
      <c r="N9" s="8" t="s">
        <v>1708</v>
      </c>
      <c r="O9" s="6" t="s">
        <v>9</v>
      </c>
      <c r="P9" s="6" t="str">
        <f ca="1">_xlfn.XLOOKUP(IFERROR(VALUE(MID(CELL("filename",$A$1),FIND("]",CELL("filename",$A$1))+1,255)), MID(CELL("filename",$A$1),FIND("]",CELL("filename",$A$1))+1,255)), 'SUBSTATION LIST'!$A:$A, INDEX('SUBSTATION LIST'!$B:$CA, 0, ROW(A9)))</f>
        <v>INS24</v>
      </c>
      <c r="T9" s="3"/>
    </row>
    <row r="10" spans="1:20" x14ac:dyDescent="0.25">
      <c r="A10" s="5" t="s">
        <v>1562</v>
      </c>
      <c r="B10" s="5"/>
      <c r="C10" s="5"/>
      <c r="D10" s="5"/>
      <c r="E10" s="5"/>
      <c r="F10" s="5"/>
      <c r="G10" s="5"/>
      <c r="H10" s="5"/>
      <c r="I10" s="5"/>
      <c r="N10" s="6" t="s">
        <v>1709</v>
      </c>
      <c r="O10" s="6" t="s">
        <v>10</v>
      </c>
      <c r="P10" s="6" t="str">
        <f ca="1">_xlfn.XLOOKUP(IFERROR(VALUE(MID(CELL("filename",$A$1),FIND("]",CELL("filename",$A$1))+1,255)), MID(CELL("filename",$A$1),FIND("]",CELL("filename",$A$1))+1,255)), 'SUBSTATION LIST'!$A:$A, INDEX('SUBSTATION LIST'!$B:$CA, 0, ROW(A10)))</f>
        <v>EWT</v>
      </c>
      <c r="T10" s="3"/>
    </row>
    <row r="11" spans="1:20" x14ac:dyDescent="0.25">
      <c r="A11" s="5" t="s">
        <v>1567</v>
      </c>
      <c r="B11" s="5"/>
      <c r="C11" s="5"/>
      <c r="D11" s="5"/>
      <c r="E11" s="5"/>
      <c r="F11" s="5"/>
      <c r="G11" s="5"/>
      <c r="H11" s="5"/>
      <c r="I11" s="5"/>
      <c r="N11" s="6" t="s">
        <v>1710</v>
      </c>
      <c r="O11" s="6" t="s">
        <v>11</v>
      </c>
      <c r="P11" s="6" t="str">
        <f ca="1">_xlfn.XLOOKUP(IFERROR(VALUE(MID(CELL("filename",$A$1),FIND("]",CELL("filename",$A$1))+1,255)), MID(CELL("filename",$A$1),FIND("]",CELL("filename",$A$1))+1,255)), 'SUBSTATION LIST'!$A:$A, INDEX('SUBSTATION LIST'!$B:$CA, 0, ROW(A11)))</f>
        <v>HERMETICALLY SEAL</v>
      </c>
      <c r="T11" s="3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N12" s="6" t="s">
        <v>1711</v>
      </c>
      <c r="O12" s="6" t="s">
        <v>12</v>
      </c>
      <c r="P12" s="6" t="str">
        <f ca="1">_xlfn.XLOOKUP(IFERROR(VALUE(MID(CELL("filename",$A$1),FIND("]",CELL("filename",$A$1))+1,255)), MID(CELL("filename",$A$1),FIND("]",CELL("filename",$A$1))+1,255)), 'SUBSTATION LIST'!$A:$A, INDEX('SUBSTATION LIST'!$B:$CA, 0, ROW(A12)))</f>
        <v>1000kVA</v>
      </c>
      <c r="T12" s="3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N13" s="6" t="s">
        <v>1712</v>
      </c>
      <c r="O13" s="6" t="s">
        <v>13</v>
      </c>
      <c r="P13" s="6" t="str">
        <f ca="1">_xlfn.XLOOKUP(IFERROR(VALUE(MID(CELL("filename",$A$1),FIND("]",CELL("filename",$A$1))+1,255)), MID(CELL("filename",$A$1),FIND("]",CELL("filename",$A$1))+1,255)), 'SUBSTATION LIST'!$A:$A, INDEX('SUBSTATION LIST'!$B:$CA, 0, ROW(A13)))</f>
        <v>EWT/80224</v>
      </c>
      <c r="T13" s="4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N14" s="6" t="s">
        <v>1713</v>
      </c>
      <c r="O14" s="6" t="s">
        <v>14</v>
      </c>
      <c r="P14" s="6">
        <f ca="1">_xlfn.XLOOKUP(IFERROR(VALUE(MID(CELL("filename",$A$1),FIND("]",CELL("filename",$A$1))+1,255)), MID(CELL("filename",$A$1),FIND("]",CELL("filename",$A$1))+1,255)), 'SUBSTATION LIST'!$A:$A, INDEX('SUBSTATION LIST'!$B:$CA, 0, ROW(A14)))</f>
        <v>0</v>
      </c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N15" s="6" t="s">
        <v>1714</v>
      </c>
      <c r="O15" s="6" t="s">
        <v>15</v>
      </c>
      <c r="P15" s="6">
        <f ca="1">_xlfn.XLOOKUP(IFERROR(VALUE(MID(CELL("filename",$A$1),FIND("]",CELL("filename",$A$1))+1,255)), MID(CELL("filename",$A$1),FIND("]",CELL("filename",$A$1))+1,255)), 'SUBSTATION LIST'!$A:$A, INDEX('SUBSTATION LIST'!$B:$CA, 0, ROW(A15)))</f>
        <v>0</v>
      </c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N16" s="6" t="s">
        <v>1715</v>
      </c>
      <c r="O16" s="6" t="s">
        <v>16</v>
      </c>
      <c r="P16" s="6">
        <f ca="1">_xlfn.XLOOKUP(IFERROR(VALUE(MID(CELL("filename",$A$1),FIND("]",CELL("filename",$A$1))+1,255)), MID(CELL("filename",$A$1),FIND("]",CELL("filename",$A$1))+1,255)), 'SUBSTATION LIST'!$A:$A, INDEX('SUBSTATION LIST'!$B:$CA, 0, ROW(A16)))</f>
        <v>0</v>
      </c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N17" s="6" t="s">
        <v>1716</v>
      </c>
      <c r="O17" s="6" t="s">
        <v>17</v>
      </c>
      <c r="P17" s="6">
        <f ca="1">_xlfn.XLOOKUP(IFERROR(VALUE(MID(CELL("filename",$A$1),FIND("]",CELL("filename",$A$1))+1,255)), MID(CELL("filename",$A$1),FIND("]",CELL("filename",$A$1))+1,255)), 'SUBSTATION LIST'!$A:$A, INDEX('SUBSTATION LIST'!$B:$CA, 0, ROW(A17)))</f>
        <v>0</v>
      </c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N18" s="6" t="s">
        <v>1717</v>
      </c>
      <c r="O18" s="6" t="s">
        <v>18</v>
      </c>
      <c r="P18" s="6">
        <f ca="1">_xlfn.XLOOKUP(IFERROR(VALUE(MID(CELL("filename",$A$1),FIND("]",CELL("filename",$A$1))+1,255)), MID(CELL("filename",$A$1),FIND("]",CELL("filename",$A$1))+1,255)), 'SUBSTATION LIST'!$A:$A, INDEX('SUBSTATION LIST'!$B:$CA, 0, ROW(A18)))</f>
        <v>0</v>
      </c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N19" s="6" t="s">
        <v>1718</v>
      </c>
      <c r="O19" s="6" t="s">
        <v>19</v>
      </c>
      <c r="P19" s="6">
        <f ca="1">_xlfn.XLOOKUP(IFERROR(VALUE(MID(CELL("filename",$A$1),FIND("]",CELL("filename",$A$1))+1,255)), MID(CELL("filename",$A$1),FIND("]",CELL("filename",$A$1))+1,255)), 'SUBSTATION LIST'!$A:$A, INDEX('SUBSTATION LIST'!$B:$CA, 0, ROW(A19)))</f>
        <v>0</v>
      </c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N20" s="6" t="s">
        <v>1719</v>
      </c>
      <c r="O20" s="6" t="s">
        <v>20</v>
      </c>
      <c r="P20" s="6">
        <f ca="1">_xlfn.XLOOKUP(IFERROR(VALUE(MID(CELL("filename",$A$1),FIND("]",CELL("filename",$A$1))+1,255)), MID(CELL("filename",$A$1),FIND("]",CELL("filename",$A$1))+1,255)), 'SUBSTATION LIST'!$A:$A, INDEX('SUBSTATION LIST'!$B:$CA, 0, ROW(A20)))</f>
        <v>0</v>
      </c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N21" s="6" t="s">
        <v>1720</v>
      </c>
      <c r="O21" s="6" t="s">
        <v>21</v>
      </c>
      <c r="P21" s="6">
        <f ca="1">_xlfn.XLOOKUP(IFERROR(VALUE(MID(CELL("filename",$A$1),FIND("]",CELL("filename",$A$1))+1,255)), MID(CELL("filename",$A$1),FIND("]",CELL("filename",$A$1))+1,255)), 'SUBSTATION LIST'!$A:$A, INDEX('SUBSTATION LIST'!$B:$CA, 0, ROW(A21)))</f>
        <v>0</v>
      </c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N22" s="6" t="s">
        <v>1721</v>
      </c>
      <c r="O22" s="6" t="s">
        <v>22</v>
      </c>
      <c r="P22" s="6" t="str">
        <f ca="1">_xlfn.XLOOKUP(IFERROR(VALUE(MID(CELL("filename",$A$1),FIND("]",CELL("filename",$A$1))+1,255)), MID(CELL("filename",$A$1),FIND("]",CELL("filename",$A$1))+1,255)), 'SUBSTATION LIST'!$A:$A, INDEX('SUBSTATION LIST'!$B:$CA, 0, ROW(A22)))</f>
        <v>LVDB TX1</v>
      </c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N23" s="6" t="s">
        <v>1722</v>
      </c>
      <c r="O23" s="6" t="s">
        <v>23</v>
      </c>
      <c r="P23" s="6">
        <f ca="1">_xlfn.XLOOKUP(IFERROR(VALUE(MID(CELL("filename",$A$1),FIND("]",CELL("filename",$A$1))+1,255)), MID(CELL("filename",$A$1),FIND("]",CELL("filename",$A$1))+1,255)), 'SUBSTATION LIST'!$A:$A, INDEX('SUBSTATION LIST'!$B:$CA, 0, ROW(A23)))</f>
        <v>0</v>
      </c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N24" s="6" t="s">
        <v>1723</v>
      </c>
      <c r="O24" s="6" t="s">
        <v>24</v>
      </c>
      <c r="P24" s="6">
        <f ca="1">_xlfn.XLOOKUP(IFERROR(VALUE(MID(CELL("filename",$A$1),FIND("]",CELL("filename",$A$1))+1,255)), MID(CELL("filename",$A$1),FIND("]",CELL("filename",$A$1))+1,255)), 'SUBSTATION LIST'!$A:$A, INDEX('SUBSTATION LIST'!$B:$CA, 0, ROW(A24)))</f>
        <v>0</v>
      </c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N25" s="6" t="s">
        <v>1724</v>
      </c>
      <c r="O25" s="6" t="s">
        <v>25</v>
      </c>
      <c r="P25" s="6">
        <f ca="1">_xlfn.XLOOKUP(IFERROR(VALUE(MID(CELL("filename",$A$1),FIND("]",CELL("filename",$A$1))+1,255)), MID(CELL("filename",$A$1),FIND("]",CELL("filename",$A$1))+1,255)), 'SUBSTATION LIST'!$A:$A, INDEX('SUBSTATION LIST'!$B:$CA, 0, ROW(A25)))</f>
        <v>0</v>
      </c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N26" s="6" t="s">
        <v>1725</v>
      </c>
      <c r="O26" s="6" t="s">
        <v>26</v>
      </c>
      <c r="P26" s="6">
        <f ca="1">_xlfn.XLOOKUP(IFERROR(VALUE(MID(CELL("filename",$A$1),FIND("]",CELL("filename",$A$1))+1,255)), MID(CELL("filename",$A$1),FIND("]",CELL("filename",$A$1))+1,255)), 'SUBSTATION LIST'!$A:$A, INDEX('SUBSTATION LIST'!$B:$CA, 0, ROW(A26)))</f>
        <v>0</v>
      </c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N27" s="6" t="s">
        <v>1726</v>
      </c>
      <c r="O27" s="6" t="s">
        <v>27</v>
      </c>
      <c r="P27" s="6" t="str">
        <f ca="1">_xlfn.XLOOKUP(IFERROR(VALUE(MID(CELL("filename",$A$1),FIND("]",CELL("filename",$A$1))+1,255)), MID(CELL("filename",$A$1),FIND("]",CELL("filename",$A$1))+1,255)), 'SUBSTATION LIST'!$A:$A, INDEX('SUBSTATION LIST'!$B:$CA, 0, ROW(A27)))</f>
        <v>LVDB TX2</v>
      </c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N28" s="6" t="s">
        <v>1727</v>
      </c>
      <c r="O28" s="6" t="s">
        <v>28</v>
      </c>
      <c r="P28" s="6">
        <f ca="1">_xlfn.XLOOKUP(IFERROR(VALUE(MID(CELL("filename",$A$1),FIND("]",CELL("filename",$A$1))+1,255)), MID(CELL("filename",$A$1),FIND("]",CELL("filename",$A$1))+1,255)), 'SUBSTATION LIST'!$A:$A, INDEX('SUBSTATION LIST'!$B:$CA, 0, ROW(A28)))</f>
        <v>0</v>
      </c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N29" s="6" t="s">
        <v>1728</v>
      </c>
      <c r="O29" s="6" t="s">
        <v>29</v>
      </c>
      <c r="P29" s="6">
        <f ca="1">_xlfn.XLOOKUP(IFERROR(VALUE(MID(CELL("filename",$A$1),FIND("]",CELL("filename",$A$1))+1,255)), MID(CELL("filename",$A$1),FIND("]",CELL("filename",$A$1))+1,255)), 'SUBSTATION LIST'!$A:$A, INDEX('SUBSTATION LIST'!$B:$CA, 0, ROW(A29)))</f>
        <v>0</v>
      </c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N30" s="6" t="s">
        <v>1729</v>
      </c>
      <c r="O30" s="6" t="s">
        <v>30</v>
      </c>
      <c r="P30" s="6">
        <f ca="1">_xlfn.XLOOKUP(IFERROR(VALUE(MID(CELL("filename",$A$1),FIND("]",CELL("filename",$A$1))+1,255)), MID(CELL("filename",$A$1),FIND("]",CELL("filename",$A$1))+1,255)), 'SUBSTATION LIST'!$A:$A, INDEX('SUBSTATION LIST'!$B:$CA, 0, ROW(A30)))</f>
        <v>0</v>
      </c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N31" s="6" t="s">
        <v>1730</v>
      </c>
      <c r="O31" s="6" t="s">
        <v>31</v>
      </c>
      <c r="P31" s="6">
        <f ca="1">_xlfn.XLOOKUP(IFERROR(VALUE(MID(CELL("filename",$A$1),FIND("]",CELL("filename",$A$1))+1,255)), MID(CELL("filename",$A$1),FIND("]",CELL("filename",$A$1))+1,255)), 'SUBSTATION LIST'!$A:$A, INDEX('SUBSTATION LIST'!$B:$CA, 0, ROW(A31)))</f>
        <v>0</v>
      </c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N32" s="6" t="s">
        <v>1731</v>
      </c>
      <c r="O32" s="6" t="s">
        <v>32</v>
      </c>
      <c r="P32" s="6">
        <f ca="1">_xlfn.XLOOKUP(IFERROR(VALUE(MID(CELL("filename",$A$1),FIND("]",CELL("filename",$A$1))+1,255)), MID(CELL("filename",$A$1),FIND("]",CELL("filename",$A$1))+1,255)), 'SUBSTATION LIST'!$A:$A, INDEX('SUBSTATION LIST'!$B:$CA, 0, ROW(A32)))</f>
        <v>0</v>
      </c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N33" s="6" t="s">
        <v>1732</v>
      </c>
      <c r="O33" s="6" t="s">
        <v>33</v>
      </c>
      <c r="P33" s="6">
        <f ca="1">_xlfn.XLOOKUP(IFERROR(VALUE(MID(CELL("filename",$A$1),FIND("]",CELL("filename",$A$1))+1,255)), MID(CELL("filename",$A$1),FIND("]",CELL("filename",$A$1))+1,255)), 'SUBSTATION LIST'!$A:$A, INDEX('SUBSTATION LIST'!$B:$CA, 0, ROW(A33)))</f>
        <v>0</v>
      </c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N34" s="6" t="s">
        <v>1733</v>
      </c>
      <c r="O34" s="6" t="s">
        <v>34</v>
      </c>
      <c r="P34" s="6">
        <f ca="1">_xlfn.XLOOKUP(IFERROR(VALUE(MID(CELL("filename",$A$1),FIND("]",CELL("filename",$A$1))+1,255)), MID(CELL("filename",$A$1),FIND("]",CELL("filename",$A$1))+1,255)), 'SUBSTATION LIST'!$A:$A, INDEX('SUBSTATION LIST'!$B:$CA, 0, ROW(A34)))</f>
        <v>0</v>
      </c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N35" s="6" t="s">
        <v>1734</v>
      </c>
      <c r="O35" s="6" t="s">
        <v>35</v>
      </c>
      <c r="P35" s="6">
        <f ca="1">_xlfn.XLOOKUP(IFERROR(VALUE(MID(CELL("filename",$A$1),FIND("]",CELL("filename",$A$1))+1,255)), MID(CELL("filename",$A$1),FIND("]",CELL("filename",$A$1))+1,255)), 'SUBSTATION LIST'!$A:$A, INDEX('SUBSTATION LIST'!$B:$CA, 0, ROW(A35)))</f>
        <v>0</v>
      </c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N36" s="6" t="s">
        <v>1735</v>
      </c>
      <c r="O36" s="6" t="s">
        <v>36</v>
      </c>
      <c r="P36" s="6">
        <f ca="1">_xlfn.XLOOKUP(IFERROR(VALUE(MID(CELL("filename",$A$1),FIND("]",CELL("filename",$A$1))+1,255)), MID(CELL("filename",$A$1),FIND("]",CELL("filename",$A$1))+1,255)), 'SUBSTATION LIST'!$A:$A, INDEX('SUBSTATION LIST'!$B:$CA, 0, ROW(A36)))</f>
        <v>0</v>
      </c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N37" s="6" t="s">
        <v>1736</v>
      </c>
      <c r="O37" s="6" t="s">
        <v>37</v>
      </c>
      <c r="P37" s="6">
        <f ca="1">_xlfn.XLOOKUP(IFERROR(VALUE(MID(CELL("filename",$A$1),FIND("]",CELL("filename",$A$1))+1,255)), MID(CELL("filename",$A$1),FIND("]",CELL("filename",$A$1))+1,255)), 'SUBSTATION LIST'!$A:$A, INDEX('SUBSTATION LIST'!$B:$CA, 0, ROW(A37)))</f>
        <v>0</v>
      </c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N38" s="6" t="s">
        <v>1737</v>
      </c>
      <c r="O38" s="6" t="s">
        <v>38</v>
      </c>
      <c r="P38" s="6">
        <f ca="1">_xlfn.XLOOKUP(IFERROR(VALUE(MID(CELL("filename",$A$1),FIND("]",CELL("filename",$A$1))+1,255)), MID(CELL("filename",$A$1),FIND("]",CELL("filename",$A$1))+1,255)), 'SUBSTATION LIST'!$A:$A, INDEX('SUBSTATION LIST'!$B:$CA, 0, ROW(A38)))</f>
        <v>0</v>
      </c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N39" s="6" t="s">
        <v>1738</v>
      </c>
      <c r="O39" s="6" t="s">
        <v>39</v>
      </c>
      <c r="P39" s="6">
        <f ca="1">_xlfn.XLOOKUP(IFERROR(VALUE(MID(CELL("filename",$A$1),FIND("]",CELL("filename",$A$1))+1,255)), MID(CELL("filename",$A$1),FIND("]",CELL("filename",$A$1))+1,255)), 'SUBSTATION LIST'!$A:$A, INDEX('SUBSTATION LIST'!$B:$CA, 0, ROW(A39)))</f>
        <v>0</v>
      </c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16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16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16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Image_Rename</vt:lpstr>
      <vt:lpstr>Sheet1</vt:lpstr>
      <vt:lpstr>Image_Rename_VCB</vt:lpstr>
      <vt:lpstr>Image_Rename_RMU</vt:lpstr>
      <vt:lpstr>Image_Mapping_VCB (2)</vt:lpstr>
      <vt:lpstr>Image_Mapping_VCB</vt:lpstr>
      <vt:lpstr>Image_Mapping_RMU</vt:lpstr>
      <vt:lpstr>Image_Mapping_H-POLE</vt:lpstr>
      <vt:lpstr>Master_List</vt:lpstr>
      <vt:lpstr>Sheet2</vt:lpstr>
      <vt:lpstr>SUBSTATION LIST</vt:lpstr>
      <vt:lpstr>CSV TEMPLATE</vt:lpstr>
      <vt:lpstr>Raw Start Number</vt:lpstr>
      <vt:lpstr>113</vt:lpstr>
      <vt:lpstr>079</vt:lpstr>
      <vt:lpstr>080</vt:lpstr>
      <vt:lpstr>081</vt:lpstr>
      <vt:lpstr>082</vt:lpstr>
      <vt:lpstr>083</vt:lpstr>
      <vt:lpstr>084</vt:lpstr>
      <vt:lpstr>085</vt:lpstr>
      <vt:lpstr>086</vt:lpstr>
      <vt:lpstr>087</vt:lpstr>
      <vt:lpstr>088</vt:lpstr>
      <vt:lpstr>089</vt:lpstr>
      <vt:lpstr>090</vt:lpstr>
      <vt:lpstr>091</vt:lpstr>
      <vt:lpstr>092</vt:lpstr>
      <vt:lpstr>093</vt:lpstr>
      <vt:lpstr>094</vt:lpstr>
      <vt:lpstr>095</vt:lpstr>
      <vt:lpstr>096</vt:lpstr>
      <vt:lpstr>097</vt:lpstr>
      <vt:lpstr>098</vt:lpstr>
      <vt:lpstr>099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113A</vt:lpstr>
      <vt:lpstr>113B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Nurnasrmirza Bin Norulhadi</dc:creator>
  <cp:lastModifiedBy>Nurnasrmirza Amin Bin NorulHadi</cp:lastModifiedBy>
  <dcterms:created xsi:type="dcterms:W3CDTF">2015-06-05T18:17:20Z</dcterms:created>
  <dcterms:modified xsi:type="dcterms:W3CDTF">2026-08-12T21:44:14Z</dcterms:modified>
</cp:coreProperties>
</file>